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codeName="ThisWorkbook" defaultThemeVersion="124226"/>
  <xr:revisionPtr revIDLastSave="0" documentId="13_ncr:1_{CA047EFA-850B-4F67-8A0D-1836B7368A26}" xr6:coauthVersionLast="47" xr6:coauthVersionMax="47" xr10:uidLastSave="{00000000-0000-0000-0000-000000000000}"/>
  <bookViews>
    <workbookView xWindow="-120" yWindow="-120" windowWidth="29040" windowHeight="15720" tabRatio="820" xr2:uid="{00000000-000D-0000-FFFF-FFFF00000000}"/>
  </bookViews>
  <sheets>
    <sheet name="ORDERS" sheetId="1" r:id="rId1"/>
    <sheet name="PENDING" sheetId="3" r:id="rId2"/>
    <sheet name="OUTSTATION" sheetId="21" r:id="rId3"/>
    <sheet name="LOCAL" sheetId="20" r:id="rId4"/>
    <sheet name="SLIP" sheetId="34" r:id="rId5"/>
    <sheet name="EICHER" sheetId="38" r:id="rId6"/>
    <sheet name="A.LAYLAND" sheetId="32" r:id="rId7"/>
    <sheet name="N &amp; S" sheetId="23" r:id="rId8"/>
    <sheet name="N &amp; S1" sheetId="5" r:id="rId9"/>
    <sheet name="N&amp;R" sheetId="25" r:id="rId10"/>
    <sheet name="N&amp;R 1" sheetId="29" r:id="rId11"/>
    <sheet name="SAGAR" sheetId="30" r:id="rId12"/>
    <sheet name="SAGAR1" sheetId="9" r:id="rId13"/>
    <sheet name="SURESHJI 1" sheetId="31" r:id="rId14"/>
    <sheet name="SURESHJI" sheetId="26" r:id="rId15"/>
    <sheet name="B.PARTY VEH" sheetId="8" r:id="rId16"/>
    <sheet name="HUBLI VEH 1845" sheetId="10" r:id="rId17"/>
    <sheet name="HUBLI VEH 3157" sheetId="16" r:id="rId18"/>
    <sheet name="HUBLI VEHICLE (3)" sheetId="33" r:id="rId19"/>
    <sheet name="HUBLI VEHICLE (2)" sheetId="17" r:id="rId20"/>
    <sheet name="RECEIPT DETAILS" sheetId="35" r:id="rId21"/>
    <sheet name="BAG DETAILS" sheetId="36" r:id="rId22"/>
  </sheets>
  <definedNames>
    <definedName name="_xlnm._FilterDatabase" localSheetId="21" hidden="1">'BAG DETAILS'!$B$1:$BC$19</definedName>
    <definedName name="_xlnm._FilterDatabase" localSheetId="0" hidden="1">ORDERS!#REF!</definedName>
    <definedName name="_xlnm._FilterDatabase" localSheetId="20" hidden="1">'RECEIPT DETAILS'!$B$1:$BI$21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58" i="17" l="1"/>
  <c r="BI152" i="17"/>
  <c r="BG152" i="17"/>
  <c r="BC152" i="17"/>
  <c r="BA152" i="17"/>
  <c r="AW152" i="17"/>
  <c r="AU152" i="17"/>
  <c r="AQ152" i="17"/>
  <c r="AO152" i="17"/>
  <c r="AK152" i="17"/>
  <c r="AI152" i="17"/>
  <c r="BI151" i="17"/>
  <c r="BF151" i="17"/>
  <c r="BC151" i="17"/>
  <c r="AZ151" i="17"/>
  <c r="AW151" i="17"/>
  <c r="AT151" i="17"/>
  <c r="AQ151" i="17"/>
  <c r="AN151" i="17"/>
  <c r="AK151" i="17"/>
  <c r="AH151" i="17"/>
  <c r="BJ150" i="17"/>
  <c r="BI150" i="17"/>
  <c r="BH150" i="17"/>
  <c r="BG150" i="17"/>
  <c r="BF150" i="17"/>
  <c r="BD150" i="17"/>
  <c r="BC150" i="17"/>
  <c r="BB150" i="17"/>
  <c r="BA150" i="17"/>
  <c r="AZ150" i="17"/>
  <c r="AX150" i="17"/>
  <c r="AW150" i="17"/>
  <c r="AV150" i="17"/>
  <c r="AU150" i="17"/>
  <c r="AT150" i="17"/>
  <c r="AR150" i="17"/>
  <c r="AQ150" i="17"/>
  <c r="AP150" i="17"/>
  <c r="AO150" i="17"/>
  <c r="AN150" i="17"/>
  <c r="AL150" i="17"/>
  <c r="AK150" i="17"/>
  <c r="AJ150" i="17"/>
  <c r="AI150" i="17"/>
  <c r="AH150" i="17"/>
  <c r="BJ149" i="17"/>
  <c r="BI149" i="17"/>
  <c r="BH149" i="17"/>
  <c r="BG149" i="17"/>
  <c r="BF149" i="17"/>
  <c r="BD149" i="17"/>
  <c r="BC149" i="17"/>
  <c r="BB149" i="17"/>
  <c r="BA149" i="17"/>
  <c r="AZ149" i="17"/>
  <c r="AX149" i="17"/>
  <c r="AW149" i="17"/>
  <c r="AV149" i="17"/>
  <c r="AU149" i="17"/>
  <c r="AT149" i="17"/>
  <c r="AR149" i="17"/>
  <c r="AQ149" i="17"/>
  <c r="AP149" i="17"/>
  <c r="AO149" i="17"/>
  <c r="AN149" i="17"/>
  <c r="AL149" i="17"/>
  <c r="AK149" i="17"/>
  <c r="AJ149" i="17"/>
  <c r="AI149" i="17"/>
  <c r="AH149" i="17"/>
  <c r="AD149" i="17"/>
  <c r="AU158" i="17" s="1"/>
  <c r="BJ148" i="17"/>
  <c r="BI148" i="17"/>
  <c r="BH148" i="17"/>
  <c r="BG148" i="17"/>
  <c r="BF148" i="17"/>
  <c r="BD148" i="17"/>
  <c r="BC148" i="17"/>
  <c r="BB148" i="17"/>
  <c r="BA148" i="17"/>
  <c r="AZ148" i="17"/>
  <c r="AX148" i="17"/>
  <c r="AW148" i="17"/>
  <c r="AV148" i="17"/>
  <c r="AU148" i="17"/>
  <c r="AT148" i="17"/>
  <c r="AR148" i="17"/>
  <c r="AQ148" i="17"/>
  <c r="AP148" i="17"/>
  <c r="AO148" i="17"/>
  <c r="AN148" i="17"/>
  <c r="AL148" i="17"/>
  <c r="AK148" i="17"/>
  <c r="AJ148" i="17"/>
  <c r="AI148" i="17"/>
  <c r="AH148" i="17"/>
  <c r="BJ147" i="17"/>
  <c r="BI147" i="17"/>
  <c r="BH147" i="17"/>
  <c r="BG147" i="17"/>
  <c r="BF147" i="17"/>
  <c r="BD147" i="17"/>
  <c r="BC147" i="17"/>
  <c r="BB147" i="17"/>
  <c r="BA147" i="17"/>
  <c r="AZ147" i="17"/>
  <c r="AX147" i="17"/>
  <c r="AW147" i="17"/>
  <c r="AV147" i="17"/>
  <c r="AU147" i="17"/>
  <c r="AT147" i="17"/>
  <c r="AR147" i="17"/>
  <c r="AQ147" i="17"/>
  <c r="AP147" i="17"/>
  <c r="AO147" i="17"/>
  <c r="AN147" i="17"/>
  <c r="AL147" i="17"/>
  <c r="AK147" i="17"/>
  <c r="AJ147" i="17"/>
  <c r="AI147" i="17"/>
  <c r="AH147" i="17"/>
  <c r="BJ146" i="17"/>
  <c r="BI146" i="17"/>
  <c r="BH146" i="17"/>
  <c r="BG146" i="17"/>
  <c r="BF146" i="17"/>
  <c r="BD146" i="17"/>
  <c r="BC146" i="17"/>
  <c r="BB146" i="17"/>
  <c r="BA146" i="17"/>
  <c r="AZ146" i="17"/>
  <c r="AX146" i="17"/>
  <c r="AW146" i="17"/>
  <c r="AV146" i="17"/>
  <c r="AU146" i="17"/>
  <c r="AT146" i="17"/>
  <c r="AR146" i="17"/>
  <c r="AQ146" i="17"/>
  <c r="AP146" i="17"/>
  <c r="AO146" i="17"/>
  <c r="AN146" i="17"/>
  <c r="AL146" i="17"/>
  <c r="AK146" i="17"/>
  <c r="AJ146" i="17"/>
  <c r="AI146" i="17"/>
  <c r="AH146" i="17"/>
  <c r="BJ145" i="17"/>
  <c r="BI145" i="17"/>
  <c r="BH145" i="17"/>
  <c r="BG145" i="17"/>
  <c r="BF145" i="17"/>
  <c r="BD145" i="17"/>
  <c r="BC145" i="17"/>
  <c r="BB145" i="17"/>
  <c r="BA145" i="17"/>
  <c r="AZ145" i="17"/>
  <c r="AX145" i="17"/>
  <c r="AW145" i="17"/>
  <c r="AV145" i="17"/>
  <c r="AU145" i="17"/>
  <c r="AT145" i="17"/>
  <c r="AR145" i="17"/>
  <c r="AQ145" i="17"/>
  <c r="AP145" i="17"/>
  <c r="AO145" i="17"/>
  <c r="AN145" i="17"/>
  <c r="AL145" i="17"/>
  <c r="AK145" i="17"/>
  <c r="AJ145" i="17"/>
  <c r="AI145" i="17"/>
  <c r="AH145" i="17"/>
  <c r="BJ144" i="17"/>
  <c r="BI144" i="17"/>
  <c r="BH144" i="17"/>
  <c r="BG144" i="17"/>
  <c r="BF144" i="17"/>
  <c r="BD144" i="17"/>
  <c r="BC144" i="17"/>
  <c r="BB144" i="17"/>
  <c r="BA144" i="17"/>
  <c r="AZ144" i="17"/>
  <c r="AX144" i="17"/>
  <c r="AW144" i="17"/>
  <c r="AV144" i="17"/>
  <c r="AU144" i="17"/>
  <c r="AT144" i="17"/>
  <c r="AR144" i="17"/>
  <c r="AQ144" i="17"/>
  <c r="AP144" i="17"/>
  <c r="AO144" i="17"/>
  <c r="AN144" i="17"/>
  <c r="AL144" i="17"/>
  <c r="AK144" i="17"/>
  <c r="AJ144" i="17"/>
  <c r="AI144" i="17"/>
  <c r="AH144" i="17"/>
  <c r="BJ143" i="17"/>
  <c r="BI143" i="17"/>
  <c r="BH143" i="17"/>
  <c r="BG143" i="17"/>
  <c r="BF143" i="17"/>
  <c r="BD143" i="17"/>
  <c r="BC143" i="17"/>
  <c r="BB143" i="17"/>
  <c r="BA143" i="17"/>
  <c r="AZ143" i="17"/>
  <c r="AX143" i="17"/>
  <c r="AW143" i="17"/>
  <c r="AV143" i="17"/>
  <c r="AU143" i="17"/>
  <c r="AT143" i="17"/>
  <c r="AR143" i="17"/>
  <c r="AQ143" i="17"/>
  <c r="AP143" i="17"/>
  <c r="AO143" i="17"/>
  <c r="AN143" i="17"/>
  <c r="AL143" i="17"/>
  <c r="AK143" i="17"/>
  <c r="AJ143" i="17"/>
  <c r="AI143" i="17"/>
  <c r="AH143" i="17"/>
  <c r="BJ142" i="17"/>
  <c r="BI142" i="17"/>
  <c r="BH142" i="17"/>
  <c r="BG142" i="17"/>
  <c r="BF142" i="17"/>
  <c r="BD142" i="17"/>
  <c r="BC142" i="17"/>
  <c r="BB142" i="17"/>
  <c r="BA142" i="17"/>
  <c r="AZ142" i="17"/>
  <c r="AX142" i="17"/>
  <c r="AW142" i="17"/>
  <c r="AV142" i="17"/>
  <c r="AU142" i="17"/>
  <c r="AT142" i="17"/>
  <c r="AR142" i="17"/>
  <c r="AQ142" i="17"/>
  <c r="AP142" i="17"/>
  <c r="AO142" i="17"/>
  <c r="AN142" i="17"/>
  <c r="AL142" i="17"/>
  <c r="AK142" i="17"/>
  <c r="AJ142" i="17"/>
  <c r="AI142" i="17"/>
  <c r="AH142" i="17"/>
  <c r="BJ141" i="17"/>
  <c r="BI141" i="17"/>
  <c r="BH141" i="17"/>
  <c r="BG141" i="17"/>
  <c r="BF141" i="17"/>
  <c r="BD141" i="17"/>
  <c r="BC141" i="17"/>
  <c r="BB141" i="17"/>
  <c r="BA141" i="17"/>
  <c r="BA151" i="17" s="1"/>
  <c r="AZ141" i="17"/>
  <c r="AX141" i="17"/>
  <c r="AW141" i="17"/>
  <c r="AV141" i="17"/>
  <c r="AU141" i="17"/>
  <c r="AT141" i="17"/>
  <c r="AR141" i="17"/>
  <c r="AQ141" i="17"/>
  <c r="AP141" i="17"/>
  <c r="AO141" i="17"/>
  <c r="AN141" i="17"/>
  <c r="AL141" i="17"/>
  <c r="AK141" i="17"/>
  <c r="AJ141" i="17"/>
  <c r="AI141" i="17"/>
  <c r="AH141" i="17"/>
  <c r="X141" i="17"/>
  <c r="BF139" i="17"/>
  <c r="AZ139" i="17"/>
  <c r="AT139" i="17"/>
  <c r="AO139" i="17"/>
  <c r="AN139" i="17"/>
  <c r="AH139" i="17"/>
  <c r="BF138" i="17"/>
  <c r="AZ138" i="17"/>
  <c r="AT138" i="17"/>
  <c r="AO138" i="17"/>
  <c r="AN138" i="17"/>
  <c r="AH138" i="17"/>
  <c r="BH137" i="17"/>
  <c r="BB137" i="17"/>
  <c r="AV137" i="17"/>
  <c r="AP137" i="17"/>
  <c r="AJ137" i="17"/>
  <c r="Z136" i="17"/>
  <c r="X135" i="17"/>
  <c r="BI131" i="17"/>
  <c r="BG131" i="17"/>
  <c r="BC131" i="17"/>
  <c r="BA131" i="17"/>
  <c r="AW131" i="17"/>
  <c r="AU131" i="17"/>
  <c r="AQ131" i="17"/>
  <c r="AO131" i="17"/>
  <c r="AK131" i="17"/>
  <c r="AI131" i="17"/>
  <c r="BI130" i="17"/>
  <c r="BF130" i="17"/>
  <c r="BC130" i="17"/>
  <c r="AZ130" i="17"/>
  <c r="AW130" i="17"/>
  <c r="AT130" i="17"/>
  <c r="AQ130" i="17"/>
  <c r="AN130" i="17"/>
  <c r="AK130" i="17"/>
  <c r="AH130" i="17"/>
  <c r="BJ129" i="17"/>
  <c r="BI129" i="17"/>
  <c r="BH129" i="17"/>
  <c r="BG129" i="17"/>
  <c r="BF129" i="17"/>
  <c r="BD129" i="17"/>
  <c r="BC129" i="17"/>
  <c r="BB129" i="17"/>
  <c r="BA129" i="17"/>
  <c r="AZ129" i="17"/>
  <c r="AX129" i="17"/>
  <c r="AW129" i="17"/>
  <c r="AV129" i="17"/>
  <c r="AU129" i="17"/>
  <c r="AT129" i="17"/>
  <c r="AR129" i="17"/>
  <c r="AQ129" i="17"/>
  <c r="AP129" i="17"/>
  <c r="AO129" i="17"/>
  <c r="AN129" i="17"/>
  <c r="AL129" i="17"/>
  <c r="AK129" i="17"/>
  <c r="AJ129" i="17"/>
  <c r="AI129" i="17"/>
  <c r="AH129" i="17"/>
  <c r="BJ128" i="17"/>
  <c r="BI128" i="17"/>
  <c r="BH128" i="17"/>
  <c r="BG128" i="17"/>
  <c r="BF128" i="17"/>
  <c r="BD128" i="17"/>
  <c r="BC128" i="17"/>
  <c r="BB128" i="17"/>
  <c r="BA128" i="17"/>
  <c r="AZ128" i="17"/>
  <c r="AX128" i="17"/>
  <c r="AW128" i="17"/>
  <c r="AV128" i="17"/>
  <c r="AU128" i="17"/>
  <c r="AT128" i="17"/>
  <c r="AR128" i="17"/>
  <c r="AQ128" i="17"/>
  <c r="AP128" i="17"/>
  <c r="AO128" i="17"/>
  <c r="AN128" i="17"/>
  <c r="AL128" i="17"/>
  <c r="AK128" i="17"/>
  <c r="AJ128" i="17"/>
  <c r="AI128" i="17"/>
  <c r="AH128" i="17"/>
  <c r="BJ127" i="17"/>
  <c r="BI127" i="17"/>
  <c r="BH127" i="17"/>
  <c r="BG127" i="17"/>
  <c r="BF127" i="17"/>
  <c r="BD127" i="17"/>
  <c r="BC127" i="17"/>
  <c r="BB127" i="17"/>
  <c r="BA127" i="17"/>
  <c r="AZ127" i="17"/>
  <c r="AX127" i="17"/>
  <c r="AW127" i="17"/>
  <c r="AV127" i="17"/>
  <c r="AU127" i="17"/>
  <c r="AT127" i="17"/>
  <c r="AR127" i="17"/>
  <c r="AQ127" i="17"/>
  <c r="AP127" i="17"/>
  <c r="AO127" i="17"/>
  <c r="AN127" i="17"/>
  <c r="AL127" i="17"/>
  <c r="AK127" i="17"/>
  <c r="AJ127" i="17"/>
  <c r="AI127" i="17"/>
  <c r="AH127" i="17"/>
  <c r="BJ126" i="17"/>
  <c r="BI126" i="17"/>
  <c r="BH126" i="17"/>
  <c r="BG126" i="17"/>
  <c r="BF126" i="17"/>
  <c r="BD126" i="17"/>
  <c r="BC126" i="17"/>
  <c r="BB126" i="17"/>
  <c r="BA126" i="17"/>
  <c r="AZ126" i="17"/>
  <c r="AX126" i="17"/>
  <c r="AW126" i="17"/>
  <c r="AV126" i="17"/>
  <c r="AU126" i="17"/>
  <c r="AT126" i="17"/>
  <c r="AR126" i="17"/>
  <c r="AQ126" i="17"/>
  <c r="AP126" i="17"/>
  <c r="AO126" i="17"/>
  <c r="AN126" i="17"/>
  <c r="AL126" i="17"/>
  <c r="AK126" i="17"/>
  <c r="AJ126" i="17"/>
  <c r="AI126" i="17"/>
  <c r="AH126" i="17"/>
  <c r="AD126" i="17"/>
  <c r="BJ125" i="17"/>
  <c r="BI125" i="17"/>
  <c r="BH125" i="17"/>
  <c r="BG125" i="17"/>
  <c r="BF125" i="17"/>
  <c r="BD125" i="17"/>
  <c r="BC125" i="17"/>
  <c r="BB125" i="17"/>
  <c r="BA125" i="17"/>
  <c r="AZ125" i="17"/>
  <c r="AX125" i="17"/>
  <c r="AW125" i="17"/>
  <c r="AV125" i="17"/>
  <c r="AU130" i="17" s="1"/>
  <c r="AU125" i="17"/>
  <c r="AT125" i="17"/>
  <c r="AR125" i="17"/>
  <c r="AQ125" i="17"/>
  <c r="AP125" i="17"/>
  <c r="AO125" i="17"/>
  <c r="AN125" i="17"/>
  <c r="AL125" i="17"/>
  <c r="AK125" i="17"/>
  <c r="AJ125" i="17"/>
  <c r="AI125" i="17"/>
  <c r="AH125" i="17"/>
  <c r="C125" i="17"/>
  <c r="BJ124" i="17"/>
  <c r="BI124" i="17"/>
  <c r="BH124" i="17"/>
  <c r="BG124" i="17"/>
  <c r="BF124" i="17"/>
  <c r="BD124" i="17"/>
  <c r="BC124" i="17"/>
  <c r="BB124" i="17"/>
  <c r="BA124" i="17"/>
  <c r="AZ124" i="17"/>
  <c r="AX124" i="17"/>
  <c r="AW124" i="17"/>
  <c r="AV124" i="17"/>
  <c r="AU124" i="17"/>
  <c r="AT124" i="17"/>
  <c r="AR124" i="17"/>
  <c r="AQ124" i="17"/>
  <c r="AP124" i="17"/>
  <c r="AO130" i="17" s="1"/>
  <c r="AO124" i="17"/>
  <c r="AN124" i="17"/>
  <c r="AL124" i="17"/>
  <c r="AK124" i="17"/>
  <c r="AJ124" i="17"/>
  <c r="AI124" i="17"/>
  <c r="AH124" i="17"/>
  <c r="BJ123" i="17"/>
  <c r="BI123" i="17"/>
  <c r="BH123" i="17"/>
  <c r="BG123" i="17"/>
  <c r="BF123" i="17"/>
  <c r="BD123" i="17"/>
  <c r="BC123" i="17"/>
  <c r="BB123" i="17"/>
  <c r="BA123" i="17"/>
  <c r="AZ123" i="17"/>
  <c r="AX123" i="17"/>
  <c r="AW123" i="17"/>
  <c r="AV123" i="17"/>
  <c r="AU123" i="17"/>
  <c r="AT123" i="17"/>
  <c r="AR123" i="17"/>
  <c r="AQ123" i="17"/>
  <c r="AP123" i="17"/>
  <c r="AO123" i="17"/>
  <c r="AN123" i="17"/>
  <c r="AL123" i="17"/>
  <c r="AK123" i="17"/>
  <c r="AJ123" i="17"/>
  <c r="AI123" i="17"/>
  <c r="AH123" i="17"/>
  <c r="P123" i="17"/>
  <c r="BJ122" i="17"/>
  <c r="BI122" i="17"/>
  <c r="BH122" i="17"/>
  <c r="BG122" i="17"/>
  <c r="BF122" i="17"/>
  <c r="BD122" i="17"/>
  <c r="BC122" i="17"/>
  <c r="BB122" i="17"/>
  <c r="BA122" i="17"/>
  <c r="AZ122" i="17"/>
  <c r="AX122" i="17"/>
  <c r="AW122" i="17"/>
  <c r="AV122" i="17"/>
  <c r="AU122" i="17"/>
  <c r="AT122" i="17"/>
  <c r="AR122" i="17"/>
  <c r="AQ122" i="17"/>
  <c r="AP122" i="17"/>
  <c r="AO122" i="17"/>
  <c r="AN122" i="17"/>
  <c r="AL122" i="17"/>
  <c r="AK122" i="17"/>
  <c r="AJ122" i="17"/>
  <c r="AI122" i="17"/>
  <c r="AH122" i="17"/>
  <c r="BJ121" i="17"/>
  <c r="BI121" i="17"/>
  <c r="BH121" i="17"/>
  <c r="BG121" i="17"/>
  <c r="BF121" i="17"/>
  <c r="BD121" i="17"/>
  <c r="BC121" i="17"/>
  <c r="BB121" i="17"/>
  <c r="BA121" i="17"/>
  <c r="AZ121" i="17"/>
  <c r="AX121" i="17"/>
  <c r="AW121" i="17"/>
  <c r="AV121" i="17"/>
  <c r="AU121" i="17"/>
  <c r="AT121" i="17"/>
  <c r="AR121" i="17"/>
  <c r="AQ121" i="17"/>
  <c r="AP121" i="17"/>
  <c r="AO121" i="17"/>
  <c r="AN121" i="17"/>
  <c r="AL121" i="17"/>
  <c r="AK121" i="17"/>
  <c r="AJ121" i="17"/>
  <c r="AI121" i="17"/>
  <c r="AH121" i="17"/>
  <c r="BJ120" i="17"/>
  <c r="BI120" i="17"/>
  <c r="BH120" i="17"/>
  <c r="BG120" i="17"/>
  <c r="BG130" i="17" s="1"/>
  <c r="BF120" i="17"/>
  <c r="BD120" i="17"/>
  <c r="BC120" i="17"/>
  <c r="BB120" i="17"/>
  <c r="BA120" i="17"/>
  <c r="AZ120" i="17"/>
  <c r="AX120" i="17"/>
  <c r="AW120" i="17"/>
  <c r="AV120" i="17"/>
  <c r="AU120" i="17"/>
  <c r="AT120" i="17"/>
  <c r="AR120" i="17"/>
  <c r="AQ120" i="17"/>
  <c r="AP120" i="17"/>
  <c r="AO120" i="17"/>
  <c r="AN120" i="17"/>
  <c r="AL120" i="17"/>
  <c r="AK120" i="17"/>
  <c r="AJ120" i="17"/>
  <c r="AI120" i="17"/>
  <c r="AH120" i="17"/>
  <c r="V120" i="17"/>
  <c r="I119" i="17"/>
  <c r="BF118" i="17"/>
  <c r="AZ118" i="17"/>
  <c r="AT118" i="17"/>
  <c r="AN118" i="17"/>
  <c r="AH118" i="17"/>
  <c r="BF117" i="17"/>
  <c r="AZ117" i="17"/>
  <c r="AT117" i="17"/>
  <c r="AN117" i="17"/>
  <c r="AH117" i="17"/>
  <c r="BH116" i="17"/>
  <c r="BB116" i="17"/>
  <c r="AV116" i="17"/>
  <c r="AP116" i="17"/>
  <c r="AJ116" i="17"/>
  <c r="L113" i="17"/>
  <c r="K113" i="17"/>
  <c r="J113" i="17"/>
  <c r="I113" i="17"/>
  <c r="H113" i="17"/>
  <c r="L112" i="17"/>
  <c r="K112" i="17"/>
  <c r="J112" i="17"/>
  <c r="I112" i="17"/>
  <c r="H112" i="17"/>
  <c r="L111" i="17"/>
  <c r="K111" i="17"/>
  <c r="J111" i="17"/>
  <c r="I111" i="17"/>
  <c r="H111" i="17"/>
  <c r="L110" i="17"/>
  <c r="K110" i="17"/>
  <c r="J110" i="17"/>
  <c r="I110" i="17"/>
  <c r="H110" i="17"/>
  <c r="L109" i="17"/>
  <c r="K109" i="17"/>
  <c r="J109" i="17"/>
  <c r="I109" i="17"/>
  <c r="H109" i="17"/>
  <c r="L108" i="17"/>
  <c r="K108" i="17"/>
  <c r="J108" i="17"/>
  <c r="I108" i="17"/>
  <c r="H108" i="17"/>
  <c r="L107" i="17"/>
  <c r="K107" i="17"/>
  <c r="J107" i="17"/>
  <c r="I107" i="17"/>
  <c r="H107" i="17"/>
  <c r="L106" i="17"/>
  <c r="K106" i="17"/>
  <c r="J106" i="17"/>
  <c r="I106" i="17"/>
  <c r="H106" i="17"/>
  <c r="L105" i="17"/>
  <c r="K105" i="17"/>
  <c r="J105" i="17"/>
  <c r="I105" i="17"/>
  <c r="H105" i="17"/>
  <c r="L104" i="17"/>
  <c r="K104" i="17"/>
  <c r="J104" i="17"/>
  <c r="I104" i="17"/>
  <c r="H104" i="17"/>
  <c r="L103" i="17"/>
  <c r="K103" i="17"/>
  <c r="J103" i="17"/>
  <c r="I103" i="17"/>
  <c r="H103" i="17"/>
  <c r="L102" i="17"/>
  <c r="K102" i="17"/>
  <c r="J102" i="17"/>
  <c r="I102" i="17"/>
  <c r="H102" i="17"/>
  <c r="L101" i="17"/>
  <c r="K101" i="17"/>
  <c r="J101" i="17"/>
  <c r="I101" i="17"/>
  <c r="H101" i="17"/>
  <c r="L100" i="17"/>
  <c r="K100" i="17"/>
  <c r="J100" i="17"/>
  <c r="I100" i="17"/>
  <c r="H100" i="17"/>
  <c r="L99" i="17"/>
  <c r="K99" i="17"/>
  <c r="J99" i="17"/>
  <c r="I99" i="17"/>
  <c r="H99" i="17"/>
  <c r="L98" i="17"/>
  <c r="K98" i="17"/>
  <c r="J98" i="17"/>
  <c r="I98" i="17"/>
  <c r="H98" i="17"/>
  <c r="L97" i="17"/>
  <c r="K97" i="17"/>
  <c r="J97" i="17"/>
  <c r="I97" i="17"/>
  <c r="H97" i="17"/>
  <c r="L96" i="17"/>
  <c r="K96" i="17"/>
  <c r="J96" i="17"/>
  <c r="I96" i="17"/>
  <c r="H96" i="17"/>
  <c r="L95" i="17"/>
  <c r="K95" i="17"/>
  <c r="J95" i="17"/>
  <c r="I95" i="17"/>
  <c r="H95" i="17"/>
  <c r="L94" i="17"/>
  <c r="K94" i="17"/>
  <c r="J94" i="17"/>
  <c r="I94" i="17"/>
  <c r="H94" i="17"/>
  <c r="L93" i="17"/>
  <c r="K93" i="17"/>
  <c r="J93" i="17"/>
  <c r="I93" i="17"/>
  <c r="H93" i="17"/>
  <c r="L92" i="17"/>
  <c r="K92" i="17"/>
  <c r="J92" i="17"/>
  <c r="I92" i="17"/>
  <c r="H92" i="17"/>
  <c r="L91" i="17"/>
  <c r="K91" i="17"/>
  <c r="J91" i="17"/>
  <c r="I91" i="17"/>
  <c r="H91" i="17"/>
  <c r="L90" i="17"/>
  <c r="K90" i="17"/>
  <c r="J90" i="17"/>
  <c r="I90" i="17"/>
  <c r="H90" i="17"/>
  <c r="L89" i="17"/>
  <c r="K89" i="17"/>
  <c r="J89" i="17"/>
  <c r="I89" i="17"/>
  <c r="H89" i="17"/>
  <c r="L88" i="17"/>
  <c r="K88" i="17"/>
  <c r="J88" i="17"/>
  <c r="I88" i="17"/>
  <c r="H88" i="17"/>
  <c r="L87" i="17"/>
  <c r="K87" i="17"/>
  <c r="J87" i="17"/>
  <c r="I87" i="17"/>
  <c r="H87" i="17"/>
  <c r="L86" i="17"/>
  <c r="K86" i="17"/>
  <c r="J86" i="17"/>
  <c r="I86" i="17"/>
  <c r="H86" i="17"/>
  <c r="L85" i="17"/>
  <c r="K85" i="17"/>
  <c r="J85" i="17"/>
  <c r="I85" i="17"/>
  <c r="H85" i="17"/>
  <c r="L84" i="17"/>
  <c r="K84" i="17"/>
  <c r="J84" i="17"/>
  <c r="I84" i="17"/>
  <c r="H84" i="17"/>
  <c r="L83" i="17"/>
  <c r="K83" i="17"/>
  <c r="J83" i="17"/>
  <c r="I83" i="17"/>
  <c r="H83" i="17"/>
  <c r="L82" i="17"/>
  <c r="K82" i="17"/>
  <c r="J82" i="17"/>
  <c r="I82" i="17"/>
  <c r="H82" i="17"/>
  <c r="L81" i="17"/>
  <c r="K81" i="17"/>
  <c r="J81" i="17"/>
  <c r="I81" i="17"/>
  <c r="H81" i="17"/>
  <c r="L80" i="17"/>
  <c r="K80" i="17"/>
  <c r="J80" i="17"/>
  <c r="I80" i="17"/>
  <c r="H80" i="17"/>
  <c r="L79" i="17"/>
  <c r="K79" i="17"/>
  <c r="J79" i="17"/>
  <c r="I79" i="17"/>
  <c r="H79" i="17"/>
  <c r="L78" i="17"/>
  <c r="K78" i="17"/>
  <c r="J78" i="17"/>
  <c r="I78" i="17"/>
  <c r="H78" i="17"/>
  <c r="L77" i="17"/>
  <c r="K77" i="17"/>
  <c r="J77" i="17"/>
  <c r="I77" i="17"/>
  <c r="H77" i="17"/>
  <c r="L76" i="17"/>
  <c r="K76" i="17"/>
  <c r="J76" i="17"/>
  <c r="I76" i="17"/>
  <c r="H76" i="17"/>
  <c r="L75" i="17"/>
  <c r="K75" i="17"/>
  <c r="J75" i="17"/>
  <c r="I75" i="17"/>
  <c r="H75" i="17"/>
  <c r="L74" i="17"/>
  <c r="K74" i="17"/>
  <c r="J74" i="17"/>
  <c r="I74" i="17"/>
  <c r="H74" i="17"/>
  <c r="L73" i="17"/>
  <c r="K73" i="17"/>
  <c r="J73" i="17"/>
  <c r="I73" i="17"/>
  <c r="H73" i="17"/>
  <c r="L72" i="17"/>
  <c r="K72" i="17"/>
  <c r="J72" i="17"/>
  <c r="I72" i="17"/>
  <c r="H72" i="17"/>
  <c r="L71" i="17"/>
  <c r="K71" i="17"/>
  <c r="J71" i="17"/>
  <c r="I71" i="17"/>
  <c r="H71" i="17"/>
  <c r="L70" i="17"/>
  <c r="K70" i="17"/>
  <c r="J70" i="17"/>
  <c r="I70" i="17"/>
  <c r="H70" i="17"/>
  <c r="L69" i="17"/>
  <c r="K69" i="17"/>
  <c r="J69" i="17"/>
  <c r="I69" i="17"/>
  <c r="H69" i="17"/>
  <c r="L68" i="17"/>
  <c r="K68" i="17"/>
  <c r="J68" i="17"/>
  <c r="I68" i="17"/>
  <c r="H68" i="17"/>
  <c r="L67" i="17"/>
  <c r="K67" i="17"/>
  <c r="J67" i="17"/>
  <c r="I67" i="17"/>
  <c r="H67" i="17"/>
  <c r="L66" i="17"/>
  <c r="K66" i="17"/>
  <c r="J66" i="17"/>
  <c r="I66" i="17"/>
  <c r="H66" i="17"/>
  <c r="L65" i="17"/>
  <c r="K65" i="17"/>
  <c r="J65" i="17"/>
  <c r="I65" i="17"/>
  <c r="H65" i="17"/>
  <c r="L64" i="17"/>
  <c r="K64" i="17"/>
  <c r="J64" i="17"/>
  <c r="I64" i="17"/>
  <c r="H64" i="17"/>
  <c r="L63" i="17"/>
  <c r="K63" i="17"/>
  <c r="J63" i="17"/>
  <c r="I63" i="17"/>
  <c r="H63" i="17"/>
  <c r="L62" i="17"/>
  <c r="K62" i="17"/>
  <c r="J62" i="17"/>
  <c r="I62" i="17"/>
  <c r="H62" i="17"/>
  <c r="L61" i="17"/>
  <c r="K61" i="17"/>
  <c r="J61" i="17"/>
  <c r="I61" i="17"/>
  <c r="H61" i="17"/>
  <c r="L60" i="17"/>
  <c r="K60" i="17"/>
  <c r="J60" i="17"/>
  <c r="I60" i="17"/>
  <c r="H60" i="17"/>
  <c r="L59" i="17"/>
  <c r="K59" i="17"/>
  <c r="J59" i="17"/>
  <c r="I59" i="17"/>
  <c r="H59" i="17"/>
  <c r="L58" i="17"/>
  <c r="K58" i="17"/>
  <c r="J58" i="17"/>
  <c r="I58" i="17"/>
  <c r="H58" i="17"/>
  <c r="L57" i="17"/>
  <c r="K57" i="17"/>
  <c r="J57" i="17"/>
  <c r="I57" i="17"/>
  <c r="H57" i="17"/>
  <c r="L56" i="17"/>
  <c r="K56" i="17"/>
  <c r="J56" i="17"/>
  <c r="I56" i="17"/>
  <c r="H56" i="17"/>
  <c r="L55" i="17"/>
  <c r="K55" i="17"/>
  <c r="J55" i="17"/>
  <c r="I55" i="17"/>
  <c r="H55" i="17"/>
  <c r="L54" i="17"/>
  <c r="K54" i="17"/>
  <c r="J54" i="17"/>
  <c r="I54" i="17"/>
  <c r="H54" i="17"/>
  <c r="L53" i="17"/>
  <c r="K53" i="17"/>
  <c r="J53" i="17"/>
  <c r="I53" i="17"/>
  <c r="H53" i="17"/>
  <c r="L52" i="17"/>
  <c r="K52" i="17"/>
  <c r="J52" i="17"/>
  <c r="I52" i="17"/>
  <c r="H52" i="17"/>
  <c r="L51" i="17"/>
  <c r="K51" i="17"/>
  <c r="J51" i="17"/>
  <c r="I51" i="17"/>
  <c r="H51" i="17"/>
  <c r="L50" i="17"/>
  <c r="K50" i="17"/>
  <c r="J50" i="17"/>
  <c r="I50" i="17"/>
  <c r="H50" i="17"/>
  <c r="L49" i="17"/>
  <c r="K49" i="17"/>
  <c r="J49" i="17"/>
  <c r="I49" i="17"/>
  <c r="H49" i="17"/>
  <c r="L48" i="17"/>
  <c r="K48" i="17"/>
  <c r="J48" i="17"/>
  <c r="I48" i="17"/>
  <c r="H48" i="17"/>
  <c r="L47" i="17"/>
  <c r="K47" i="17"/>
  <c r="J47" i="17"/>
  <c r="I47" i="17"/>
  <c r="H47" i="17"/>
  <c r="L46" i="17"/>
  <c r="K46" i="17"/>
  <c r="J46" i="17"/>
  <c r="I46" i="17"/>
  <c r="H46" i="17"/>
  <c r="L45" i="17"/>
  <c r="K45" i="17"/>
  <c r="J45" i="17"/>
  <c r="I45" i="17"/>
  <c r="H45" i="17"/>
  <c r="L44" i="17"/>
  <c r="K44" i="17"/>
  <c r="J44" i="17"/>
  <c r="I44" i="17"/>
  <c r="H44" i="17"/>
  <c r="L43" i="17"/>
  <c r="K43" i="17"/>
  <c r="J43" i="17"/>
  <c r="I43" i="17"/>
  <c r="H43" i="17"/>
  <c r="L42" i="17"/>
  <c r="K42" i="17"/>
  <c r="J42" i="17"/>
  <c r="I42" i="17"/>
  <c r="H42" i="17"/>
  <c r="L41" i="17"/>
  <c r="K41" i="17"/>
  <c r="J41" i="17"/>
  <c r="I41" i="17"/>
  <c r="H41" i="17"/>
  <c r="L40" i="17"/>
  <c r="K40" i="17"/>
  <c r="J40" i="17"/>
  <c r="I40" i="17"/>
  <c r="H40" i="17"/>
  <c r="L39" i="17"/>
  <c r="K39" i="17"/>
  <c r="J39" i="17"/>
  <c r="I39" i="17"/>
  <c r="H39" i="17"/>
  <c r="L38" i="17"/>
  <c r="K38" i="17"/>
  <c r="J38" i="17"/>
  <c r="I38" i="17"/>
  <c r="H38" i="17"/>
  <c r="L37" i="17"/>
  <c r="K37" i="17"/>
  <c r="J37" i="17"/>
  <c r="I37" i="17"/>
  <c r="H37" i="17"/>
  <c r="L36" i="17"/>
  <c r="K36" i="17"/>
  <c r="J36" i="17"/>
  <c r="I36" i="17"/>
  <c r="H36" i="17"/>
  <c r="L35" i="17"/>
  <c r="K35" i="17"/>
  <c r="J35" i="17"/>
  <c r="I35" i="17"/>
  <c r="H35" i="17"/>
  <c r="L34" i="17"/>
  <c r="K34" i="17"/>
  <c r="J34" i="17"/>
  <c r="I34" i="17"/>
  <c r="H34" i="17"/>
  <c r="L33" i="17"/>
  <c r="K33" i="17"/>
  <c r="J33" i="17"/>
  <c r="I33" i="17"/>
  <c r="H33" i="17"/>
  <c r="L32" i="17"/>
  <c r="K32" i="17"/>
  <c r="J32" i="17"/>
  <c r="I32" i="17"/>
  <c r="H32" i="17"/>
  <c r="L31" i="17"/>
  <c r="K31" i="17"/>
  <c r="J31" i="17"/>
  <c r="I31" i="17"/>
  <c r="H31" i="17"/>
  <c r="L30" i="17"/>
  <c r="K30" i="17"/>
  <c r="J30" i="17"/>
  <c r="I30" i="17"/>
  <c r="H30" i="17"/>
  <c r="L29" i="17"/>
  <c r="K29" i="17"/>
  <c r="J29" i="17"/>
  <c r="I29" i="17"/>
  <c r="H29" i="17"/>
  <c r="L28" i="17"/>
  <c r="K28" i="17"/>
  <c r="J28" i="17"/>
  <c r="I28" i="17"/>
  <c r="H28" i="17"/>
  <c r="L27" i="17"/>
  <c r="K27" i="17"/>
  <c r="J27" i="17"/>
  <c r="I27" i="17"/>
  <c r="H27" i="17"/>
  <c r="L26" i="17"/>
  <c r="K26" i="17"/>
  <c r="J26" i="17"/>
  <c r="I26" i="17"/>
  <c r="H26" i="17"/>
  <c r="L25" i="17"/>
  <c r="K25" i="17"/>
  <c r="J25" i="17"/>
  <c r="I25" i="17"/>
  <c r="H25" i="17"/>
  <c r="L24" i="17"/>
  <c r="K24" i="17"/>
  <c r="J24" i="17"/>
  <c r="I24" i="17"/>
  <c r="H24" i="17"/>
  <c r="BB23" i="17"/>
  <c r="BH154" i="17" s="1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AU23" i="17" s="1"/>
  <c r="BF156" i="17" s="1"/>
  <c r="U23" i="17"/>
  <c r="T23" i="17"/>
  <c r="S23" i="17"/>
  <c r="R23" i="17"/>
  <c r="Q23" i="17"/>
  <c r="P23" i="17"/>
  <c r="O23" i="17"/>
  <c r="L23" i="17"/>
  <c r="K23" i="17"/>
  <c r="J23" i="17"/>
  <c r="I23" i="17"/>
  <c r="H23" i="17"/>
  <c r="AX22" i="17"/>
  <c r="BC156" i="17" s="1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BD22" i="17" s="1"/>
  <c r="BD154" i="17" s="1"/>
  <c r="U22" i="17"/>
  <c r="T22" i="17"/>
  <c r="S22" i="17"/>
  <c r="R22" i="17"/>
  <c r="Q22" i="17"/>
  <c r="P22" i="17"/>
  <c r="O22" i="17"/>
  <c r="L22" i="17"/>
  <c r="K22" i="17"/>
  <c r="J22" i="17"/>
  <c r="I22" i="17"/>
  <c r="H22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L21" i="17"/>
  <c r="K21" i="17"/>
  <c r="J21" i="17"/>
  <c r="I21" i="17"/>
  <c r="H21" i="17"/>
  <c r="AZ20" i="17"/>
  <c r="AN154" i="17" s="1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AY20" i="17" s="1"/>
  <c r="AR156" i="17" s="1"/>
  <c r="R20" i="17"/>
  <c r="Q20" i="17"/>
  <c r="P20" i="17"/>
  <c r="O20" i="17"/>
  <c r="L20" i="17"/>
  <c r="K20" i="17"/>
  <c r="J20" i="17"/>
  <c r="I20" i="17"/>
  <c r="H20" i="17"/>
  <c r="BC19" i="17"/>
  <c r="AK154" i="17" s="1"/>
  <c r="BB19" i="17"/>
  <c r="AJ154" i="17" s="1"/>
  <c r="BA19" i="17"/>
  <c r="AI154" i="17" s="1"/>
  <c r="AU19" i="17"/>
  <c r="AH156" i="17" s="1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AW19" i="17" s="1"/>
  <c r="AJ156" i="17" s="1"/>
  <c r="U19" i="17"/>
  <c r="T19" i="17"/>
  <c r="S19" i="17"/>
  <c r="R19" i="17"/>
  <c r="Q19" i="17"/>
  <c r="P19" i="17"/>
  <c r="O19" i="17"/>
  <c r="L19" i="17"/>
  <c r="K19" i="17"/>
  <c r="J19" i="17"/>
  <c r="I19" i="17"/>
  <c r="H19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L18" i="17"/>
  <c r="K18" i="17"/>
  <c r="J18" i="17"/>
  <c r="I18" i="17"/>
  <c r="H18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L17" i="17"/>
  <c r="K17" i="17"/>
  <c r="J17" i="17"/>
  <c r="I17" i="17"/>
  <c r="H17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AW16" i="17" s="1"/>
  <c r="AV135" i="17" s="1"/>
  <c r="R16" i="17"/>
  <c r="Q16" i="17"/>
  <c r="P16" i="17"/>
  <c r="O16" i="17"/>
  <c r="L16" i="17"/>
  <c r="K16" i="17"/>
  <c r="J16" i="17"/>
  <c r="I16" i="17"/>
  <c r="H16" i="17"/>
  <c r="BA15" i="17"/>
  <c r="AO133" i="17" s="1"/>
  <c r="AW15" i="17"/>
  <c r="AP135" i="17" s="1"/>
  <c r="AR15" i="17"/>
  <c r="AQ15" i="17"/>
  <c r="AP15" i="17"/>
  <c r="AO15" i="17"/>
  <c r="AN15" i="17"/>
  <c r="AM15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BD15" i="17" s="1"/>
  <c r="AR133" i="17" s="1"/>
  <c r="U15" i="17"/>
  <c r="T15" i="17"/>
  <c r="S15" i="17"/>
  <c r="R15" i="17"/>
  <c r="Q15" i="17"/>
  <c r="P15" i="17"/>
  <c r="O15" i="17"/>
  <c r="L15" i="17"/>
  <c r="K15" i="17"/>
  <c r="J15" i="17"/>
  <c r="I15" i="17"/>
  <c r="H15" i="17"/>
  <c r="AZ14" i="17"/>
  <c r="AH133" i="17" s="1"/>
  <c r="AR14" i="17"/>
  <c r="AQ14" i="17"/>
  <c r="AP14" i="17"/>
  <c r="AO14" i="17"/>
  <c r="AN14" i="17"/>
  <c r="AM14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L14" i="17"/>
  <c r="K14" i="17"/>
  <c r="J14" i="17"/>
  <c r="I14" i="17"/>
  <c r="H14" i="17"/>
  <c r="BT2" i="17"/>
  <c r="AK158" i="33"/>
  <c r="AR156" i="33"/>
  <c r="BI152" i="33"/>
  <c r="BG152" i="33"/>
  <c r="BC152" i="33"/>
  <c r="BA152" i="33"/>
  <c r="AW152" i="33"/>
  <c r="AU152" i="33"/>
  <c r="AQ152" i="33"/>
  <c r="AO152" i="33"/>
  <c r="AK152" i="33"/>
  <c r="AI152" i="33"/>
  <c r="BI151" i="33"/>
  <c r="BF151" i="33"/>
  <c r="BC151" i="33"/>
  <c r="AZ151" i="33"/>
  <c r="AW151" i="33"/>
  <c r="AT151" i="33"/>
  <c r="AQ151" i="33"/>
  <c r="AN151" i="33"/>
  <c r="AK151" i="33"/>
  <c r="AH151" i="33"/>
  <c r="BJ150" i="33"/>
  <c r="BI150" i="33"/>
  <c r="BH150" i="33"/>
  <c r="BG150" i="33"/>
  <c r="BF150" i="33"/>
  <c r="BD150" i="33"/>
  <c r="BC150" i="33"/>
  <c r="BB150" i="33"/>
  <c r="BA150" i="33"/>
  <c r="AZ150" i="33"/>
  <c r="AX150" i="33"/>
  <c r="AW150" i="33"/>
  <c r="AV150" i="33"/>
  <c r="AU150" i="33"/>
  <c r="AT150" i="33"/>
  <c r="AR150" i="33"/>
  <c r="AQ150" i="33"/>
  <c r="AP150" i="33"/>
  <c r="AO150" i="33"/>
  <c r="AN150" i="33"/>
  <c r="AL150" i="33"/>
  <c r="AK150" i="33"/>
  <c r="AJ150" i="33"/>
  <c r="AI150" i="33"/>
  <c r="AH150" i="33"/>
  <c r="BJ149" i="33"/>
  <c r="BI149" i="33"/>
  <c r="BH149" i="33"/>
  <c r="BG149" i="33"/>
  <c r="BF149" i="33"/>
  <c r="BD149" i="33"/>
  <c r="BC149" i="33"/>
  <c r="BB149" i="33"/>
  <c r="BA149" i="33"/>
  <c r="AZ149" i="33"/>
  <c r="AX149" i="33"/>
  <c r="AW149" i="33"/>
  <c r="AV149" i="33"/>
  <c r="AU149" i="33"/>
  <c r="AT149" i="33"/>
  <c r="AR149" i="33"/>
  <c r="AQ149" i="33"/>
  <c r="AP149" i="33"/>
  <c r="AO149" i="33"/>
  <c r="AN149" i="33"/>
  <c r="AL149" i="33"/>
  <c r="AK149" i="33"/>
  <c r="AJ149" i="33"/>
  <c r="AI149" i="33"/>
  <c r="AH149" i="33"/>
  <c r="AD149" i="33"/>
  <c r="AU158" i="33" s="1"/>
  <c r="BJ148" i="33"/>
  <c r="BI148" i="33"/>
  <c r="BH148" i="33"/>
  <c r="BG148" i="33"/>
  <c r="BF148" i="33"/>
  <c r="BD148" i="33"/>
  <c r="BC148" i="33"/>
  <c r="BB148" i="33"/>
  <c r="BA148" i="33"/>
  <c r="AZ148" i="33"/>
  <c r="AX148" i="33"/>
  <c r="AW148" i="33"/>
  <c r="AV148" i="33"/>
  <c r="AU148" i="33"/>
  <c r="AT148" i="33"/>
  <c r="AR148" i="33"/>
  <c r="AQ148" i="33"/>
  <c r="AP148" i="33"/>
  <c r="AO148" i="33"/>
  <c r="AN148" i="33"/>
  <c r="AL148" i="33"/>
  <c r="AK148" i="33"/>
  <c r="AJ148" i="33"/>
  <c r="AI148" i="33"/>
  <c r="AH148" i="33"/>
  <c r="BJ147" i="33"/>
  <c r="BI147" i="33"/>
  <c r="BH147" i="33"/>
  <c r="BG147" i="33"/>
  <c r="BF147" i="33"/>
  <c r="BD147" i="33"/>
  <c r="BC147" i="33"/>
  <c r="BB147" i="33"/>
  <c r="BA147" i="33"/>
  <c r="AZ147" i="33"/>
  <c r="AX147" i="33"/>
  <c r="AW147" i="33"/>
  <c r="AV147" i="33"/>
  <c r="AU147" i="33"/>
  <c r="AT147" i="33"/>
  <c r="AR147" i="33"/>
  <c r="AQ147" i="33"/>
  <c r="AP147" i="33"/>
  <c r="AO147" i="33"/>
  <c r="AN147" i="33"/>
  <c r="AL147" i="33"/>
  <c r="AK147" i="33"/>
  <c r="AJ147" i="33"/>
  <c r="AI147" i="33"/>
  <c r="AH147" i="33"/>
  <c r="BJ146" i="33"/>
  <c r="BI146" i="33"/>
  <c r="BH146" i="33"/>
  <c r="BG146" i="33"/>
  <c r="BF146" i="33"/>
  <c r="BD146" i="33"/>
  <c r="BC146" i="33"/>
  <c r="BB146" i="33"/>
  <c r="BA146" i="33"/>
  <c r="AZ146" i="33"/>
  <c r="AX146" i="33"/>
  <c r="AW146" i="33"/>
  <c r="AV146" i="33"/>
  <c r="AU146" i="33"/>
  <c r="AT146" i="33"/>
  <c r="AR146" i="33"/>
  <c r="AQ146" i="33"/>
  <c r="AP146" i="33"/>
  <c r="AO146" i="33"/>
  <c r="AN146" i="33"/>
  <c r="AL146" i="33"/>
  <c r="AK146" i="33"/>
  <c r="AJ146" i="33"/>
  <c r="AI146" i="33"/>
  <c r="AH146" i="33"/>
  <c r="BJ145" i="33"/>
  <c r="BI145" i="33"/>
  <c r="BH145" i="33"/>
  <c r="BG145" i="33"/>
  <c r="BF145" i="33"/>
  <c r="BD145" i="33"/>
  <c r="BC145" i="33"/>
  <c r="BB145" i="33"/>
  <c r="BA145" i="33"/>
  <c r="AZ145" i="33"/>
  <c r="AX145" i="33"/>
  <c r="AW145" i="33"/>
  <c r="AV145" i="33"/>
  <c r="AU145" i="33"/>
  <c r="AU151" i="33" s="1"/>
  <c r="AT145" i="33"/>
  <c r="AR145" i="33"/>
  <c r="AQ145" i="33"/>
  <c r="AP145" i="33"/>
  <c r="AO145" i="33"/>
  <c r="AN145" i="33"/>
  <c r="AL145" i="33"/>
  <c r="AK145" i="33"/>
  <c r="AJ145" i="33"/>
  <c r="AI145" i="33"/>
  <c r="AH145" i="33"/>
  <c r="BJ144" i="33"/>
  <c r="BI144" i="33"/>
  <c r="BH144" i="33"/>
  <c r="BG144" i="33"/>
  <c r="BF144" i="33"/>
  <c r="BD144" i="33"/>
  <c r="BC144" i="33"/>
  <c r="BB144" i="33"/>
  <c r="BA144" i="33"/>
  <c r="AZ144" i="33"/>
  <c r="AX144" i="33"/>
  <c r="AW144" i="33"/>
  <c r="AV144" i="33"/>
  <c r="AU144" i="33"/>
  <c r="AT144" i="33"/>
  <c r="AR144" i="33"/>
  <c r="AQ144" i="33"/>
  <c r="AP144" i="33"/>
  <c r="AO144" i="33"/>
  <c r="AN144" i="33"/>
  <c r="AL144" i="33"/>
  <c r="AK144" i="33"/>
  <c r="AJ144" i="33"/>
  <c r="AI144" i="33"/>
  <c r="AH144" i="33"/>
  <c r="BJ143" i="33"/>
  <c r="BI143" i="33"/>
  <c r="BH143" i="33"/>
  <c r="BG143" i="33"/>
  <c r="BF143" i="33"/>
  <c r="BD143" i="33"/>
  <c r="BC143" i="33"/>
  <c r="BB143" i="33"/>
  <c r="BA143" i="33"/>
  <c r="AZ143" i="33"/>
  <c r="AX143" i="33"/>
  <c r="AW143" i="33"/>
  <c r="AV143" i="33"/>
  <c r="AU143" i="33"/>
  <c r="AT143" i="33"/>
  <c r="AR143" i="33"/>
  <c r="AQ143" i="33"/>
  <c r="AP143" i="33"/>
  <c r="AO143" i="33"/>
  <c r="AN143" i="33"/>
  <c r="AL143" i="33"/>
  <c r="AK143" i="33"/>
  <c r="AJ143" i="33"/>
  <c r="AI143" i="33"/>
  <c r="AH143" i="33"/>
  <c r="BJ142" i="33"/>
  <c r="BI142" i="33"/>
  <c r="BH142" i="33"/>
  <c r="BG142" i="33"/>
  <c r="BF142" i="33"/>
  <c r="BD142" i="33"/>
  <c r="BC142" i="33"/>
  <c r="BB142" i="33"/>
  <c r="BA142" i="33"/>
  <c r="AZ142" i="33"/>
  <c r="AX142" i="33"/>
  <c r="AW142" i="33"/>
  <c r="AV142" i="33"/>
  <c r="AU142" i="33"/>
  <c r="AT142" i="33"/>
  <c r="AR142" i="33"/>
  <c r="AQ142" i="33"/>
  <c r="AP142" i="33"/>
  <c r="AO142" i="33"/>
  <c r="AN142" i="33"/>
  <c r="AL142" i="33"/>
  <c r="AK142" i="33"/>
  <c r="AJ142" i="33"/>
  <c r="AI142" i="33"/>
  <c r="AH142" i="33"/>
  <c r="BJ141" i="33"/>
  <c r="BI141" i="33"/>
  <c r="BH141" i="33"/>
  <c r="BG141" i="33"/>
  <c r="BF141" i="33"/>
  <c r="BD141" i="33"/>
  <c r="BC141" i="33"/>
  <c r="BB141" i="33"/>
  <c r="BA141" i="33"/>
  <c r="AZ141" i="33"/>
  <c r="AX141" i="33"/>
  <c r="AW141" i="33"/>
  <c r="AV141" i="33"/>
  <c r="AU141" i="33"/>
  <c r="AT141" i="33"/>
  <c r="AR141" i="33"/>
  <c r="AQ141" i="33"/>
  <c r="AP141" i="33"/>
  <c r="AO141" i="33"/>
  <c r="AO151" i="33" s="1"/>
  <c r="AN141" i="33"/>
  <c r="AL141" i="33"/>
  <c r="AK141" i="33"/>
  <c r="AJ141" i="33"/>
  <c r="AI141" i="33"/>
  <c r="AH141" i="33"/>
  <c r="K141" i="33"/>
  <c r="BF139" i="33"/>
  <c r="AZ139" i="33"/>
  <c r="AT139" i="33"/>
  <c r="AO139" i="33"/>
  <c r="AN139" i="33"/>
  <c r="AH139" i="33"/>
  <c r="BF138" i="33"/>
  <c r="AZ138" i="33"/>
  <c r="AT138" i="33"/>
  <c r="AO138" i="33"/>
  <c r="AN138" i="33"/>
  <c r="AH138" i="33"/>
  <c r="BH137" i="33"/>
  <c r="BB137" i="33"/>
  <c r="AV137" i="33"/>
  <c r="AP137" i="33"/>
  <c r="AJ137" i="33"/>
  <c r="AE133" i="33"/>
  <c r="BI131" i="33"/>
  <c r="BG131" i="33"/>
  <c r="BC131" i="33"/>
  <c r="BA131" i="33"/>
  <c r="AW131" i="33"/>
  <c r="AU131" i="33"/>
  <c r="AQ131" i="33"/>
  <c r="AO131" i="33"/>
  <c r="AK131" i="33"/>
  <c r="AI131" i="33"/>
  <c r="BI130" i="33"/>
  <c r="BF130" i="33"/>
  <c r="BC130" i="33"/>
  <c r="AZ130" i="33"/>
  <c r="AW130" i="33"/>
  <c r="AT130" i="33"/>
  <c r="AQ130" i="33"/>
  <c r="AN130" i="33"/>
  <c r="AH130" i="33"/>
  <c r="BJ129" i="33"/>
  <c r="BI129" i="33"/>
  <c r="BH129" i="33"/>
  <c r="BG129" i="33"/>
  <c r="BF129" i="33"/>
  <c r="BD129" i="33"/>
  <c r="BC129" i="33"/>
  <c r="BB129" i="33"/>
  <c r="BA129" i="33"/>
  <c r="AZ129" i="33"/>
  <c r="AX129" i="33"/>
  <c r="AW129" i="33"/>
  <c r="AV129" i="33"/>
  <c r="AU129" i="33"/>
  <c r="AT129" i="33"/>
  <c r="AR129" i="33"/>
  <c r="AQ129" i="33"/>
  <c r="AP129" i="33"/>
  <c r="AO129" i="33"/>
  <c r="AN129" i="33"/>
  <c r="AL129" i="33"/>
  <c r="AK129" i="33"/>
  <c r="AJ129" i="33"/>
  <c r="AI129" i="33"/>
  <c r="AH129" i="33"/>
  <c r="BJ128" i="33"/>
  <c r="BI128" i="33"/>
  <c r="BH128" i="33"/>
  <c r="BG128" i="33"/>
  <c r="BF128" i="33"/>
  <c r="BD128" i="33"/>
  <c r="BC128" i="33"/>
  <c r="BB128" i="33"/>
  <c r="BA128" i="33"/>
  <c r="AZ128" i="33"/>
  <c r="AX128" i="33"/>
  <c r="AW128" i="33"/>
  <c r="AV128" i="33"/>
  <c r="AU128" i="33"/>
  <c r="AT128" i="33"/>
  <c r="AR128" i="33"/>
  <c r="AQ128" i="33"/>
  <c r="AP128" i="33"/>
  <c r="AO128" i="33"/>
  <c r="AN128" i="33"/>
  <c r="AL128" i="33"/>
  <c r="AK128" i="33"/>
  <c r="AJ128" i="33"/>
  <c r="AI128" i="33"/>
  <c r="AH128" i="33"/>
  <c r="BJ127" i="33"/>
  <c r="BI127" i="33"/>
  <c r="BH127" i="33"/>
  <c r="BG127" i="33"/>
  <c r="BF127" i="33"/>
  <c r="BD127" i="33"/>
  <c r="BC127" i="33"/>
  <c r="BB127" i="33"/>
  <c r="BA130" i="33" s="1"/>
  <c r="BA127" i="33"/>
  <c r="AZ127" i="33"/>
  <c r="AX127" i="33"/>
  <c r="AW127" i="33"/>
  <c r="AV127" i="33"/>
  <c r="AU127" i="33"/>
  <c r="AT127" i="33"/>
  <c r="AR127" i="33"/>
  <c r="AQ127" i="33"/>
  <c r="AP127" i="33"/>
  <c r="AO127" i="33"/>
  <c r="AN127" i="33"/>
  <c r="AL127" i="33"/>
  <c r="AK127" i="33"/>
  <c r="AJ127" i="33"/>
  <c r="AI127" i="33"/>
  <c r="AH127" i="33"/>
  <c r="BJ126" i="33"/>
  <c r="BI126" i="33"/>
  <c r="BH126" i="33"/>
  <c r="BG126" i="33"/>
  <c r="BF126" i="33"/>
  <c r="BD126" i="33"/>
  <c r="BC126" i="33"/>
  <c r="BB126" i="33"/>
  <c r="BA126" i="33"/>
  <c r="AZ126" i="33"/>
  <c r="AX126" i="33"/>
  <c r="AW126" i="33"/>
  <c r="AV126" i="33"/>
  <c r="AU126" i="33"/>
  <c r="AT126" i="33"/>
  <c r="AR126" i="33"/>
  <c r="AQ126" i="33"/>
  <c r="AP126" i="33"/>
  <c r="AO126" i="33"/>
  <c r="AN126" i="33"/>
  <c r="AL126" i="33"/>
  <c r="AK126" i="33"/>
  <c r="AJ126" i="33"/>
  <c r="AI126" i="33"/>
  <c r="AH126" i="33"/>
  <c r="BJ125" i="33"/>
  <c r="BI125" i="33"/>
  <c r="BH125" i="33"/>
  <c r="BG125" i="33"/>
  <c r="BF125" i="33"/>
  <c r="BD125" i="33"/>
  <c r="BC125" i="33"/>
  <c r="BB125" i="33"/>
  <c r="BA125" i="33"/>
  <c r="AZ125" i="33"/>
  <c r="AX125" i="33"/>
  <c r="AW125" i="33"/>
  <c r="AV125" i="33"/>
  <c r="AU125" i="33"/>
  <c r="AT125" i="33"/>
  <c r="AR125" i="33"/>
  <c r="AQ125" i="33"/>
  <c r="AP125" i="33"/>
  <c r="AO125" i="33"/>
  <c r="AN125" i="33"/>
  <c r="AL125" i="33"/>
  <c r="AK125" i="33"/>
  <c r="AJ125" i="33"/>
  <c r="AI125" i="33"/>
  <c r="AH125" i="33"/>
  <c r="BJ124" i="33"/>
  <c r="BI124" i="33"/>
  <c r="BH124" i="33"/>
  <c r="BG124" i="33"/>
  <c r="BF124" i="33"/>
  <c r="BD124" i="33"/>
  <c r="BC124" i="33"/>
  <c r="BB124" i="33"/>
  <c r="BA124" i="33"/>
  <c r="AZ124" i="33"/>
  <c r="AX124" i="33"/>
  <c r="AW124" i="33"/>
  <c r="AV124" i="33"/>
  <c r="AU124" i="33"/>
  <c r="AT124" i="33"/>
  <c r="AR124" i="33"/>
  <c r="AQ124" i="33"/>
  <c r="AP124" i="33"/>
  <c r="AO124" i="33"/>
  <c r="AN124" i="33"/>
  <c r="AL124" i="33"/>
  <c r="AK124" i="33"/>
  <c r="AJ124" i="33"/>
  <c r="AI124" i="33"/>
  <c r="AH124" i="33"/>
  <c r="AB124" i="33"/>
  <c r="BJ123" i="33"/>
  <c r="BI123" i="33"/>
  <c r="BH123" i="33"/>
  <c r="BG123" i="33"/>
  <c r="BF123" i="33"/>
  <c r="BD123" i="33"/>
  <c r="BC123" i="33"/>
  <c r="BB123" i="33"/>
  <c r="BA123" i="33"/>
  <c r="AZ123" i="33"/>
  <c r="AX123" i="33"/>
  <c r="AW123" i="33"/>
  <c r="AV123" i="33"/>
  <c r="AU123" i="33"/>
  <c r="AT123" i="33"/>
  <c r="AR123" i="33"/>
  <c r="AQ123" i="33"/>
  <c r="AP123" i="33"/>
  <c r="AO123" i="33"/>
  <c r="AN123" i="33"/>
  <c r="AL123" i="33"/>
  <c r="AK123" i="33"/>
  <c r="AJ123" i="33"/>
  <c r="AI123" i="33"/>
  <c r="AH123" i="33"/>
  <c r="BJ122" i="33"/>
  <c r="BI122" i="33"/>
  <c r="BH122" i="33"/>
  <c r="BG122" i="33"/>
  <c r="BF122" i="33"/>
  <c r="BD122" i="33"/>
  <c r="BC122" i="33"/>
  <c r="BB122" i="33"/>
  <c r="BA122" i="33"/>
  <c r="AZ122" i="33"/>
  <c r="AX122" i="33"/>
  <c r="AW122" i="33"/>
  <c r="AV122" i="33"/>
  <c r="AU122" i="33"/>
  <c r="AT122" i="33"/>
  <c r="AR122" i="33"/>
  <c r="AQ122" i="33"/>
  <c r="AP122" i="33"/>
  <c r="AO122" i="33"/>
  <c r="AN122" i="33"/>
  <c r="AL122" i="33"/>
  <c r="AK122" i="33"/>
  <c r="AJ122" i="33"/>
  <c r="AI130" i="33" s="1"/>
  <c r="AI122" i="33"/>
  <c r="AH122" i="33"/>
  <c r="BJ121" i="33"/>
  <c r="BI121" i="33"/>
  <c r="BH121" i="33"/>
  <c r="BG121" i="33"/>
  <c r="BF121" i="33"/>
  <c r="BD121" i="33"/>
  <c r="BC121" i="33"/>
  <c r="BB121" i="33"/>
  <c r="BA121" i="33"/>
  <c r="AZ121" i="33"/>
  <c r="AX121" i="33"/>
  <c r="AW121" i="33"/>
  <c r="AV121" i="33"/>
  <c r="AU121" i="33"/>
  <c r="AT121" i="33"/>
  <c r="AR121" i="33"/>
  <c r="AQ121" i="33"/>
  <c r="AP121" i="33"/>
  <c r="AO121" i="33"/>
  <c r="AN121" i="33"/>
  <c r="AL121" i="33"/>
  <c r="AK121" i="33"/>
  <c r="AJ121" i="33"/>
  <c r="AI121" i="33"/>
  <c r="AH121" i="33"/>
  <c r="BJ120" i="33"/>
  <c r="BI120" i="33"/>
  <c r="BH120" i="33"/>
  <c r="BG120" i="33"/>
  <c r="BG130" i="33" s="1"/>
  <c r="BF120" i="33"/>
  <c r="BD120" i="33"/>
  <c r="BC120" i="33"/>
  <c r="BB120" i="33"/>
  <c r="BA120" i="33"/>
  <c r="AZ120" i="33"/>
  <c r="AX120" i="33"/>
  <c r="AW120" i="33"/>
  <c r="AV120" i="33"/>
  <c r="AU120" i="33"/>
  <c r="AT120" i="33"/>
  <c r="AR120" i="33"/>
  <c r="AQ120" i="33"/>
  <c r="AP120" i="33"/>
  <c r="AO120" i="33"/>
  <c r="AN120" i="33"/>
  <c r="AL120" i="33"/>
  <c r="AK120" i="33"/>
  <c r="AJ120" i="33"/>
  <c r="AI120" i="33"/>
  <c r="AH120" i="33"/>
  <c r="BF118" i="33"/>
  <c r="AZ118" i="33"/>
  <c r="AT118" i="33"/>
  <c r="AN118" i="33"/>
  <c r="AH118" i="33"/>
  <c r="BF117" i="33"/>
  <c r="AZ117" i="33"/>
  <c r="AT117" i="33"/>
  <c r="AN117" i="33"/>
  <c r="AH117" i="33"/>
  <c r="BH116" i="33"/>
  <c r="BB116" i="33"/>
  <c r="AV116" i="33"/>
  <c r="AP116" i="33"/>
  <c r="AJ116" i="33"/>
  <c r="L113" i="33"/>
  <c r="K113" i="33"/>
  <c r="J113" i="33"/>
  <c r="I113" i="33"/>
  <c r="H113" i="33"/>
  <c r="L112" i="33"/>
  <c r="K112" i="33"/>
  <c r="J112" i="33"/>
  <c r="I112" i="33"/>
  <c r="H112" i="33"/>
  <c r="L111" i="33"/>
  <c r="K111" i="33"/>
  <c r="J111" i="33"/>
  <c r="I111" i="33"/>
  <c r="H111" i="33"/>
  <c r="L110" i="33"/>
  <c r="K110" i="33"/>
  <c r="J110" i="33"/>
  <c r="I110" i="33"/>
  <c r="H110" i="33"/>
  <c r="L109" i="33"/>
  <c r="K109" i="33"/>
  <c r="J109" i="33"/>
  <c r="I109" i="33"/>
  <c r="H109" i="33"/>
  <c r="L108" i="33"/>
  <c r="K108" i="33"/>
  <c r="J108" i="33"/>
  <c r="I108" i="33"/>
  <c r="H108" i="33"/>
  <c r="L107" i="33"/>
  <c r="K107" i="33"/>
  <c r="J107" i="33"/>
  <c r="I107" i="33"/>
  <c r="H107" i="33"/>
  <c r="L106" i="33"/>
  <c r="K106" i="33"/>
  <c r="J106" i="33"/>
  <c r="I106" i="33"/>
  <c r="H106" i="33"/>
  <c r="L105" i="33"/>
  <c r="K105" i="33"/>
  <c r="J105" i="33"/>
  <c r="I105" i="33"/>
  <c r="H105" i="33"/>
  <c r="L104" i="33"/>
  <c r="K104" i="33"/>
  <c r="J104" i="33"/>
  <c r="I104" i="33"/>
  <c r="H104" i="33"/>
  <c r="L103" i="33"/>
  <c r="K103" i="33"/>
  <c r="J103" i="33"/>
  <c r="I103" i="33"/>
  <c r="H103" i="33"/>
  <c r="L102" i="33"/>
  <c r="K102" i="33"/>
  <c r="J102" i="33"/>
  <c r="I102" i="33"/>
  <c r="H102" i="33"/>
  <c r="L101" i="33"/>
  <c r="K101" i="33"/>
  <c r="J101" i="33"/>
  <c r="I101" i="33"/>
  <c r="H101" i="33"/>
  <c r="L100" i="33"/>
  <c r="K100" i="33"/>
  <c r="J100" i="33"/>
  <c r="I100" i="33"/>
  <c r="H100" i="33"/>
  <c r="L99" i="33"/>
  <c r="K99" i="33"/>
  <c r="J99" i="33"/>
  <c r="I99" i="33"/>
  <c r="H99" i="33"/>
  <c r="L98" i="33"/>
  <c r="K98" i="33"/>
  <c r="J98" i="33"/>
  <c r="I98" i="33"/>
  <c r="H98" i="33"/>
  <c r="L97" i="33"/>
  <c r="K97" i="33"/>
  <c r="J97" i="33"/>
  <c r="I97" i="33"/>
  <c r="H97" i="33"/>
  <c r="L96" i="33"/>
  <c r="K96" i="33"/>
  <c r="J96" i="33"/>
  <c r="I96" i="33"/>
  <c r="H96" i="33"/>
  <c r="L95" i="33"/>
  <c r="K95" i="33"/>
  <c r="J95" i="33"/>
  <c r="I95" i="33"/>
  <c r="H95" i="33"/>
  <c r="L94" i="33"/>
  <c r="K94" i="33"/>
  <c r="J94" i="33"/>
  <c r="I94" i="33"/>
  <c r="H94" i="33"/>
  <c r="L93" i="33"/>
  <c r="K93" i="33"/>
  <c r="J93" i="33"/>
  <c r="I93" i="33"/>
  <c r="H93" i="33"/>
  <c r="L92" i="33"/>
  <c r="K92" i="33"/>
  <c r="J92" i="33"/>
  <c r="I92" i="33"/>
  <c r="H92" i="33"/>
  <c r="L91" i="33"/>
  <c r="K91" i="33"/>
  <c r="J91" i="33"/>
  <c r="I91" i="33"/>
  <c r="H91" i="33"/>
  <c r="L90" i="33"/>
  <c r="K90" i="33"/>
  <c r="J90" i="33"/>
  <c r="I90" i="33"/>
  <c r="H90" i="33"/>
  <c r="L89" i="33"/>
  <c r="K89" i="33"/>
  <c r="J89" i="33"/>
  <c r="I89" i="33"/>
  <c r="H89" i="33"/>
  <c r="L88" i="33"/>
  <c r="K88" i="33"/>
  <c r="J88" i="33"/>
  <c r="I88" i="33"/>
  <c r="H88" i="33"/>
  <c r="L87" i="33"/>
  <c r="K87" i="33"/>
  <c r="J87" i="33"/>
  <c r="I87" i="33"/>
  <c r="H87" i="33"/>
  <c r="L86" i="33"/>
  <c r="K86" i="33"/>
  <c r="J86" i="33"/>
  <c r="I86" i="33"/>
  <c r="H86" i="33"/>
  <c r="L85" i="33"/>
  <c r="K85" i="33"/>
  <c r="J85" i="33"/>
  <c r="I85" i="33"/>
  <c r="H85" i="33"/>
  <c r="L84" i="33"/>
  <c r="K84" i="33"/>
  <c r="J84" i="33"/>
  <c r="I84" i="33"/>
  <c r="H84" i="33"/>
  <c r="L83" i="33"/>
  <c r="K83" i="33"/>
  <c r="J83" i="33"/>
  <c r="I83" i="33"/>
  <c r="H83" i="33"/>
  <c r="L82" i="33"/>
  <c r="K82" i="33"/>
  <c r="J82" i="33"/>
  <c r="I82" i="33"/>
  <c r="H82" i="33"/>
  <c r="L81" i="33"/>
  <c r="K81" i="33"/>
  <c r="J81" i="33"/>
  <c r="I81" i="33"/>
  <c r="H81" i="33"/>
  <c r="L80" i="33"/>
  <c r="K80" i="33"/>
  <c r="J80" i="33"/>
  <c r="I80" i="33"/>
  <c r="H80" i="33"/>
  <c r="L79" i="33"/>
  <c r="K79" i="33"/>
  <c r="J79" i="33"/>
  <c r="I79" i="33"/>
  <c r="H79" i="33"/>
  <c r="L78" i="33"/>
  <c r="K78" i="33"/>
  <c r="J78" i="33"/>
  <c r="I78" i="33"/>
  <c r="H78" i="33"/>
  <c r="L77" i="33"/>
  <c r="K77" i="33"/>
  <c r="J77" i="33"/>
  <c r="I77" i="33"/>
  <c r="H77" i="33"/>
  <c r="L76" i="33"/>
  <c r="K76" i="33"/>
  <c r="J76" i="33"/>
  <c r="I76" i="33"/>
  <c r="H76" i="33"/>
  <c r="L75" i="33"/>
  <c r="K75" i="33"/>
  <c r="J75" i="33"/>
  <c r="I75" i="33"/>
  <c r="H75" i="33"/>
  <c r="L74" i="33"/>
  <c r="K74" i="33"/>
  <c r="J74" i="33"/>
  <c r="I74" i="33"/>
  <c r="H74" i="33"/>
  <c r="L73" i="33"/>
  <c r="K73" i="33"/>
  <c r="J73" i="33"/>
  <c r="I73" i="33"/>
  <c r="H73" i="33"/>
  <c r="L72" i="33"/>
  <c r="K72" i="33"/>
  <c r="J72" i="33"/>
  <c r="I72" i="33"/>
  <c r="H72" i="33"/>
  <c r="L71" i="33"/>
  <c r="K71" i="33"/>
  <c r="J71" i="33"/>
  <c r="I71" i="33"/>
  <c r="H71" i="33"/>
  <c r="L70" i="33"/>
  <c r="K70" i="33"/>
  <c r="J70" i="33"/>
  <c r="I70" i="33"/>
  <c r="H70" i="33"/>
  <c r="L69" i="33"/>
  <c r="K69" i="33"/>
  <c r="J69" i="33"/>
  <c r="I69" i="33"/>
  <c r="H69" i="33"/>
  <c r="L68" i="33"/>
  <c r="K68" i="33"/>
  <c r="J68" i="33"/>
  <c r="I68" i="33"/>
  <c r="H68" i="33"/>
  <c r="L67" i="33"/>
  <c r="K67" i="33"/>
  <c r="J67" i="33"/>
  <c r="I67" i="33"/>
  <c r="H67" i="33"/>
  <c r="L66" i="33"/>
  <c r="K66" i="33"/>
  <c r="J66" i="33"/>
  <c r="I66" i="33"/>
  <c r="H66" i="33"/>
  <c r="L65" i="33"/>
  <c r="K65" i="33"/>
  <c r="J65" i="33"/>
  <c r="I65" i="33"/>
  <c r="H65" i="33"/>
  <c r="L64" i="33"/>
  <c r="K64" i="33"/>
  <c r="J64" i="33"/>
  <c r="I64" i="33"/>
  <c r="H64" i="33"/>
  <c r="L63" i="33"/>
  <c r="K63" i="33"/>
  <c r="J63" i="33"/>
  <c r="I63" i="33"/>
  <c r="H63" i="33"/>
  <c r="L62" i="33"/>
  <c r="K62" i="33"/>
  <c r="J62" i="33"/>
  <c r="I62" i="33"/>
  <c r="H62" i="33"/>
  <c r="L61" i="33"/>
  <c r="K61" i="33"/>
  <c r="J61" i="33"/>
  <c r="I61" i="33"/>
  <c r="H61" i="33"/>
  <c r="L60" i="33"/>
  <c r="K60" i="33"/>
  <c r="J60" i="33"/>
  <c r="I60" i="33"/>
  <c r="H60" i="33"/>
  <c r="L59" i="33"/>
  <c r="K59" i="33"/>
  <c r="J59" i="33"/>
  <c r="I59" i="33"/>
  <c r="H59" i="33"/>
  <c r="L58" i="33"/>
  <c r="K58" i="33"/>
  <c r="J58" i="33"/>
  <c r="I58" i="33"/>
  <c r="H58" i="33"/>
  <c r="L57" i="33"/>
  <c r="K57" i="33"/>
  <c r="J57" i="33"/>
  <c r="I57" i="33"/>
  <c r="H57" i="33"/>
  <c r="L56" i="33"/>
  <c r="K56" i="33"/>
  <c r="J56" i="33"/>
  <c r="I56" i="33"/>
  <c r="H56" i="33"/>
  <c r="L55" i="33"/>
  <c r="K55" i="33"/>
  <c r="J55" i="33"/>
  <c r="I55" i="33"/>
  <c r="H55" i="33"/>
  <c r="L54" i="33"/>
  <c r="K54" i="33"/>
  <c r="J54" i="33"/>
  <c r="I54" i="33"/>
  <c r="H54" i="33"/>
  <c r="L53" i="33"/>
  <c r="K53" i="33"/>
  <c r="J53" i="33"/>
  <c r="I53" i="33"/>
  <c r="H53" i="33"/>
  <c r="L52" i="33"/>
  <c r="K52" i="33"/>
  <c r="J52" i="33"/>
  <c r="I52" i="33"/>
  <c r="H52" i="33"/>
  <c r="L51" i="33"/>
  <c r="K51" i="33"/>
  <c r="J51" i="33"/>
  <c r="I51" i="33"/>
  <c r="H51" i="33"/>
  <c r="L50" i="33"/>
  <c r="K50" i="33"/>
  <c r="J50" i="33"/>
  <c r="I50" i="33"/>
  <c r="H50" i="33"/>
  <c r="L49" i="33"/>
  <c r="K49" i="33"/>
  <c r="J49" i="33"/>
  <c r="I49" i="33"/>
  <c r="H49" i="33"/>
  <c r="L48" i="33"/>
  <c r="K48" i="33"/>
  <c r="J48" i="33"/>
  <c r="I48" i="33"/>
  <c r="H48" i="33"/>
  <c r="L47" i="33"/>
  <c r="K47" i="33"/>
  <c r="J47" i="33"/>
  <c r="I47" i="33"/>
  <c r="H47" i="33"/>
  <c r="L46" i="33"/>
  <c r="K46" i="33"/>
  <c r="J46" i="33"/>
  <c r="I46" i="33"/>
  <c r="H46" i="33"/>
  <c r="L45" i="33"/>
  <c r="K45" i="33"/>
  <c r="J45" i="33"/>
  <c r="I45" i="33"/>
  <c r="H45" i="33"/>
  <c r="L44" i="33"/>
  <c r="K44" i="33"/>
  <c r="J44" i="33"/>
  <c r="I44" i="33"/>
  <c r="H44" i="33"/>
  <c r="L43" i="33"/>
  <c r="K43" i="33"/>
  <c r="J43" i="33"/>
  <c r="I43" i="33"/>
  <c r="H43" i="33"/>
  <c r="L42" i="33"/>
  <c r="K42" i="33"/>
  <c r="J42" i="33"/>
  <c r="I42" i="33"/>
  <c r="H42" i="33"/>
  <c r="L41" i="33"/>
  <c r="K41" i="33"/>
  <c r="J41" i="33"/>
  <c r="I41" i="33"/>
  <c r="H41" i="33"/>
  <c r="L40" i="33"/>
  <c r="K40" i="33"/>
  <c r="J40" i="33"/>
  <c r="I40" i="33"/>
  <c r="H40" i="33"/>
  <c r="L39" i="33"/>
  <c r="K39" i="33"/>
  <c r="J39" i="33"/>
  <c r="I39" i="33"/>
  <c r="H39" i="33"/>
  <c r="L38" i="33"/>
  <c r="K38" i="33"/>
  <c r="J38" i="33"/>
  <c r="I38" i="33"/>
  <c r="H38" i="33"/>
  <c r="L37" i="33"/>
  <c r="K37" i="33"/>
  <c r="J37" i="33"/>
  <c r="I37" i="33"/>
  <c r="H37" i="33"/>
  <c r="L36" i="33"/>
  <c r="K36" i="33"/>
  <c r="J36" i="33"/>
  <c r="I36" i="33"/>
  <c r="H36" i="33"/>
  <c r="L35" i="33"/>
  <c r="K35" i="33"/>
  <c r="J35" i="33"/>
  <c r="I35" i="33"/>
  <c r="H35" i="33"/>
  <c r="L34" i="33"/>
  <c r="K34" i="33"/>
  <c r="J34" i="33"/>
  <c r="I34" i="33"/>
  <c r="H34" i="33"/>
  <c r="L33" i="33"/>
  <c r="K33" i="33"/>
  <c r="J33" i="33"/>
  <c r="I33" i="33"/>
  <c r="H33" i="33"/>
  <c r="L32" i="33"/>
  <c r="K32" i="33"/>
  <c r="J32" i="33"/>
  <c r="I32" i="33"/>
  <c r="H32" i="33"/>
  <c r="L31" i="33"/>
  <c r="K31" i="33"/>
  <c r="J31" i="33"/>
  <c r="I31" i="33"/>
  <c r="H31" i="33"/>
  <c r="L30" i="33"/>
  <c r="K30" i="33"/>
  <c r="J30" i="33"/>
  <c r="I30" i="33"/>
  <c r="H30" i="33"/>
  <c r="L29" i="33"/>
  <c r="K29" i="33"/>
  <c r="J29" i="33"/>
  <c r="I29" i="33"/>
  <c r="H29" i="33"/>
  <c r="L28" i="33"/>
  <c r="K28" i="33"/>
  <c r="J28" i="33"/>
  <c r="I28" i="33"/>
  <c r="H28" i="33"/>
  <c r="L27" i="33"/>
  <c r="K27" i="33"/>
  <c r="J27" i="33"/>
  <c r="I27" i="33"/>
  <c r="H27" i="33"/>
  <c r="L26" i="33"/>
  <c r="K26" i="33"/>
  <c r="J26" i="33"/>
  <c r="I26" i="33"/>
  <c r="H26" i="33"/>
  <c r="L25" i="33"/>
  <c r="K25" i="33"/>
  <c r="J25" i="33"/>
  <c r="I25" i="33"/>
  <c r="H25" i="33"/>
  <c r="L24" i="33"/>
  <c r="K24" i="33"/>
  <c r="J24" i="33"/>
  <c r="I24" i="33"/>
  <c r="H24" i="33"/>
  <c r="BD23" i="33"/>
  <c r="BJ154" i="33" s="1"/>
  <c r="AR23" i="33"/>
  <c r="AQ23" i="33"/>
  <c r="AP23" i="33"/>
  <c r="AO23" i="33"/>
  <c r="AN23" i="33"/>
  <c r="AM23" i="33"/>
  <c r="AL23" i="33"/>
  <c r="AK23" i="33"/>
  <c r="AJ23" i="33"/>
  <c r="AI23" i="33"/>
  <c r="AH23" i="33"/>
  <c r="AG23" i="33"/>
  <c r="AF23" i="33"/>
  <c r="AE23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L23" i="33"/>
  <c r="K23" i="33"/>
  <c r="J23" i="33"/>
  <c r="I23" i="33"/>
  <c r="H23" i="33"/>
  <c r="AY22" i="33"/>
  <c r="BD156" i="33" s="1"/>
  <c r="AR22" i="33"/>
  <c r="AQ22" i="33"/>
  <c r="AP22" i="33"/>
  <c r="AO22" i="33"/>
  <c r="AN22" i="33"/>
  <c r="AM22" i="33"/>
  <c r="AL22" i="33"/>
  <c r="AK22" i="33"/>
  <c r="AJ22" i="33"/>
  <c r="AI22" i="33"/>
  <c r="AH22" i="33"/>
  <c r="AG22" i="33"/>
  <c r="AF22" i="33"/>
  <c r="AE22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AX22" i="33" s="1"/>
  <c r="BC156" i="33" s="1"/>
  <c r="R22" i="33"/>
  <c r="Q22" i="33"/>
  <c r="P22" i="33"/>
  <c r="O22" i="33"/>
  <c r="L22" i="33"/>
  <c r="K22" i="33"/>
  <c r="J22" i="33"/>
  <c r="I22" i="33"/>
  <c r="H22" i="33"/>
  <c r="AR21" i="33"/>
  <c r="AQ21" i="33"/>
  <c r="AP21" i="33"/>
  <c r="AO21" i="33"/>
  <c r="AN21" i="33"/>
  <c r="AM21" i="33"/>
  <c r="AL21" i="33"/>
  <c r="AK21" i="33"/>
  <c r="AJ21" i="33"/>
  <c r="AI21" i="33"/>
  <c r="AH21" i="33"/>
  <c r="AG21" i="33"/>
  <c r="AF21" i="33"/>
  <c r="AE21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L21" i="33"/>
  <c r="K21" i="33"/>
  <c r="J21" i="33"/>
  <c r="I21" i="33"/>
  <c r="H21" i="33"/>
  <c r="BD20" i="33"/>
  <c r="AR154" i="33" s="1"/>
  <c r="AY20" i="33"/>
  <c r="AX20" i="33"/>
  <c r="AQ156" i="33" s="1"/>
  <c r="AW20" i="33"/>
  <c r="AP156" i="33" s="1"/>
  <c r="AR20" i="33"/>
  <c r="AQ20" i="33"/>
  <c r="AP20" i="33"/>
  <c r="AO20" i="33"/>
  <c r="AN20" i="33"/>
  <c r="AM20" i="33"/>
  <c r="AL20" i="33"/>
  <c r="AK20" i="33"/>
  <c r="AJ20" i="33"/>
  <c r="AI20" i="33"/>
  <c r="AH20" i="33"/>
  <c r="AG20" i="33"/>
  <c r="AF20" i="33"/>
  <c r="AE20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AV20" i="33" s="1"/>
  <c r="AO156" i="33" s="1"/>
  <c r="R20" i="33"/>
  <c r="Q20" i="33"/>
  <c r="P20" i="33"/>
  <c r="O20" i="33"/>
  <c r="L20" i="33"/>
  <c r="K20" i="33"/>
  <c r="J20" i="33"/>
  <c r="I20" i="33"/>
  <c r="H20" i="33"/>
  <c r="AR19" i="33"/>
  <c r="AQ19" i="33"/>
  <c r="AP19" i="33"/>
  <c r="AO19" i="33"/>
  <c r="AN19" i="33"/>
  <c r="AM19" i="33"/>
  <c r="AL19" i="33"/>
  <c r="AK19" i="33"/>
  <c r="AJ19" i="33"/>
  <c r="AI19" i="33"/>
  <c r="AH19" i="33"/>
  <c r="AG19" i="33"/>
  <c r="AF19" i="33"/>
  <c r="AE19" i="33"/>
  <c r="AD19" i="33"/>
  <c r="AC19" i="33"/>
  <c r="AB19" i="33"/>
  <c r="AA19" i="33"/>
  <c r="Z19" i="33"/>
  <c r="Y19" i="33"/>
  <c r="X19" i="33"/>
  <c r="W19" i="33"/>
  <c r="V19" i="33"/>
  <c r="AV19" i="33" s="1"/>
  <c r="AI156" i="33" s="1"/>
  <c r="U19" i="33"/>
  <c r="T19" i="33"/>
  <c r="S19" i="33"/>
  <c r="R19" i="33"/>
  <c r="Q19" i="33"/>
  <c r="P19" i="33"/>
  <c r="O19" i="33"/>
  <c r="L19" i="33"/>
  <c r="K19" i="33"/>
  <c r="J19" i="33"/>
  <c r="I19" i="33"/>
  <c r="I136" i="33" s="1"/>
  <c r="H19" i="33"/>
  <c r="AR18" i="33"/>
  <c r="AQ18" i="33"/>
  <c r="AP18" i="33"/>
  <c r="AO18" i="33"/>
  <c r="AN18" i="33"/>
  <c r="AM18" i="33"/>
  <c r="AL18" i="33"/>
  <c r="AK18" i="33"/>
  <c r="AJ18" i="33"/>
  <c r="AI18" i="33"/>
  <c r="AH18" i="33"/>
  <c r="AG18" i="33"/>
  <c r="AF18" i="33"/>
  <c r="AE18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L18" i="33"/>
  <c r="K18" i="33"/>
  <c r="J18" i="33"/>
  <c r="I18" i="33"/>
  <c r="H18" i="33"/>
  <c r="AY17" i="33"/>
  <c r="BD135" i="33" s="1"/>
  <c r="AX17" i="33"/>
  <c r="BC135" i="33" s="1"/>
  <c r="AR17" i="33"/>
  <c r="AQ17" i="33"/>
  <c r="AP17" i="33"/>
  <c r="AO17" i="33"/>
  <c r="AN17" i="33"/>
  <c r="AM17" i="33"/>
  <c r="AL17" i="33"/>
  <c r="AK17" i="33"/>
  <c r="AJ17" i="33"/>
  <c r="AI17" i="33"/>
  <c r="AH17" i="33"/>
  <c r="AG17" i="33"/>
  <c r="AF17" i="33"/>
  <c r="AE17" i="33"/>
  <c r="AD17" i="33"/>
  <c r="AC17" i="33"/>
  <c r="AB17" i="33"/>
  <c r="AA17" i="33"/>
  <c r="Z17" i="33"/>
  <c r="Y17" i="33"/>
  <c r="BD17" i="33" s="1"/>
  <c r="BD133" i="33" s="1"/>
  <c r="X17" i="33"/>
  <c r="W17" i="33"/>
  <c r="V17" i="33"/>
  <c r="U17" i="33"/>
  <c r="T17" i="33"/>
  <c r="S17" i="33"/>
  <c r="R17" i="33"/>
  <c r="Q17" i="33"/>
  <c r="P17" i="33"/>
  <c r="O17" i="33"/>
  <c r="L17" i="33"/>
  <c r="K17" i="33"/>
  <c r="J17" i="33"/>
  <c r="I17" i="33"/>
  <c r="H17" i="33"/>
  <c r="AY16" i="33"/>
  <c r="AX135" i="33" s="1"/>
  <c r="AX16" i="33"/>
  <c r="AW135" i="33" s="1"/>
  <c r="AW16" i="33"/>
  <c r="AV135" i="33" s="1"/>
  <c r="AR16" i="33"/>
  <c r="AQ16" i="33"/>
  <c r="AP16" i="33"/>
  <c r="AO16" i="33"/>
  <c r="AN16" i="33"/>
  <c r="AM16" i="33"/>
  <c r="AL16" i="33"/>
  <c r="AK16" i="33"/>
  <c r="AJ16" i="33"/>
  <c r="AI16" i="33"/>
  <c r="AH16" i="33"/>
  <c r="AG16" i="33"/>
  <c r="AF16" i="33"/>
  <c r="AE16" i="33"/>
  <c r="AD16" i="33"/>
  <c r="AC16" i="33"/>
  <c r="AB16" i="33"/>
  <c r="AA16" i="33"/>
  <c r="Z16" i="33"/>
  <c r="Y16" i="33"/>
  <c r="AU16" i="33" s="1"/>
  <c r="AT135" i="33" s="1"/>
  <c r="X16" i="33"/>
  <c r="W16" i="33"/>
  <c r="V16" i="33"/>
  <c r="AV16" i="33" s="1"/>
  <c r="AU135" i="33" s="1"/>
  <c r="U16" i="33"/>
  <c r="T16" i="33"/>
  <c r="S16" i="33"/>
  <c r="BD16" i="33" s="1"/>
  <c r="AX133" i="33" s="1"/>
  <c r="R16" i="33"/>
  <c r="Q16" i="33"/>
  <c r="P16" i="33"/>
  <c r="O16" i="33"/>
  <c r="L16" i="33"/>
  <c r="K16" i="33"/>
  <c r="J16" i="33"/>
  <c r="I16" i="33"/>
  <c r="H16" i="33"/>
  <c r="AV15" i="33"/>
  <c r="AO135" i="33" s="1"/>
  <c r="AR15" i="33"/>
  <c r="AQ15" i="33"/>
  <c r="AP15" i="33"/>
  <c r="AO15" i="33"/>
  <c r="AN15" i="33"/>
  <c r="AM15" i="33"/>
  <c r="AL15" i="33"/>
  <c r="AK15" i="33"/>
  <c r="AJ15" i="33"/>
  <c r="AI15" i="33"/>
  <c r="AH15" i="33"/>
  <c r="AG15" i="33"/>
  <c r="AF15" i="33"/>
  <c r="AE15" i="33"/>
  <c r="AD15" i="33"/>
  <c r="AC15" i="33"/>
  <c r="AB15" i="33"/>
  <c r="AA15" i="33"/>
  <c r="Z15" i="33"/>
  <c r="Y15" i="33"/>
  <c r="X15" i="33"/>
  <c r="W15" i="33"/>
  <c r="V15" i="33"/>
  <c r="AW15" i="33" s="1"/>
  <c r="AP135" i="33" s="1"/>
  <c r="U15" i="33"/>
  <c r="T15" i="33"/>
  <c r="S15" i="33"/>
  <c r="R15" i="33"/>
  <c r="Q15" i="33"/>
  <c r="P15" i="33"/>
  <c r="O15" i="33"/>
  <c r="L15" i="33"/>
  <c r="K15" i="33"/>
  <c r="J15" i="33"/>
  <c r="I15" i="33"/>
  <c r="Q138" i="33" s="1"/>
  <c r="H15" i="33"/>
  <c r="AR14" i="33"/>
  <c r="AQ14" i="33"/>
  <c r="AP14" i="33"/>
  <c r="AO14" i="33"/>
  <c r="AN14" i="33"/>
  <c r="AM14" i="33"/>
  <c r="AL14" i="33"/>
  <c r="AK14" i="33"/>
  <c r="AJ14" i="33"/>
  <c r="AI14" i="33"/>
  <c r="AH14" i="33"/>
  <c r="AG14" i="33"/>
  <c r="AF14" i="33"/>
  <c r="AE14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BC14" i="33" s="1"/>
  <c r="AK133" i="33" s="1"/>
  <c r="L14" i="33"/>
  <c r="K14" i="33"/>
  <c r="J14" i="33"/>
  <c r="I14" i="33"/>
  <c r="H14" i="33"/>
  <c r="BT2" i="33"/>
  <c r="AK130" i="33" s="1"/>
  <c r="AK158" i="16"/>
  <c r="BI152" i="16"/>
  <c r="BG152" i="16"/>
  <c r="BC152" i="16"/>
  <c r="BA152" i="16"/>
  <c r="AW152" i="16"/>
  <c r="AU152" i="16"/>
  <c r="AQ152" i="16"/>
  <c r="AO152" i="16"/>
  <c r="AK152" i="16"/>
  <c r="AI152" i="16"/>
  <c r="BI151" i="16"/>
  <c r="BF151" i="16"/>
  <c r="BC151" i="16"/>
  <c r="AZ151" i="16"/>
  <c r="AW151" i="16"/>
  <c r="AU151" i="16"/>
  <c r="AT151" i="16"/>
  <c r="AQ151" i="16"/>
  <c r="AN151" i="16"/>
  <c r="AK151" i="16"/>
  <c r="AH151" i="16"/>
  <c r="BJ150" i="16"/>
  <c r="BI150" i="16"/>
  <c r="BH150" i="16"/>
  <c r="BG150" i="16"/>
  <c r="BF150" i="16"/>
  <c r="BD150" i="16"/>
  <c r="BC150" i="16"/>
  <c r="BB150" i="16"/>
  <c r="BA150" i="16"/>
  <c r="AZ150" i="16"/>
  <c r="AX150" i="16"/>
  <c r="AW150" i="16"/>
  <c r="AV150" i="16"/>
  <c r="AU150" i="16"/>
  <c r="AT150" i="16"/>
  <c r="AR150" i="16"/>
  <c r="AQ150" i="16"/>
  <c r="AP150" i="16"/>
  <c r="AO150" i="16"/>
  <c r="AN150" i="16"/>
  <c r="AL150" i="16"/>
  <c r="AK150" i="16"/>
  <c r="AJ150" i="16"/>
  <c r="AI150" i="16"/>
  <c r="AH150" i="16"/>
  <c r="BJ149" i="16"/>
  <c r="BI149" i="16"/>
  <c r="BH149" i="16"/>
  <c r="BG149" i="16"/>
  <c r="BF149" i="16"/>
  <c r="BD149" i="16"/>
  <c r="BC149" i="16"/>
  <c r="BB149" i="16"/>
  <c r="BA149" i="16"/>
  <c r="AZ149" i="16"/>
  <c r="AX149" i="16"/>
  <c r="AW149" i="16"/>
  <c r="AV149" i="16"/>
  <c r="AU149" i="16"/>
  <c r="AT149" i="16"/>
  <c r="AR149" i="16"/>
  <c r="AQ149" i="16"/>
  <c r="AP149" i="16"/>
  <c r="AO149" i="16"/>
  <c r="AN149" i="16"/>
  <c r="AL149" i="16"/>
  <c r="AK149" i="16"/>
  <c r="AJ149" i="16"/>
  <c r="AI149" i="16"/>
  <c r="AH149" i="16"/>
  <c r="AD149" i="16"/>
  <c r="AU158" i="16" s="1"/>
  <c r="BJ148" i="16"/>
  <c r="BI148" i="16"/>
  <c r="BH148" i="16"/>
  <c r="BG148" i="16"/>
  <c r="BF148" i="16"/>
  <c r="BD148" i="16"/>
  <c r="BC148" i="16"/>
  <c r="BB148" i="16"/>
  <c r="BA148" i="16"/>
  <c r="AZ148" i="16"/>
  <c r="AX148" i="16"/>
  <c r="AW148" i="16"/>
  <c r="AV148" i="16"/>
  <c r="AU148" i="16"/>
  <c r="AT148" i="16"/>
  <c r="AR148" i="16"/>
  <c r="AQ148" i="16"/>
  <c r="AP148" i="16"/>
  <c r="AO148" i="16"/>
  <c r="AN148" i="16"/>
  <c r="AL148" i="16"/>
  <c r="AK148" i="16"/>
  <c r="AJ148" i="16"/>
  <c r="AI148" i="16"/>
  <c r="AH148" i="16"/>
  <c r="BJ147" i="16"/>
  <c r="BI147" i="16"/>
  <c r="BH147" i="16"/>
  <c r="BG147" i="16"/>
  <c r="BF147" i="16"/>
  <c r="BD147" i="16"/>
  <c r="BC147" i="16"/>
  <c r="BB147" i="16"/>
  <c r="BA147" i="16"/>
  <c r="AZ147" i="16"/>
  <c r="AX147" i="16"/>
  <c r="AW147" i="16"/>
  <c r="AV147" i="16"/>
  <c r="AU147" i="16"/>
  <c r="AT147" i="16"/>
  <c r="AR147" i="16"/>
  <c r="AQ147" i="16"/>
  <c r="AP147" i="16"/>
  <c r="AO147" i="16"/>
  <c r="AN147" i="16"/>
  <c r="AL147" i="16"/>
  <c r="AK147" i="16"/>
  <c r="AJ147" i="16"/>
  <c r="AI147" i="16"/>
  <c r="AH147" i="16"/>
  <c r="BJ146" i="16"/>
  <c r="BI146" i="16"/>
  <c r="BH146" i="16"/>
  <c r="BG146" i="16"/>
  <c r="BF146" i="16"/>
  <c r="BD146" i="16"/>
  <c r="BC146" i="16"/>
  <c r="BB146" i="16"/>
  <c r="BA146" i="16"/>
  <c r="AZ146" i="16"/>
  <c r="AX146" i="16"/>
  <c r="AW146" i="16"/>
  <c r="AV146" i="16"/>
  <c r="AU146" i="16"/>
  <c r="AT146" i="16"/>
  <c r="AR146" i="16"/>
  <c r="AQ146" i="16"/>
  <c r="AP146" i="16"/>
  <c r="AO146" i="16"/>
  <c r="AN146" i="16"/>
  <c r="AL146" i="16"/>
  <c r="AK146" i="16"/>
  <c r="AJ146" i="16"/>
  <c r="AI146" i="16"/>
  <c r="AH146" i="16"/>
  <c r="BJ145" i="16"/>
  <c r="BI145" i="16"/>
  <c r="BH145" i="16"/>
  <c r="BG145" i="16"/>
  <c r="BF145" i="16"/>
  <c r="BD145" i="16"/>
  <c r="BC145" i="16"/>
  <c r="BB145" i="16"/>
  <c r="BA145" i="16"/>
  <c r="AZ145" i="16"/>
  <c r="AX145" i="16"/>
  <c r="AW145" i="16"/>
  <c r="AV145" i="16"/>
  <c r="AU145" i="16"/>
  <c r="AT145" i="16"/>
  <c r="AR145" i="16"/>
  <c r="AQ145" i="16"/>
  <c r="AP145" i="16"/>
  <c r="AO145" i="16"/>
  <c r="AN145" i="16"/>
  <c r="AL145" i="16"/>
  <c r="AK145" i="16"/>
  <c r="AJ145" i="16"/>
  <c r="AI145" i="16"/>
  <c r="AH145" i="16"/>
  <c r="BJ144" i="16"/>
  <c r="BI144" i="16"/>
  <c r="BH144" i="16"/>
  <c r="BG144" i="16"/>
  <c r="BF144" i="16"/>
  <c r="BD144" i="16"/>
  <c r="BC144" i="16"/>
  <c r="BB144" i="16"/>
  <c r="BA144" i="16"/>
  <c r="AZ144" i="16"/>
  <c r="AX144" i="16"/>
  <c r="AW144" i="16"/>
  <c r="AV144" i="16"/>
  <c r="AU144" i="16"/>
  <c r="AT144" i="16"/>
  <c r="AR144" i="16"/>
  <c r="AQ144" i="16"/>
  <c r="AP144" i="16"/>
  <c r="AO144" i="16"/>
  <c r="AN144" i="16"/>
  <c r="AL144" i="16"/>
  <c r="AK144" i="16"/>
  <c r="AJ144" i="16"/>
  <c r="AI144" i="16"/>
  <c r="AH144" i="16"/>
  <c r="BJ143" i="16"/>
  <c r="BI143" i="16"/>
  <c r="BH143" i="16"/>
  <c r="BG143" i="16"/>
  <c r="BF143" i="16"/>
  <c r="BD143" i="16"/>
  <c r="BC143" i="16"/>
  <c r="BB143" i="16"/>
  <c r="BA143" i="16"/>
  <c r="AZ143" i="16"/>
  <c r="AX143" i="16"/>
  <c r="AW143" i="16"/>
  <c r="AV143" i="16"/>
  <c r="AU143" i="16"/>
  <c r="AT143" i="16"/>
  <c r="AR143" i="16"/>
  <c r="AQ143" i="16"/>
  <c r="AP143" i="16"/>
  <c r="AO143" i="16"/>
  <c r="AN143" i="16"/>
  <c r="AL143" i="16"/>
  <c r="AK143" i="16"/>
  <c r="AJ143" i="16"/>
  <c r="AI143" i="16"/>
  <c r="AH143" i="16"/>
  <c r="BJ142" i="16"/>
  <c r="BI142" i="16"/>
  <c r="BH142" i="16"/>
  <c r="BG142" i="16"/>
  <c r="BG151" i="16" s="1"/>
  <c r="BF142" i="16"/>
  <c r="BD142" i="16"/>
  <c r="BC142" i="16"/>
  <c r="BB142" i="16"/>
  <c r="BA142" i="16"/>
  <c r="AZ142" i="16"/>
  <c r="AX142" i="16"/>
  <c r="AW142" i="16"/>
  <c r="AV142" i="16"/>
  <c r="AU142" i="16"/>
  <c r="AT142" i="16"/>
  <c r="AR142" i="16"/>
  <c r="AQ142" i="16"/>
  <c r="AP142" i="16"/>
  <c r="AO142" i="16"/>
  <c r="AN142" i="16"/>
  <c r="AL142" i="16"/>
  <c r="AK142" i="16"/>
  <c r="AJ142" i="16"/>
  <c r="AI142" i="16"/>
  <c r="AH142" i="16"/>
  <c r="BJ141" i="16"/>
  <c r="BI141" i="16"/>
  <c r="BH141" i="16"/>
  <c r="BG141" i="16"/>
  <c r="BF141" i="16"/>
  <c r="BD141" i="16"/>
  <c r="BC141" i="16"/>
  <c r="BB141" i="16"/>
  <c r="BA141" i="16"/>
  <c r="AZ141" i="16"/>
  <c r="AX141" i="16"/>
  <c r="AW141" i="16"/>
  <c r="AV141" i="16"/>
  <c r="AU141" i="16"/>
  <c r="AT141" i="16"/>
  <c r="AR141" i="16"/>
  <c r="AQ141" i="16"/>
  <c r="AP141" i="16"/>
  <c r="AO141" i="16"/>
  <c r="AN141" i="16"/>
  <c r="AL141" i="16"/>
  <c r="AK141" i="16"/>
  <c r="AJ141" i="16"/>
  <c r="AI141" i="16"/>
  <c r="AH141" i="16"/>
  <c r="BF139" i="16"/>
  <c r="AZ139" i="16"/>
  <c r="AT139" i="16"/>
  <c r="AO139" i="16"/>
  <c r="AN139" i="16"/>
  <c r="AH139" i="16"/>
  <c r="BF138" i="16"/>
  <c r="AZ138" i="16"/>
  <c r="AT138" i="16"/>
  <c r="AO138" i="16"/>
  <c r="AN138" i="16"/>
  <c r="AH138" i="16"/>
  <c r="BH137" i="16"/>
  <c r="BB137" i="16"/>
  <c r="AV137" i="16"/>
  <c r="AP137" i="16"/>
  <c r="AJ137" i="16"/>
  <c r="AH135" i="16"/>
  <c r="BI131" i="16"/>
  <c r="BG131" i="16"/>
  <c r="BC131" i="16"/>
  <c r="BA131" i="16"/>
  <c r="AW131" i="16"/>
  <c r="AU131" i="16"/>
  <c r="AQ131" i="16"/>
  <c r="AO131" i="16"/>
  <c r="AK131" i="16"/>
  <c r="AI131" i="16"/>
  <c r="BI130" i="16"/>
  <c r="BF130" i="16"/>
  <c r="BC130" i="16"/>
  <c r="AZ130" i="16"/>
  <c r="AW130" i="16"/>
  <c r="AT130" i="16"/>
  <c r="AQ130" i="16"/>
  <c r="AN130" i="16"/>
  <c r="AH130" i="16"/>
  <c r="BJ129" i="16"/>
  <c r="BI129" i="16"/>
  <c r="BH129" i="16"/>
  <c r="BG129" i="16"/>
  <c r="BF129" i="16"/>
  <c r="BD129" i="16"/>
  <c r="BC129" i="16"/>
  <c r="BB129" i="16"/>
  <c r="BA129" i="16"/>
  <c r="AZ129" i="16"/>
  <c r="AX129" i="16"/>
  <c r="AW129" i="16"/>
  <c r="AV129" i="16"/>
  <c r="AU129" i="16"/>
  <c r="AT129" i="16"/>
  <c r="AR129" i="16"/>
  <c r="AQ129" i="16"/>
  <c r="AP129" i="16"/>
  <c r="AO129" i="16"/>
  <c r="AN129" i="16"/>
  <c r="AL129" i="16"/>
  <c r="AK129" i="16"/>
  <c r="AJ129" i="16"/>
  <c r="AI129" i="16"/>
  <c r="AH129" i="16"/>
  <c r="BJ128" i="16"/>
  <c r="BI128" i="16"/>
  <c r="BH128" i="16"/>
  <c r="BG128" i="16"/>
  <c r="BF128" i="16"/>
  <c r="BD128" i="16"/>
  <c r="BC128" i="16"/>
  <c r="BB128" i="16"/>
  <c r="BA128" i="16"/>
  <c r="AZ128" i="16"/>
  <c r="AX128" i="16"/>
  <c r="AW128" i="16"/>
  <c r="AV128" i="16"/>
  <c r="AU128" i="16"/>
  <c r="AT128" i="16"/>
  <c r="AR128" i="16"/>
  <c r="AQ128" i="16"/>
  <c r="AP128" i="16"/>
  <c r="AO128" i="16"/>
  <c r="AN128" i="16"/>
  <c r="AL128" i="16"/>
  <c r="AK128" i="16"/>
  <c r="AJ128" i="16"/>
  <c r="AI128" i="16"/>
  <c r="AH128" i="16"/>
  <c r="BJ127" i="16"/>
  <c r="BI127" i="16"/>
  <c r="BH127" i="16"/>
  <c r="BG127" i="16"/>
  <c r="BF127" i="16"/>
  <c r="BD127" i="16"/>
  <c r="BC127" i="16"/>
  <c r="BB127" i="16"/>
  <c r="BA130" i="16" s="1"/>
  <c r="BA127" i="16"/>
  <c r="AZ127" i="16"/>
  <c r="AX127" i="16"/>
  <c r="AW127" i="16"/>
  <c r="AV127" i="16"/>
  <c r="AU127" i="16"/>
  <c r="AT127" i="16"/>
  <c r="AR127" i="16"/>
  <c r="AQ127" i="16"/>
  <c r="AP127" i="16"/>
  <c r="AO127" i="16"/>
  <c r="AN127" i="16"/>
  <c r="AL127" i="16"/>
  <c r="AK127" i="16"/>
  <c r="AJ127" i="16"/>
  <c r="AI127" i="16"/>
  <c r="AH127" i="16"/>
  <c r="BJ126" i="16"/>
  <c r="BI126" i="16"/>
  <c r="BH126" i="16"/>
  <c r="BG126" i="16"/>
  <c r="BF126" i="16"/>
  <c r="BD126" i="16"/>
  <c r="BC126" i="16"/>
  <c r="BB126" i="16"/>
  <c r="BA126" i="16"/>
  <c r="AZ126" i="16"/>
  <c r="AX126" i="16"/>
  <c r="AW126" i="16"/>
  <c r="AV126" i="16"/>
  <c r="AU126" i="16"/>
  <c r="AT126" i="16"/>
  <c r="AR126" i="16"/>
  <c r="AQ126" i="16"/>
  <c r="AP126" i="16"/>
  <c r="AO126" i="16"/>
  <c r="AN126" i="16"/>
  <c r="AL126" i="16"/>
  <c r="AK126" i="16"/>
  <c r="AJ126" i="16"/>
  <c r="AI126" i="16"/>
  <c r="AH126" i="16"/>
  <c r="BJ125" i="16"/>
  <c r="BI125" i="16"/>
  <c r="BH125" i="16"/>
  <c r="BG125" i="16"/>
  <c r="BF125" i="16"/>
  <c r="BD125" i="16"/>
  <c r="BC125" i="16"/>
  <c r="BB125" i="16"/>
  <c r="BA125" i="16"/>
  <c r="AZ125" i="16"/>
  <c r="AX125" i="16"/>
  <c r="AW125" i="16"/>
  <c r="AV125" i="16"/>
  <c r="AU125" i="16"/>
  <c r="AT125" i="16"/>
  <c r="AR125" i="16"/>
  <c r="AQ125" i="16"/>
  <c r="AP125" i="16"/>
  <c r="AO125" i="16"/>
  <c r="AN125" i="16"/>
  <c r="AL125" i="16"/>
  <c r="AK125" i="16"/>
  <c r="AJ125" i="16"/>
  <c r="AI125" i="16"/>
  <c r="AH125" i="16"/>
  <c r="BJ124" i="16"/>
  <c r="BI124" i="16"/>
  <c r="BH124" i="16"/>
  <c r="BG124" i="16"/>
  <c r="BF124" i="16"/>
  <c r="BD124" i="16"/>
  <c r="BC124" i="16"/>
  <c r="BB124" i="16"/>
  <c r="BA124" i="16"/>
  <c r="AZ124" i="16"/>
  <c r="AX124" i="16"/>
  <c r="AW124" i="16"/>
  <c r="AV124" i="16"/>
  <c r="AU124" i="16"/>
  <c r="AT124" i="16"/>
  <c r="AR124" i="16"/>
  <c r="AQ124" i="16"/>
  <c r="AP124" i="16"/>
  <c r="AO124" i="16"/>
  <c r="AN124" i="16"/>
  <c r="AL124" i="16"/>
  <c r="AK124" i="16"/>
  <c r="AJ124" i="16"/>
  <c r="AI124" i="16"/>
  <c r="AH124" i="16"/>
  <c r="BJ123" i="16"/>
  <c r="BI123" i="16"/>
  <c r="BH123" i="16"/>
  <c r="BG123" i="16"/>
  <c r="BF123" i="16"/>
  <c r="BD123" i="16"/>
  <c r="BC123" i="16"/>
  <c r="BB123" i="16"/>
  <c r="BA123" i="16"/>
  <c r="AZ123" i="16"/>
  <c r="AX123" i="16"/>
  <c r="AW123" i="16"/>
  <c r="AV123" i="16"/>
  <c r="AU123" i="16"/>
  <c r="AT123" i="16"/>
  <c r="AR123" i="16"/>
  <c r="AQ123" i="16"/>
  <c r="AP123" i="16"/>
  <c r="AO123" i="16"/>
  <c r="AN123" i="16"/>
  <c r="AL123" i="16"/>
  <c r="AK123" i="16"/>
  <c r="AJ123" i="16"/>
  <c r="AI123" i="16"/>
  <c r="AH123" i="16"/>
  <c r="BJ122" i="16"/>
  <c r="BI122" i="16"/>
  <c r="BH122" i="16"/>
  <c r="BG122" i="16"/>
  <c r="BF122" i="16"/>
  <c r="BD122" i="16"/>
  <c r="BC122" i="16"/>
  <c r="BB122" i="16"/>
  <c r="BA122" i="16"/>
  <c r="AZ122" i="16"/>
  <c r="AX122" i="16"/>
  <c r="AW122" i="16"/>
  <c r="AV122" i="16"/>
  <c r="AU122" i="16"/>
  <c r="AT122" i="16"/>
  <c r="AR122" i="16"/>
  <c r="AQ122" i="16"/>
  <c r="AP122" i="16"/>
  <c r="AO122" i="16"/>
  <c r="AN122" i="16"/>
  <c r="AL122" i="16"/>
  <c r="AK122" i="16"/>
  <c r="AJ122" i="16"/>
  <c r="AI122" i="16"/>
  <c r="AH122" i="16"/>
  <c r="BJ121" i="16"/>
  <c r="BI121" i="16"/>
  <c r="BH121" i="16"/>
  <c r="BG121" i="16"/>
  <c r="BF121" i="16"/>
  <c r="BD121" i="16"/>
  <c r="BC121" i="16"/>
  <c r="BB121" i="16"/>
  <c r="BA121" i="16"/>
  <c r="AZ121" i="16"/>
  <c r="AX121" i="16"/>
  <c r="AW121" i="16"/>
  <c r="AV121" i="16"/>
  <c r="AU121" i="16"/>
  <c r="AT121" i="16"/>
  <c r="AR121" i="16"/>
  <c r="AQ121" i="16"/>
  <c r="AP121" i="16"/>
  <c r="AO121" i="16"/>
  <c r="AN121" i="16"/>
  <c r="AL121" i="16"/>
  <c r="AK121" i="16"/>
  <c r="AJ121" i="16"/>
  <c r="AI121" i="16"/>
  <c r="AH121" i="16"/>
  <c r="BJ120" i="16"/>
  <c r="BI120" i="16"/>
  <c r="BH120" i="16"/>
  <c r="BG120" i="16"/>
  <c r="BF120" i="16"/>
  <c r="BD120" i="16"/>
  <c r="BC120" i="16"/>
  <c r="BB120" i="16"/>
  <c r="BA120" i="16"/>
  <c r="AZ120" i="16"/>
  <c r="AX120" i="16"/>
  <c r="AW120" i="16"/>
  <c r="AV120" i="16"/>
  <c r="AU120" i="16"/>
  <c r="AT120" i="16"/>
  <c r="AR120" i="16"/>
  <c r="AQ120" i="16"/>
  <c r="AP120" i="16"/>
  <c r="AO120" i="16"/>
  <c r="AN120" i="16"/>
  <c r="AL120" i="16"/>
  <c r="AK120" i="16"/>
  <c r="AJ120" i="16"/>
  <c r="AI120" i="16"/>
  <c r="AH120" i="16"/>
  <c r="BF118" i="16"/>
  <c r="AZ118" i="16"/>
  <c r="AT118" i="16"/>
  <c r="AN118" i="16"/>
  <c r="AH118" i="16"/>
  <c r="BF117" i="16"/>
  <c r="AZ117" i="16"/>
  <c r="AT117" i="16"/>
  <c r="AN117" i="16"/>
  <c r="AH117" i="16"/>
  <c r="BH116" i="16"/>
  <c r="BB116" i="16"/>
  <c r="AV116" i="16"/>
  <c r="AP116" i="16"/>
  <c r="AJ116" i="16"/>
  <c r="L113" i="16"/>
  <c r="K113" i="16"/>
  <c r="J113" i="16"/>
  <c r="I113" i="16"/>
  <c r="H113" i="16"/>
  <c r="L112" i="16"/>
  <c r="K112" i="16"/>
  <c r="J112" i="16"/>
  <c r="I112" i="16"/>
  <c r="H112" i="16"/>
  <c r="L111" i="16"/>
  <c r="K111" i="16"/>
  <c r="J111" i="16"/>
  <c r="I111" i="16"/>
  <c r="H111" i="16"/>
  <c r="L110" i="16"/>
  <c r="K110" i="16"/>
  <c r="J110" i="16"/>
  <c r="I110" i="16"/>
  <c r="H110" i="16"/>
  <c r="L109" i="16"/>
  <c r="K109" i="16"/>
  <c r="J109" i="16"/>
  <c r="I109" i="16"/>
  <c r="H109" i="16"/>
  <c r="L108" i="16"/>
  <c r="K108" i="16"/>
  <c r="J108" i="16"/>
  <c r="I108" i="16"/>
  <c r="H108" i="16"/>
  <c r="L107" i="16"/>
  <c r="K107" i="16"/>
  <c r="J107" i="16"/>
  <c r="I107" i="16"/>
  <c r="H107" i="16"/>
  <c r="L106" i="16"/>
  <c r="K106" i="16"/>
  <c r="J106" i="16"/>
  <c r="I106" i="16"/>
  <c r="H106" i="16"/>
  <c r="L105" i="16"/>
  <c r="K105" i="16"/>
  <c r="J105" i="16"/>
  <c r="I105" i="16"/>
  <c r="H105" i="16"/>
  <c r="L104" i="16"/>
  <c r="K104" i="16"/>
  <c r="J104" i="16"/>
  <c r="I104" i="16"/>
  <c r="H104" i="16"/>
  <c r="L103" i="16"/>
  <c r="K103" i="16"/>
  <c r="J103" i="16"/>
  <c r="I103" i="16"/>
  <c r="H103" i="16"/>
  <c r="L102" i="16"/>
  <c r="K102" i="16"/>
  <c r="J102" i="16"/>
  <c r="I102" i="16"/>
  <c r="H102" i="16"/>
  <c r="L101" i="16"/>
  <c r="K101" i="16"/>
  <c r="J101" i="16"/>
  <c r="I101" i="16"/>
  <c r="H101" i="16"/>
  <c r="L100" i="16"/>
  <c r="K100" i="16"/>
  <c r="J100" i="16"/>
  <c r="I100" i="16"/>
  <c r="H100" i="16"/>
  <c r="L99" i="16"/>
  <c r="K99" i="16"/>
  <c r="J99" i="16"/>
  <c r="I99" i="16"/>
  <c r="H99" i="16"/>
  <c r="L98" i="16"/>
  <c r="K98" i="16"/>
  <c r="J98" i="16"/>
  <c r="I98" i="16"/>
  <c r="H98" i="16"/>
  <c r="L97" i="16"/>
  <c r="K97" i="16"/>
  <c r="J97" i="16"/>
  <c r="I97" i="16"/>
  <c r="H97" i="16"/>
  <c r="L96" i="16"/>
  <c r="K96" i="16"/>
  <c r="J96" i="16"/>
  <c r="I96" i="16"/>
  <c r="H96" i="16"/>
  <c r="L95" i="16"/>
  <c r="K95" i="16"/>
  <c r="J95" i="16"/>
  <c r="I95" i="16"/>
  <c r="H95" i="16"/>
  <c r="L94" i="16"/>
  <c r="K94" i="16"/>
  <c r="J94" i="16"/>
  <c r="I94" i="16"/>
  <c r="H94" i="16"/>
  <c r="L93" i="16"/>
  <c r="K93" i="16"/>
  <c r="J93" i="16"/>
  <c r="I93" i="16"/>
  <c r="H93" i="16"/>
  <c r="L92" i="16"/>
  <c r="K92" i="16"/>
  <c r="J92" i="16"/>
  <c r="I92" i="16"/>
  <c r="H92" i="16"/>
  <c r="L91" i="16"/>
  <c r="K91" i="16"/>
  <c r="J91" i="16"/>
  <c r="I91" i="16"/>
  <c r="H91" i="16"/>
  <c r="L90" i="16"/>
  <c r="K90" i="16"/>
  <c r="J90" i="16"/>
  <c r="I90" i="16"/>
  <c r="H90" i="16"/>
  <c r="L89" i="16"/>
  <c r="K89" i="16"/>
  <c r="J89" i="16"/>
  <c r="I89" i="16"/>
  <c r="H89" i="16"/>
  <c r="L88" i="16"/>
  <c r="K88" i="16"/>
  <c r="J88" i="16"/>
  <c r="I88" i="16"/>
  <c r="H88" i="16"/>
  <c r="L87" i="16"/>
  <c r="K87" i="16"/>
  <c r="J87" i="16"/>
  <c r="I87" i="16"/>
  <c r="H87" i="16"/>
  <c r="L86" i="16"/>
  <c r="K86" i="16"/>
  <c r="J86" i="16"/>
  <c r="I86" i="16"/>
  <c r="H86" i="16"/>
  <c r="L85" i="16"/>
  <c r="K85" i="16"/>
  <c r="J85" i="16"/>
  <c r="I85" i="16"/>
  <c r="H85" i="16"/>
  <c r="L84" i="16"/>
  <c r="K84" i="16"/>
  <c r="J84" i="16"/>
  <c r="I84" i="16"/>
  <c r="H84" i="16"/>
  <c r="L83" i="16"/>
  <c r="K83" i="16"/>
  <c r="J83" i="16"/>
  <c r="I83" i="16"/>
  <c r="H83" i="16"/>
  <c r="L82" i="16"/>
  <c r="K82" i="16"/>
  <c r="J82" i="16"/>
  <c r="I82" i="16"/>
  <c r="H82" i="16"/>
  <c r="L81" i="16"/>
  <c r="K81" i="16"/>
  <c r="J81" i="16"/>
  <c r="I81" i="16"/>
  <c r="H81" i="16"/>
  <c r="L80" i="16"/>
  <c r="K80" i="16"/>
  <c r="J80" i="16"/>
  <c r="I80" i="16"/>
  <c r="H80" i="16"/>
  <c r="L79" i="16"/>
  <c r="K79" i="16"/>
  <c r="J79" i="16"/>
  <c r="I79" i="16"/>
  <c r="H79" i="16"/>
  <c r="L78" i="16"/>
  <c r="K78" i="16"/>
  <c r="J78" i="16"/>
  <c r="I78" i="16"/>
  <c r="H78" i="16"/>
  <c r="L77" i="16"/>
  <c r="K77" i="16"/>
  <c r="J77" i="16"/>
  <c r="I77" i="16"/>
  <c r="H77" i="16"/>
  <c r="L76" i="16"/>
  <c r="K76" i="16"/>
  <c r="J76" i="16"/>
  <c r="I76" i="16"/>
  <c r="H76" i="16"/>
  <c r="L75" i="16"/>
  <c r="K75" i="16"/>
  <c r="J75" i="16"/>
  <c r="I75" i="16"/>
  <c r="H75" i="16"/>
  <c r="L74" i="16"/>
  <c r="K74" i="16"/>
  <c r="J74" i="16"/>
  <c r="I74" i="16"/>
  <c r="H74" i="16"/>
  <c r="L73" i="16"/>
  <c r="K73" i="16"/>
  <c r="J73" i="16"/>
  <c r="I73" i="16"/>
  <c r="H73" i="16"/>
  <c r="L72" i="16"/>
  <c r="K72" i="16"/>
  <c r="J72" i="16"/>
  <c r="I72" i="16"/>
  <c r="H72" i="16"/>
  <c r="L71" i="16"/>
  <c r="K71" i="16"/>
  <c r="J71" i="16"/>
  <c r="I71" i="16"/>
  <c r="H71" i="16"/>
  <c r="L70" i="16"/>
  <c r="K70" i="16"/>
  <c r="J70" i="16"/>
  <c r="I70" i="16"/>
  <c r="H70" i="16"/>
  <c r="L69" i="16"/>
  <c r="K69" i="16"/>
  <c r="J69" i="16"/>
  <c r="I69" i="16"/>
  <c r="H69" i="16"/>
  <c r="L68" i="16"/>
  <c r="K68" i="16"/>
  <c r="J68" i="16"/>
  <c r="I68" i="16"/>
  <c r="H68" i="16"/>
  <c r="L67" i="16"/>
  <c r="K67" i="16"/>
  <c r="J67" i="16"/>
  <c r="I67" i="16"/>
  <c r="H67" i="16"/>
  <c r="L66" i="16"/>
  <c r="K66" i="16"/>
  <c r="J66" i="16"/>
  <c r="I66" i="16"/>
  <c r="H66" i="16"/>
  <c r="L65" i="16"/>
  <c r="K65" i="16"/>
  <c r="J65" i="16"/>
  <c r="I65" i="16"/>
  <c r="H65" i="16"/>
  <c r="L64" i="16"/>
  <c r="K64" i="16"/>
  <c r="J64" i="16"/>
  <c r="I64" i="16"/>
  <c r="H64" i="16"/>
  <c r="L63" i="16"/>
  <c r="K63" i="16"/>
  <c r="J63" i="16"/>
  <c r="I63" i="16"/>
  <c r="H63" i="16"/>
  <c r="L62" i="16"/>
  <c r="K62" i="16"/>
  <c r="J62" i="16"/>
  <c r="I62" i="16"/>
  <c r="H62" i="16"/>
  <c r="L61" i="16"/>
  <c r="K61" i="16"/>
  <c r="J61" i="16"/>
  <c r="I61" i="16"/>
  <c r="H61" i="16"/>
  <c r="L60" i="16"/>
  <c r="K60" i="16"/>
  <c r="J60" i="16"/>
  <c r="I60" i="16"/>
  <c r="H60" i="16"/>
  <c r="L59" i="16"/>
  <c r="K59" i="16"/>
  <c r="J59" i="16"/>
  <c r="I59" i="16"/>
  <c r="H59" i="16"/>
  <c r="L58" i="16"/>
  <c r="K58" i="16"/>
  <c r="J58" i="16"/>
  <c r="I58" i="16"/>
  <c r="H58" i="16"/>
  <c r="L57" i="16"/>
  <c r="K57" i="16"/>
  <c r="J57" i="16"/>
  <c r="I57" i="16"/>
  <c r="H57" i="16"/>
  <c r="L56" i="16"/>
  <c r="K56" i="16"/>
  <c r="J56" i="16"/>
  <c r="I56" i="16"/>
  <c r="H56" i="16"/>
  <c r="L55" i="16"/>
  <c r="K55" i="16"/>
  <c r="J55" i="16"/>
  <c r="I55" i="16"/>
  <c r="H55" i="16"/>
  <c r="L54" i="16"/>
  <c r="K54" i="16"/>
  <c r="J54" i="16"/>
  <c r="I54" i="16"/>
  <c r="H54" i="16"/>
  <c r="L53" i="16"/>
  <c r="K53" i="16"/>
  <c r="J53" i="16"/>
  <c r="I53" i="16"/>
  <c r="H53" i="16"/>
  <c r="L52" i="16"/>
  <c r="K52" i="16"/>
  <c r="J52" i="16"/>
  <c r="I52" i="16"/>
  <c r="H52" i="16"/>
  <c r="L51" i="16"/>
  <c r="K51" i="16"/>
  <c r="J51" i="16"/>
  <c r="I51" i="16"/>
  <c r="H51" i="16"/>
  <c r="L50" i="16"/>
  <c r="K50" i="16"/>
  <c r="J50" i="16"/>
  <c r="I50" i="16"/>
  <c r="H50" i="16"/>
  <c r="L49" i="16"/>
  <c r="K49" i="16"/>
  <c r="J49" i="16"/>
  <c r="I49" i="16"/>
  <c r="H49" i="16"/>
  <c r="L48" i="16"/>
  <c r="K48" i="16"/>
  <c r="J48" i="16"/>
  <c r="I48" i="16"/>
  <c r="H48" i="16"/>
  <c r="L47" i="16"/>
  <c r="K47" i="16"/>
  <c r="J47" i="16"/>
  <c r="I47" i="16"/>
  <c r="H47" i="16"/>
  <c r="L46" i="16"/>
  <c r="K46" i="16"/>
  <c r="J46" i="16"/>
  <c r="I46" i="16"/>
  <c r="H46" i="16"/>
  <c r="L45" i="16"/>
  <c r="K45" i="16"/>
  <c r="J45" i="16"/>
  <c r="I45" i="16"/>
  <c r="H45" i="16"/>
  <c r="L44" i="16"/>
  <c r="K44" i="16"/>
  <c r="J44" i="16"/>
  <c r="I44" i="16"/>
  <c r="H44" i="16"/>
  <c r="L43" i="16"/>
  <c r="K43" i="16"/>
  <c r="J43" i="16"/>
  <c r="I43" i="16"/>
  <c r="H43" i="16"/>
  <c r="L42" i="16"/>
  <c r="K42" i="16"/>
  <c r="J42" i="16"/>
  <c r="I42" i="16"/>
  <c r="H42" i="16"/>
  <c r="L41" i="16"/>
  <c r="K41" i="16"/>
  <c r="J41" i="16"/>
  <c r="I41" i="16"/>
  <c r="H41" i="16"/>
  <c r="L40" i="16"/>
  <c r="K40" i="16"/>
  <c r="J40" i="16"/>
  <c r="I40" i="16"/>
  <c r="H40" i="16"/>
  <c r="L39" i="16"/>
  <c r="K39" i="16"/>
  <c r="J39" i="16"/>
  <c r="I39" i="16"/>
  <c r="H39" i="16"/>
  <c r="L38" i="16"/>
  <c r="K38" i="16"/>
  <c r="J38" i="16"/>
  <c r="I38" i="16"/>
  <c r="H38" i="16"/>
  <c r="L37" i="16"/>
  <c r="K37" i="16"/>
  <c r="J37" i="16"/>
  <c r="I37" i="16"/>
  <c r="H37" i="16"/>
  <c r="L36" i="16"/>
  <c r="K36" i="16"/>
  <c r="J36" i="16"/>
  <c r="I36" i="16"/>
  <c r="H36" i="16"/>
  <c r="L35" i="16"/>
  <c r="K35" i="16"/>
  <c r="J35" i="16"/>
  <c r="I35" i="16"/>
  <c r="H35" i="16"/>
  <c r="L34" i="16"/>
  <c r="K34" i="16"/>
  <c r="J34" i="16"/>
  <c r="I34" i="16"/>
  <c r="H34" i="16"/>
  <c r="L33" i="16"/>
  <c r="K33" i="16"/>
  <c r="J33" i="16"/>
  <c r="I33" i="16"/>
  <c r="H33" i="16"/>
  <c r="L32" i="16"/>
  <c r="K32" i="16"/>
  <c r="J32" i="16"/>
  <c r="I32" i="16"/>
  <c r="H32" i="16"/>
  <c r="L31" i="16"/>
  <c r="K31" i="16"/>
  <c r="J31" i="16"/>
  <c r="I31" i="16"/>
  <c r="H31" i="16"/>
  <c r="L30" i="16"/>
  <c r="K30" i="16"/>
  <c r="J30" i="16"/>
  <c r="I30" i="16"/>
  <c r="H30" i="16"/>
  <c r="L29" i="16"/>
  <c r="K29" i="16"/>
  <c r="J29" i="16"/>
  <c r="I29" i="16"/>
  <c r="AB140" i="16" s="1"/>
  <c r="H29" i="16"/>
  <c r="L28" i="16"/>
  <c r="K28" i="16"/>
  <c r="J28" i="16"/>
  <c r="I28" i="16"/>
  <c r="H28" i="16"/>
  <c r="L27" i="16"/>
  <c r="K27" i="16"/>
  <c r="J27" i="16"/>
  <c r="I27" i="16"/>
  <c r="H27" i="16"/>
  <c r="L26" i="16"/>
  <c r="K26" i="16"/>
  <c r="J26" i="16"/>
  <c r="I26" i="16"/>
  <c r="H26" i="16"/>
  <c r="L25" i="16"/>
  <c r="K25" i="16"/>
  <c r="J25" i="16"/>
  <c r="I25" i="16"/>
  <c r="H25" i="16"/>
  <c r="L24" i="16"/>
  <c r="K24" i="16"/>
  <c r="J24" i="16"/>
  <c r="I24" i="16"/>
  <c r="H24" i="16"/>
  <c r="BD23" i="16"/>
  <c r="BJ154" i="16" s="1"/>
  <c r="AY23" i="16"/>
  <c r="BJ156" i="16" s="1"/>
  <c r="AW23" i="16"/>
  <c r="BH156" i="16" s="1"/>
  <c r="AU23" i="16"/>
  <c r="BF156" i="16" s="1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AX23" i="16" s="1"/>
  <c r="BI156" i="16" s="1"/>
  <c r="X23" i="16"/>
  <c r="W23" i="16"/>
  <c r="V23" i="16"/>
  <c r="U23" i="16"/>
  <c r="T23" i="16"/>
  <c r="S23" i="16"/>
  <c r="R23" i="16"/>
  <c r="Q23" i="16"/>
  <c r="P23" i="16"/>
  <c r="O23" i="16"/>
  <c r="L23" i="16"/>
  <c r="K23" i="16"/>
  <c r="J23" i="16"/>
  <c r="I23" i="16"/>
  <c r="H23" i="16"/>
  <c r="AV22" i="16"/>
  <c r="BA156" i="16" s="1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L22" i="16"/>
  <c r="K22" i="16"/>
  <c r="J22" i="16"/>
  <c r="I22" i="16"/>
  <c r="H22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L21" i="16"/>
  <c r="K21" i="16"/>
  <c r="J21" i="16"/>
  <c r="I21" i="16"/>
  <c r="H21" i="16"/>
  <c r="BD20" i="16"/>
  <c r="AR154" i="16" s="1"/>
  <c r="AX20" i="16"/>
  <c r="AQ156" i="16" s="1"/>
  <c r="AU20" i="16"/>
  <c r="AN156" i="16" s="1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L20" i="16"/>
  <c r="K20" i="16"/>
  <c r="J20" i="16"/>
  <c r="I20" i="16"/>
  <c r="H20" i="16"/>
  <c r="BC19" i="16"/>
  <c r="AK154" i="16" s="1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BD19" i="16" s="1"/>
  <c r="AL154" i="16" s="1"/>
  <c r="O19" i="16"/>
  <c r="L19" i="16"/>
  <c r="K19" i="16"/>
  <c r="J19" i="16"/>
  <c r="I19" i="16"/>
  <c r="H19" i="16"/>
  <c r="AV18" i="16"/>
  <c r="BG135" i="16" s="1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L18" i="16"/>
  <c r="K18" i="16"/>
  <c r="J18" i="16"/>
  <c r="I18" i="16"/>
  <c r="H18" i="16"/>
  <c r="BC17" i="16"/>
  <c r="BC133" i="16" s="1"/>
  <c r="BA17" i="16"/>
  <c r="BA133" i="16" s="1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L17" i="16"/>
  <c r="K17" i="16"/>
  <c r="J17" i="16"/>
  <c r="I17" i="16"/>
  <c r="H17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L16" i="16"/>
  <c r="K16" i="16"/>
  <c r="J16" i="16"/>
  <c r="I16" i="16"/>
  <c r="H16" i="16"/>
  <c r="BA15" i="16"/>
  <c r="AO133" i="16" s="1"/>
  <c r="AZ15" i="16"/>
  <c r="AN133" i="16" s="1"/>
  <c r="AR15" i="16"/>
  <c r="AQ15" i="16"/>
  <c r="AP15" i="16"/>
  <c r="AO15" i="16"/>
  <c r="AN15" i="16"/>
  <c r="AM15" i="16"/>
  <c r="AL15" i="16"/>
  <c r="AK15" i="16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AY15" i="16" s="1"/>
  <c r="AR135" i="16" s="1"/>
  <c r="X15" i="16"/>
  <c r="W15" i="16"/>
  <c r="V15" i="16"/>
  <c r="U15" i="16"/>
  <c r="T15" i="16"/>
  <c r="S15" i="16"/>
  <c r="R15" i="16"/>
  <c r="Q15" i="16"/>
  <c r="P15" i="16"/>
  <c r="O15" i="16"/>
  <c r="L15" i="16"/>
  <c r="K15" i="16"/>
  <c r="J15" i="16"/>
  <c r="I15" i="16"/>
  <c r="G138" i="16" s="1"/>
  <c r="H15" i="16"/>
  <c r="AU14" i="16"/>
  <c r="AR14" i="16"/>
  <c r="AQ14" i="16"/>
  <c r="AP14" i="16"/>
  <c r="AO14" i="16"/>
  <c r="AN14" i="16"/>
  <c r="AM14" i="16"/>
  <c r="AL14" i="16"/>
  <c r="AK14" i="16"/>
  <c r="AJ14" i="16"/>
  <c r="AI14" i="16"/>
  <c r="AH14" i="16"/>
  <c r="AG14" i="16"/>
  <c r="AF14" i="16"/>
  <c r="AE14" i="16"/>
  <c r="AD14" i="16"/>
  <c r="AC14" i="16"/>
  <c r="AB14" i="16"/>
  <c r="AA14" i="16"/>
  <c r="Z14" i="16"/>
  <c r="Y14" i="16"/>
  <c r="X14" i="16"/>
  <c r="W14" i="16"/>
  <c r="V14" i="16"/>
  <c r="AX14" i="16" s="1"/>
  <c r="AK135" i="16" s="1"/>
  <c r="U14" i="16"/>
  <c r="T14" i="16"/>
  <c r="S14" i="16"/>
  <c r="R14" i="16"/>
  <c r="Q14" i="16"/>
  <c r="P14" i="16"/>
  <c r="O14" i="16"/>
  <c r="BA23" i="16" s="1"/>
  <c r="BG154" i="16" s="1"/>
  <c r="L14" i="16"/>
  <c r="K14" i="16"/>
  <c r="J14" i="16"/>
  <c r="I14" i="16"/>
  <c r="H14" i="16"/>
  <c r="BT2" i="16"/>
  <c r="AK130" i="16" s="1"/>
  <c r="AK158" i="10"/>
  <c r="AK156" i="10"/>
  <c r="AI156" i="10"/>
  <c r="BI152" i="10"/>
  <c r="BG152" i="10"/>
  <c r="BC152" i="10"/>
  <c r="BA152" i="10"/>
  <c r="AW152" i="10"/>
  <c r="AU152" i="10"/>
  <c r="AQ152" i="10"/>
  <c r="AO152" i="10"/>
  <c r="AK152" i="10"/>
  <c r="AI152" i="10"/>
  <c r="BI151" i="10"/>
  <c r="BF151" i="10"/>
  <c r="BC151" i="10"/>
  <c r="AZ151" i="10"/>
  <c r="AW151" i="10"/>
  <c r="AT151" i="10"/>
  <c r="AQ151" i="10"/>
  <c r="AN151" i="10"/>
  <c r="AK151" i="10"/>
  <c r="AH151" i="10"/>
  <c r="BJ150" i="10"/>
  <c r="BI150" i="10"/>
  <c r="BH150" i="10"/>
  <c r="BG150" i="10"/>
  <c r="BF150" i="10"/>
  <c r="BD150" i="10"/>
  <c r="BC150" i="10"/>
  <c r="BB150" i="10"/>
  <c r="BA150" i="10"/>
  <c r="AZ150" i="10"/>
  <c r="AX150" i="10"/>
  <c r="AW150" i="10"/>
  <c r="AV150" i="10"/>
  <c r="AU150" i="10"/>
  <c r="AT150" i="10"/>
  <c r="AR150" i="10"/>
  <c r="AQ150" i="10"/>
  <c r="AP150" i="10"/>
  <c r="AO150" i="10"/>
  <c r="AN150" i="10"/>
  <c r="AL150" i="10"/>
  <c r="AK150" i="10"/>
  <c r="AJ150" i="10"/>
  <c r="AI150" i="10"/>
  <c r="AH150" i="10"/>
  <c r="BJ149" i="10"/>
  <c r="BI149" i="10"/>
  <c r="BH149" i="10"/>
  <c r="BG149" i="10"/>
  <c r="BF149" i="10"/>
  <c r="BD149" i="10"/>
  <c r="BC149" i="10"/>
  <c r="BB149" i="10"/>
  <c r="BA149" i="10"/>
  <c r="AZ149" i="10"/>
  <c r="AX149" i="10"/>
  <c r="AW149" i="10"/>
  <c r="AV149" i="10"/>
  <c r="AU149" i="10"/>
  <c r="AT149" i="10"/>
  <c r="AR149" i="10"/>
  <c r="AQ149" i="10"/>
  <c r="AP149" i="10"/>
  <c r="AO149" i="10"/>
  <c r="AN149" i="10"/>
  <c r="AL149" i="10"/>
  <c r="AK149" i="10"/>
  <c r="AJ149" i="10"/>
  <c r="AI149" i="10"/>
  <c r="AH149" i="10"/>
  <c r="AD149" i="10"/>
  <c r="AU158" i="10" s="1"/>
  <c r="BJ148" i="10"/>
  <c r="BI148" i="10"/>
  <c r="BH148" i="10"/>
  <c r="BG148" i="10"/>
  <c r="BF148" i="10"/>
  <c r="BD148" i="10"/>
  <c r="BC148" i="10"/>
  <c r="BB148" i="10"/>
  <c r="BA148" i="10"/>
  <c r="AZ148" i="10"/>
  <c r="AX148" i="10"/>
  <c r="AW148" i="10"/>
  <c r="AV148" i="10"/>
  <c r="AU148" i="10"/>
  <c r="AT148" i="10"/>
  <c r="AR148" i="10"/>
  <c r="AQ148" i="10"/>
  <c r="AP148" i="10"/>
  <c r="AO148" i="10"/>
  <c r="AN148" i="10"/>
  <c r="AL148" i="10"/>
  <c r="AK148" i="10"/>
  <c r="AJ148" i="10"/>
  <c r="AI148" i="10"/>
  <c r="AH148" i="10"/>
  <c r="BJ147" i="10"/>
  <c r="BI147" i="10"/>
  <c r="BH147" i="10"/>
  <c r="BG147" i="10"/>
  <c r="BF147" i="10"/>
  <c r="BD147" i="10"/>
  <c r="BC147" i="10"/>
  <c r="BB147" i="10"/>
  <c r="BA147" i="10"/>
  <c r="AZ147" i="10"/>
  <c r="AX147" i="10"/>
  <c r="AW147" i="10"/>
  <c r="AV147" i="10"/>
  <c r="AU147" i="10"/>
  <c r="AT147" i="10"/>
  <c r="AR147" i="10"/>
  <c r="AQ147" i="10"/>
  <c r="AP147" i="10"/>
  <c r="AO147" i="10"/>
  <c r="AN147" i="10"/>
  <c r="AL147" i="10"/>
  <c r="AK147" i="10"/>
  <c r="AJ147" i="10"/>
  <c r="AI147" i="10"/>
  <c r="AH147" i="10"/>
  <c r="BJ146" i="10"/>
  <c r="BI146" i="10"/>
  <c r="BH146" i="10"/>
  <c r="BG146" i="10"/>
  <c r="BF146" i="10"/>
  <c r="BD146" i="10"/>
  <c r="BC146" i="10"/>
  <c r="BB146" i="10"/>
  <c r="BA146" i="10"/>
  <c r="AZ146" i="10"/>
  <c r="AX146" i="10"/>
  <c r="AW146" i="10"/>
  <c r="AV146" i="10"/>
  <c r="AU146" i="10"/>
  <c r="AT146" i="10"/>
  <c r="AR146" i="10"/>
  <c r="AQ146" i="10"/>
  <c r="AP146" i="10"/>
  <c r="AO146" i="10"/>
  <c r="AN146" i="10"/>
  <c r="AL146" i="10"/>
  <c r="AK146" i="10"/>
  <c r="AJ146" i="10"/>
  <c r="AI146" i="10"/>
  <c r="AH146" i="10"/>
  <c r="BJ145" i="10"/>
  <c r="BI145" i="10"/>
  <c r="BH145" i="10"/>
  <c r="BG145" i="10"/>
  <c r="BF145" i="10"/>
  <c r="BD145" i="10"/>
  <c r="BC145" i="10"/>
  <c r="BB145" i="10"/>
  <c r="BA145" i="10"/>
  <c r="AZ145" i="10"/>
  <c r="AX145" i="10"/>
  <c r="AW145" i="10"/>
  <c r="AV145" i="10"/>
  <c r="AU145" i="10"/>
  <c r="AU151" i="10" s="1"/>
  <c r="AT145" i="10"/>
  <c r="AR145" i="10"/>
  <c r="AQ145" i="10"/>
  <c r="AP145" i="10"/>
  <c r="AO145" i="10"/>
  <c r="AN145" i="10"/>
  <c r="AL145" i="10"/>
  <c r="AK145" i="10"/>
  <c r="AJ145" i="10"/>
  <c r="AI145" i="10"/>
  <c r="AH145" i="10"/>
  <c r="BJ144" i="10"/>
  <c r="BI144" i="10"/>
  <c r="BH144" i="10"/>
  <c r="BG144" i="10"/>
  <c r="BF144" i="10"/>
  <c r="BD144" i="10"/>
  <c r="BC144" i="10"/>
  <c r="BB144" i="10"/>
  <c r="BA144" i="10"/>
  <c r="AZ144" i="10"/>
  <c r="AX144" i="10"/>
  <c r="AW144" i="10"/>
  <c r="AV144" i="10"/>
  <c r="AU144" i="10"/>
  <c r="AT144" i="10"/>
  <c r="AR144" i="10"/>
  <c r="AQ144" i="10"/>
  <c r="AP144" i="10"/>
  <c r="AO144" i="10"/>
  <c r="AN144" i="10"/>
  <c r="AL144" i="10"/>
  <c r="AK144" i="10"/>
  <c r="AJ144" i="10"/>
  <c r="AI144" i="10"/>
  <c r="AH144" i="10"/>
  <c r="BJ143" i="10"/>
  <c r="BI143" i="10"/>
  <c r="BH143" i="10"/>
  <c r="BG143" i="10"/>
  <c r="BF143" i="10"/>
  <c r="BD143" i="10"/>
  <c r="BC143" i="10"/>
  <c r="BB143" i="10"/>
  <c r="BA143" i="10"/>
  <c r="AZ143" i="10"/>
  <c r="AX143" i="10"/>
  <c r="AW143" i="10"/>
  <c r="AV143" i="10"/>
  <c r="AU143" i="10"/>
  <c r="AT143" i="10"/>
  <c r="AR143" i="10"/>
  <c r="AQ143" i="10"/>
  <c r="AP143" i="10"/>
  <c r="AO143" i="10"/>
  <c r="AN143" i="10"/>
  <c r="AL143" i="10"/>
  <c r="AK143" i="10"/>
  <c r="AJ143" i="10"/>
  <c r="AI143" i="10"/>
  <c r="AI151" i="10" s="1"/>
  <c r="AH143" i="10"/>
  <c r="BJ142" i="10"/>
  <c r="BI142" i="10"/>
  <c r="BH142" i="10"/>
  <c r="BG142" i="10"/>
  <c r="BF142" i="10"/>
  <c r="BD142" i="10"/>
  <c r="BC142" i="10"/>
  <c r="BB142" i="10"/>
  <c r="BA142" i="10"/>
  <c r="BA151" i="10" s="1"/>
  <c r="AZ142" i="10"/>
  <c r="AX142" i="10"/>
  <c r="AW142" i="10"/>
  <c r="AV142" i="10"/>
  <c r="AU142" i="10"/>
  <c r="AT142" i="10"/>
  <c r="AR142" i="10"/>
  <c r="AQ142" i="10"/>
  <c r="AP142" i="10"/>
  <c r="AO142" i="10"/>
  <c r="AN142" i="10"/>
  <c r="AL142" i="10"/>
  <c r="AK142" i="10"/>
  <c r="AJ142" i="10"/>
  <c r="AI142" i="10"/>
  <c r="AH142" i="10"/>
  <c r="BJ141" i="10"/>
  <c r="BI141" i="10"/>
  <c r="BH141" i="10"/>
  <c r="BG141" i="10"/>
  <c r="BF141" i="10"/>
  <c r="BD141" i="10"/>
  <c r="BC141" i="10"/>
  <c r="BB141" i="10"/>
  <c r="BA141" i="10"/>
  <c r="AZ141" i="10"/>
  <c r="AX141" i="10"/>
  <c r="AW141" i="10"/>
  <c r="AV141" i="10"/>
  <c r="AU141" i="10"/>
  <c r="AT141" i="10"/>
  <c r="AR141" i="10"/>
  <c r="AQ141" i="10"/>
  <c r="AP141" i="10"/>
  <c r="AO141" i="10"/>
  <c r="AN141" i="10"/>
  <c r="AL141" i="10"/>
  <c r="AK141" i="10"/>
  <c r="AJ141" i="10"/>
  <c r="AI141" i="10"/>
  <c r="AH141" i="10"/>
  <c r="BF139" i="10"/>
  <c r="AZ139" i="10"/>
  <c r="AT139" i="10"/>
  <c r="AO139" i="10"/>
  <c r="AN139" i="10"/>
  <c r="AH139" i="10"/>
  <c r="BF138" i="10"/>
  <c r="AZ138" i="10"/>
  <c r="AT138" i="10"/>
  <c r="AO138" i="10"/>
  <c r="AN138" i="10"/>
  <c r="AH138" i="10"/>
  <c r="BH137" i="10"/>
  <c r="BB137" i="10"/>
  <c r="AV137" i="10"/>
  <c r="AP137" i="10"/>
  <c r="AJ137" i="10"/>
  <c r="AO135" i="10"/>
  <c r="BD133" i="10"/>
  <c r="BI131" i="10"/>
  <c r="BG131" i="10"/>
  <c r="BC131" i="10"/>
  <c r="BA131" i="10"/>
  <c r="AW131" i="10"/>
  <c r="AU131" i="10"/>
  <c r="AQ131" i="10"/>
  <c r="AO131" i="10"/>
  <c r="AK131" i="10"/>
  <c r="AI131" i="10"/>
  <c r="BI130" i="10"/>
  <c r="BF130" i="10"/>
  <c r="BC130" i="10"/>
  <c r="AZ130" i="10"/>
  <c r="AW130" i="10"/>
  <c r="AT130" i="10"/>
  <c r="AQ130" i="10"/>
  <c r="AN130" i="10"/>
  <c r="AK130" i="10"/>
  <c r="AH130" i="10"/>
  <c r="BJ129" i="10"/>
  <c r="BI129" i="10"/>
  <c r="BH129" i="10"/>
  <c r="BG129" i="10"/>
  <c r="BF129" i="10"/>
  <c r="BD129" i="10"/>
  <c r="BC129" i="10"/>
  <c r="BB129" i="10"/>
  <c r="BA129" i="10"/>
  <c r="AZ129" i="10"/>
  <c r="AX129" i="10"/>
  <c r="AW129" i="10"/>
  <c r="AV129" i="10"/>
  <c r="AU129" i="10"/>
  <c r="AT129" i="10"/>
  <c r="AR129" i="10"/>
  <c r="AQ129" i="10"/>
  <c r="AP129" i="10"/>
  <c r="AO129" i="10"/>
  <c r="AN129" i="10"/>
  <c r="AL129" i="10"/>
  <c r="AK129" i="10"/>
  <c r="AJ129" i="10"/>
  <c r="AI129" i="10"/>
  <c r="AH129" i="10"/>
  <c r="BJ128" i="10"/>
  <c r="BI128" i="10"/>
  <c r="BH128" i="10"/>
  <c r="BG128" i="10"/>
  <c r="BF128" i="10"/>
  <c r="BD128" i="10"/>
  <c r="BC128" i="10"/>
  <c r="BB128" i="10"/>
  <c r="BA128" i="10"/>
  <c r="AZ128" i="10"/>
  <c r="AX128" i="10"/>
  <c r="AW128" i="10"/>
  <c r="AV128" i="10"/>
  <c r="AU128" i="10"/>
  <c r="AT128" i="10"/>
  <c r="AR128" i="10"/>
  <c r="AQ128" i="10"/>
  <c r="AP128" i="10"/>
  <c r="AO128" i="10"/>
  <c r="AN128" i="10"/>
  <c r="AL128" i="10"/>
  <c r="AK128" i="10"/>
  <c r="AJ128" i="10"/>
  <c r="AI128" i="10"/>
  <c r="AH128" i="10"/>
  <c r="BJ127" i="10"/>
  <c r="BI127" i="10"/>
  <c r="BH127" i="10"/>
  <c r="BG127" i="10"/>
  <c r="BF127" i="10"/>
  <c r="BD127" i="10"/>
  <c r="BC127" i="10"/>
  <c r="BB127" i="10"/>
  <c r="BA127" i="10"/>
  <c r="AZ127" i="10"/>
  <c r="AX127" i="10"/>
  <c r="AW127" i="10"/>
  <c r="AV127" i="10"/>
  <c r="AU127" i="10"/>
  <c r="AT127" i="10"/>
  <c r="AR127" i="10"/>
  <c r="AQ127" i="10"/>
  <c r="AP127" i="10"/>
  <c r="AO127" i="10"/>
  <c r="AN127" i="10"/>
  <c r="AL127" i="10"/>
  <c r="AK127" i="10"/>
  <c r="AJ127" i="10"/>
  <c r="AI127" i="10"/>
  <c r="AH127" i="10"/>
  <c r="BJ126" i="10"/>
  <c r="BI126" i="10"/>
  <c r="BH126" i="10"/>
  <c r="BG126" i="10"/>
  <c r="BF126" i="10"/>
  <c r="BD126" i="10"/>
  <c r="BC126" i="10"/>
  <c r="BB126" i="10"/>
  <c r="BA126" i="10"/>
  <c r="AZ126" i="10"/>
  <c r="AX126" i="10"/>
  <c r="AW126" i="10"/>
  <c r="AV126" i="10"/>
  <c r="AU126" i="10"/>
  <c r="AT126" i="10"/>
  <c r="AR126" i="10"/>
  <c r="AQ126" i="10"/>
  <c r="AP126" i="10"/>
  <c r="AO126" i="10"/>
  <c r="AN126" i="10"/>
  <c r="AL126" i="10"/>
  <c r="AK126" i="10"/>
  <c r="AJ126" i="10"/>
  <c r="AI126" i="10"/>
  <c r="AH126" i="10"/>
  <c r="BJ125" i="10"/>
  <c r="BI125" i="10"/>
  <c r="BH125" i="10"/>
  <c r="BG125" i="10"/>
  <c r="BF125" i="10"/>
  <c r="BD125" i="10"/>
  <c r="BC125" i="10"/>
  <c r="BB125" i="10"/>
  <c r="BA125" i="10"/>
  <c r="AZ125" i="10"/>
  <c r="AX125" i="10"/>
  <c r="AW125" i="10"/>
  <c r="AV125" i="10"/>
  <c r="AU125" i="10"/>
  <c r="AT125" i="10"/>
  <c r="AR125" i="10"/>
  <c r="AQ125" i="10"/>
  <c r="AP125" i="10"/>
  <c r="AO125" i="10"/>
  <c r="AN125" i="10"/>
  <c r="AL125" i="10"/>
  <c r="AK125" i="10"/>
  <c r="AJ125" i="10"/>
  <c r="AI125" i="10"/>
  <c r="AH125" i="10"/>
  <c r="J125" i="10"/>
  <c r="BJ124" i="10"/>
  <c r="BI124" i="10"/>
  <c r="BH124" i="10"/>
  <c r="BG124" i="10"/>
  <c r="BF124" i="10"/>
  <c r="BD124" i="10"/>
  <c r="BC124" i="10"/>
  <c r="BB124" i="10"/>
  <c r="BA124" i="10"/>
  <c r="AZ124" i="10"/>
  <c r="AX124" i="10"/>
  <c r="AW124" i="10"/>
  <c r="AV124" i="10"/>
  <c r="AU124" i="10"/>
  <c r="AT124" i="10"/>
  <c r="AR124" i="10"/>
  <c r="AQ124" i="10"/>
  <c r="AP124" i="10"/>
  <c r="AO124" i="10"/>
  <c r="AN124" i="10"/>
  <c r="AL124" i="10"/>
  <c r="AK124" i="10"/>
  <c r="AJ124" i="10"/>
  <c r="AI124" i="10"/>
  <c r="AH124" i="10"/>
  <c r="N124" i="10"/>
  <c r="BJ123" i="10"/>
  <c r="BI123" i="10"/>
  <c r="BH123" i="10"/>
  <c r="BG123" i="10"/>
  <c r="BF123" i="10"/>
  <c r="BD123" i="10"/>
  <c r="BC123" i="10"/>
  <c r="BB123" i="10"/>
  <c r="BA130" i="10" s="1"/>
  <c r="BA123" i="10"/>
  <c r="AZ123" i="10"/>
  <c r="AX123" i="10"/>
  <c r="AW123" i="10"/>
  <c r="AV123" i="10"/>
  <c r="AU123" i="10"/>
  <c r="AT123" i="10"/>
  <c r="AR123" i="10"/>
  <c r="AQ123" i="10"/>
  <c r="AP123" i="10"/>
  <c r="AO123" i="10"/>
  <c r="AN123" i="10"/>
  <c r="AL123" i="10"/>
  <c r="AK123" i="10"/>
  <c r="AJ123" i="10"/>
  <c r="AI123" i="10"/>
  <c r="AH123" i="10"/>
  <c r="BJ122" i="10"/>
  <c r="BI122" i="10"/>
  <c r="BH122" i="10"/>
  <c r="BG122" i="10"/>
  <c r="BF122" i="10"/>
  <c r="BD122" i="10"/>
  <c r="BC122" i="10"/>
  <c r="BB122" i="10"/>
  <c r="BA122" i="10"/>
  <c r="AZ122" i="10"/>
  <c r="AX122" i="10"/>
  <c r="AW122" i="10"/>
  <c r="AV122" i="10"/>
  <c r="AU122" i="10"/>
  <c r="AT122" i="10"/>
  <c r="AR122" i="10"/>
  <c r="AQ122" i="10"/>
  <c r="AP122" i="10"/>
  <c r="AO122" i="10"/>
  <c r="AN122" i="10"/>
  <c r="AL122" i="10"/>
  <c r="AK122" i="10"/>
  <c r="AJ122" i="10"/>
  <c r="AI122" i="10"/>
  <c r="AH122" i="10"/>
  <c r="BJ121" i="10"/>
  <c r="BI121" i="10"/>
  <c r="BH121" i="10"/>
  <c r="BG121" i="10"/>
  <c r="BF121" i="10"/>
  <c r="BD121" i="10"/>
  <c r="BC121" i="10"/>
  <c r="BB121" i="10"/>
  <c r="BA121" i="10"/>
  <c r="AZ121" i="10"/>
  <c r="AX121" i="10"/>
  <c r="AW121" i="10"/>
  <c r="AV121" i="10"/>
  <c r="AU121" i="10"/>
  <c r="AT121" i="10"/>
  <c r="AR121" i="10"/>
  <c r="AQ121" i="10"/>
  <c r="AP121" i="10"/>
  <c r="AO121" i="10"/>
  <c r="AN121" i="10"/>
  <c r="AL121" i="10"/>
  <c r="AK121" i="10"/>
  <c r="AJ121" i="10"/>
  <c r="AI121" i="10"/>
  <c r="AH121" i="10"/>
  <c r="BJ120" i="10"/>
  <c r="BI120" i="10"/>
  <c r="BH120" i="10"/>
  <c r="BG120" i="10"/>
  <c r="BF120" i="10"/>
  <c r="BD120" i="10"/>
  <c r="BC120" i="10"/>
  <c r="BB120" i="10"/>
  <c r="BA120" i="10"/>
  <c r="AZ120" i="10"/>
  <c r="AX120" i="10"/>
  <c r="AW120" i="10"/>
  <c r="AV120" i="10"/>
  <c r="AU130" i="10" s="1"/>
  <c r="AU120" i="10"/>
  <c r="AT120" i="10"/>
  <c r="AR120" i="10"/>
  <c r="AQ120" i="10"/>
  <c r="AP120" i="10"/>
  <c r="AO120" i="10"/>
  <c r="AN120" i="10"/>
  <c r="AL120" i="10"/>
  <c r="AK120" i="10"/>
  <c r="AJ120" i="10"/>
  <c r="AI130" i="10" s="1"/>
  <c r="AI120" i="10"/>
  <c r="AH120" i="10"/>
  <c r="C119" i="10"/>
  <c r="BF118" i="10"/>
  <c r="AZ118" i="10"/>
  <c r="AT118" i="10"/>
  <c r="AN118" i="10"/>
  <c r="AH118" i="10"/>
  <c r="BF117" i="10"/>
  <c r="AZ117" i="10"/>
  <c r="AT117" i="10"/>
  <c r="AN117" i="10"/>
  <c r="AH117" i="10"/>
  <c r="BH116" i="10"/>
  <c r="BB116" i="10"/>
  <c r="AV116" i="10"/>
  <c r="AP116" i="10"/>
  <c r="AJ116" i="10"/>
  <c r="L113" i="10"/>
  <c r="K113" i="10"/>
  <c r="J113" i="10"/>
  <c r="I113" i="10"/>
  <c r="H113" i="10"/>
  <c r="L112" i="10"/>
  <c r="K112" i="10"/>
  <c r="J112" i="10"/>
  <c r="I112" i="10"/>
  <c r="H112" i="10"/>
  <c r="L111" i="10"/>
  <c r="K111" i="10"/>
  <c r="J111" i="10"/>
  <c r="I111" i="10"/>
  <c r="H111" i="10"/>
  <c r="L110" i="10"/>
  <c r="K110" i="10"/>
  <c r="J110" i="10"/>
  <c r="I110" i="10"/>
  <c r="H110" i="10"/>
  <c r="L109" i="10"/>
  <c r="K109" i="10"/>
  <c r="J109" i="10"/>
  <c r="I109" i="10"/>
  <c r="H109" i="10"/>
  <c r="L108" i="10"/>
  <c r="K108" i="10"/>
  <c r="J108" i="10"/>
  <c r="I108" i="10"/>
  <c r="H108" i="10"/>
  <c r="L107" i="10"/>
  <c r="K107" i="10"/>
  <c r="J107" i="10"/>
  <c r="I107" i="10"/>
  <c r="H107" i="10"/>
  <c r="L106" i="10"/>
  <c r="K106" i="10"/>
  <c r="J106" i="10"/>
  <c r="I106" i="10"/>
  <c r="H106" i="10"/>
  <c r="L105" i="10"/>
  <c r="K105" i="10"/>
  <c r="J105" i="10"/>
  <c r="I105" i="10"/>
  <c r="H105" i="10"/>
  <c r="L104" i="10"/>
  <c r="K104" i="10"/>
  <c r="J104" i="10"/>
  <c r="I104" i="10"/>
  <c r="H104" i="10"/>
  <c r="L103" i="10"/>
  <c r="K103" i="10"/>
  <c r="J103" i="10"/>
  <c r="I103" i="10"/>
  <c r="H103" i="10"/>
  <c r="L102" i="10"/>
  <c r="K102" i="10"/>
  <c r="J102" i="10"/>
  <c r="I102" i="10"/>
  <c r="H102" i="10"/>
  <c r="L101" i="10"/>
  <c r="K101" i="10"/>
  <c r="J101" i="10"/>
  <c r="I101" i="10"/>
  <c r="H101" i="10"/>
  <c r="L100" i="10"/>
  <c r="K100" i="10"/>
  <c r="J100" i="10"/>
  <c r="I100" i="10"/>
  <c r="H100" i="10"/>
  <c r="L99" i="10"/>
  <c r="K99" i="10"/>
  <c r="J99" i="10"/>
  <c r="I99" i="10"/>
  <c r="H99" i="10"/>
  <c r="L98" i="10"/>
  <c r="K98" i="10"/>
  <c r="J98" i="10"/>
  <c r="I98" i="10"/>
  <c r="H98" i="10"/>
  <c r="L97" i="10"/>
  <c r="K97" i="10"/>
  <c r="J97" i="10"/>
  <c r="I97" i="10"/>
  <c r="H97" i="10"/>
  <c r="L96" i="10"/>
  <c r="K96" i="10"/>
  <c r="J96" i="10"/>
  <c r="I96" i="10"/>
  <c r="H96" i="10"/>
  <c r="L95" i="10"/>
  <c r="K95" i="10"/>
  <c r="J95" i="10"/>
  <c r="I95" i="10"/>
  <c r="H95" i="10"/>
  <c r="L94" i="10"/>
  <c r="K94" i="10"/>
  <c r="J94" i="10"/>
  <c r="I94" i="10"/>
  <c r="H94" i="10"/>
  <c r="L93" i="10"/>
  <c r="K93" i="10"/>
  <c r="J93" i="10"/>
  <c r="I93" i="10"/>
  <c r="H93" i="10"/>
  <c r="L92" i="10"/>
  <c r="K92" i="10"/>
  <c r="J92" i="10"/>
  <c r="I92" i="10"/>
  <c r="H92" i="10"/>
  <c r="L91" i="10"/>
  <c r="K91" i="10"/>
  <c r="J91" i="10"/>
  <c r="I91" i="10"/>
  <c r="H91" i="10"/>
  <c r="L90" i="10"/>
  <c r="K90" i="10"/>
  <c r="J90" i="10"/>
  <c r="I90" i="10"/>
  <c r="H90" i="10"/>
  <c r="L89" i="10"/>
  <c r="K89" i="10"/>
  <c r="J89" i="10"/>
  <c r="I89" i="10"/>
  <c r="H89" i="10"/>
  <c r="L88" i="10"/>
  <c r="K88" i="10"/>
  <c r="J88" i="10"/>
  <c r="I88" i="10"/>
  <c r="H88" i="10"/>
  <c r="L87" i="10"/>
  <c r="K87" i="10"/>
  <c r="J87" i="10"/>
  <c r="I87" i="10"/>
  <c r="H87" i="10"/>
  <c r="L86" i="10"/>
  <c r="K86" i="10"/>
  <c r="J86" i="10"/>
  <c r="I86" i="10"/>
  <c r="H86" i="10"/>
  <c r="L85" i="10"/>
  <c r="K85" i="10"/>
  <c r="J85" i="10"/>
  <c r="I85" i="10"/>
  <c r="H85" i="10"/>
  <c r="L84" i="10"/>
  <c r="K84" i="10"/>
  <c r="J84" i="10"/>
  <c r="I84" i="10"/>
  <c r="H84" i="10"/>
  <c r="L83" i="10"/>
  <c r="K83" i="10"/>
  <c r="J83" i="10"/>
  <c r="I83" i="10"/>
  <c r="H83" i="10"/>
  <c r="L82" i="10"/>
  <c r="K82" i="10"/>
  <c r="J82" i="10"/>
  <c r="I82" i="10"/>
  <c r="H82" i="10"/>
  <c r="L81" i="10"/>
  <c r="K81" i="10"/>
  <c r="J81" i="10"/>
  <c r="I81" i="10"/>
  <c r="H81" i="10"/>
  <c r="L80" i="10"/>
  <c r="K80" i="10"/>
  <c r="J80" i="10"/>
  <c r="I80" i="10"/>
  <c r="H80" i="10"/>
  <c r="L79" i="10"/>
  <c r="K79" i="10"/>
  <c r="J79" i="10"/>
  <c r="I79" i="10"/>
  <c r="H79" i="10"/>
  <c r="L78" i="10"/>
  <c r="K78" i="10"/>
  <c r="J78" i="10"/>
  <c r="I78" i="10"/>
  <c r="H78" i="10"/>
  <c r="L77" i="10"/>
  <c r="K77" i="10"/>
  <c r="J77" i="10"/>
  <c r="I77" i="10"/>
  <c r="H77" i="10"/>
  <c r="L76" i="10"/>
  <c r="K76" i="10"/>
  <c r="J76" i="10"/>
  <c r="I76" i="10"/>
  <c r="H76" i="10"/>
  <c r="L75" i="10"/>
  <c r="K75" i="10"/>
  <c r="J75" i="10"/>
  <c r="I75" i="10"/>
  <c r="H75" i="10"/>
  <c r="L74" i="10"/>
  <c r="K74" i="10"/>
  <c r="J74" i="10"/>
  <c r="I74" i="10"/>
  <c r="H74" i="10"/>
  <c r="L73" i="10"/>
  <c r="K73" i="10"/>
  <c r="J73" i="10"/>
  <c r="I73" i="10"/>
  <c r="H73" i="10"/>
  <c r="L72" i="10"/>
  <c r="K72" i="10"/>
  <c r="J72" i="10"/>
  <c r="I72" i="10"/>
  <c r="H72" i="10"/>
  <c r="L71" i="10"/>
  <c r="K71" i="10"/>
  <c r="J71" i="10"/>
  <c r="I71" i="10"/>
  <c r="H71" i="10"/>
  <c r="L70" i="10"/>
  <c r="K70" i="10"/>
  <c r="J70" i="10"/>
  <c r="I70" i="10"/>
  <c r="H70" i="10"/>
  <c r="L69" i="10"/>
  <c r="K69" i="10"/>
  <c r="J69" i="10"/>
  <c r="I69" i="10"/>
  <c r="H69" i="10"/>
  <c r="L68" i="10"/>
  <c r="K68" i="10"/>
  <c r="J68" i="10"/>
  <c r="I68" i="10"/>
  <c r="H68" i="10"/>
  <c r="L67" i="10"/>
  <c r="K67" i="10"/>
  <c r="J67" i="10"/>
  <c r="I67" i="10"/>
  <c r="H67" i="10"/>
  <c r="L66" i="10"/>
  <c r="K66" i="10"/>
  <c r="J66" i="10"/>
  <c r="I66" i="10"/>
  <c r="H66" i="10"/>
  <c r="L65" i="10"/>
  <c r="K65" i="10"/>
  <c r="J65" i="10"/>
  <c r="I65" i="10"/>
  <c r="H65" i="10"/>
  <c r="L64" i="10"/>
  <c r="K64" i="10"/>
  <c r="J64" i="10"/>
  <c r="I64" i="10"/>
  <c r="H64" i="10"/>
  <c r="L63" i="10"/>
  <c r="K63" i="10"/>
  <c r="J63" i="10"/>
  <c r="I63" i="10"/>
  <c r="H63" i="10"/>
  <c r="L62" i="10"/>
  <c r="K62" i="10"/>
  <c r="J62" i="10"/>
  <c r="I62" i="10"/>
  <c r="H62" i="10"/>
  <c r="L61" i="10"/>
  <c r="K61" i="10"/>
  <c r="J61" i="10"/>
  <c r="I61" i="10"/>
  <c r="H61" i="10"/>
  <c r="L60" i="10"/>
  <c r="K60" i="10"/>
  <c r="J60" i="10"/>
  <c r="I60" i="10"/>
  <c r="H60" i="10"/>
  <c r="L59" i="10"/>
  <c r="K59" i="10"/>
  <c r="J59" i="10"/>
  <c r="I59" i="10"/>
  <c r="H59" i="10"/>
  <c r="L58" i="10"/>
  <c r="K58" i="10"/>
  <c r="J58" i="10"/>
  <c r="I58" i="10"/>
  <c r="H58" i="10"/>
  <c r="L57" i="10"/>
  <c r="K57" i="10"/>
  <c r="J57" i="10"/>
  <c r="I57" i="10"/>
  <c r="H57" i="10"/>
  <c r="L56" i="10"/>
  <c r="K56" i="10"/>
  <c r="J56" i="10"/>
  <c r="I56" i="10"/>
  <c r="H56" i="10"/>
  <c r="L55" i="10"/>
  <c r="K55" i="10"/>
  <c r="J55" i="10"/>
  <c r="I55" i="10"/>
  <c r="H55" i="10"/>
  <c r="L54" i="10"/>
  <c r="K54" i="10"/>
  <c r="J54" i="10"/>
  <c r="I54" i="10"/>
  <c r="H54" i="10"/>
  <c r="L53" i="10"/>
  <c r="K53" i="10"/>
  <c r="J53" i="10"/>
  <c r="I53" i="10"/>
  <c r="H53" i="10"/>
  <c r="L52" i="10"/>
  <c r="K52" i="10"/>
  <c r="J52" i="10"/>
  <c r="I52" i="10"/>
  <c r="H52" i="10"/>
  <c r="L51" i="10"/>
  <c r="K51" i="10"/>
  <c r="J51" i="10"/>
  <c r="I51" i="10"/>
  <c r="H51" i="10"/>
  <c r="L50" i="10"/>
  <c r="K50" i="10"/>
  <c r="J50" i="10"/>
  <c r="I50" i="10"/>
  <c r="H50" i="10"/>
  <c r="L49" i="10"/>
  <c r="K49" i="10"/>
  <c r="J49" i="10"/>
  <c r="I49" i="10"/>
  <c r="H49" i="10"/>
  <c r="L48" i="10"/>
  <c r="K48" i="10"/>
  <c r="J48" i="10"/>
  <c r="I48" i="10"/>
  <c r="H48" i="10"/>
  <c r="L47" i="10"/>
  <c r="K47" i="10"/>
  <c r="J47" i="10"/>
  <c r="I47" i="10"/>
  <c r="H47" i="10"/>
  <c r="L46" i="10"/>
  <c r="K46" i="10"/>
  <c r="J46" i="10"/>
  <c r="I46" i="10"/>
  <c r="H46" i="10"/>
  <c r="L45" i="10"/>
  <c r="K45" i="10"/>
  <c r="J45" i="10"/>
  <c r="I45" i="10"/>
  <c r="H45" i="10"/>
  <c r="L44" i="10"/>
  <c r="K44" i="10"/>
  <c r="J44" i="10"/>
  <c r="I44" i="10"/>
  <c r="H44" i="10"/>
  <c r="L43" i="10"/>
  <c r="K43" i="10"/>
  <c r="J43" i="10"/>
  <c r="I43" i="10"/>
  <c r="H43" i="10"/>
  <c r="L42" i="10"/>
  <c r="K42" i="10"/>
  <c r="J42" i="10"/>
  <c r="I42" i="10"/>
  <c r="H42" i="10"/>
  <c r="L41" i="10"/>
  <c r="K41" i="10"/>
  <c r="J41" i="10"/>
  <c r="I41" i="10"/>
  <c r="H41" i="10"/>
  <c r="L40" i="10"/>
  <c r="K40" i="10"/>
  <c r="J40" i="10"/>
  <c r="I40" i="10"/>
  <c r="H40" i="10"/>
  <c r="L39" i="10"/>
  <c r="K39" i="10"/>
  <c r="J39" i="10"/>
  <c r="I39" i="10"/>
  <c r="H39" i="10"/>
  <c r="L38" i="10"/>
  <c r="K38" i="10"/>
  <c r="J38" i="10"/>
  <c r="I38" i="10"/>
  <c r="H38" i="10"/>
  <c r="L37" i="10"/>
  <c r="K37" i="10"/>
  <c r="J37" i="10"/>
  <c r="I37" i="10"/>
  <c r="H37" i="10"/>
  <c r="L36" i="10"/>
  <c r="K36" i="10"/>
  <c r="J36" i="10"/>
  <c r="I36" i="10"/>
  <c r="H36" i="10"/>
  <c r="L35" i="10"/>
  <c r="K35" i="10"/>
  <c r="J35" i="10"/>
  <c r="I35" i="10"/>
  <c r="H35" i="10"/>
  <c r="L34" i="10"/>
  <c r="K34" i="10"/>
  <c r="J34" i="10"/>
  <c r="I34" i="10"/>
  <c r="H34" i="10"/>
  <c r="L33" i="10"/>
  <c r="K33" i="10"/>
  <c r="J33" i="10"/>
  <c r="I33" i="10"/>
  <c r="H33" i="10"/>
  <c r="L32" i="10"/>
  <c r="K32" i="10"/>
  <c r="J32" i="10"/>
  <c r="I32" i="10"/>
  <c r="H32" i="10"/>
  <c r="L31" i="10"/>
  <c r="K31" i="10"/>
  <c r="J31" i="10"/>
  <c r="I31" i="10"/>
  <c r="H31" i="10"/>
  <c r="L30" i="10"/>
  <c r="K30" i="10"/>
  <c r="J30" i="10"/>
  <c r="I30" i="10"/>
  <c r="H30" i="10"/>
  <c r="L29" i="10"/>
  <c r="K29" i="10"/>
  <c r="J29" i="10"/>
  <c r="I29" i="10"/>
  <c r="H29" i="10"/>
  <c r="L28" i="10"/>
  <c r="K28" i="10"/>
  <c r="J28" i="10"/>
  <c r="I28" i="10"/>
  <c r="H28" i="10"/>
  <c r="L27" i="10"/>
  <c r="K27" i="10"/>
  <c r="J27" i="10"/>
  <c r="I27" i="10"/>
  <c r="H27" i="10"/>
  <c r="L26" i="10"/>
  <c r="K26" i="10"/>
  <c r="J26" i="10"/>
  <c r="I26" i="10"/>
  <c r="H26" i="10"/>
  <c r="L25" i="10"/>
  <c r="K25" i="10"/>
  <c r="J25" i="10"/>
  <c r="I25" i="10"/>
  <c r="H25" i="10"/>
  <c r="L24" i="10"/>
  <c r="K24" i="10"/>
  <c r="J24" i="10"/>
  <c r="I24" i="10"/>
  <c r="H24" i="10"/>
  <c r="BC23" i="10"/>
  <c r="BI154" i="10" s="1"/>
  <c r="BB23" i="10"/>
  <c r="BH154" i="10" s="1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L23" i="10"/>
  <c r="K23" i="10"/>
  <c r="J23" i="10"/>
  <c r="I23" i="10"/>
  <c r="H23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AU22" i="10" s="1"/>
  <c r="AZ156" i="10" s="1"/>
  <c r="R22" i="10"/>
  <c r="Q22" i="10"/>
  <c r="P22" i="10"/>
  <c r="O22" i="10"/>
  <c r="L22" i="10"/>
  <c r="K22" i="10"/>
  <c r="J22" i="10"/>
  <c r="I22" i="10"/>
  <c r="H22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L21" i="10"/>
  <c r="K21" i="10"/>
  <c r="J21" i="10"/>
  <c r="I21" i="10"/>
  <c r="H21" i="10"/>
  <c r="BD20" i="10"/>
  <c r="AR154" i="10" s="1"/>
  <c r="BC20" i="10"/>
  <c r="AQ154" i="10" s="1"/>
  <c r="BB20" i="10"/>
  <c r="AP154" i="10" s="1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L20" i="10"/>
  <c r="K20" i="10"/>
  <c r="J20" i="10"/>
  <c r="I20" i="10"/>
  <c r="H20" i="10"/>
  <c r="AY19" i="10"/>
  <c r="AL156" i="10" s="1"/>
  <c r="AX19" i="10"/>
  <c r="AV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BD19" i="10" s="1"/>
  <c r="AL154" i="10" s="1"/>
  <c r="U19" i="10"/>
  <c r="T19" i="10"/>
  <c r="S19" i="10"/>
  <c r="R19" i="10"/>
  <c r="Q19" i="10"/>
  <c r="P19" i="10"/>
  <c r="AU19" i="10" s="1"/>
  <c r="AH156" i="10" s="1"/>
  <c r="O19" i="10"/>
  <c r="L19" i="10"/>
  <c r="K19" i="10"/>
  <c r="J19" i="10"/>
  <c r="I19" i="10"/>
  <c r="H19" i="10"/>
  <c r="AU18" i="10"/>
  <c r="BF135" i="10" s="1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AW18" i="10" s="1"/>
  <c r="BH135" i="10" s="1"/>
  <c r="U18" i="10"/>
  <c r="T18" i="10"/>
  <c r="S18" i="10"/>
  <c r="R18" i="10"/>
  <c r="Q18" i="10"/>
  <c r="P18" i="10"/>
  <c r="O18" i="10"/>
  <c r="L18" i="10"/>
  <c r="K18" i="10"/>
  <c r="J18" i="10"/>
  <c r="I18" i="10"/>
  <c r="H18" i="10"/>
  <c r="BD17" i="10"/>
  <c r="BC17" i="10"/>
  <c r="BC133" i="10" s="1"/>
  <c r="AX17" i="10"/>
  <c r="BC135" i="10" s="1"/>
  <c r="AW17" i="10"/>
  <c r="BB135" i="10" s="1"/>
  <c r="AU17" i="10"/>
  <c r="AZ135" i="10" s="1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L17" i="10"/>
  <c r="K17" i="10"/>
  <c r="J17" i="10"/>
  <c r="I17" i="10"/>
  <c r="H17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L16" i="10"/>
  <c r="K16" i="10"/>
  <c r="J16" i="10"/>
  <c r="I16" i="10"/>
  <c r="H16" i="10"/>
  <c r="AV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BD15" i="10" s="1"/>
  <c r="AR133" i="10" s="1"/>
  <c r="U15" i="10"/>
  <c r="T15" i="10"/>
  <c r="S15" i="10"/>
  <c r="R15" i="10"/>
  <c r="Q15" i="10"/>
  <c r="P15" i="10"/>
  <c r="O15" i="10"/>
  <c r="L15" i="10"/>
  <c r="K15" i="10"/>
  <c r="J15" i="10"/>
  <c r="I15" i="10"/>
  <c r="H15" i="10"/>
  <c r="AZ14" i="10"/>
  <c r="AH133" i="10" s="1"/>
  <c r="AX14" i="10"/>
  <c r="AK135" i="10" s="1"/>
  <c r="AU14" i="10"/>
  <c r="AH135" i="10" s="1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BB22" i="10" s="1"/>
  <c r="BB154" i="10" s="1"/>
  <c r="W14" i="10"/>
  <c r="V14" i="10"/>
  <c r="U14" i="10"/>
  <c r="T14" i="10"/>
  <c r="S14" i="10"/>
  <c r="R14" i="10"/>
  <c r="Q14" i="10"/>
  <c r="P14" i="10"/>
  <c r="O14" i="10"/>
  <c r="L14" i="10"/>
  <c r="K14" i="10"/>
  <c r="J14" i="10"/>
  <c r="I14" i="10"/>
  <c r="H14" i="10"/>
  <c r="BT2" i="10"/>
  <c r="AU158" i="8"/>
  <c r="AK158" i="8"/>
  <c r="AU156" i="8"/>
  <c r="AT156" i="8"/>
  <c r="BI152" i="8"/>
  <c r="BG152" i="8"/>
  <c r="BC152" i="8"/>
  <c r="BA152" i="8"/>
  <c r="AW152" i="8"/>
  <c r="AU152" i="8"/>
  <c r="AQ152" i="8"/>
  <c r="AO152" i="8"/>
  <c r="AK152" i="8"/>
  <c r="AI152" i="8"/>
  <c r="BI151" i="8"/>
  <c r="BF151" i="8"/>
  <c r="BC151" i="8"/>
  <c r="AZ151" i="8"/>
  <c r="AW151" i="8"/>
  <c r="AT151" i="8"/>
  <c r="AQ151" i="8"/>
  <c r="AO151" i="8"/>
  <c r="AN151" i="8"/>
  <c r="AK151" i="8"/>
  <c r="AH151" i="8"/>
  <c r="BJ150" i="8"/>
  <c r="BI150" i="8"/>
  <c r="BH150" i="8"/>
  <c r="BG150" i="8"/>
  <c r="BF150" i="8"/>
  <c r="BD150" i="8"/>
  <c r="BC150" i="8"/>
  <c r="BB150" i="8"/>
  <c r="BA150" i="8"/>
  <c r="AZ150" i="8"/>
  <c r="AX150" i="8"/>
  <c r="AW150" i="8"/>
  <c r="AV150" i="8"/>
  <c r="AU150" i="8"/>
  <c r="AT150" i="8"/>
  <c r="AR150" i="8"/>
  <c r="AQ150" i="8"/>
  <c r="AP150" i="8"/>
  <c r="AO150" i="8"/>
  <c r="AN150" i="8"/>
  <c r="AL150" i="8"/>
  <c r="AK150" i="8"/>
  <c r="AJ150" i="8"/>
  <c r="AI150" i="8"/>
  <c r="AH150" i="8"/>
  <c r="BJ149" i="8"/>
  <c r="BI149" i="8"/>
  <c r="BH149" i="8"/>
  <c r="BG149" i="8"/>
  <c r="BF149" i="8"/>
  <c r="BD149" i="8"/>
  <c r="BC149" i="8"/>
  <c r="BB149" i="8"/>
  <c r="BA149" i="8"/>
  <c r="AZ149" i="8"/>
  <c r="AX149" i="8"/>
  <c r="AW149" i="8"/>
  <c r="AV149" i="8"/>
  <c r="AU149" i="8"/>
  <c r="AT149" i="8"/>
  <c r="AR149" i="8"/>
  <c r="AQ149" i="8"/>
  <c r="AP149" i="8"/>
  <c r="AO149" i="8"/>
  <c r="AN149" i="8"/>
  <c r="AL149" i="8"/>
  <c r="AK149" i="8"/>
  <c r="AJ149" i="8"/>
  <c r="AI149" i="8"/>
  <c r="AH149" i="8"/>
  <c r="AD149" i="8"/>
  <c r="BJ148" i="8"/>
  <c r="BI148" i="8"/>
  <c r="BH148" i="8"/>
  <c r="BG148" i="8"/>
  <c r="BF148" i="8"/>
  <c r="BD148" i="8"/>
  <c r="BC148" i="8"/>
  <c r="BB148" i="8"/>
  <c r="BA148" i="8"/>
  <c r="AZ148" i="8"/>
  <c r="AX148" i="8"/>
  <c r="AW148" i="8"/>
  <c r="AV148" i="8"/>
  <c r="AU148" i="8"/>
  <c r="AT148" i="8"/>
  <c r="AR148" i="8"/>
  <c r="AQ148" i="8"/>
  <c r="AP148" i="8"/>
  <c r="AO148" i="8"/>
  <c r="AN148" i="8"/>
  <c r="AL148" i="8"/>
  <c r="AK148" i="8"/>
  <c r="AJ148" i="8"/>
  <c r="AI148" i="8"/>
  <c r="AH148" i="8"/>
  <c r="BJ147" i="8"/>
  <c r="BI147" i="8"/>
  <c r="BH147" i="8"/>
  <c r="BG147" i="8"/>
  <c r="BF147" i="8"/>
  <c r="BD147" i="8"/>
  <c r="BC147" i="8"/>
  <c r="BB147" i="8"/>
  <c r="BA147" i="8"/>
  <c r="AZ147" i="8"/>
  <c r="AX147" i="8"/>
  <c r="AW147" i="8"/>
  <c r="AV147" i="8"/>
  <c r="AU147" i="8"/>
  <c r="AT147" i="8"/>
  <c r="AR147" i="8"/>
  <c r="AQ147" i="8"/>
  <c r="AP147" i="8"/>
  <c r="AO147" i="8"/>
  <c r="AN147" i="8"/>
  <c r="AL147" i="8"/>
  <c r="AK147" i="8"/>
  <c r="AJ147" i="8"/>
  <c r="AI147" i="8"/>
  <c r="AH147" i="8"/>
  <c r="BJ146" i="8"/>
  <c r="BI146" i="8"/>
  <c r="BH146" i="8"/>
  <c r="BG146" i="8"/>
  <c r="BF146" i="8"/>
  <c r="BD146" i="8"/>
  <c r="BC146" i="8"/>
  <c r="BB146" i="8"/>
  <c r="BA146" i="8"/>
  <c r="AZ146" i="8"/>
  <c r="AX146" i="8"/>
  <c r="AW146" i="8"/>
  <c r="AV146" i="8"/>
  <c r="AU146" i="8"/>
  <c r="AU151" i="8" s="1"/>
  <c r="AT146" i="8"/>
  <c r="AR146" i="8"/>
  <c r="AQ146" i="8"/>
  <c r="AP146" i="8"/>
  <c r="AO146" i="8"/>
  <c r="AN146" i="8"/>
  <c r="AL146" i="8"/>
  <c r="AK146" i="8"/>
  <c r="AJ146" i="8"/>
  <c r="AI146" i="8"/>
  <c r="AH146" i="8"/>
  <c r="BJ145" i="8"/>
  <c r="BI145" i="8"/>
  <c r="BH145" i="8"/>
  <c r="BG145" i="8"/>
  <c r="BF145" i="8"/>
  <c r="BD145" i="8"/>
  <c r="BC145" i="8"/>
  <c r="BB145" i="8"/>
  <c r="BA145" i="8"/>
  <c r="AZ145" i="8"/>
  <c r="AX145" i="8"/>
  <c r="AW145" i="8"/>
  <c r="AV145" i="8"/>
  <c r="AU145" i="8"/>
  <c r="AT145" i="8"/>
  <c r="AR145" i="8"/>
  <c r="AQ145" i="8"/>
  <c r="AP145" i="8"/>
  <c r="AO145" i="8"/>
  <c r="AN145" i="8"/>
  <c r="AL145" i="8"/>
  <c r="AK145" i="8"/>
  <c r="AJ145" i="8"/>
  <c r="AI145" i="8"/>
  <c r="AH145" i="8"/>
  <c r="BJ144" i="8"/>
  <c r="BI144" i="8"/>
  <c r="BH144" i="8"/>
  <c r="BG144" i="8"/>
  <c r="BF144" i="8"/>
  <c r="BD144" i="8"/>
  <c r="BC144" i="8"/>
  <c r="BB144" i="8"/>
  <c r="BA144" i="8"/>
  <c r="AZ144" i="8"/>
  <c r="AX144" i="8"/>
  <c r="AW144" i="8"/>
  <c r="AV144" i="8"/>
  <c r="AU144" i="8"/>
  <c r="AT144" i="8"/>
  <c r="AR144" i="8"/>
  <c r="AQ144" i="8"/>
  <c r="AP144" i="8"/>
  <c r="AO144" i="8"/>
  <c r="AN144" i="8"/>
  <c r="AL144" i="8"/>
  <c r="AK144" i="8"/>
  <c r="AJ144" i="8"/>
  <c r="AI144" i="8"/>
  <c r="AH144" i="8"/>
  <c r="BJ143" i="8"/>
  <c r="BI143" i="8"/>
  <c r="BH143" i="8"/>
  <c r="BG143" i="8"/>
  <c r="BF143" i="8"/>
  <c r="BD143" i="8"/>
  <c r="BC143" i="8"/>
  <c r="BB143" i="8"/>
  <c r="BA143" i="8"/>
  <c r="AZ143" i="8"/>
  <c r="AX143" i="8"/>
  <c r="AW143" i="8"/>
  <c r="AV143" i="8"/>
  <c r="AU143" i="8"/>
  <c r="AT143" i="8"/>
  <c r="AR143" i="8"/>
  <c r="AQ143" i="8"/>
  <c r="AP143" i="8"/>
  <c r="AO143" i="8"/>
  <c r="AN143" i="8"/>
  <c r="AL143" i="8"/>
  <c r="AK143" i="8"/>
  <c r="AJ143" i="8"/>
  <c r="AI143" i="8"/>
  <c r="AH143" i="8"/>
  <c r="BJ142" i="8"/>
  <c r="BI142" i="8"/>
  <c r="BH142" i="8"/>
  <c r="BG142" i="8"/>
  <c r="BF142" i="8"/>
  <c r="BD142" i="8"/>
  <c r="BC142" i="8"/>
  <c r="BB142" i="8"/>
  <c r="BA142" i="8"/>
  <c r="AZ142" i="8"/>
  <c r="AX142" i="8"/>
  <c r="AW142" i="8"/>
  <c r="AV142" i="8"/>
  <c r="AU142" i="8"/>
  <c r="AT142" i="8"/>
  <c r="AR142" i="8"/>
  <c r="AQ142" i="8"/>
  <c r="AP142" i="8"/>
  <c r="AO142" i="8"/>
  <c r="AN142" i="8"/>
  <c r="AL142" i="8"/>
  <c r="AK142" i="8"/>
  <c r="AJ142" i="8"/>
  <c r="AI142" i="8"/>
  <c r="AH142" i="8"/>
  <c r="BJ141" i="8"/>
  <c r="BI141" i="8"/>
  <c r="BH141" i="8"/>
  <c r="BG141" i="8"/>
  <c r="BF141" i="8"/>
  <c r="BD141" i="8"/>
  <c r="BC141" i="8"/>
  <c r="BB141" i="8"/>
  <c r="BA141" i="8"/>
  <c r="AZ141" i="8"/>
  <c r="AX141" i="8"/>
  <c r="AW141" i="8"/>
  <c r="AV141" i="8"/>
  <c r="AU141" i="8"/>
  <c r="AT141" i="8"/>
  <c r="AR141" i="8"/>
  <c r="AQ141" i="8"/>
  <c r="AP141" i="8"/>
  <c r="AO141" i="8"/>
  <c r="AN141" i="8"/>
  <c r="AL141" i="8"/>
  <c r="AK141" i="8"/>
  <c r="AJ141" i="8"/>
  <c r="AI141" i="8"/>
  <c r="AH141" i="8"/>
  <c r="F141" i="8"/>
  <c r="BF139" i="8"/>
  <c r="AZ139" i="8"/>
  <c r="AT139" i="8"/>
  <c r="AO139" i="8"/>
  <c r="AN139" i="8"/>
  <c r="AH139" i="8"/>
  <c r="Q139" i="8"/>
  <c r="BF138" i="8"/>
  <c r="AZ138" i="8"/>
  <c r="AT138" i="8"/>
  <c r="AO138" i="8"/>
  <c r="AN138" i="8"/>
  <c r="AH138" i="8"/>
  <c r="H138" i="8"/>
  <c r="BH137" i="8"/>
  <c r="BB137" i="8"/>
  <c r="AV137" i="8"/>
  <c r="AP137" i="8"/>
  <c r="AJ137" i="8"/>
  <c r="U137" i="8"/>
  <c r="AC136" i="8"/>
  <c r="BJ135" i="8"/>
  <c r="AC135" i="8"/>
  <c r="F135" i="8"/>
  <c r="J134" i="8"/>
  <c r="J133" i="8"/>
  <c r="BI131" i="8"/>
  <c r="BG131" i="8"/>
  <c r="BC131" i="8"/>
  <c r="BA131" i="8"/>
  <c r="AW131" i="8"/>
  <c r="AU131" i="8"/>
  <c r="AQ131" i="8"/>
  <c r="AO131" i="8"/>
  <c r="AK131" i="8"/>
  <c r="AI131" i="8"/>
  <c r="BI130" i="8"/>
  <c r="BF130" i="8"/>
  <c r="BC130" i="8"/>
  <c r="AZ130" i="8"/>
  <c r="AW130" i="8"/>
  <c r="AT130" i="8"/>
  <c r="AQ130" i="8"/>
  <c r="AO130" i="8"/>
  <c r="AN130" i="8"/>
  <c r="AK130" i="8"/>
  <c r="AH130" i="8"/>
  <c r="BJ129" i="8"/>
  <c r="BI129" i="8"/>
  <c r="BH129" i="8"/>
  <c r="BG129" i="8"/>
  <c r="BF129" i="8"/>
  <c r="BD129" i="8"/>
  <c r="BC129" i="8"/>
  <c r="BB129" i="8"/>
  <c r="BA129" i="8"/>
  <c r="AZ129" i="8"/>
  <c r="AX129" i="8"/>
  <c r="AW129" i="8"/>
  <c r="AV129" i="8"/>
  <c r="AU129" i="8"/>
  <c r="AT129" i="8"/>
  <c r="AR129" i="8"/>
  <c r="AQ129" i="8"/>
  <c r="AP129" i="8"/>
  <c r="AO129" i="8"/>
  <c r="AN129" i="8"/>
  <c r="AL129" i="8"/>
  <c r="AK129" i="8"/>
  <c r="AJ129" i="8"/>
  <c r="AI129" i="8"/>
  <c r="AH129" i="8"/>
  <c r="BJ128" i="8"/>
  <c r="BI128" i="8"/>
  <c r="BH128" i="8"/>
  <c r="BG128" i="8"/>
  <c r="BF128" i="8"/>
  <c r="BD128" i="8"/>
  <c r="BC128" i="8"/>
  <c r="BB128" i="8"/>
  <c r="BA128" i="8"/>
  <c r="AZ128" i="8"/>
  <c r="AX128" i="8"/>
  <c r="AW128" i="8"/>
  <c r="AV128" i="8"/>
  <c r="AU128" i="8"/>
  <c r="AT128" i="8"/>
  <c r="AR128" i="8"/>
  <c r="AQ128" i="8"/>
  <c r="AP128" i="8"/>
  <c r="AO128" i="8"/>
  <c r="AN128" i="8"/>
  <c r="AL128" i="8"/>
  <c r="AK128" i="8"/>
  <c r="AJ128" i="8"/>
  <c r="AI128" i="8"/>
  <c r="AH128" i="8"/>
  <c r="BJ127" i="8"/>
  <c r="BI127" i="8"/>
  <c r="BH127" i="8"/>
  <c r="BG127" i="8"/>
  <c r="BF127" i="8"/>
  <c r="BD127" i="8"/>
  <c r="BC127" i="8"/>
  <c r="BB127" i="8"/>
  <c r="BA127" i="8"/>
  <c r="AZ127" i="8"/>
  <c r="AX127" i="8"/>
  <c r="AW127" i="8"/>
  <c r="AV127" i="8"/>
  <c r="AU127" i="8"/>
  <c r="AT127" i="8"/>
  <c r="AR127" i="8"/>
  <c r="AQ127" i="8"/>
  <c r="AP127" i="8"/>
  <c r="AO127" i="8"/>
  <c r="AN127" i="8"/>
  <c r="AL127" i="8"/>
  <c r="AK127" i="8"/>
  <c r="AJ127" i="8"/>
  <c r="AI127" i="8"/>
  <c r="AH127" i="8"/>
  <c r="F127" i="8"/>
  <c r="H171" i="8" s="1"/>
  <c r="BJ126" i="8"/>
  <c r="BI126" i="8"/>
  <c r="BH126" i="8"/>
  <c r="BG126" i="8"/>
  <c r="BF126" i="8"/>
  <c r="BD126" i="8"/>
  <c r="BC126" i="8"/>
  <c r="BB126" i="8"/>
  <c r="BA126" i="8"/>
  <c r="AZ126" i="8"/>
  <c r="AX126" i="8"/>
  <c r="AW126" i="8"/>
  <c r="AV126" i="8"/>
  <c r="AU126" i="8"/>
  <c r="AT126" i="8"/>
  <c r="AR126" i="8"/>
  <c r="AQ126" i="8"/>
  <c r="AP126" i="8"/>
  <c r="AO126" i="8"/>
  <c r="AN126" i="8"/>
  <c r="AL126" i="8"/>
  <c r="AK126" i="8"/>
  <c r="AJ126" i="8"/>
  <c r="AI126" i="8"/>
  <c r="AH126" i="8"/>
  <c r="S126" i="8"/>
  <c r="BJ125" i="8"/>
  <c r="BI125" i="8"/>
  <c r="BH125" i="8"/>
  <c r="BG125" i="8"/>
  <c r="BF125" i="8"/>
  <c r="BD125" i="8"/>
  <c r="BC125" i="8"/>
  <c r="BB125" i="8"/>
  <c r="BA125" i="8"/>
  <c r="AZ125" i="8"/>
  <c r="AX125" i="8"/>
  <c r="AW125" i="8"/>
  <c r="AV125" i="8"/>
  <c r="AU125" i="8"/>
  <c r="AT125" i="8"/>
  <c r="AR125" i="8"/>
  <c r="AQ125" i="8"/>
  <c r="AP125" i="8"/>
  <c r="AO125" i="8"/>
  <c r="AN125" i="8"/>
  <c r="AL125" i="8"/>
  <c r="AK125" i="8"/>
  <c r="AJ125" i="8"/>
  <c r="AI125" i="8"/>
  <c r="AH125" i="8"/>
  <c r="AA125" i="8"/>
  <c r="BJ124" i="8"/>
  <c r="BI124" i="8"/>
  <c r="BH124" i="8"/>
  <c r="BG124" i="8"/>
  <c r="BF124" i="8"/>
  <c r="BD124" i="8"/>
  <c r="BC124" i="8"/>
  <c r="BB124" i="8"/>
  <c r="BA124" i="8"/>
  <c r="AZ124" i="8"/>
  <c r="AX124" i="8"/>
  <c r="AW124" i="8"/>
  <c r="AV124" i="8"/>
  <c r="AU124" i="8"/>
  <c r="AT124" i="8"/>
  <c r="AR124" i="8"/>
  <c r="AQ124" i="8"/>
  <c r="AP124" i="8"/>
  <c r="AO124" i="8"/>
  <c r="AN124" i="8"/>
  <c r="AL124" i="8"/>
  <c r="AK124" i="8"/>
  <c r="AJ124" i="8"/>
  <c r="AI124" i="8"/>
  <c r="AH124" i="8"/>
  <c r="O124" i="8"/>
  <c r="BJ123" i="8"/>
  <c r="BI123" i="8"/>
  <c r="BH123" i="8"/>
  <c r="BG123" i="8"/>
  <c r="BF123" i="8"/>
  <c r="BD123" i="8"/>
  <c r="BC123" i="8"/>
  <c r="BB123" i="8"/>
  <c r="BA123" i="8"/>
  <c r="AZ123" i="8"/>
  <c r="AX123" i="8"/>
  <c r="AW123" i="8"/>
  <c r="AV123" i="8"/>
  <c r="AU123" i="8"/>
  <c r="AT123" i="8"/>
  <c r="AR123" i="8"/>
  <c r="AQ123" i="8"/>
  <c r="AP123" i="8"/>
  <c r="AO123" i="8"/>
  <c r="AN123" i="8"/>
  <c r="AL123" i="8"/>
  <c r="AK123" i="8"/>
  <c r="AJ123" i="8"/>
  <c r="AI123" i="8"/>
  <c r="AH123" i="8"/>
  <c r="V123" i="8"/>
  <c r="BJ122" i="8"/>
  <c r="BI122" i="8"/>
  <c r="BH122" i="8"/>
  <c r="BG122" i="8"/>
  <c r="BF122" i="8"/>
  <c r="BD122" i="8"/>
  <c r="BC122" i="8"/>
  <c r="BB122" i="8"/>
  <c r="BA122" i="8"/>
  <c r="AZ122" i="8"/>
  <c r="AX122" i="8"/>
  <c r="AW122" i="8"/>
  <c r="AV122" i="8"/>
  <c r="AU122" i="8"/>
  <c r="AT122" i="8"/>
  <c r="AR122" i="8"/>
  <c r="AQ122" i="8"/>
  <c r="AP122" i="8"/>
  <c r="AO122" i="8"/>
  <c r="AN122" i="8"/>
  <c r="AL122" i="8"/>
  <c r="AK122" i="8"/>
  <c r="AJ122" i="8"/>
  <c r="AI122" i="8"/>
  <c r="AH122" i="8"/>
  <c r="L122" i="8"/>
  <c r="BJ121" i="8"/>
  <c r="BI121" i="8"/>
  <c r="BH121" i="8"/>
  <c r="BG121" i="8"/>
  <c r="BG130" i="8" s="1"/>
  <c r="BF121" i="8"/>
  <c r="BD121" i="8"/>
  <c r="BC121" i="8"/>
  <c r="BB121" i="8"/>
  <c r="BA121" i="8"/>
  <c r="AZ121" i="8"/>
  <c r="AX121" i="8"/>
  <c r="AW121" i="8"/>
  <c r="AV121" i="8"/>
  <c r="AU121" i="8"/>
  <c r="AT121" i="8"/>
  <c r="AR121" i="8"/>
  <c r="AQ121" i="8"/>
  <c r="AP121" i="8"/>
  <c r="AO121" i="8"/>
  <c r="AN121" i="8"/>
  <c r="AL121" i="8"/>
  <c r="AK121" i="8"/>
  <c r="AJ121" i="8"/>
  <c r="AI130" i="8" s="1"/>
  <c r="AI121" i="8"/>
  <c r="AH121" i="8"/>
  <c r="W121" i="8"/>
  <c r="BJ120" i="8"/>
  <c r="BI120" i="8"/>
  <c r="BH120" i="8"/>
  <c r="BG120" i="8"/>
  <c r="BF120" i="8"/>
  <c r="BD120" i="8"/>
  <c r="BC120" i="8"/>
  <c r="BB120" i="8"/>
  <c r="BA120" i="8"/>
  <c r="AZ120" i="8"/>
  <c r="AX120" i="8"/>
  <c r="AW120" i="8"/>
  <c r="AV120" i="8"/>
  <c r="AU130" i="8" s="1"/>
  <c r="AU120" i="8"/>
  <c r="AT120" i="8"/>
  <c r="AR120" i="8"/>
  <c r="AQ120" i="8"/>
  <c r="AP120" i="8"/>
  <c r="AO120" i="8"/>
  <c r="AN120" i="8"/>
  <c r="AL120" i="8"/>
  <c r="AK120" i="8"/>
  <c r="AJ120" i="8"/>
  <c r="AI120" i="8"/>
  <c r="AH120" i="8"/>
  <c r="M120" i="8"/>
  <c r="U119" i="8"/>
  <c r="BF118" i="8"/>
  <c r="AZ118" i="8"/>
  <c r="AT118" i="8"/>
  <c r="AN118" i="8"/>
  <c r="AH118" i="8"/>
  <c r="BF117" i="8"/>
  <c r="AZ117" i="8"/>
  <c r="AT117" i="8"/>
  <c r="AN117" i="8"/>
  <c r="AH117" i="8"/>
  <c r="BH116" i="8"/>
  <c r="BB116" i="8"/>
  <c r="AV116" i="8"/>
  <c r="AP116" i="8"/>
  <c r="AJ116" i="8"/>
  <c r="L113" i="8"/>
  <c r="K113" i="8"/>
  <c r="J113" i="8"/>
  <c r="I113" i="8"/>
  <c r="H113" i="8"/>
  <c r="L112" i="8"/>
  <c r="K112" i="8"/>
  <c r="J112" i="8"/>
  <c r="I112" i="8"/>
  <c r="H112" i="8"/>
  <c r="L111" i="8"/>
  <c r="K111" i="8"/>
  <c r="J111" i="8"/>
  <c r="I111" i="8"/>
  <c r="H111" i="8"/>
  <c r="L110" i="8"/>
  <c r="K110" i="8"/>
  <c r="J110" i="8"/>
  <c r="I110" i="8"/>
  <c r="H110" i="8"/>
  <c r="L109" i="8"/>
  <c r="K109" i="8"/>
  <c r="J109" i="8"/>
  <c r="I109" i="8"/>
  <c r="H109" i="8"/>
  <c r="L108" i="8"/>
  <c r="K108" i="8"/>
  <c r="J108" i="8"/>
  <c r="I108" i="8"/>
  <c r="H108" i="8"/>
  <c r="L107" i="8"/>
  <c r="K107" i="8"/>
  <c r="J107" i="8"/>
  <c r="I107" i="8"/>
  <c r="H107" i="8"/>
  <c r="L106" i="8"/>
  <c r="K106" i="8"/>
  <c r="J106" i="8"/>
  <c r="I106" i="8"/>
  <c r="H106" i="8"/>
  <c r="L105" i="8"/>
  <c r="K105" i="8"/>
  <c r="J105" i="8"/>
  <c r="I105" i="8"/>
  <c r="H105" i="8"/>
  <c r="L104" i="8"/>
  <c r="K104" i="8"/>
  <c r="J104" i="8"/>
  <c r="I104" i="8"/>
  <c r="H104" i="8"/>
  <c r="L103" i="8"/>
  <c r="K103" i="8"/>
  <c r="J103" i="8"/>
  <c r="I103" i="8"/>
  <c r="H103" i="8"/>
  <c r="L102" i="8"/>
  <c r="K102" i="8"/>
  <c r="J102" i="8"/>
  <c r="I102" i="8"/>
  <c r="H102" i="8"/>
  <c r="L101" i="8"/>
  <c r="K101" i="8"/>
  <c r="J101" i="8"/>
  <c r="I101" i="8"/>
  <c r="H101" i="8"/>
  <c r="L100" i="8"/>
  <c r="K100" i="8"/>
  <c r="J100" i="8"/>
  <c r="I100" i="8"/>
  <c r="H100" i="8"/>
  <c r="L99" i="8"/>
  <c r="K99" i="8"/>
  <c r="J99" i="8"/>
  <c r="I99" i="8"/>
  <c r="H99" i="8"/>
  <c r="L98" i="8"/>
  <c r="K98" i="8"/>
  <c r="J98" i="8"/>
  <c r="I98" i="8"/>
  <c r="H98" i="8"/>
  <c r="L97" i="8"/>
  <c r="K97" i="8"/>
  <c r="J97" i="8"/>
  <c r="I97" i="8"/>
  <c r="H97" i="8"/>
  <c r="L96" i="8"/>
  <c r="K96" i="8"/>
  <c r="J96" i="8"/>
  <c r="I96" i="8"/>
  <c r="H96" i="8"/>
  <c r="L95" i="8"/>
  <c r="K95" i="8"/>
  <c r="J95" i="8"/>
  <c r="I95" i="8"/>
  <c r="H95" i="8"/>
  <c r="L94" i="8"/>
  <c r="K94" i="8"/>
  <c r="J94" i="8"/>
  <c r="I94" i="8"/>
  <c r="H94" i="8"/>
  <c r="L93" i="8"/>
  <c r="K93" i="8"/>
  <c r="J93" i="8"/>
  <c r="I93" i="8"/>
  <c r="H93" i="8"/>
  <c r="L92" i="8"/>
  <c r="K92" i="8"/>
  <c r="J92" i="8"/>
  <c r="I92" i="8"/>
  <c r="H92" i="8"/>
  <c r="L91" i="8"/>
  <c r="K91" i="8"/>
  <c r="J91" i="8"/>
  <c r="I91" i="8"/>
  <c r="H91" i="8"/>
  <c r="L90" i="8"/>
  <c r="K90" i="8"/>
  <c r="J90" i="8"/>
  <c r="I90" i="8"/>
  <c r="H90" i="8"/>
  <c r="L89" i="8"/>
  <c r="K89" i="8"/>
  <c r="J89" i="8"/>
  <c r="I89" i="8"/>
  <c r="H89" i="8"/>
  <c r="L88" i="8"/>
  <c r="K88" i="8"/>
  <c r="J88" i="8"/>
  <c r="I88" i="8"/>
  <c r="H88" i="8"/>
  <c r="L87" i="8"/>
  <c r="K87" i="8"/>
  <c r="J87" i="8"/>
  <c r="I87" i="8"/>
  <c r="H87" i="8"/>
  <c r="L86" i="8"/>
  <c r="K86" i="8"/>
  <c r="J86" i="8"/>
  <c r="I86" i="8"/>
  <c r="H86" i="8"/>
  <c r="L85" i="8"/>
  <c r="K85" i="8"/>
  <c r="J85" i="8"/>
  <c r="I85" i="8"/>
  <c r="H85" i="8"/>
  <c r="L84" i="8"/>
  <c r="K84" i="8"/>
  <c r="J84" i="8"/>
  <c r="I84" i="8"/>
  <c r="H84" i="8"/>
  <c r="L83" i="8"/>
  <c r="K83" i="8"/>
  <c r="J83" i="8"/>
  <c r="I83" i="8"/>
  <c r="H83" i="8"/>
  <c r="L82" i="8"/>
  <c r="K82" i="8"/>
  <c r="J82" i="8"/>
  <c r="I82" i="8"/>
  <c r="H82" i="8"/>
  <c r="L81" i="8"/>
  <c r="K81" i="8"/>
  <c r="J81" i="8"/>
  <c r="I81" i="8"/>
  <c r="H81" i="8"/>
  <c r="L80" i="8"/>
  <c r="K80" i="8"/>
  <c r="J80" i="8"/>
  <c r="I80" i="8"/>
  <c r="H80" i="8"/>
  <c r="L79" i="8"/>
  <c r="K79" i="8"/>
  <c r="J79" i="8"/>
  <c r="I79" i="8"/>
  <c r="H79" i="8"/>
  <c r="L78" i="8"/>
  <c r="K78" i="8"/>
  <c r="J78" i="8"/>
  <c r="I78" i="8"/>
  <c r="H78" i="8"/>
  <c r="L77" i="8"/>
  <c r="K77" i="8"/>
  <c r="J77" i="8"/>
  <c r="I77" i="8"/>
  <c r="H77" i="8"/>
  <c r="L76" i="8"/>
  <c r="K76" i="8"/>
  <c r="J76" i="8"/>
  <c r="I76" i="8"/>
  <c r="H76" i="8"/>
  <c r="L75" i="8"/>
  <c r="K75" i="8"/>
  <c r="J75" i="8"/>
  <c r="I75" i="8"/>
  <c r="H75" i="8"/>
  <c r="L74" i="8"/>
  <c r="K74" i="8"/>
  <c r="J74" i="8"/>
  <c r="I74" i="8"/>
  <c r="H74" i="8"/>
  <c r="L73" i="8"/>
  <c r="K73" i="8"/>
  <c r="J73" i="8"/>
  <c r="I73" i="8"/>
  <c r="H73" i="8"/>
  <c r="L72" i="8"/>
  <c r="K72" i="8"/>
  <c r="J72" i="8"/>
  <c r="I72" i="8"/>
  <c r="H72" i="8"/>
  <c r="L71" i="8"/>
  <c r="K71" i="8"/>
  <c r="J71" i="8"/>
  <c r="I71" i="8"/>
  <c r="H71" i="8"/>
  <c r="L70" i="8"/>
  <c r="K70" i="8"/>
  <c r="J70" i="8"/>
  <c r="I70" i="8"/>
  <c r="H70" i="8"/>
  <c r="L69" i="8"/>
  <c r="K69" i="8"/>
  <c r="J69" i="8"/>
  <c r="I69" i="8"/>
  <c r="H69" i="8"/>
  <c r="L68" i="8"/>
  <c r="K68" i="8"/>
  <c r="J68" i="8"/>
  <c r="I68" i="8"/>
  <c r="H68" i="8"/>
  <c r="L67" i="8"/>
  <c r="K67" i="8"/>
  <c r="J67" i="8"/>
  <c r="I67" i="8"/>
  <c r="H67" i="8"/>
  <c r="L66" i="8"/>
  <c r="K66" i="8"/>
  <c r="J66" i="8"/>
  <c r="I66" i="8"/>
  <c r="H66" i="8"/>
  <c r="L65" i="8"/>
  <c r="K65" i="8"/>
  <c r="J65" i="8"/>
  <c r="I65" i="8"/>
  <c r="H65" i="8"/>
  <c r="L64" i="8"/>
  <c r="K64" i="8"/>
  <c r="J64" i="8"/>
  <c r="I64" i="8"/>
  <c r="H64" i="8"/>
  <c r="L63" i="8"/>
  <c r="K63" i="8"/>
  <c r="J63" i="8"/>
  <c r="I63" i="8"/>
  <c r="H63" i="8"/>
  <c r="L62" i="8"/>
  <c r="K62" i="8"/>
  <c r="J62" i="8"/>
  <c r="I62" i="8"/>
  <c r="H62" i="8"/>
  <c r="L61" i="8"/>
  <c r="K61" i="8"/>
  <c r="J61" i="8"/>
  <c r="I61" i="8"/>
  <c r="H61" i="8"/>
  <c r="L60" i="8"/>
  <c r="K60" i="8"/>
  <c r="J60" i="8"/>
  <c r="I60" i="8"/>
  <c r="H60" i="8"/>
  <c r="L59" i="8"/>
  <c r="K59" i="8"/>
  <c r="J59" i="8"/>
  <c r="I59" i="8"/>
  <c r="H59" i="8"/>
  <c r="L58" i="8"/>
  <c r="K58" i="8"/>
  <c r="J58" i="8"/>
  <c r="I58" i="8"/>
  <c r="H58" i="8"/>
  <c r="L57" i="8"/>
  <c r="K57" i="8"/>
  <c r="J57" i="8"/>
  <c r="I57" i="8"/>
  <c r="H57" i="8"/>
  <c r="L56" i="8"/>
  <c r="K56" i="8"/>
  <c r="J56" i="8"/>
  <c r="I56" i="8"/>
  <c r="H56" i="8"/>
  <c r="L55" i="8"/>
  <c r="K55" i="8"/>
  <c r="J55" i="8"/>
  <c r="I55" i="8"/>
  <c r="H55" i="8"/>
  <c r="L54" i="8"/>
  <c r="K54" i="8"/>
  <c r="J54" i="8"/>
  <c r="I54" i="8"/>
  <c r="H54" i="8"/>
  <c r="L53" i="8"/>
  <c r="K53" i="8"/>
  <c r="J53" i="8"/>
  <c r="I53" i="8"/>
  <c r="H53" i="8"/>
  <c r="L52" i="8"/>
  <c r="K52" i="8"/>
  <c r="J52" i="8"/>
  <c r="I52" i="8"/>
  <c r="H52" i="8"/>
  <c r="L51" i="8"/>
  <c r="K51" i="8"/>
  <c r="J51" i="8"/>
  <c r="I51" i="8"/>
  <c r="H51" i="8"/>
  <c r="L50" i="8"/>
  <c r="K50" i="8"/>
  <c r="J50" i="8"/>
  <c r="I50" i="8"/>
  <c r="H50" i="8"/>
  <c r="L49" i="8"/>
  <c r="K49" i="8"/>
  <c r="J49" i="8"/>
  <c r="I49" i="8"/>
  <c r="H49" i="8"/>
  <c r="L48" i="8"/>
  <c r="K48" i="8"/>
  <c r="J48" i="8"/>
  <c r="I48" i="8"/>
  <c r="H48" i="8"/>
  <c r="L47" i="8"/>
  <c r="K47" i="8"/>
  <c r="J47" i="8"/>
  <c r="I47" i="8"/>
  <c r="H47" i="8"/>
  <c r="L46" i="8"/>
  <c r="K46" i="8"/>
  <c r="J46" i="8"/>
  <c r="I46" i="8"/>
  <c r="H46" i="8"/>
  <c r="L45" i="8"/>
  <c r="K45" i="8"/>
  <c r="J45" i="8"/>
  <c r="I45" i="8"/>
  <c r="H45" i="8"/>
  <c r="L44" i="8"/>
  <c r="K44" i="8"/>
  <c r="J44" i="8"/>
  <c r="I44" i="8"/>
  <c r="H44" i="8"/>
  <c r="L43" i="8"/>
  <c r="K43" i="8"/>
  <c r="J43" i="8"/>
  <c r="I43" i="8"/>
  <c r="H43" i="8"/>
  <c r="L42" i="8"/>
  <c r="K42" i="8"/>
  <c r="J42" i="8"/>
  <c r="I42" i="8"/>
  <c r="H42" i="8"/>
  <c r="L41" i="8"/>
  <c r="K41" i="8"/>
  <c r="J41" i="8"/>
  <c r="I41" i="8"/>
  <c r="H41" i="8"/>
  <c r="L40" i="8"/>
  <c r="K40" i="8"/>
  <c r="J40" i="8"/>
  <c r="I40" i="8"/>
  <c r="H40" i="8"/>
  <c r="L39" i="8"/>
  <c r="K39" i="8"/>
  <c r="J39" i="8"/>
  <c r="I39" i="8"/>
  <c r="H39" i="8"/>
  <c r="L38" i="8"/>
  <c r="K38" i="8"/>
  <c r="J38" i="8"/>
  <c r="I38" i="8"/>
  <c r="H38" i="8"/>
  <c r="L37" i="8"/>
  <c r="K37" i="8"/>
  <c r="J37" i="8"/>
  <c r="I37" i="8"/>
  <c r="H37" i="8"/>
  <c r="L36" i="8"/>
  <c r="K36" i="8"/>
  <c r="J36" i="8"/>
  <c r="I36" i="8"/>
  <c r="H36" i="8"/>
  <c r="L35" i="8"/>
  <c r="K35" i="8"/>
  <c r="J35" i="8"/>
  <c r="I35" i="8"/>
  <c r="H35" i="8"/>
  <c r="L34" i="8"/>
  <c r="K34" i="8"/>
  <c r="J34" i="8"/>
  <c r="I34" i="8"/>
  <c r="H34" i="8"/>
  <c r="L33" i="8"/>
  <c r="K33" i="8"/>
  <c r="J33" i="8"/>
  <c r="I33" i="8"/>
  <c r="H33" i="8"/>
  <c r="L32" i="8"/>
  <c r="K32" i="8"/>
  <c r="J32" i="8"/>
  <c r="I32" i="8"/>
  <c r="H32" i="8"/>
  <c r="L31" i="8"/>
  <c r="K31" i="8"/>
  <c r="J31" i="8"/>
  <c r="I31" i="8"/>
  <c r="H31" i="8"/>
  <c r="L30" i="8"/>
  <c r="K30" i="8"/>
  <c r="J30" i="8"/>
  <c r="I30" i="8"/>
  <c r="J141" i="8" s="1"/>
  <c r="H30" i="8"/>
  <c r="L29" i="8"/>
  <c r="K29" i="8"/>
  <c r="J29" i="8"/>
  <c r="I29" i="8"/>
  <c r="H29" i="8"/>
  <c r="L28" i="8"/>
  <c r="K28" i="8"/>
  <c r="J28" i="8"/>
  <c r="I28" i="8"/>
  <c r="H28" i="8"/>
  <c r="L27" i="8"/>
  <c r="K27" i="8"/>
  <c r="J27" i="8"/>
  <c r="I27" i="8"/>
  <c r="H27" i="8"/>
  <c r="L26" i="8"/>
  <c r="K26" i="8"/>
  <c r="J26" i="8"/>
  <c r="I26" i="8"/>
  <c r="H26" i="8"/>
  <c r="L25" i="8"/>
  <c r="K25" i="8"/>
  <c r="J25" i="8"/>
  <c r="I25" i="8"/>
  <c r="H25" i="8"/>
  <c r="L24" i="8"/>
  <c r="K24" i="8"/>
  <c r="J24" i="8"/>
  <c r="I24" i="8"/>
  <c r="H24" i="8"/>
  <c r="AV23" i="8"/>
  <c r="BG156" i="8" s="1"/>
  <c r="AU23" i="8"/>
  <c r="BF156" i="8" s="1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AW23" i="8" s="1"/>
  <c r="BH156" i="8" s="1"/>
  <c r="U23" i="8"/>
  <c r="T23" i="8"/>
  <c r="S23" i="8"/>
  <c r="R23" i="8"/>
  <c r="Q23" i="8"/>
  <c r="P23" i="8"/>
  <c r="O23" i="8"/>
  <c r="L23" i="8"/>
  <c r="K23" i="8"/>
  <c r="J23" i="8"/>
  <c r="I23" i="8"/>
  <c r="H23" i="8"/>
  <c r="BD22" i="8"/>
  <c r="BD154" i="8" s="1"/>
  <c r="BC22" i="8"/>
  <c r="BC154" i="8" s="1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L22" i="8"/>
  <c r="K22" i="8"/>
  <c r="J22" i="8"/>
  <c r="I22" i="8"/>
  <c r="H22" i="8"/>
  <c r="AX21" i="8"/>
  <c r="AW156" i="8" s="1"/>
  <c r="AV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AU21" i="8" s="1"/>
  <c r="U21" i="8"/>
  <c r="T21" i="8"/>
  <c r="S21" i="8"/>
  <c r="R21" i="8"/>
  <c r="Q21" i="8"/>
  <c r="P21" i="8"/>
  <c r="O21" i="8"/>
  <c r="L21" i="8"/>
  <c r="K21" i="8"/>
  <c r="J21" i="8"/>
  <c r="I21" i="8"/>
  <c r="H21" i="8"/>
  <c r="BA20" i="8"/>
  <c r="AO154" i="8" s="1"/>
  <c r="AZ20" i="8"/>
  <c r="AN154" i="8" s="1"/>
  <c r="AX20" i="8"/>
  <c r="AQ156" i="8" s="1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L20" i="8"/>
  <c r="K20" i="8"/>
  <c r="J20" i="8"/>
  <c r="I20" i="8"/>
  <c r="H20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L19" i="8"/>
  <c r="K19" i="8"/>
  <c r="J19" i="8"/>
  <c r="I19" i="8"/>
  <c r="H19" i="8"/>
  <c r="BA18" i="8"/>
  <c r="BG133" i="8" s="1"/>
  <c r="AY18" i="8"/>
  <c r="AX18" i="8"/>
  <c r="BI135" i="8" s="1"/>
  <c r="AW18" i="8"/>
  <c r="BH135" i="8" s="1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L18" i="8"/>
  <c r="K18" i="8"/>
  <c r="J18" i="8"/>
  <c r="I18" i="8"/>
  <c r="V139" i="8" s="1"/>
  <c r="H18" i="8"/>
  <c r="BB17" i="8"/>
  <c r="BB133" i="8" s="1"/>
  <c r="AU17" i="8"/>
  <c r="AZ135" i="8" s="1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BD17" i="8" s="1"/>
  <c r="BD133" i="8" s="1"/>
  <c r="R17" i="8"/>
  <c r="Q17" i="8"/>
  <c r="P17" i="8"/>
  <c r="O17" i="8"/>
  <c r="L17" i="8"/>
  <c r="K17" i="8"/>
  <c r="J17" i="8"/>
  <c r="I17" i="8"/>
  <c r="H17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L16" i="8"/>
  <c r="K16" i="8"/>
  <c r="J16" i="8"/>
  <c r="I16" i="8"/>
  <c r="H16" i="8"/>
  <c r="BC15" i="8"/>
  <c r="AQ133" i="8" s="1"/>
  <c r="BB15" i="8"/>
  <c r="AP133" i="8" s="1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BD15" i="8" s="1"/>
  <c r="AR133" i="8" s="1"/>
  <c r="X15" i="8"/>
  <c r="W15" i="8"/>
  <c r="V15" i="8"/>
  <c r="U15" i="8"/>
  <c r="T15" i="8"/>
  <c r="S15" i="8"/>
  <c r="R15" i="8"/>
  <c r="Q15" i="8"/>
  <c r="P15" i="8"/>
  <c r="AY15" i="8" s="1"/>
  <c r="AR135" i="8" s="1"/>
  <c r="O15" i="8"/>
  <c r="L15" i="8"/>
  <c r="K15" i="8"/>
  <c r="J15" i="8"/>
  <c r="I15" i="8"/>
  <c r="H15" i="8"/>
  <c r="AV14" i="8"/>
  <c r="AI135" i="8" s="1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BB18" i="8" s="1"/>
  <c r="BH133" i="8" s="1"/>
  <c r="W14" i="8"/>
  <c r="V14" i="8"/>
  <c r="BD14" i="8" s="1"/>
  <c r="AL133" i="8" s="1"/>
  <c r="U14" i="8"/>
  <c r="T14" i="8"/>
  <c r="S14" i="8"/>
  <c r="R14" i="8"/>
  <c r="Q14" i="8"/>
  <c r="AU14" i="8" s="1"/>
  <c r="AH135" i="8" s="1"/>
  <c r="P14" i="8"/>
  <c r="O14" i="8"/>
  <c r="BB19" i="8" s="1"/>
  <c r="AJ154" i="8" s="1"/>
  <c r="L14" i="8"/>
  <c r="K14" i="8"/>
  <c r="J14" i="8"/>
  <c r="I14" i="8"/>
  <c r="U153" i="8" s="1"/>
  <c r="C170" i="8" s="1"/>
  <c r="H14" i="8"/>
  <c r="K150" i="8" s="1"/>
  <c r="BT2" i="8"/>
  <c r="AU158" i="26"/>
  <c r="AK158" i="26"/>
  <c r="BI152" i="26"/>
  <c r="BG152" i="26"/>
  <c r="BC152" i="26"/>
  <c r="BA152" i="26"/>
  <c r="AW152" i="26"/>
  <c r="AU152" i="26"/>
  <c r="AQ152" i="26"/>
  <c r="AO152" i="26"/>
  <c r="AK152" i="26"/>
  <c r="AI152" i="26"/>
  <c r="BI151" i="26"/>
  <c r="BF151" i="26"/>
  <c r="BC151" i="26"/>
  <c r="AZ151" i="26"/>
  <c r="AW151" i="26"/>
  <c r="AT151" i="26"/>
  <c r="AQ151" i="26"/>
  <c r="AN151" i="26"/>
  <c r="AK151" i="26"/>
  <c r="AH151" i="26"/>
  <c r="K151" i="26"/>
  <c r="BJ150" i="26"/>
  <c r="BI150" i="26"/>
  <c r="BH150" i="26"/>
  <c r="BG150" i="26"/>
  <c r="BF150" i="26"/>
  <c r="BD150" i="26"/>
  <c r="BC150" i="26"/>
  <c r="BB150" i="26"/>
  <c r="BA150" i="26"/>
  <c r="AZ150" i="26"/>
  <c r="AX150" i="26"/>
  <c r="AW150" i="26"/>
  <c r="AV150" i="26"/>
  <c r="AU150" i="26"/>
  <c r="AT150" i="26"/>
  <c r="AR150" i="26"/>
  <c r="AQ150" i="26"/>
  <c r="AP150" i="26"/>
  <c r="AO150" i="26"/>
  <c r="AN150" i="26"/>
  <c r="AL150" i="26"/>
  <c r="AK150" i="26"/>
  <c r="AJ150" i="26"/>
  <c r="AI150" i="26"/>
  <c r="AH150" i="26"/>
  <c r="BJ149" i="26"/>
  <c r="BI149" i="26"/>
  <c r="BH149" i="26"/>
  <c r="BG149" i="26"/>
  <c r="BF149" i="26"/>
  <c r="BD149" i="26"/>
  <c r="BC149" i="26"/>
  <c r="BB149" i="26"/>
  <c r="BA149" i="26"/>
  <c r="AZ149" i="26"/>
  <c r="AX149" i="26"/>
  <c r="AW149" i="26"/>
  <c r="AV149" i="26"/>
  <c r="AU149" i="26"/>
  <c r="AT149" i="26"/>
  <c r="AR149" i="26"/>
  <c r="AQ149" i="26"/>
  <c r="AP149" i="26"/>
  <c r="AO149" i="26"/>
  <c r="AN149" i="26"/>
  <c r="AL149" i="26"/>
  <c r="AK149" i="26"/>
  <c r="AJ149" i="26"/>
  <c r="AI149" i="26"/>
  <c r="AH149" i="26"/>
  <c r="AD149" i="26"/>
  <c r="K149" i="26"/>
  <c r="B149" i="26"/>
  <c r="BJ148" i="26"/>
  <c r="BI148" i="26"/>
  <c r="BH148" i="26"/>
  <c r="BG148" i="26"/>
  <c r="BF148" i="26"/>
  <c r="BD148" i="26"/>
  <c r="BC148" i="26"/>
  <c r="BB148" i="26"/>
  <c r="BA148" i="26"/>
  <c r="AZ148" i="26"/>
  <c r="AX148" i="26"/>
  <c r="AW148" i="26"/>
  <c r="AV148" i="26"/>
  <c r="AU148" i="26"/>
  <c r="AT148" i="26"/>
  <c r="AR148" i="26"/>
  <c r="AQ148" i="26"/>
  <c r="AP148" i="26"/>
  <c r="AO148" i="26"/>
  <c r="AN148" i="26"/>
  <c r="AL148" i="26"/>
  <c r="AK148" i="26"/>
  <c r="AJ148" i="26"/>
  <c r="AI148" i="26"/>
  <c r="AH148" i="26"/>
  <c r="BJ147" i="26"/>
  <c r="BI147" i="26"/>
  <c r="BH147" i="26"/>
  <c r="BG147" i="26"/>
  <c r="BF147" i="26"/>
  <c r="BD147" i="26"/>
  <c r="BC147" i="26"/>
  <c r="BB147" i="26"/>
  <c r="BA147" i="26"/>
  <c r="AZ147" i="26"/>
  <c r="AX147" i="26"/>
  <c r="AW147" i="26"/>
  <c r="AV147" i="26"/>
  <c r="AU147" i="26"/>
  <c r="AT147" i="26"/>
  <c r="AR147" i="26"/>
  <c r="AQ147" i="26"/>
  <c r="AP147" i="26"/>
  <c r="AO147" i="26"/>
  <c r="AN147" i="26"/>
  <c r="AL147" i="26"/>
  <c r="AK147" i="26"/>
  <c r="AJ147" i="26"/>
  <c r="AI147" i="26"/>
  <c r="AH147" i="26"/>
  <c r="BJ146" i="26"/>
  <c r="BI146" i="26"/>
  <c r="BH146" i="26"/>
  <c r="BG146" i="26"/>
  <c r="BF146" i="26"/>
  <c r="BD146" i="26"/>
  <c r="BC146" i="26"/>
  <c r="BB146" i="26"/>
  <c r="BA146" i="26"/>
  <c r="AZ146" i="26"/>
  <c r="AX146" i="26"/>
  <c r="AW146" i="26"/>
  <c r="AV146" i="26"/>
  <c r="AU146" i="26"/>
  <c r="AT146" i="26"/>
  <c r="AR146" i="26"/>
  <c r="AQ146" i="26"/>
  <c r="AP146" i="26"/>
  <c r="AO146" i="26"/>
  <c r="AN146" i="26"/>
  <c r="AL146" i="26"/>
  <c r="AK146" i="26"/>
  <c r="AJ146" i="26"/>
  <c r="AI146" i="26"/>
  <c r="AH146" i="26"/>
  <c r="BJ145" i="26"/>
  <c r="BI145" i="26"/>
  <c r="BH145" i="26"/>
  <c r="BG145" i="26"/>
  <c r="BF145" i="26"/>
  <c r="BD145" i="26"/>
  <c r="BC145" i="26"/>
  <c r="BB145" i="26"/>
  <c r="BA145" i="26"/>
  <c r="AZ145" i="26"/>
  <c r="AX145" i="26"/>
  <c r="AW145" i="26"/>
  <c r="AV145" i="26"/>
  <c r="AU145" i="26"/>
  <c r="AT145" i="26"/>
  <c r="AR145" i="26"/>
  <c r="AQ145" i="26"/>
  <c r="AP145" i="26"/>
  <c r="AO145" i="26"/>
  <c r="AN145" i="26"/>
  <c r="AL145" i="26"/>
  <c r="AK145" i="26"/>
  <c r="AJ145" i="26"/>
  <c r="AI145" i="26"/>
  <c r="AH145" i="26"/>
  <c r="BJ144" i="26"/>
  <c r="BI144" i="26"/>
  <c r="BH144" i="26"/>
  <c r="BG144" i="26"/>
  <c r="BF144" i="26"/>
  <c r="BD144" i="26"/>
  <c r="BC144" i="26"/>
  <c r="BB144" i="26"/>
  <c r="BA144" i="26"/>
  <c r="AZ144" i="26"/>
  <c r="AX144" i="26"/>
  <c r="AW144" i="26"/>
  <c r="AV144" i="26"/>
  <c r="AU144" i="26"/>
  <c r="AT144" i="26"/>
  <c r="AR144" i="26"/>
  <c r="AQ144" i="26"/>
  <c r="AP144" i="26"/>
  <c r="AO144" i="26"/>
  <c r="AN144" i="26"/>
  <c r="AL144" i="26"/>
  <c r="AK144" i="26"/>
  <c r="AJ144" i="26"/>
  <c r="AI144" i="26"/>
  <c r="AH144" i="26"/>
  <c r="BJ143" i="26"/>
  <c r="BI143" i="26"/>
  <c r="BH143" i="26"/>
  <c r="BG143" i="26"/>
  <c r="BF143" i="26"/>
  <c r="BD143" i="26"/>
  <c r="BC143" i="26"/>
  <c r="BB143" i="26"/>
  <c r="BA143" i="26"/>
  <c r="AZ143" i="26"/>
  <c r="AX143" i="26"/>
  <c r="AW143" i="26"/>
  <c r="AV143" i="26"/>
  <c r="AU143" i="26"/>
  <c r="AT143" i="26"/>
  <c r="AR143" i="26"/>
  <c r="AQ143" i="26"/>
  <c r="AP143" i="26"/>
  <c r="AO143" i="26"/>
  <c r="AN143" i="26"/>
  <c r="AL143" i="26"/>
  <c r="AK143" i="26"/>
  <c r="AJ143" i="26"/>
  <c r="AI143" i="26"/>
  <c r="AH143" i="26"/>
  <c r="BJ142" i="26"/>
  <c r="BI142" i="26"/>
  <c r="BH142" i="26"/>
  <c r="BG142" i="26"/>
  <c r="BF142" i="26"/>
  <c r="BD142" i="26"/>
  <c r="BC142" i="26"/>
  <c r="BB142" i="26"/>
  <c r="BA142" i="26"/>
  <c r="AZ142" i="26"/>
  <c r="AX142" i="26"/>
  <c r="AW142" i="26"/>
  <c r="AV142" i="26"/>
  <c r="AU142" i="26"/>
  <c r="AU151" i="26" s="1"/>
  <c r="AT142" i="26"/>
  <c r="AR142" i="26"/>
  <c r="AQ142" i="26"/>
  <c r="AP142" i="26"/>
  <c r="AO142" i="26"/>
  <c r="AN142" i="26"/>
  <c r="AL142" i="26"/>
  <c r="AK142" i="26"/>
  <c r="AJ142" i="26"/>
  <c r="AI142" i="26"/>
  <c r="AH142" i="26"/>
  <c r="BJ141" i="26"/>
  <c r="BI141" i="26"/>
  <c r="BH141" i="26"/>
  <c r="BG141" i="26"/>
  <c r="BF141" i="26"/>
  <c r="BD141" i="26"/>
  <c r="BC141" i="26"/>
  <c r="BB141" i="26"/>
  <c r="BA141" i="26"/>
  <c r="BA151" i="26" s="1"/>
  <c r="AZ141" i="26"/>
  <c r="AX141" i="26"/>
  <c r="AW141" i="26"/>
  <c r="AV141" i="26"/>
  <c r="AU141" i="26"/>
  <c r="AT141" i="26"/>
  <c r="AR141" i="26"/>
  <c r="AQ141" i="26"/>
  <c r="AP141" i="26"/>
  <c r="AO141" i="26"/>
  <c r="AN141" i="26"/>
  <c r="AL141" i="26"/>
  <c r="AK141" i="26"/>
  <c r="AJ141" i="26"/>
  <c r="AI141" i="26"/>
  <c r="AH141" i="26"/>
  <c r="X140" i="26"/>
  <c r="BF139" i="26"/>
  <c r="AZ139" i="26"/>
  <c r="AT139" i="26"/>
  <c r="AO139" i="26"/>
  <c r="AN139" i="26"/>
  <c r="AH139" i="26"/>
  <c r="T139" i="26"/>
  <c r="BF138" i="26"/>
  <c r="AZ138" i="26"/>
  <c r="AT138" i="26"/>
  <c r="AO138" i="26"/>
  <c r="AN138" i="26"/>
  <c r="AH138" i="26"/>
  <c r="B138" i="26"/>
  <c r="BH137" i="26"/>
  <c r="BB137" i="26"/>
  <c r="AV137" i="26"/>
  <c r="AP137" i="26"/>
  <c r="AJ137" i="26"/>
  <c r="T137" i="26"/>
  <c r="E136" i="26"/>
  <c r="R135" i="26"/>
  <c r="B134" i="26"/>
  <c r="O133" i="26"/>
  <c r="BI131" i="26"/>
  <c r="BG131" i="26"/>
  <c r="BC131" i="26"/>
  <c r="BA131" i="26"/>
  <c r="AW131" i="26"/>
  <c r="AU131" i="26"/>
  <c r="AQ131" i="26"/>
  <c r="AO131" i="26"/>
  <c r="AK131" i="26"/>
  <c r="AI131" i="26"/>
  <c r="BI130" i="26"/>
  <c r="BF130" i="26"/>
  <c r="BC130" i="26"/>
  <c r="AZ130" i="26"/>
  <c r="AW130" i="26"/>
  <c r="AT130" i="26"/>
  <c r="AQ130" i="26"/>
  <c r="AN130" i="26"/>
  <c r="AH130" i="26"/>
  <c r="BJ129" i="26"/>
  <c r="BI129" i="26"/>
  <c r="BH129" i="26"/>
  <c r="BG129" i="26"/>
  <c r="BF129" i="26"/>
  <c r="BD129" i="26"/>
  <c r="BC129" i="26"/>
  <c r="BB129" i="26"/>
  <c r="BA129" i="26"/>
  <c r="AZ129" i="26"/>
  <c r="AX129" i="26"/>
  <c r="AW129" i="26"/>
  <c r="AV129" i="26"/>
  <c r="AU129" i="26"/>
  <c r="AT129" i="26"/>
  <c r="AR129" i="26"/>
  <c r="AQ129" i="26"/>
  <c r="AP129" i="26"/>
  <c r="AO129" i="26"/>
  <c r="AN129" i="26"/>
  <c r="AL129" i="26"/>
  <c r="AK129" i="26"/>
  <c r="AJ129" i="26"/>
  <c r="AI129" i="26"/>
  <c r="AH129" i="26"/>
  <c r="BJ128" i="26"/>
  <c r="BI128" i="26"/>
  <c r="BH128" i="26"/>
  <c r="BG128" i="26"/>
  <c r="BF128" i="26"/>
  <c r="BD128" i="26"/>
  <c r="BC128" i="26"/>
  <c r="BB128" i="26"/>
  <c r="BA128" i="26"/>
  <c r="AZ128" i="26"/>
  <c r="AX128" i="26"/>
  <c r="AW128" i="26"/>
  <c r="AV128" i="26"/>
  <c r="AU128" i="26"/>
  <c r="AT128" i="26"/>
  <c r="AR128" i="26"/>
  <c r="AQ128" i="26"/>
  <c r="AP128" i="26"/>
  <c r="AO128" i="26"/>
  <c r="AN128" i="26"/>
  <c r="AL128" i="26"/>
  <c r="AK128" i="26"/>
  <c r="AJ128" i="26"/>
  <c r="AI128" i="26"/>
  <c r="AH128" i="26"/>
  <c r="BJ127" i="26"/>
  <c r="BI127" i="26"/>
  <c r="BH127" i="26"/>
  <c r="BG127" i="26"/>
  <c r="BF127" i="26"/>
  <c r="BD127" i="26"/>
  <c r="BC127" i="26"/>
  <c r="BB127" i="26"/>
  <c r="BA127" i="26"/>
  <c r="AZ127" i="26"/>
  <c r="AX127" i="26"/>
  <c r="AW127" i="26"/>
  <c r="AV127" i="26"/>
  <c r="AU127" i="26"/>
  <c r="AT127" i="26"/>
  <c r="AR127" i="26"/>
  <c r="AQ127" i="26"/>
  <c r="AP127" i="26"/>
  <c r="AO127" i="26"/>
  <c r="AN127" i="26"/>
  <c r="AL127" i="26"/>
  <c r="AK127" i="26"/>
  <c r="AJ127" i="26"/>
  <c r="AI127" i="26"/>
  <c r="AH127" i="26"/>
  <c r="O127" i="26"/>
  <c r="BJ126" i="26"/>
  <c r="BI126" i="26"/>
  <c r="BH126" i="26"/>
  <c r="BG126" i="26"/>
  <c r="BF126" i="26"/>
  <c r="BD126" i="26"/>
  <c r="BC126" i="26"/>
  <c r="BB126" i="26"/>
  <c r="BA126" i="26"/>
  <c r="AZ126" i="26"/>
  <c r="AX126" i="26"/>
  <c r="AW126" i="26"/>
  <c r="AV126" i="26"/>
  <c r="AU126" i="26"/>
  <c r="AT126" i="26"/>
  <c r="AR126" i="26"/>
  <c r="AQ126" i="26"/>
  <c r="AP126" i="26"/>
  <c r="AO126" i="26"/>
  <c r="AN126" i="26"/>
  <c r="AL126" i="26"/>
  <c r="AK126" i="26"/>
  <c r="AJ126" i="26"/>
  <c r="AI126" i="26"/>
  <c r="AH126" i="26"/>
  <c r="Y126" i="26"/>
  <c r="BJ125" i="26"/>
  <c r="BI125" i="26"/>
  <c r="BH125" i="26"/>
  <c r="BG125" i="26"/>
  <c r="BF125" i="26"/>
  <c r="BD125" i="26"/>
  <c r="BC125" i="26"/>
  <c r="BB125" i="26"/>
  <c r="BA125" i="26"/>
  <c r="AZ125" i="26"/>
  <c r="AX125" i="26"/>
  <c r="AW125" i="26"/>
  <c r="AV125" i="26"/>
  <c r="AU125" i="26"/>
  <c r="AT125" i="26"/>
  <c r="AR125" i="26"/>
  <c r="AQ125" i="26"/>
  <c r="AP125" i="26"/>
  <c r="AO125" i="26"/>
  <c r="AN125" i="26"/>
  <c r="AL125" i="26"/>
  <c r="AK125" i="26"/>
  <c r="AJ125" i="26"/>
  <c r="AI125" i="26"/>
  <c r="AH125" i="26"/>
  <c r="M125" i="26"/>
  <c r="BJ124" i="26"/>
  <c r="BI124" i="26"/>
  <c r="BH124" i="26"/>
  <c r="BG124" i="26"/>
  <c r="BF124" i="26"/>
  <c r="BD124" i="26"/>
  <c r="BC124" i="26"/>
  <c r="BB124" i="26"/>
  <c r="BA124" i="26"/>
  <c r="AZ124" i="26"/>
  <c r="AX124" i="26"/>
  <c r="AW124" i="26"/>
  <c r="AV124" i="26"/>
  <c r="AU124" i="26"/>
  <c r="AT124" i="26"/>
  <c r="AR124" i="26"/>
  <c r="AQ124" i="26"/>
  <c r="AP124" i="26"/>
  <c r="AO130" i="26" s="1"/>
  <c r="AO124" i="26"/>
  <c r="AN124" i="26"/>
  <c r="AL124" i="26"/>
  <c r="AK124" i="26"/>
  <c r="AJ124" i="26"/>
  <c r="AI124" i="26"/>
  <c r="AH124" i="26"/>
  <c r="V124" i="26"/>
  <c r="BJ123" i="26"/>
  <c r="BI123" i="26"/>
  <c r="BH123" i="26"/>
  <c r="BG123" i="26"/>
  <c r="BF123" i="26"/>
  <c r="BD123" i="26"/>
  <c r="BC123" i="26"/>
  <c r="BB123" i="26"/>
  <c r="BA123" i="26"/>
  <c r="AZ123" i="26"/>
  <c r="AX123" i="26"/>
  <c r="AW123" i="26"/>
  <c r="AV123" i="26"/>
  <c r="AU123" i="26"/>
  <c r="AT123" i="26"/>
  <c r="AR123" i="26"/>
  <c r="AQ123" i="26"/>
  <c r="AP123" i="26"/>
  <c r="AO123" i="26"/>
  <c r="AN123" i="26"/>
  <c r="AL123" i="26"/>
  <c r="AK123" i="26"/>
  <c r="AJ123" i="26"/>
  <c r="AI123" i="26"/>
  <c r="AH123" i="26"/>
  <c r="BJ122" i="26"/>
  <c r="BI122" i="26"/>
  <c r="BH122" i="26"/>
  <c r="BG122" i="26"/>
  <c r="BF122" i="26"/>
  <c r="BD122" i="26"/>
  <c r="BC122" i="26"/>
  <c r="BB122" i="26"/>
  <c r="BA122" i="26"/>
  <c r="AZ122" i="26"/>
  <c r="AX122" i="26"/>
  <c r="AW122" i="26"/>
  <c r="AV122" i="26"/>
  <c r="AU122" i="26"/>
  <c r="AT122" i="26"/>
  <c r="AR122" i="26"/>
  <c r="AQ122" i="26"/>
  <c r="AP122" i="26"/>
  <c r="AO122" i="26"/>
  <c r="AN122" i="26"/>
  <c r="AL122" i="26"/>
  <c r="AK122" i="26"/>
  <c r="AJ122" i="26"/>
  <c r="AI122" i="26"/>
  <c r="AH122" i="26"/>
  <c r="G122" i="26"/>
  <c r="BJ121" i="26"/>
  <c r="BI121" i="26"/>
  <c r="BH121" i="26"/>
  <c r="BG121" i="26"/>
  <c r="BF121" i="26"/>
  <c r="BD121" i="26"/>
  <c r="BC121" i="26"/>
  <c r="BB121" i="26"/>
  <c r="BA121" i="26"/>
  <c r="AZ121" i="26"/>
  <c r="AX121" i="26"/>
  <c r="AW121" i="26"/>
  <c r="AV121" i="26"/>
  <c r="AU121" i="26"/>
  <c r="AT121" i="26"/>
  <c r="AR121" i="26"/>
  <c r="AQ121" i="26"/>
  <c r="AP121" i="26"/>
  <c r="AO121" i="26"/>
  <c r="AN121" i="26"/>
  <c r="AL121" i="26"/>
  <c r="AK121" i="26"/>
  <c r="AJ121" i="26"/>
  <c r="AI121" i="26"/>
  <c r="AH121" i="26"/>
  <c r="BJ120" i="26"/>
  <c r="BI120" i="26"/>
  <c r="BH120" i="26"/>
  <c r="BG120" i="26"/>
  <c r="BF120" i="26"/>
  <c r="BD120" i="26"/>
  <c r="BC120" i="26"/>
  <c r="BB120" i="26"/>
  <c r="BA120" i="26"/>
  <c r="AZ120" i="26"/>
  <c r="AX120" i="26"/>
  <c r="AW120" i="26"/>
  <c r="AV120" i="26"/>
  <c r="AU130" i="26" s="1"/>
  <c r="AU120" i="26"/>
  <c r="AT120" i="26"/>
  <c r="AR120" i="26"/>
  <c r="AQ120" i="26"/>
  <c r="AP120" i="26"/>
  <c r="AO120" i="26"/>
  <c r="AN120" i="26"/>
  <c r="AL120" i="26"/>
  <c r="AK120" i="26"/>
  <c r="AJ120" i="26"/>
  <c r="AI120" i="26"/>
  <c r="AH120" i="26"/>
  <c r="Z119" i="26"/>
  <c r="BF118" i="26"/>
  <c r="AZ118" i="26"/>
  <c r="AT118" i="26"/>
  <c r="AN118" i="26"/>
  <c r="AH118" i="26"/>
  <c r="BF117" i="26"/>
  <c r="AZ117" i="26"/>
  <c r="AT117" i="26"/>
  <c r="AN117" i="26"/>
  <c r="AH117" i="26"/>
  <c r="BH116" i="26"/>
  <c r="BB116" i="26"/>
  <c r="AV116" i="26"/>
  <c r="AP116" i="26"/>
  <c r="AJ116" i="26"/>
  <c r="L113" i="26"/>
  <c r="K113" i="26"/>
  <c r="J113" i="26"/>
  <c r="I113" i="26"/>
  <c r="H113" i="26"/>
  <c r="L112" i="26"/>
  <c r="K112" i="26"/>
  <c r="J112" i="26"/>
  <c r="I112" i="26"/>
  <c r="H112" i="26"/>
  <c r="L111" i="26"/>
  <c r="K111" i="26"/>
  <c r="J111" i="26"/>
  <c r="I111" i="26"/>
  <c r="H111" i="26"/>
  <c r="L110" i="26"/>
  <c r="K110" i="26"/>
  <c r="J110" i="26"/>
  <c r="I110" i="26"/>
  <c r="H110" i="26"/>
  <c r="L109" i="26"/>
  <c r="K109" i="26"/>
  <c r="J109" i="26"/>
  <c r="I109" i="26"/>
  <c r="H109" i="26"/>
  <c r="L108" i="26"/>
  <c r="K108" i="26"/>
  <c r="J108" i="26"/>
  <c r="I108" i="26"/>
  <c r="H108" i="26"/>
  <c r="L107" i="26"/>
  <c r="K107" i="26"/>
  <c r="J107" i="26"/>
  <c r="I107" i="26"/>
  <c r="H107" i="26"/>
  <c r="L106" i="26"/>
  <c r="K106" i="26"/>
  <c r="J106" i="26"/>
  <c r="I106" i="26"/>
  <c r="H106" i="26"/>
  <c r="L105" i="26"/>
  <c r="K105" i="26"/>
  <c r="J105" i="26"/>
  <c r="I105" i="26"/>
  <c r="H105" i="26"/>
  <c r="L104" i="26"/>
  <c r="K104" i="26"/>
  <c r="J104" i="26"/>
  <c r="I104" i="26"/>
  <c r="H104" i="26"/>
  <c r="L103" i="26"/>
  <c r="K103" i="26"/>
  <c r="J103" i="26"/>
  <c r="I103" i="26"/>
  <c r="H103" i="26"/>
  <c r="L102" i="26"/>
  <c r="K102" i="26"/>
  <c r="J102" i="26"/>
  <c r="I102" i="26"/>
  <c r="H102" i="26"/>
  <c r="L101" i="26"/>
  <c r="K101" i="26"/>
  <c r="J101" i="26"/>
  <c r="I101" i="26"/>
  <c r="H101" i="26"/>
  <c r="L100" i="26"/>
  <c r="K100" i="26"/>
  <c r="J100" i="26"/>
  <c r="I100" i="26"/>
  <c r="H100" i="26"/>
  <c r="L99" i="26"/>
  <c r="K99" i="26"/>
  <c r="J99" i="26"/>
  <c r="I99" i="26"/>
  <c r="H99" i="26"/>
  <c r="L98" i="26"/>
  <c r="K98" i="26"/>
  <c r="J98" i="26"/>
  <c r="I98" i="26"/>
  <c r="H98" i="26"/>
  <c r="L97" i="26"/>
  <c r="K97" i="26"/>
  <c r="J97" i="26"/>
  <c r="I97" i="26"/>
  <c r="H97" i="26"/>
  <c r="L96" i="26"/>
  <c r="K96" i="26"/>
  <c r="J96" i="26"/>
  <c r="I96" i="26"/>
  <c r="H96" i="26"/>
  <c r="L95" i="26"/>
  <c r="K95" i="26"/>
  <c r="J95" i="26"/>
  <c r="I95" i="26"/>
  <c r="H95" i="26"/>
  <c r="L94" i="26"/>
  <c r="K94" i="26"/>
  <c r="J94" i="26"/>
  <c r="I94" i="26"/>
  <c r="H94" i="26"/>
  <c r="L93" i="26"/>
  <c r="K93" i="26"/>
  <c r="J93" i="26"/>
  <c r="I93" i="26"/>
  <c r="H93" i="26"/>
  <c r="L92" i="26"/>
  <c r="K92" i="26"/>
  <c r="J92" i="26"/>
  <c r="I92" i="26"/>
  <c r="H92" i="26"/>
  <c r="L91" i="26"/>
  <c r="K91" i="26"/>
  <c r="J91" i="26"/>
  <c r="I91" i="26"/>
  <c r="H91" i="26"/>
  <c r="L90" i="26"/>
  <c r="K90" i="26"/>
  <c r="J90" i="26"/>
  <c r="I90" i="26"/>
  <c r="H90" i="26"/>
  <c r="L89" i="26"/>
  <c r="K89" i="26"/>
  <c r="J89" i="26"/>
  <c r="I89" i="26"/>
  <c r="H89" i="26"/>
  <c r="L88" i="26"/>
  <c r="K88" i="26"/>
  <c r="J88" i="26"/>
  <c r="I88" i="26"/>
  <c r="H88" i="26"/>
  <c r="L87" i="26"/>
  <c r="K87" i="26"/>
  <c r="J87" i="26"/>
  <c r="I87" i="26"/>
  <c r="H87" i="26"/>
  <c r="L86" i="26"/>
  <c r="K86" i="26"/>
  <c r="J86" i="26"/>
  <c r="I86" i="26"/>
  <c r="H86" i="26"/>
  <c r="L85" i="26"/>
  <c r="K85" i="26"/>
  <c r="J85" i="26"/>
  <c r="I85" i="26"/>
  <c r="H85" i="26"/>
  <c r="L84" i="26"/>
  <c r="K84" i="26"/>
  <c r="J84" i="26"/>
  <c r="I84" i="26"/>
  <c r="H84" i="26"/>
  <c r="L83" i="26"/>
  <c r="K83" i="26"/>
  <c r="J83" i="26"/>
  <c r="I83" i="26"/>
  <c r="H83" i="26"/>
  <c r="L82" i="26"/>
  <c r="K82" i="26"/>
  <c r="J82" i="26"/>
  <c r="I82" i="26"/>
  <c r="H82" i="26"/>
  <c r="L81" i="26"/>
  <c r="K81" i="26"/>
  <c r="J81" i="26"/>
  <c r="I81" i="26"/>
  <c r="H81" i="26"/>
  <c r="L80" i="26"/>
  <c r="K80" i="26"/>
  <c r="J80" i="26"/>
  <c r="I80" i="26"/>
  <c r="H80" i="26"/>
  <c r="L79" i="26"/>
  <c r="K79" i="26"/>
  <c r="J79" i="26"/>
  <c r="I79" i="26"/>
  <c r="H79" i="26"/>
  <c r="L78" i="26"/>
  <c r="K78" i="26"/>
  <c r="J78" i="26"/>
  <c r="I78" i="26"/>
  <c r="H78" i="26"/>
  <c r="L77" i="26"/>
  <c r="K77" i="26"/>
  <c r="J77" i="26"/>
  <c r="I77" i="26"/>
  <c r="H77" i="26"/>
  <c r="L76" i="26"/>
  <c r="K76" i="26"/>
  <c r="J76" i="26"/>
  <c r="I76" i="26"/>
  <c r="H76" i="26"/>
  <c r="L75" i="26"/>
  <c r="K75" i="26"/>
  <c r="J75" i="26"/>
  <c r="I75" i="26"/>
  <c r="H75" i="26"/>
  <c r="L74" i="26"/>
  <c r="K74" i="26"/>
  <c r="J74" i="26"/>
  <c r="I74" i="26"/>
  <c r="H74" i="26"/>
  <c r="L73" i="26"/>
  <c r="K73" i="26"/>
  <c r="J73" i="26"/>
  <c r="I73" i="26"/>
  <c r="H73" i="26"/>
  <c r="L72" i="26"/>
  <c r="K72" i="26"/>
  <c r="J72" i="26"/>
  <c r="I72" i="26"/>
  <c r="H72" i="26"/>
  <c r="L71" i="26"/>
  <c r="K71" i="26"/>
  <c r="J71" i="26"/>
  <c r="I71" i="26"/>
  <c r="H71" i="26"/>
  <c r="L70" i="26"/>
  <c r="K70" i="26"/>
  <c r="J70" i="26"/>
  <c r="I70" i="26"/>
  <c r="H70" i="26"/>
  <c r="L69" i="26"/>
  <c r="K69" i="26"/>
  <c r="J69" i="26"/>
  <c r="I69" i="26"/>
  <c r="H69" i="26"/>
  <c r="L68" i="26"/>
  <c r="K68" i="26"/>
  <c r="J68" i="26"/>
  <c r="I68" i="26"/>
  <c r="H68" i="26"/>
  <c r="L67" i="26"/>
  <c r="K67" i="26"/>
  <c r="J67" i="26"/>
  <c r="I67" i="26"/>
  <c r="H67" i="26"/>
  <c r="L66" i="26"/>
  <c r="K66" i="26"/>
  <c r="J66" i="26"/>
  <c r="I66" i="26"/>
  <c r="H66" i="26"/>
  <c r="L65" i="26"/>
  <c r="K65" i="26"/>
  <c r="J65" i="26"/>
  <c r="I65" i="26"/>
  <c r="H65" i="26"/>
  <c r="L64" i="26"/>
  <c r="K64" i="26"/>
  <c r="J64" i="26"/>
  <c r="I64" i="26"/>
  <c r="H64" i="26"/>
  <c r="L63" i="26"/>
  <c r="K63" i="26"/>
  <c r="J63" i="26"/>
  <c r="I63" i="26"/>
  <c r="H63" i="26"/>
  <c r="L62" i="26"/>
  <c r="K62" i="26"/>
  <c r="J62" i="26"/>
  <c r="I62" i="26"/>
  <c r="H62" i="26"/>
  <c r="L61" i="26"/>
  <c r="K61" i="26"/>
  <c r="J61" i="26"/>
  <c r="I61" i="26"/>
  <c r="H61" i="26"/>
  <c r="L60" i="26"/>
  <c r="K60" i="26"/>
  <c r="J60" i="26"/>
  <c r="I60" i="26"/>
  <c r="H60" i="26"/>
  <c r="L59" i="26"/>
  <c r="K59" i="26"/>
  <c r="J59" i="26"/>
  <c r="I59" i="26"/>
  <c r="H59" i="26"/>
  <c r="L58" i="26"/>
  <c r="K58" i="26"/>
  <c r="J58" i="26"/>
  <c r="I58" i="26"/>
  <c r="H58" i="26"/>
  <c r="L57" i="26"/>
  <c r="K57" i="26"/>
  <c r="J57" i="26"/>
  <c r="I57" i="26"/>
  <c r="H57" i="26"/>
  <c r="L56" i="26"/>
  <c r="K56" i="26"/>
  <c r="J56" i="26"/>
  <c r="I56" i="26"/>
  <c r="H56" i="26"/>
  <c r="L55" i="26"/>
  <c r="K55" i="26"/>
  <c r="J55" i="26"/>
  <c r="I55" i="26"/>
  <c r="H55" i="26"/>
  <c r="L54" i="26"/>
  <c r="K54" i="26"/>
  <c r="J54" i="26"/>
  <c r="I54" i="26"/>
  <c r="H54" i="26"/>
  <c r="L53" i="26"/>
  <c r="K53" i="26"/>
  <c r="J53" i="26"/>
  <c r="I53" i="26"/>
  <c r="H53" i="26"/>
  <c r="L52" i="26"/>
  <c r="K52" i="26"/>
  <c r="J52" i="26"/>
  <c r="I52" i="26"/>
  <c r="H52" i="26"/>
  <c r="L51" i="26"/>
  <c r="K51" i="26"/>
  <c r="J51" i="26"/>
  <c r="I51" i="26"/>
  <c r="H51" i="26"/>
  <c r="L50" i="26"/>
  <c r="K50" i="26"/>
  <c r="J50" i="26"/>
  <c r="I50" i="26"/>
  <c r="H50" i="26"/>
  <c r="L49" i="26"/>
  <c r="K49" i="26"/>
  <c r="J49" i="26"/>
  <c r="I49" i="26"/>
  <c r="H49" i="26"/>
  <c r="L48" i="26"/>
  <c r="K48" i="26"/>
  <c r="J48" i="26"/>
  <c r="I48" i="26"/>
  <c r="H48" i="26"/>
  <c r="L47" i="26"/>
  <c r="K47" i="26"/>
  <c r="J47" i="26"/>
  <c r="I47" i="26"/>
  <c r="H47" i="26"/>
  <c r="L46" i="26"/>
  <c r="K46" i="26"/>
  <c r="J46" i="26"/>
  <c r="I46" i="26"/>
  <c r="H46" i="26"/>
  <c r="L45" i="26"/>
  <c r="K45" i="26"/>
  <c r="J45" i="26"/>
  <c r="I45" i="26"/>
  <c r="H45" i="26"/>
  <c r="L44" i="26"/>
  <c r="K44" i="26"/>
  <c r="J44" i="26"/>
  <c r="I44" i="26"/>
  <c r="H44" i="26"/>
  <c r="L43" i="26"/>
  <c r="K43" i="26"/>
  <c r="J43" i="26"/>
  <c r="I43" i="26"/>
  <c r="H43" i="26"/>
  <c r="L42" i="26"/>
  <c r="K42" i="26"/>
  <c r="J42" i="26"/>
  <c r="I42" i="26"/>
  <c r="H42" i="26"/>
  <c r="L41" i="26"/>
  <c r="K41" i="26"/>
  <c r="J41" i="26"/>
  <c r="I41" i="26"/>
  <c r="H41" i="26"/>
  <c r="L40" i="26"/>
  <c r="K40" i="26"/>
  <c r="J40" i="26"/>
  <c r="I40" i="26"/>
  <c r="H40" i="26"/>
  <c r="L39" i="26"/>
  <c r="K39" i="26"/>
  <c r="J39" i="26"/>
  <c r="I39" i="26"/>
  <c r="H39" i="26"/>
  <c r="L38" i="26"/>
  <c r="K38" i="26"/>
  <c r="J38" i="26"/>
  <c r="I38" i="26"/>
  <c r="H38" i="26"/>
  <c r="L37" i="26"/>
  <c r="K37" i="26"/>
  <c r="J37" i="26"/>
  <c r="I37" i="26"/>
  <c r="H37" i="26"/>
  <c r="L36" i="26"/>
  <c r="K36" i="26"/>
  <c r="J36" i="26"/>
  <c r="I36" i="26"/>
  <c r="H36" i="26"/>
  <c r="L35" i="26"/>
  <c r="K35" i="26"/>
  <c r="J35" i="26"/>
  <c r="I35" i="26"/>
  <c r="H35" i="26"/>
  <c r="L34" i="26"/>
  <c r="K34" i="26"/>
  <c r="J34" i="26"/>
  <c r="I34" i="26"/>
  <c r="H34" i="26"/>
  <c r="L33" i="26"/>
  <c r="K33" i="26"/>
  <c r="J33" i="26"/>
  <c r="I33" i="26"/>
  <c r="H33" i="26"/>
  <c r="L32" i="26"/>
  <c r="K32" i="26"/>
  <c r="J32" i="26"/>
  <c r="I32" i="26"/>
  <c r="H32" i="26"/>
  <c r="L31" i="26"/>
  <c r="K31" i="26"/>
  <c r="J31" i="26"/>
  <c r="I31" i="26"/>
  <c r="H31" i="26"/>
  <c r="L30" i="26"/>
  <c r="K30" i="26"/>
  <c r="J30" i="26"/>
  <c r="I30" i="26"/>
  <c r="H30" i="26"/>
  <c r="L29" i="26"/>
  <c r="K29" i="26"/>
  <c r="J29" i="26"/>
  <c r="I29" i="26"/>
  <c r="H29" i="26"/>
  <c r="L28" i="26"/>
  <c r="K28" i="26"/>
  <c r="J28" i="26"/>
  <c r="I28" i="26"/>
  <c r="H28" i="26"/>
  <c r="L27" i="26"/>
  <c r="K27" i="26"/>
  <c r="J27" i="26"/>
  <c r="I27" i="26"/>
  <c r="H27" i="26"/>
  <c r="L26" i="26"/>
  <c r="K26" i="26"/>
  <c r="J26" i="26"/>
  <c r="I26" i="26"/>
  <c r="H26" i="26"/>
  <c r="Q151" i="26" s="1"/>
  <c r="L25" i="26"/>
  <c r="K25" i="26"/>
  <c r="J25" i="26"/>
  <c r="I25" i="26"/>
  <c r="H25" i="26"/>
  <c r="L24" i="26"/>
  <c r="K24" i="26"/>
  <c r="J24" i="26"/>
  <c r="I24" i="26"/>
  <c r="H24" i="26"/>
  <c r="BA23" i="26"/>
  <c r="BG154" i="26" s="1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AU23" i="26" s="1"/>
  <c r="BF156" i="26" s="1"/>
  <c r="X23" i="26"/>
  <c r="W23" i="26"/>
  <c r="V23" i="26"/>
  <c r="U23" i="26"/>
  <c r="T23" i="26"/>
  <c r="S23" i="26"/>
  <c r="R23" i="26"/>
  <c r="Q23" i="26"/>
  <c r="P23" i="26"/>
  <c r="O23" i="26"/>
  <c r="L23" i="26"/>
  <c r="K23" i="26"/>
  <c r="J23" i="26"/>
  <c r="I23" i="26"/>
  <c r="H23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L22" i="26"/>
  <c r="K22" i="26"/>
  <c r="J22" i="26"/>
  <c r="I22" i="26"/>
  <c r="H22" i="26"/>
  <c r="AY21" i="26"/>
  <c r="AX156" i="26" s="1"/>
  <c r="AV21" i="26"/>
  <c r="AU156" i="26" s="1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BD21" i="26" s="1"/>
  <c r="AX154" i="26" s="1"/>
  <c r="U21" i="26"/>
  <c r="T21" i="26"/>
  <c r="S21" i="26"/>
  <c r="R21" i="26"/>
  <c r="Q21" i="26"/>
  <c r="P21" i="26"/>
  <c r="O21" i="26"/>
  <c r="L21" i="26"/>
  <c r="K21" i="26"/>
  <c r="J21" i="26"/>
  <c r="I21" i="26"/>
  <c r="H21" i="26"/>
  <c r="H147" i="26" s="1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L20" i="26"/>
  <c r="K20" i="26"/>
  <c r="J20" i="26"/>
  <c r="I20" i="26"/>
  <c r="H20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L19" i="26"/>
  <c r="K19" i="26"/>
  <c r="J19" i="26"/>
  <c r="I19" i="26"/>
  <c r="H19" i="26"/>
  <c r="AZ18" i="26"/>
  <c r="BF133" i="26" s="1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L18" i="26"/>
  <c r="K18" i="26"/>
  <c r="J18" i="26"/>
  <c r="I18" i="26"/>
  <c r="H18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L17" i="26"/>
  <c r="K17" i="26"/>
  <c r="J17" i="26"/>
  <c r="I17" i="26"/>
  <c r="H17" i="26"/>
  <c r="BA16" i="26"/>
  <c r="AU133" i="26" s="1"/>
  <c r="AY16" i="26"/>
  <c r="AX135" i="26" s="1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L16" i="26"/>
  <c r="K16" i="26"/>
  <c r="J16" i="26"/>
  <c r="I16" i="26"/>
  <c r="H16" i="26"/>
  <c r="AR15" i="26"/>
  <c r="AQ15" i="26"/>
  <c r="AP15" i="26"/>
  <c r="AO15" i="26"/>
  <c r="AN15" i="26"/>
  <c r="AM15" i="26"/>
  <c r="AL15" i="26"/>
  <c r="AK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R15" i="26"/>
  <c r="Q15" i="26"/>
  <c r="P15" i="26"/>
  <c r="O15" i="26"/>
  <c r="L15" i="26"/>
  <c r="K15" i="26"/>
  <c r="J15" i="26"/>
  <c r="I15" i="26"/>
  <c r="H15" i="26"/>
  <c r="BB14" i="26"/>
  <c r="AJ133" i="26" s="1"/>
  <c r="AY14" i="26"/>
  <c r="AL135" i="26" s="1"/>
  <c r="AR14" i="26"/>
  <c r="AQ14" i="26"/>
  <c r="AP14" i="26"/>
  <c r="AO14" i="26"/>
  <c r="AN14" i="26"/>
  <c r="AM14" i="26"/>
  <c r="AL14" i="26"/>
  <c r="AK14" i="26"/>
  <c r="AJ14" i="26"/>
  <c r="AI14" i="26"/>
  <c r="AH14" i="26"/>
  <c r="AG14" i="26"/>
  <c r="AF14" i="26"/>
  <c r="AE14" i="26"/>
  <c r="AD14" i="26"/>
  <c r="AC14" i="26"/>
  <c r="AB14" i="26"/>
  <c r="AA14" i="26"/>
  <c r="Z14" i="26"/>
  <c r="Y14" i="26"/>
  <c r="BD14" i="26" s="1"/>
  <c r="AL133" i="26" s="1"/>
  <c r="X14" i="26"/>
  <c r="W14" i="26"/>
  <c r="V14" i="26"/>
  <c r="U14" i="26"/>
  <c r="T14" i="26"/>
  <c r="S14" i="26"/>
  <c r="R14" i="26"/>
  <c r="BA19" i="26" s="1"/>
  <c r="AI154" i="26" s="1"/>
  <c r="Q14" i="26"/>
  <c r="P14" i="26"/>
  <c r="O14" i="26"/>
  <c r="L14" i="26"/>
  <c r="K14" i="26"/>
  <c r="J14" i="26"/>
  <c r="I14" i="26"/>
  <c r="H14" i="26"/>
  <c r="BT2" i="26"/>
  <c r="AK130" i="26" s="1"/>
  <c r="AK158" i="31"/>
  <c r="BI152" i="31"/>
  <c r="BG152" i="31"/>
  <c r="BC152" i="31"/>
  <c r="BA152" i="31"/>
  <c r="AW152" i="31"/>
  <c r="AU152" i="31"/>
  <c r="AQ152" i="31"/>
  <c r="AO152" i="31"/>
  <c r="AK152" i="31"/>
  <c r="AI152" i="31"/>
  <c r="BI151" i="31"/>
  <c r="BF151" i="31"/>
  <c r="BC151" i="31"/>
  <c r="AZ151" i="31"/>
  <c r="AW151" i="31"/>
  <c r="AT151" i="31"/>
  <c r="AQ151" i="31"/>
  <c r="AN151" i="31"/>
  <c r="AK151" i="31"/>
  <c r="AI151" i="31"/>
  <c r="AH151" i="31"/>
  <c r="BJ150" i="31"/>
  <c r="BI150" i="31"/>
  <c r="BH150" i="31"/>
  <c r="BG150" i="31"/>
  <c r="BF150" i="31"/>
  <c r="BD150" i="31"/>
  <c r="BC150" i="31"/>
  <c r="BB150" i="31"/>
  <c r="BA150" i="31"/>
  <c r="AZ150" i="31"/>
  <c r="AX150" i="31"/>
  <c r="AW150" i="31"/>
  <c r="AV150" i="31"/>
  <c r="AU150" i="31"/>
  <c r="AT150" i="31"/>
  <c r="AR150" i="31"/>
  <c r="AQ150" i="31"/>
  <c r="AP150" i="31"/>
  <c r="AO150" i="31"/>
  <c r="AN150" i="31"/>
  <c r="AL150" i="31"/>
  <c r="AK150" i="31"/>
  <c r="AJ150" i="31"/>
  <c r="AI150" i="31"/>
  <c r="AH150" i="31"/>
  <c r="BJ149" i="31"/>
  <c r="BI149" i="31"/>
  <c r="BH149" i="31"/>
  <c r="BG149" i="31"/>
  <c r="BF149" i="31"/>
  <c r="BD149" i="31"/>
  <c r="BC149" i="31"/>
  <c r="BB149" i="31"/>
  <c r="BA149" i="31"/>
  <c r="AZ149" i="31"/>
  <c r="AX149" i="31"/>
  <c r="AW149" i="31"/>
  <c r="AV149" i="31"/>
  <c r="AU149" i="31"/>
  <c r="AT149" i="31"/>
  <c r="AR149" i="31"/>
  <c r="AQ149" i="31"/>
  <c r="AP149" i="31"/>
  <c r="AO149" i="31"/>
  <c r="AN149" i="31"/>
  <c r="AL149" i="31"/>
  <c r="AK149" i="31"/>
  <c r="AJ149" i="31"/>
  <c r="AI149" i="31"/>
  <c r="AH149" i="31"/>
  <c r="AD149" i="31"/>
  <c r="AU158" i="31" s="1"/>
  <c r="BJ148" i="31"/>
  <c r="BI148" i="31"/>
  <c r="BH148" i="31"/>
  <c r="BG148" i="31"/>
  <c r="BF148" i="31"/>
  <c r="BD148" i="31"/>
  <c r="BC148" i="31"/>
  <c r="BB148" i="31"/>
  <c r="BA148" i="31"/>
  <c r="AZ148" i="31"/>
  <c r="AX148" i="31"/>
  <c r="AW148" i="31"/>
  <c r="AV148" i="31"/>
  <c r="AU148" i="31"/>
  <c r="AT148" i="31"/>
  <c r="AR148" i="31"/>
  <c r="AQ148" i="31"/>
  <c r="AP148" i="31"/>
  <c r="AO148" i="31"/>
  <c r="AN148" i="31"/>
  <c r="AL148" i="31"/>
  <c r="AK148" i="31"/>
  <c r="AJ148" i="31"/>
  <c r="AI148" i="31"/>
  <c r="AH148" i="31"/>
  <c r="BJ147" i="31"/>
  <c r="BI147" i="31"/>
  <c r="BH147" i="31"/>
  <c r="BG147" i="31"/>
  <c r="BF147" i="31"/>
  <c r="BD147" i="31"/>
  <c r="BC147" i="31"/>
  <c r="BB147" i="31"/>
  <c r="BA147" i="31"/>
  <c r="AZ147" i="31"/>
  <c r="AX147" i="31"/>
  <c r="AW147" i="31"/>
  <c r="AV147" i="31"/>
  <c r="AU147" i="31"/>
  <c r="AT147" i="31"/>
  <c r="AR147" i="31"/>
  <c r="AQ147" i="31"/>
  <c r="AP147" i="31"/>
  <c r="AO147" i="31"/>
  <c r="AN147" i="31"/>
  <c r="AL147" i="31"/>
  <c r="AK147" i="31"/>
  <c r="AJ147" i="31"/>
  <c r="AI147" i="31"/>
  <c r="AH147" i="31"/>
  <c r="BJ146" i="31"/>
  <c r="BI146" i="31"/>
  <c r="BH146" i="31"/>
  <c r="BG146" i="31"/>
  <c r="BF146" i="31"/>
  <c r="BD146" i="31"/>
  <c r="BC146" i="31"/>
  <c r="BB146" i="31"/>
  <c r="BA146" i="31"/>
  <c r="AZ146" i="31"/>
  <c r="AX146" i="31"/>
  <c r="AW146" i="31"/>
  <c r="AV146" i="31"/>
  <c r="AU146" i="31"/>
  <c r="AT146" i="31"/>
  <c r="AR146" i="31"/>
  <c r="AQ146" i="31"/>
  <c r="AP146" i="31"/>
  <c r="AO146" i="31"/>
  <c r="AN146" i="31"/>
  <c r="AL146" i="31"/>
  <c r="AK146" i="31"/>
  <c r="AJ146" i="31"/>
  <c r="AI146" i="31"/>
  <c r="AH146" i="31"/>
  <c r="BJ145" i="31"/>
  <c r="BI145" i="31"/>
  <c r="BH145" i="31"/>
  <c r="BG145" i="31"/>
  <c r="BF145" i="31"/>
  <c r="BD145" i="31"/>
  <c r="BC145" i="31"/>
  <c r="BB145" i="31"/>
  <c r="BA145" i="31"/>
  <c r="AZ145" i="31"/>
  <c r="AX145" i="31"/>
  <c r="AW145" i="31"/>
  <c r="AV145" i="31"/>
  <c r="AU145" i="31"/>
  <c r="AT145" i="31"/>
  <c r="AR145" i="31"/>
  <c r="AQ145" i="31"/>
  <c r="AP145" i="31"/>
  <c r="AO145" i="31"/>
  <c r="AO151" i="31" s="1"/>
  <c r="AN145" i="31"/>
  <c r="AL145" i="31"/>
  <c r="AK145" i="31"/>
  <c r="AJ145" i="31"/>
  <c r="AI145" i="31"/>
  <c r="AH145" i="31"/>
  <c r="BJ144" i="31"/>
  <c r="BI144" i="31"/>
  <c r="BH144" i="31"/>
  <c r="BG144" i="31"/>
  <c r="BF144" i="31"/>
  <c r="BD144" i="31"/>
  <c r="BC144" i="31"/>
  <c r="BB144" i="31"/>
  <c r="BA144" i="31"/>
  <c r="AZ144" i="31"/>
  <c r="AX144" i="31"/>
  <c r="AW144" i="31"/>
  <c r="AV144" i="31"/>
  <c r="AU144" i="31"/>
  <c r="AT144" i="31"/>
  <c r="AR144" i="31"/>
  <c r="AQ144" i="31"/>
  <c r="AP144" i="31"/>
  <c r="AO144" i="31"/>
  <c r="AN144" i="31"/>
  <c r="AL144" i="31"/>
  <c r="AK144" i="31"/>
  <c r="AJ144" i="31"/>
  <c r="AI144" i="31"/>
  <c r="AH144" i="31"/>
  <c r="BJ143" i="31"/>
  <c r="BI143" i="31"/>
  <c r="BH143" i="31"/>
  <c r="BG143" i="31"/>
  <c r="BF143" i="31"/>
  <c r="BD143" i="31"/>
  <c r="BC143" i="31"/>
  <c r="BB143" i="31"/>
  <c r="BA143" i="31"/>
  <c r="AZ143" i="31"/>
  <c r="AX143" i="31"/>
  <c r="AW143" i="31"/>
  <c r="AV143" i="31"/>
  <c r="AU143" i="31"/>
  <c r="AT143" i="31"/>
  <c r="AR143" i="31"/>
  <c r="AQ143" i="31"/>
  <c r="AP143" i="31"/>
  <c r="AO143" i="31"/>
  <c r="AN143" i="31"/>
  <c r="AL143" i="31"/>
  <c r="AK143" i="31"/>
  <c r="AJ143" i="31"/>
  <c r="AI143" i="31"/>
  <c r="AH143" i="31"/>
  <c r="BJ142" i="31"/>
  <c r="BI142" i="31"/>
  <c r="BH142" i="31"/>
  <c r="BG142" i="31"/>
  <c r="BF142" i="31"/>
  <c r="BD142" i="31"/>
  <c r="BC142" i="31"/>
  <c r="BB142" i="31"/>
  <c r="BA142" i="31"/>
  <c r="AZ142" i="31"/>
  <c r="AX142" i="31"/>
  <c r="AW142" i="31"/>
  <c r="AV142" i="31"/>
  <c r="AU142" i="31"/>
  <c r="AT142" i="31"/>
  <c r="AR142" i="31"/>
  <c r="AQ142" i="31"/>
  <c r="AP142" i="31"/>
  <c r="AO142" i="31"/>
  <c r="AN142" i="31"/>
  <c r="AL142" i="31"/>
  <c r="AK142" i="31"/>
  <c r="AJ142" i="31"/>
  <c r="AI142" i="31"/>
  <c r="AH142" i="31"/>
  <c r="BJ141" i="31"/>
  <c r="BI141" i="31"/>
  <c r="BH141" i="31"/>
  <c r="BG141" i="31"/>
  <c r="BF141" i="31"/>
  <c r="BD141" i="31"/>
  <c r="BC141" i="31"/>
  <c r="BB141" i="31"/>
  <c r="BA141" i="31"/>
  <c r="AZ141" i="31"/>
  <c r="AX141" i="31"/>
  <c r="AW141" i="31"/>
  <c r="AV141" i="31"/>
  <c r="AU141" i="31"/>
  <c r="AT141" i="31"/>
  <c r="AR141" i="31"/>
  <c r="AQ141" i="31"/>
  <c r="AP141" i="31"/>
  <c r="AO141" i="31"/>
  <c r="AN141" i="31"/>
  <c r="AL141" i="31"/>
  <c r="AK141" i="31"/>
  <c r="AJ141" i="31"/>
  <c r="AI141" i="31"/>
  <c r="AH141" i="31"/>
  <c r="BF139" i="31"/>
  <c r="AZ139" i="31"/>
  <c r="AT139" i="31"/>
  <c r="AO139" i="31"/>
  <c r="AN139" i="31"/>
  <c r="AH139" i="31"/>
  <c r="BF138" i="31"/>
  <c r="AZ138" i="31"/>
  <c r="AT138" i="31"/>
  <c r="AO138" i="31"/>
  <c r="AN138" i="31"/>
  <c r="AH138" i="31"/>
  <c r="BH137" i="31"/>
  <c r="BB137" i="31"/>
  <c r="AV137" i="31"/>
  <c r="AP137" i="31"/>
  <c r="AJ137" i="31"/>
  <c r="BJ135" i="31"/>
  <c r="BG135" i="31"/>
  <c r="AH135" i="31"/>
  <c r="AX133" i="31"/>
  <c r="BI131" i="31"/>
  <c r="BG131" i="31"/>
  <c r="BC131" i="31"/>
  <c r="BA131" i="31"/>
  <c r="AW131" i="31"/>
  <c r="AU131" i="31"/>
  <c r="AQ131" i="31"/>
  <c r="AO131" i="31"/>
  <c r="AK131" i="31"/>
  <c r="AI131" i="31"/>
  <c r="BI130" i="31"/>
  <c r="BF130" i="31"/>
  <c r="BC130" i="31"/>
  <c r="AZ130" i="31"/>
  <c r="AW130" i="31"/>
  <c r="AT130" i="31"/>
  <c r="AQ130" i="31"/>
  <c r="AN130" i="31"/>
  <c r="AH130" i="31"/>
  <c r="BJ129" i="31"/>
  <c r="BI129" i="31"/>
  <c r="BH129" i="31"/>
  <c r="BG129" i="31"/>
  <c r="BF129" i="31"/>
  <c r="BD129" i="31"/>
  <c r="BC129" i="31"/>
  <c r="BB129" i="31"/>
  <c r="BA129" i="31"/>
  <c r="AZ129" i="31"/>
  <c r="AX129" i="31"/>
  <c r="AW129" i="31"/>
  <c r="AV129" i="31"/>
  <c r="AU129" i="31"/>
  <c r="AT129" i="31"/>
  <c r="AR129" i="31"/>
  <c r="AQ129" i="31"/>
  <c r="AP129" i="31"/>
  <c r="AO129" i="31"/>
  <c r="AN129" i="31"/>
  <c r="AL129" i="31"/>
  <c r="AK129" i="31"/>
  <c r="AJ129" i="31"/>
  <c r="AI129" i="31"/>
  <c r="AH129" i="31"/>
  <c r="BJ128" i="31"/>
  <c r="BI128" i="31"/>
  <c r="BH128" i="31"/>
  <c r="BG128" i="31"/>
  <c r="BF128" i="31"/>
  <c r="BD128" i="31"/>
  <c r="BC128" i="31"/>
  <c r="BB128" i="31"/>
  <c r="BA128" i="31"/>
  <c r="AZ128" i="31"/>
  <c r="AX128" i="31"/>
  <c r="AW128" i="31"/>
  <c r="AV128" i="31"/>
  <c r="AU128" i="31"/>
  <c r="AT128" i="31"/>
  <c r="AR128" i="31"/>
  <c r="AQ128" i="31"/>
  <c r="AP128" i="31"/>
  <c r="AO128" i="31"/>
  <c r="AN128" i="31"/>
  <c r="AL128" i="31"/>
  <c r="AK128" i="31"/>
  <c r="AJ128" i="31"/>
  <c r="AI128" i="31"/>
  <c r="AH128" i="31"/>
  <c r="BJ127" i="31"/>
  <c r="BI127" i="31"/>
  <c r="BH127" i="31"/>
  <c r="BG127" i="31"/>
  <c r="BF127" i="31"/>
  <c r="BD127" i="31"/>
  <c r="BC127" i="31"/>
  <c r="BB127" i="31"/>
  <c r="BA127" i="31"/>
  <c r="AZ127" i="31"/>
  <c r="AX127" i="31"/>
  <c r="AW127" i="31"/>
  <c r="AV127" i="31"/>
  <c r="AU127" i="31"/>
  <c r="AT127" i="31"/>
  <c r="AR127" i="31"/>
  <c r="AQ127" i="31"/>
  <c r="AP127" i="31"/>
  <c r="AO127" i="31"/>
  <c r="AN127" i="31"/>
  <c r="AL127" i="31"/>
  <c r="AK127" i="31"/>
  <c r="AJ127" i="31"/>
  <c r="AI127" i="31"/>
  <c r="AH127" i="31"/>
  <c r="BJ126" i="31"/>
  <c r="BI126" i="31"/>
  <c r="BH126" i="31"/>
  <c r="BG126" i="31"/>
  <c r="BF126" i="31"/>
  <c r="BD126" i="31"/>
  <c r="BC126" i="31"/>
  <c r="BB126" i="31"/>
  <c r="BA126" i="31"/>
  <c r="AZ126" i="31"/>
  <c r="AX126" i="31"/>
  <c r="AW126" i="31"/>
  <c r="AV126" i="31"/>
  <c r="AU126" i="31"/>
  <c r="AT126" i="31"/>
  <c r="AR126" i="31"/>
  <c r="AQ126" i="31"/>
  <c r="AP126" i="31"/>
  <c r="AO126" i="31"/>
  <c r="AN126" i="31"/>
  <c r="AL126" i="31"/>
  <c r="AK126" i="31"/>
  <c r="AJ126" i="31"/>
  <c r="AI126" i="31"/>
  <c r="AH126" i="31"/>
  <c r="BJ125" i="31"/>
  <c r="BI125" i="31"/>
  <c r="BH125" i="31"/>
  <c r="BG125" i="31"/>
  <c r="BF125" i="31"/>
  <c r="BD125" i="31"/>
  <c r="BC125" i="31"/>
  <c r="BB125" i="31"/>
  <c r="BA125" i="31"/>
  <c r="AZ125" i="31"/>
  <c r="AX125" i="31"/>
  <c r="AW125" i="31"/>
  <c r="AV125" i="31"/>
  <c r="AU125" i="31"/>
  <c r="AT125" i="31"/>
  <c r="AR125" i="31"/>
  <c r="AQ125" i="31"/>
  <c r="AP125" i="31"/>
  <c r="AO125" i="31"/>
  <c r="AN125" i="31"/>
  <c r="AL125" i="31"/>
  <c r="AK125" i="31"/>
  <c r="AJ125" i="31"/>
  <c r="AI125" i="31"/>
  <c r="AH125" i="31"/>
  <c r="BJ124" i="31"/>
  <c r="BI124" i="31"/>
  <c r="BH124" i="31"/>
  <c r="BG124" i="31"/>
  <c r="BF124" i="31"/>
  <c r="BD124" i="31"/>
  <c r="BC124" i="31"/>
  <c r="BB124" i="31"/>
  <c r="BA124" i="31"/>
  <c r="AZ124" i="31"/>
  <c r="AX124" i="31"/>
  <c r="AW124" i="31"/>
  <c r="AV124" i="31"/>
  <c r="AU124" i="31"/>
  <c r="AT124" i="31"/>
  <c r="AR124" i="31"/>
  <c r="AQ124" i="31"/>
  <c r="AP124" i="31"/>
  <c r="AO124" i="31"/>
  <c r="AN124" i="31"/>
  <c r="AL124" i="31"/>
  <c r="AK124" i="31"/>
  <c r="AJ124" i="31"/>
  <c r="AI124" i="31"/>
  <c r="AH124" i="31"/>
  <c r="BJ123" i="31"/>
  <c r="BI123" i="31"/>
  <c r="BH123" i="31"/>
  <c r="BG123" i="31"/>
  <c r="BF123" i="31"/>
  <c r="BD123" i="31"/>
  <c r="BC123" i="31"/>
  <c r="BB123" i="31"/>
  <c r="BA123" i="31"/>
  <c r="AZ123" i="31"/>
  <c r="AX123" i="31"/>
  <c r="AW123" i="31"/>
  <c r="AV123" i="31"/>
  <c r="AU123" i="31"/>
  <c r="AT123" i="31"/>
  <c r="AR123" i="31"/>
  <c r="AQ123" i="31"/>
  <c r="AP123" i="31"/>
  <c r="AO123" i="31"/>
  <c r="AN123" i="31"/>
  <c r="AL123" i="31"/>
  <c r="AK123" i="31"/>
  <c r="AJ123" i="31"/>
  <c r="AI123" i="31"/>
  <c r="AH123" i="31"/>
  <c r="BJ122" i="31"/>
  <c r="BI122" i="31"/>
  <c r="BH122" i="31"/>
  <c r="BG122" i="31"/>
  <c r="BF122" i="31"/>
  <c r="BD122" i="31"/>
  <c r="BC122" i="31"/>
  <c r="BB122" i="31"/>
  <c r="BA122" i="31"/>
  <c r="AZ122" i="31"/>
  <c r="AX122" i="31"/>
  <c r="AW122" i="31"/>
  <c r="AV122" i="31"/>
  <c r="AU122" i="31"/>
  <c r="AT122" i="31"/>
  <c r="AR122" i="31"/>
  <c r="AQ122" i="31"/>
  <c r="AP122" i="31"/>
  <c r="AO122" i="31"/>
  <c r="AN122" i="31"/>
  <c r="AL122" i="31"/>
  <c r="AK122" i="31"/>
  <c r="AJ122" i="31"/>
  <c r="AI122" i="31"/>
  <c r="AH122" i="31"/>
  <c r="BJ121" i="31"/>
  <c r="BI121" i="31"/>
  <c r="BH121" i="31"/>
  <c r="BG121" i="31"/>
  <c r="BG130" i="31" s="1"/>
  <c r="BF121" i="31"/>
  <c r="BD121" i="31"/>
  <c r="BC121" i="31"/>
  <c r="BB121" i="31"/>
  <c r="BA121" i="31"/>
  <c r="AZ121" i="31"/>
  <c r="AX121" i="31"/>
  <c r="AW121" i="31"/>
  <c r="AV121" i="31"/>
  <c r="AU121" i="31"/>
  <c r="AT121" i="31"/>
  <c r="AR121" i="31"/>
  <c r="AQ121" i="31"/>
  <c r="AP121" i="31"/>
  <c r="AO121" i="31"/>
  <c r="AN121" i="31"/>
  <c r="AL121" i="31"/>
  <c r="AK121" i="31"/>
  <c r="AJ121" i="31"/>
  <c r="AI121" i="31"/>
  <c r="AH121" i="31"/>
  <c r="BJ120" i="31"/>
  <c r="BI120" i="31"/>
  <c r="BH120" i="31"/>
  <c r="BG120" i="31"/>
  <c r="BF120" i="31"/>
  <c r="BD120" i="31"/>
  <c r="BC120" i="31"/>
  <c r="BB120" i="31"/>
  <c r="BA120" i="31"/>
  <c r="AZ120" i="31"/>
  <c r="AX120" i="31"/>
  <c r="AW120" i="31"/>
  <c r="AV120" i="31"/>
  <c r="AU120" i="31"/>
  <c r="AT120" i="31"/>
  <c r="AR120" i="31"/>
  <c r="AQ120" i="31"/>
  <c r="AP120" i="31"/>
  <c r="AO130" i="31" s="1"/>
  <c r="AO120" i="31"/>
  <c r="AN120" i="31"/>
  <c r="AL120" i="31"/>
  <c r="AK120" i="31"/>
  <c r="AJ120" i="31"/>
  <c r="AI120" i="31"/>
  <c r="AH120" i="31"/>
  <c r="E119" i="31"/>
  <c r="BF118" i="31"/>
  <c r="AZ118" i="31"/>
  <c r="AT118" i="31"/>
  <c r="AN118" i="31"/>
  <c r="AH118" i="31"/>
  <c r="BF117" i="31"/>
  <c r="AZ117" i="31"/>
  <c r="AT117" i="31"/>
  <c r="AN117" i="31"/>
  <c r="AH117" i="31"/>
  <c r="BH116" i="31"/>
  <c r="BB116" i="31"/>
  <c r="AV116" i="31"/>
  <c r="AP116" i="31"/>
  <c r="AJ116" i="31"/>
  <c r="L113" i="31"/>
  <c r="K113" i="31"/>
  <c r="J113" i="31"/>
  <c r="I113" i="31"/>
  <c r="H113" i="31"/>
  <c r="L112" i="31"/>
  <c r="K112" i="31"/>
  <c r="J112" i="31"/>
  <c r="I112" i="31"/>
  <c r="H112" i="31"/>
  <c r="L111" i="31"/>
  <c r="K111" i="31"/>
  <c r="J111" i="31"/>
  <c r="I111" i="31"/>
  <c r="H111" i="31"/>
  <c r="L110" i="31"/>
  <c r="K110" i="31"/>
  <c r="J110" i="31"/>
  <c r="I110" i="31"/>
  <c r="H110" i="31"/>
  <c r="L109" i="31"/>
  <c r="K109" i="31"/>
  <c r="J109" i="31"/>
  <c r="I109" i="31"/>
  <c r="H109" i="31"/>
  <c r="L108" i="31"/>
  <c r="K108" i="31"/>
  <c r="J108" i="31"/>
  <c r="I108" i="31"/>
  <c r="H108" i="31"/>
  <c r="L107" i="31"/>
  <c r="K107" i="31"/>
  <c r="J107" i="31"/>
  <c r="I107" i="31"/>
  <c r="H107" i="31"/>
  <c r="L106" i="31"/>
  <c r="K106" i="31"/>
  <c r="J106" i="31"/>
  <c r="I106" i="31"/>
  <c r="H106" i="31"/>
  <c r="L105" i="31"/>
  <c r="K105" i="31"/>
  <c r="J105" i="31"/>
  <c r="I105" i="31"/>
  <c r="H105" i="31"/>
  <c r="L104" i="31"/>
  <c r="K104" i="31"/>
  <c r="J104" i="31"/>
  <c r="I104" i="31"/>
  <c r="H104" i="31"/>
  <c r="L103" i="31"/>
  <c r="K103" i="31"/>
  <c r="J103" i="31"/>
  <c r="I103" i="31"/>
  <c r="H103" i="31"/>
  <c r="L102" i="31"/>
  <c r="K102" i="31"/>
  <c r="J102" i="31"/>
  <c r="I102" i="31"/>
  <c r="H102" i="31"/>
  <c r="L101" i="31"/>
  <c r="K101" i="31"/>
  <c r="J101" i="31"/>
  <c r="I101" i="31"/>
  <c r="H101" i="31"/>
  <c r="L100" i="31"/>
  <c r="K100" i="31"/>
  <c r="J100" i="31"/>
  <c r="I100" i="31"/>
  <c r="H100" i="31"/>
  <c r="L99" i="31"/>
  <c r="K99" i="31"/>
  <c r="J99" i="31"/>
  <c r="I99" i="31"/>
  <c r="H99" i="31"/>
  <c r="L98" i="31"/>
  <c r="K98" i="31"/>
  <c r="J98" i="31"/>
  <c r="I98" i="31"/>
  <c r="H98" i="31"/>
  <c r="L97" i="31"/>
  <c r="K97" i="31"/>
  <c r="J97" i="31"/>
  <c r="I97" i="31"/>
  <c r="H97" i="31"/>
  <c r="L96" i="31"/>
  <c r="K96" i="31"/>
  <c r="J96" i="31"/>
  <c r="I96" i="31"/>
  <c r="H96" i="31"/>
  <c r="L95" i="31"/>
  <c r="K95" i="31"/>
  <c r="J95" i="31"/>
  <c r="I95" i="31"/>
  <c r="H95" i="31"/>
  <c r="L94" i="31"/>
  <c r="K94" i="31"/>
  <c r="J94" i="31"/>
  <c r="I94" i="31"/>
  <c r="H94" i="31"/>
  <c r="L93" i="31"/>
  <c r="K93" i="31"/>
  <c r="J93" i="31"/>
  <c r="I93" i="31"/>
  <c r="H93" i="31"/>
  <c r="L92" i="31"/>
  <c r="K92" i="31"/>
  <c r="J92" i="31"/>
  <c r="I92" i="31"/>
  <c r="H92" i="31"/>
  <c r="L91" i="31"/>
  <c r="K91" i="31"/>
  <c r="J91" i="31"/>
  <c r="I91" i="31"/>
  <c r="H91" i="31"/>
  <c r="L90" i="31"/>
  <c r="K90" i="31"/>
  <c r="J90" i="31"/>
  <c r="I90" i="31"/>
  <c r="H90" i="31"/>
  <c r="L89" i="31"/>
  <c r="K89" i="31"/>
  <c r="J89" i="31"/>
  <c r="I89" i="31"/>
  <c r="H89" i="31"/>
  <c r="L88" i="31"/>
  <c r="K88" i="31"/>
  <c r="J88" i="31"/>
  <c r="I88" i="31"/>
  <c r="H88" i="31"/>
  <c r="L87" i="31"/>
  <c r="K87" i="31"/>
  <c r="J87" i="31"/>
  <c r="I87" i="31"/>
  <c r="H87" i="31"/>
  <c r="L86" i="31"/>
  <c r="K86" i="31"/>
  <c r="J86" i="31"/>
  <c r="I86" i="31"/>
  <c r="H86" i="31"/>
  <c r="L85" i="31"/>
  <c r="K85" i="31"/>
  <c r="J85" i="31"/>
  <c r="I85" i="31"/>
  <c r="H85" i="31"/>
  <c r="L84" i="31"/>
  <c r="K84" i="31"/>
  <c r="J84" i="31"/>
  <c r="I84" i="31"/>
  <c r="H84" i="31"/>
  <c r="L83" i="31"/>
  <c r="K83" i="31"/>
  <c r="J83" i="31"/>
  <c r="I83" i="31"/>
  <c r="H83" i="31"/>
  <c r="L82" i="31"/>
  <c r="K82" i="31"/>
  <c r="J82" i="31"/>
  <c r="I82" i="31"/>
  <c r="H82" i="31"/>
  <c r="L81" i="31"/>
  <c r="K81" i="31"/>
  <c r="J81" i="31"/>
  <c r="I81" i="31"/>
  <c r="H81" i="31"/>
  <c r="L80" i="31"/>
  <c r="K80" i="31"/>
  <c r="J80" i="31"/>
  <c r="I80" i="31"/>
  <c r="H80" i="31"/>
  <c r="L79" i="31"/>
  <c r="K79" i="31"/>
  <c r="J79" i="31"/>
  <c r="I79" i="31"/>
  <c r="H79" i="31"/>
  <c r="L78" i="31"/>
  <c r="K78" i="31"/>
  <c r="J78" i="31"/>
  <c r="I78" i="31"/>
  <c r="H78" i="31"/>
  <c r="L77" i="31"/>
  <c r="K77" i="31"/>
  <c r="J77" i="31"/>
  <c r="I77" i="31"/>
  <c r="H77" i="31"/>
  <c r="L76" i="31"/>
  <c r="K76" i="31"/>
  <c r="J76" i="31"/>
  <c r="I76" i="31"/>
  <c r="H76" i="31"/>
  <c r="L75" i="31"/>
  <c r="K75" i="31"/>
  <c r="J75" i="31"/>
  <c r="I75" i="31"/>
  <c r="H75" i="31"/>
  <c r="L74" i="31"/>
  <c r="K74" i="31"/>
  <c r="J74" i="31"/>
  <c r="I74" i="31"/>
  <c r="H74" i="31"/>
  <c r="L73" i="31"/>
  <c r="K73" i="31"/>
  <c r="J73" i="31"/>
  <c r="I73" i="31"/>
  <c r="H73" i="31"/>
  <c r="L72" i="31"/>
  <c r="K72" i="31"/>
  <c r="J72" i="31"/>
  <c r="I72" i="31"/>
  <c r="H72" i="31"/>
  <c r="L71" i="31"/>
  <c r="K71" i="31"/>
  <c r="J71" i="31"/>
  <c r="I71" i="31"/>
  <c r="H71" i="31"/>
  <c r="L70" i="31"/>
  <c r="K70" i="31"/>
  <c r="J70" i="31"/>
  <c r="I70" i="31"/>
  <c r="H70" i="31"/>
  <c r="L69" i="31"/>
  <c r="K69" i="31"/>
  <c r="J69" i="31"/>
  <c r="I69" i="31"/>
  <c r="H69" i="31"/>
  <c r="L68" i="31"/>
  <c r="K68" i="31"/>
  <c r="J68" i="31"/>
  <c r="I68" i="31"/>
  <c r="H68" i="31"/>
  <c r="L67" i="31"/>
  <c r="K67" i="31"/>
  <c r="J67" i="31"/>
  <c r="I67" i="31"/>
  <c r="H67" i="31"/>
  <c r="L66" i="31"/>
  <c r="K66" i="31"/>
  <c r="J66" i="31"/>
  <c r="I66" i="31"/>
  <c r="H66" i="31"/>
  <c r="L65" i="31"/>
  <c r="K65" i="31"/>
  <c r="J65" i="31"/>
  <c r="I65" i="31"/>
  <c r="H65" i="31"/>
  <c r="L64" i="31"/>
  <c r="K64" i="31"/>
  <c r="J64" i="31"/>
  <c r="I64" i="31"/>
  <c r="H64" i="31"/>
  <c r="L63" i="31"/>
  <c r="K63" i="31"/>
  <c r="J63" i="31"/>
  <c r="I63" i="31"/>
  <c r="H63" i="31"/>
  <c r="L62" i="31"/>
  <c r="K62" i="31"/>
  <c r="J62" i="31"/>
  <c r="I62" i="31"/>
  <c r="H62" i="31"/>
  <c r="L61" i="31"/>
  <c r="K61" i="31"/>
  <c r="J61" i="31"/>
  <c r="I61" i="31"/>
  <c r="H61" i="31"/>
  <c r="L60" i="31"/>
  <c r="K60" i="31"/>
  <c r="J60" i="31"/>
  <c r="I60" i="31"/>
  <c r="H60" i="31"/>
  <c r="L59" i="31"/>
  <c r="K59" i="31"/>
  <c r="J59" i="31"/>
  <c r="I59" i="31"/>
  <c r="H59" i="31"/>
  <c r="L58" i="31"/>
  <c r="K58" i="31"/>
  <c r="J58" i="31"/>
  <c r="I58" i="31"/>
  <c r="H58" i="31"/>
  <c r="L57" i="31"/>
  <c r="K57" i="31"/>
  <c r="J57" i="31"/>
  <c r="I57" i="31"/>
  <c r="H57" i="31"/>
  <c r="L56" i="31"/>
  <c r="K56" i="31"/>
  <c r="J56" i="31"/>
  <c r="I56" i="31"/>
  <c r="H56" i="31"/>
  <c r="L55" i="31"/>
  <c r="K55" i="31"/>
  <c r="J55" i="31"/>
  <c r="I55" i="31"/>
  <c r="H55" i="31"/>
  <c r="L54" i="31"/>
  <c r="K54" i="31"/>
  <c r="J54" i="31"/>
  <c r="I54" i="31"/>
  <c r="H54" i="31"/>
  <c r="L53" i="31"/>
  <c r="K53" i="31"/>
  <c r="J53" i="31"/>
  <c r="I53" i="31"/>
  <c r="H53" i="31"/>
  <c r="L52" i="31"/>
  <c r="K52" i="31"/>
  <c r="J52" i="31"/>
  <c r="I52" i="31"/>
  <c r="H52" i="31"/>
  <c r="L51" i="31"/>
  <c r="K51" i="31"/>
  <c r="J51" i="31"/>
  <c r="I51" i="31"/>
  <c r="H51" i="31"/>
  <c r="L50" i="31"/>
  <c r="K50" i="31"/>
  <c r="J50" i="31"/>
  <c r="I50" i="31"/>
  <c r="H50" i="31"/>
  <c r="L49" i="31"/>
  <c r="K49" i="31"/>
  <c r="J49" i="31"/>
  <c r="I49" i="31"/>
  <c r="H49" i="31"/>
  <c r="L48" i="31"/>
  <c r="K48" i="31"/>
  <c r="J48" i="31"/>
  <c r="I48" i="31"/>
  <c r="H48" i="31"/>
  <c r="L47" i="31"/>
  <c r="K47" i="31"/>
  <c r="J47" i="31"/>
  <c r="I47" i="31"/>
  <c r="H47" i="31"/>
  <c r="L46" i="31"/>
  <c r="K46" i="31"/>
  <c r="J46" i="31"/>
  <c r="I46" i="31"/>
  <c r="H46" i="31"/>
  <c r="L45" i="31"/>
  <c r="K45" i="31"/>
  <c r="J45" i="31"/>
  <c r="I45" i="31"/>
  <c r="H45" i="31"/>
  <c r="L44" i="31"/>
  <c r="K44" i="31"/>
  <c r="J44" i="31"/>
  <c r="I44" i="31"/>
  <c r="H44" i="31"/>
  <c r="L43" i="31"/>
  <c r="K43" i="31"/>
  <c r="J43" i="31"/>
  <c r="I43" i="31"/>
  <c r="H43" i="31"/>
  <c r="L42" i="31"/>
  <c r="K42" i="31"/>
  <c r="J42" i="31"/>
  <c r="I42" i="31"/>
  <c r="H42" i="31"/>
  <c r="L41" i="31"/>
  <c r="K41" i="31"/>
  <c r="J41" i="31"/>
  <c r="I41" i="31"/>
  <c r="H41" i="31"/>
  <c r="L40" i="31"/>
  <c r="K40" i="31"/>
  <c r="J40" i="31"/>
  <c r="I40" i="31"/>
  <c r="H40" i="31"/>
  <c r="L39" i="31"/>
  <c r="K39" i="31"/>
  <c r="J39" i="31"/>
  <c r="I39" i="31"/>
  <c r="H39" i="31"/>
  <c r="L38" i="31"/>
  <c r="K38" i="31"/>
  <c r="J38" i="31"/>
  <c r="I38" i="31"/>
  <c r="H38" i="31"/>
  <c r="L37" i="31"/>
  <c r="K37" i="31"/>
  <c r="J37" i="31"/>
  <c r="I37" i="31"/>
  <c r="H37" i="31"/>
  <c r="L36" i="31"/>
  <c r="K36" i="31"/>
  <c r="J36" i="31"/>
  <c r="I36" i="31"/>
  <c r="H36" i="31"/>
  <c r="L35" i="31"/>
  <c r="K35" i="31"/>
  <c r="J35" i="31"/>
  <c r="I35" i="31"/>
  <c r="H35" i="31"/>
  <c r="L34" i="31"/>
  <c r="K34" i="31"/>
  <c r="J34" i="31"/>
  <c r="I34" i="31"/>
  <c r="H34" i="31"/>
  <c r="L33" i="31"/>
  <c r="K33" i="31"/>
  <c r="J33" i="31"/>
  <c r="I33" i="31"/>
  <c r="H33" i="31"/>
  <c r="L32" i="31"/>
  <c r="K32" i="31"/>
  <c r="J32" i="31"/>
  <c r="I32" i="31"/>
  <c r="H32" i="31"/>
  <c r="L31" i="31"/>
  <c r="K31" i="31"/>
  <c r="J31" i="31"/>
  <c r="I31" i="31"/>
  <c r="H31" i="31"/>
  <c r="L30" i="31"/>
  <c r="K30" i="31"/>
  <c r="J30" i="31"/>
  <c r="I30" i="31"/>
  <c r="H30" i="31"/>
  <c r="L29" i="31"/>
  <c r="K29" i="31"/>
  <c r="J29" i="31"/>
  <c r="I29" i="31"/>
  <c r="H29" i="31"/>
  <c r="L28" i="31"/>
  <c r="K28" i="31"/>
  <c r="J28" i="31"/>
  <c r="I28" i="31"/>
  <c r="H28" i="31"/>
  <c r="L27" i="31"/>
  <c r="K27" i="31"/>
  <c r="J27" i="31"/>
  <c r="I27" i="31"/>
  <c r="H27" i="31"/>
  <c r="L26" i="31"/>
  <c r="K26" i="31"/>
  <c r="J26" i="31"/>
  <c r="I26" i="31"/>
  <c r="H26" i="31"/>
  <c r="L25" i="31"/>
  <c r="K25" i="31"/>
  <c r="J25" i="31"/>
  <c r="I25" i="31"/>
  <c r="H25" i="31"/>
  <c r="L24" i="31"/>
  <c r="K24" i="31"/>
  <c r="J24" i="31"/>
  <c r="I24" i="31"/>
  <c r="H24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AV23" i="31" s="1"/>
  <c r="BG156" i="31" s="1"/>
  <c r="U23" i="31"/>
  <c r="T23" i="31"/>
  <c r="S23" i="31"/>
  <c r="R23" i="31"/>
  <c r="Q23" i="31"/>
  <c r="P23" i="31"/>
  <c r="O23" i="31"/>
  <c r="L23" i="31"/>
  <c r="K23" i="31"/>
  <c r="J23" i="31"/>
  <c r="I23" i="31"/>
  <c r="H23" i="31"/>
  <c r="H147" i="31" s="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L22" i="31"/>
  <c r="K22" i="31"/>
  <c r="J22" i="31"/>
  <c r="I22" i="31"/>
  <c r="H22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AY21" i="31" s="1"/>
  <c r="AX156" i="31" s="1"/>
  <c r="O21" i="31"/>
  <c r="L21" i="31"/>
  <c r="K21" i="31"/>
  <c r="J21" i="31"/>
  <c r="I21" i="31"/>
  <c r="H21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L20" i="31"/>
  <c r="K20" i="31"/>
  <c r="J20" i="31"/>
  <c r="I20" i="31"/>
  <c r="H20" i="31"/>
  <c r="AU19" i="31"/>
  <c r="AH156" i="31" s="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AV19" i="31" s="1"/>
  <c r="AI156" i="31" s="1"/>
  <c r="U19" i="31"/>
  <c r="T19" i="31"/>
  <c r="S19" i="31"/>
  <c r="R19" i="31"/>
  <c r="Q19" i="31"/>
  <c r="P19" i="31"/>
  <c r="O19" i="31"/>
  <c r="L19" i="31"/>
  <c r="K19" i="31"/>
  <c r="J19" i="31"/>
  <c r="I19" i="31"/>
  <c r="H19" i="31"/>
  <c r="K152" i="31" s="1"/>
  <c r="BD18" i="31"/>
  <c r="BJ133" i="31" s="1"/>
  <c r="AV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AY18" i="31" s="1"/>
  <c r="U18" i="31"/>
  <c r="T18" i="31"/>
  <c r="S18" i="31"/>
  <c r="R18" i="31"/>
  <c r="Q18" i="31"/>
  <c r="P18" i="31"/>
  <c r="AU18" i="31" s="1"/>
  <c r="BF135" i="31" s="1"/>
  <c r="O18" i="31"/>
  <c r="L18" i="31"/>
  <c r="K18" i="31"/>
  <c r="J18" i="31"/>
  <c r="I18" i="31"/>
  <c r="H18" i="31"/>
  <c r="AV17" i="31"/>
  <c r="BA135" i="31" s="1"/>
  <c r="AU17" i="31"/>
  <c r="AZ135" i="31" s="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AX17" i="31" s="1"/>
  <c r="BC135" i="31" s="1"/>
  <c r="U17" i="31"/>
  <c r="T17" i="31"/>
  <c r="S17" i="31"/>
  <c r="R17" i="31"/>
  <c r="Q17" i="31"/>
  <c r="P17" i="31"/>
  <c r="O17" i="31"/>
  <c r="L17" i="31"/>
  <c r="K17" i="31"/>
  <c r="J17" i="31"/>
  <c r="I17" i="31"/>
  <c r="H17" i="31"/>
  <c r="B150" i="31" s="1"/>
  <c r="BD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L16" i="31"/>
  <c r="K16" i="31"/>
  <c r="J16" i="31"/>
  <c r="I16" i="31"/>
  <c r="H16" i="31"/>
  <c r="AR15" i="31"/>
  <c r="AQ15" i="31"/>
  <c r="AP15" i="31"/>
  <c r="AO15" i="31"/>
  <c r="AN15" i="31"/>
  <c r="AM15" i="31"/>
  <c r="AL15" i="31"/>
  <c r="AK15" i="31"/>
  <c r="AJ15" i="31"/>
  <c r="AI15" i="31"/>
  <c r="AH15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AX15" i="31" s="1"/>
  <c r="AQ135" i="31" s="1"/>
  <c r="R15" i="31"/>
  <c r="Q15" i="31"/>
  <c r="P15" i="31"/>
  <c r="O15" i="31"/>
  <c r="L15" i="31"/>
  <c r="K15" i="31"/>
  <c r="J15" i="31"/>
  <c r="I15" i="31"/>
  <c r="H15" i="31"/>
  <c r="AX14" i="31"/>
  <c r="AK135" i="31" s="1"/>
  <c r="AW14" i="31"/>
  <c r="AJ135" i="31" s="1"/>
  <c r="AU14" i="31"/>
  <c r="AR14" i="31"/>
  <c r="AQ14" i="31"/>
  <c r="AP14" i="31"/>
  <c r="AO14" i="31"/>
  <c r="AN14" i="31"/>
  <c r="AM14" i="31"/>
  <c r="AL14" i="31"/>
  <c r="AK14" i="31"/>
  <c r="AJ14" i="31"/>
  <c r="AI14" i="31"/>
  <c r="AH14" i="31"/>
  <c r="AG14" i="31"/>
  <c r="AF14" i="31"/>
  <c r="AE14" i="31"/>
  <c r="AD14" i="31"/>
  <c r="AC14" i="31"/>
  <c r="AB14" i="31"/>
  <c r="AA14" i="31"/>
  <c r="Z14" i="31"/>
  <c r="Y14" i="31"/>
  <c r="X14" i="31"/>
  <c r="BA14" i="31" s="1"/>
  <c r="AI133" i="31" s="1"/>
  <c r="W14" i="31"/>
  <c r="V14" i="31"/>
  <c r="AV14" i="31" s="1"/>
  <c r="AI135" i="31" s="1"/>
  <c r="U14" i="31"/>
  <c r="T14" i="31"/>
  <c r="S14" i="31"/>
  <c r="R14" i="31"/>
  <c r="Q14" i="31"/>
  <c r="P14" i="31"/>
  <c r="O14" i="31"/>
  <c r="L14" i="31"/>
  <c r="K14" i="31"/>
  <c r="J14" i="31"/>
  <c r="I14" i="31"/>
  <c r="H14" i="31"/>
  <c r="BT2" i="31"/>
  <c r="AK130" i="31" s="1"/>
  <c r="AK158" i="9"/>
  <c r="BI152" i="9"/>
  <c r="BG152" i="9"/>
  <c r="BC152" i="9"/>
  <c r="BA152" i="9"/>
  <c r="AW152" i="9"/>
  <c r="AU152" i="9"/>
  <c r="AQ152" i="9"/>
  <c r="AO152" i="9"/>
  <c r="AK152" i="9"/>
  <c r="AI152" i="9"/>
  <c r="BI151" i="9"/>
  <c r="BF151" i="9"/>
  <c r="BC151" i="9"/>
  <c r="AZ151" i="9"/>
  <c r="AW151" i="9"/>
  <c r="AT151" i="9"/>
  <c r="AQ151" i="9"/>
  <c r="AN151" i="9"/>
  <c r="AK151" i="9"/>
  <c r="AH151" i="9"/>
  <c r="BJ150" i="9"/>
  <c r="BI150" i="9"/>
  <c r="BH150" i="9"/>
  <c r="BG150" i="9"/>
  <c r="BF150" i="9"/>
  <c r="BD150" i="9"/>
  <c r="BC150" i="9"/>
  <c r="BB150" i="9"/>
  <c r="BA150" i="9"/>
  <c r="AZ150" i="9"/>
  <c r="AX150" i="9"/>
  <c r="AW150" i="9"/>
  <c r="AV150" i="9"/>
  <c r="AU150" i="9"/>
  <c r="AT150" i="9"/>
  <c r="AR150" i="9"/>
  <c r="AQ150" i="9"/>
  <c r="AP150" i="9"/>
  <c r="AO150" i="9"/>
  <c r="AN150" i="9"/>
  <c r="AL150" i="9"/>
  <c r="AK150" i="9"/>
  <c r="AJ150" i="9"/>
  <c r="AI150" i="9"/>
  <c r="AH150" i="9"/>
  <c r="BJ149" i="9"/>
  <c r="BI149" i="9"/>
  <c r="BH149" i="9"/>
  <c r="BG149" i="9"/>
  <c r="BF149" i="9"/>
  <c r="BD149" i="9"/>
  <c r="BC149" i="9"/>
  <c r="BB149" i="9"/>
  <c r="BA149" i="9"/>
  <c r="AZ149" i="9"/>
  <c r="AX149" i="9"/>
  <c r="AW149" i="9"/>
  <c r="AV149" i="9"/>
  <c r="AU149" i="9"/>
  <c r="AU151" i="9" s="1"/>
  <c r="AT149" i="9"/>
  <c r="AR149" i="9"/>
  <c r="AQ149" i="9"/>
  <c r="AP149" i="9"/>
  <c r="AO149" i="9"/>
  <c r="AN149" i="9"/>
  <c r="AL149" i="9"/>
  <c r="AK149" i="9"/>
  <c r="AJ149" i="9"/>
  <c r="AI149" i="9"/>
  <c r="AH149" i="9"/>
  <c r="AD149" i="9"/>
  <c r="AU158" i="9" s="1"/>
  <c r="BJ148" i="9"/>
  <c r="BI148" i="9"/>
  <c r="BH148" i="9"/>
  <c r="BG148" i="9"/>
  <c r="BF148" i="9"/>
  <c r="BD148" i="9"/>
  <c r="BC148" i="9"/>
  <c r="BB148" i="9"/>
  <c r="BA148" i="9"/>
  <c r="AZ148" i="9"/>
  <c r="AX148" i="9"/>
  <c r="AW148" i="9"/>
  <c r="AV148" i="9"/>
  <c r="AU148" i="9"/>
  <c r="AT148" i="9"/>
  <c r="AR148" i="9"/>
  <c r="AQ148" i="9"/>
  <c r="AP148" i="9"/>
  <c r="AO148" i="9"/>
  <c r="AN148" i="9"/>
  <c r="AL148" i="9"/>
  <c r="AK148" i="9"/>
  <c r="AJ148" i="9"/>
  <c r="AI148" i="9"/>
  <c r="AH148" i="9"/>
  <c r="BJ147" i="9"/>
  <c r="BI147" i="9"/>
  <c r="BH147" i="9"/>
  <c r="BG147" i="9"/>
  <c r="BF147" i="9"/>
  <c r="BD147" i="9"/>
  <c r="BC147" i="9"/>
  <c r="BB147" i="9"/>
  <c r="BA147" i="9"/>
  <c r="AZ147" i="9"/>
  <c r="AX147" i="9"/>
  <c r="AW147" i="9"/>
  <c r="AV147" i="9"/>
  <c r="AU147" i="9"/>
  <c r="AT147" i="9"/>
  <c r="AR147" i="9"/>
  <c r="AQ147" i="9"/>
  <c r="AP147" i="9"/>
  <c r="AO147" i="9"/>
  <c r="AN147" i="9"/>
  <c r="AL147" i="9"/>
  <c r="AK147" i="9"/>
  <c r="AJ147" i="9"/>
  <c r="AI147" i="9"/>
  <c r="AH147" i="9"/>
  <c r="BJ146" i="9"/>
  <c r="BI146" i="9"/>
  <c r="BH146" i="9"/>
  <c r="BG146" i="9"/>
  <c r="BF146" i="9"/>
  <c r="BD146" i="9"/>
  <c r="BC146" i="9"/>
  <c r="BB146" i="9"/>
  <c r="BA146" i="9"/>
  <c r="AZ146" i="9"/>
  <c r="AX146" i="9"/>
  <c r="AW146" i="9"/>
  <c r="AV146" i="9"/>
  <c r="AU146" i="9"/>
  <c r="AT146" i="9"/>
  <c r="AR146" i="9"/>
  <c r="AQ146" i="9"/>
  <c r="AP146" i="9"/>
  <c r="AO146" i="9"/>
  <c r="AN146" i="9"/>
  <c r="AL146" i="9"/>
  <c r="AK146" i="9"/>
  <c r="AJ146" i="9"/>
  <c r="AI146" i="9"/>
  <c r="AH146" i="9"/>
  <c r="BJ145" i="9"/>
  <c r="BI145" i="9"/>
  <c r="BH145" i="9"/>
  <c r="BG145" i="9"/>
  <c r="BF145" i="9"/>
  <c r="BD145" i="9"/>
  <c r="BC145" i="9"/>
  <c r="BB145" i="9"/>
  <c r="BA145" i="9"/>
  <c r="AZ145" i="9"/>
  <c r="AX145" i="9"/>
  <c r="AW145" i="9"/>
  <c r="AV145" i="9"/>
  <c r="AU145" i="9"/>
  <c r="AT145" i="9"/>
  <c r="AR145" i="9"/>
  <c r="AQ145" i="9"/>
  <c r="AP145" i="9"/>
  <c r="AO145" i="9"/>
  <c r="AN145" i="9"/>
  <c r="AL145" i="9"/>
  <c r="AK145" i="9"/>
  <c r="AJ145" i="9"/>
  <c r="AI145" i="9"/>
  <c r="AH145" i="9"/>
  <c r="BJ144" i="9"/>
  <c r="BI144" i="9"/>
  <c r="BH144" i="9"/>
  <c r="BG144" i="9"/>
  <c r="BF144" i="9"/>
  <c r="BD144" i="9"/>
  <c r="BC144" i="9"/>
  <c r="BB144" i="9"/>
  <c r="BA144" i="9"/>
  <c r="AZ144" i="9"/>
  <c r="AX144" i="9"/>
  <c r="AW144" i="9"/>
  <c r="AV144" i="9"/>
  <c r="AU144" i="9"/>
  <c r="AT144" i="9"/>
  <c r="AR144" i="9"/>
  <c r="AQ144" i="9"/>
  <c r="AP144" i="9"/>
  <c r="AO144" i="9"/>
  <c r="AN144" i="9"/>
  <c r="AL144" i="9"/>
  <c r="AK144" i="9"/>
  <c r="AJ144" i="9"/>
  <c r="AI144" i="9"/>
  <c r="AH144" i="9"/>
  <c r="BJ143" i="9"/>
  <c r="BI143" i="9"/>
  <c r="BH143" i="9"/>
  <c r="BG143" i="9"/>
  <c r="BF143" i="9"/>
  <c r="BD143" i="9"/>
  <c r="BC143" i="9"/>
  <c r="BB143" i="9"/>
  <c r="BA143" i="9"/>
  <c r="AZ143" i="9"/>
  <c r="AX143" i="9"/>
  <c r="AW143" i="9"/>
  <c r="AV143" i="9"/>
  <c r="AU143" i="9"/>
  <c r="AT143" i="9"/>
  <c r="AR143" i="9"/>
  <c r="AQ143" i="9"/>
  <c r="AP143" i="9"/>
  <c r="AO143" i="9"/>
  <c r="AN143" i="9"/>
  <c r="AL143" i="9"/>
  <c r="AK143" i="9"/>
  <c r="AJ143" i="9"/>
  <c r="AI143" i="9"/>
  <c r="AH143" i="9"/>
  <c r="BJ142" i="9"/>
  <c r="BI142" i="9"/>
  <c r="BH142" i="9"/>
  <c r="BG142" i="9"/>
  <c r="BF142" i="9"/>
  <c r="BD142" i="9"/>
  <c r="BC142" i="9"/>
  <c r="BB142" i="9"/>
  <c r="BA142" i="9"/>
  <c r="AZ142" i="9"/>
  <c r="AX142" i="9"/>
  <c r="AW142" i="9"/>
  <c r="AV142" i="9"/>
  <c r="AU142" i="9"/>
  <c r="AT142" i="9"/>
  <c r="AR142" i="9"/>
  <c r="AQ142" i="9"/>
  <c r="AP142" i="9"/>
  <c r="AO142" i="9"/>
  <c r="AN142" i="9"/>
  <c r="AL142" i="9"/>
  <c r="AK142" i="9"/>
  <c r="AJ142" i="9"/>
  <c r="AI142" i="9"/>
  <c r="AI151" i="9" s="1"/>
  <c r="AH142" i="9"/>
  <c r="BJ141" i="9"/>
  <c r="BI141" i="9"/>
  <c r="BH141" i="9"/>
  <c r="BG141" i="9"/>
  <c r="BG151" i="9" s="1"/>
  <c r="BF141" i="9"/>
  <c r="BD141" i="9"/>
  <c r="BC141" i="9"/>
  <c r="BB141" i="9"/>
  <c r="BA141" i="9"/>
  <c r="AZ141" i="9"/>
  <c r="AX141" i="9"/>
  <c r="AW141" i="9"/>
  <c r="AV141" i="9"/>
  <c r="AU141" i="9"/>
  <c r="AT141" i="9"/>
  <c r="AR141" i="9"/>
  <c r="AQ141" i="9"/>
  <c r="AP141" i="9"/>
  <c r="AO141" i="9"/>
  <c r="AN141" i="9"/>
  <c r="AL141" i="9"/>
  <c r="AK141" i="9"/>
  <c r="AJ141" i="9"/>
  <c r="AI141" i="9"/>
  <c r="AH141" i="9"/>
  <c r="AE140" i="9"/>
  <c r="BF139" i="9"/>
  <c r="AZ139" i="9"/>
  <c r="AT139" i="9"/>
  <c r="AO139" i="9"/>
  <c r="AN139" i="9"/>
  <c r="AH139" i="9"/>
  <c r="F139" i="9"/>
  <c r="BF138" i="9"/>
  <c r="AZ138" i="9"/>
  <c r="AT138" i="9"/>
  <c r="AO138" i="9"/>
  <c r="AN138" i="9"/>
  <c r="AH138" i="9"/>
  <c r="BH137" i="9"/>
  <c r="BB137" i="9"/>
  <c r="AV137" i="9"/>
  <c r="AP137" i="9"/>
  <c r="AJ137" i="9"/>
  <c r="K135" i="9"/>
  <c r="I135" i="9"/>
  <c r="BI131" i="9"/>
  <c r="BG131" i="9"/>
  <c r="BC131" i="9"/>
  <c r="BA131" i="9"/>
  <c r="AW131" i="9"/>
  <c r="AU131" i="9"/>
  <c r="AQ131" i="9"/>
  <c r="AO131" i="9"/>
  <c r="AK131" i="9"/>
  <c r="AI131" i="9"/>
  <c r="BI130" i="9"/>
  <c r="BF130" i="9"/>
  <c r="BC130" i="9"/>
  <c r="AZ130" i="9"/>
  <c r="AW130" i="9"/>
  <c r="AT130" i="9"/>
  <c r="AQ130" i="9"/>
  <c r="AN130" i="9"/>
  <c r="AH130" i="9"/>
  <c r="BJ129" i="9"/>
  <c r="BI129" i="9"/>
  <c r="BH129" i="9"/>
  <c r="BG129" i="9"/>
  <c r="BF129" i="9"/>
  <c r="BD129" i="9"/>
  <c r="BC129" i="9"/>
  <c r="BB129" i="9"/>
  <c r="BA129" i="9"/>
  <c r="AZ129" i="9"/>
  <c r="AX129" i="9"/>
  <c r="AW129" i="9"/>
  <c r="AV129" i="9"/>
  <c r="AU129" i="9"/>
  <c r="AT129" i="9"/>
  <c r="AR129" i="9"/>
  <c r="AQ129" i="9"/>
  <c r="AP129" i="9"/>
  <c r="AO129" i="9"/>
  <c r="AN129" i="9"/>
  <c r="AL129" i="9"/>
  <c r="AK129" i="9"/>
  <c r="AJ129" i="9"/>
  <c r="AI129" i="9"/>
  <c r="AH129" i="9"/>
  <c r="BJ128" i="9"/>
  <c r="BI128" i="9"/>
  <c r="BH128" i="9"/>
  <c r="BG128" i="9"/>
  <c r="BF128" i="9"/>
  <c r="BD128" i="9"/>
  <c r="BC128" i="9"/>
  <c r="BB128" i="9"/>
  <c r="BA128" i="9"/>
  <c r="AZ128" i="9"/>
  <c r="AX128" i="9"/>
  <c r="AW128" i="9"/>
  <c r="AV128" i="9"/>
  <c r="AU128" i="9"/>
  <c r="AT128" i="9"/>
  <c r="AR128" i="9"/>
  <c r="AQ128" i="9"/>
  <c r="AP128" i="9"/>
  <c r="AO128" i="9"/>
  <c r="AN128" i="9"/>
  <c r="AL128" i="9"/>
  <c r="AK128" i="9"/>
  <c r="AJ128" i="9"/>
  <c r="AI128" i="9"/>
  <c r="AH128" i="9"/>
  <c r="BJ127" i="9"/>
  <c r="BI127" i="9"/>
  <c r="BH127" i="9"/>
  <c r="BG127" i="9"/>
  <c r="BF127" i="9"/>
  <c r="BD127" i="9"/>
  <c r="BC127" i="9"/>
  <c r="BB127" i="9"/>
  <c r="BA127" i="9"/>
  <c r="AZ127" i="9"/>
  <c r="AX127" i="9"/>
  <c r="AW127" i="9"/>
  <c r="AV127" i="9"/>
  <c r="AU127" i="9"/>
  <c r="AT127" i="9"/>
  <c r="AR127" i="9"/>
  <c r="AQ127" i="9"/>
  <c r="AP127" i="9"/>
  <c r="AO127" i="9"/>
  <c r="AN127" i="9"/>
  <c r="AL127" i="9"/>
  <c r="AK127" i="9"/>
  <c r="AJ127" i="9"/>
  <c r="AI127" i="9"/>
  <c r="AH127" i="9"/>
  <c r="BJ126" i="9"/>
  <c r="BI126" i="9"/>
  <c r="BH126" i="9"/>
  <c r="BG126" i="9"/>
  <c r="BF126" i="9"/>
  <c r="BD126" i="9"/>
  <c r="BC126" i="9"/>
  <c r="BB126" i="9"/>
  <c r="BA126" i="9"/>
  <c r="AZ126" i="9"/>
  <c r="AX126" i="9"/>
  <c r="AW126" i="9"/>
  <c r="AV126" i="9"/>
  <c r="AU126" i="9"/>
  <c r="AT126" i="9"/>
  <c r="AR126" i="9"/>
  <c r="AQ126" i="9"/>
  <c r="AP126" i="9"/>
  <c r="AO126" i="9"/>
  <c r="AN126" i="9"/>
  <c r="AL126" i="9"/>
  <c r="AK126" i="9"/>
  <c r="AJ126" i="9"/>
  <c r="AI126" i="9"/>
  <c r="AH126" i="9"/>
  <c r="P126" i="9"/>
  <c r="BJ125" i="9"/>
  <c r="BI125" i="9"/>
  <c r="BH125" i="9"/>
  <c r="BG125" i="9"/>
  <c r="BF125" i="9"/>
  <c r="BD125" i="9"/>
  <c r="BC125" i="9"/>
  <c r="BB125" i="9"/>
  <c r="BA125" i="9"/>
  <c r="AZ125" i="9"/>
  <c r="AX125" i="9"/>
  <c r="AW125" i="9"/>
  <c r="AV125" i="9"/>
  <c r="AU125" i="9"/>
  <c r="AT125" i="9"/>
  <c r="AR125" i="9"/>
  <c r="AQ125" i="9"/>
  <c r="AP125" i="9"/>
  <c r="AO125" i="9"/>
  <c r="AN125" i="9"/>
  <c r="AL125" i="9"/>
  <c r="AK125" i="9"/>
  <c r="AJ125" i="9"/>
  <c r="AI125" i="9"/>
  <c r="AH125" i="9"/>
  <c r="BJ124" i="9"/>
  <c r="BI124" i="9"/>
  <c r="BH124" i="9"/>
  <c r="BG124" i="9"/>
  <c r="BF124" i="9"/>
  <c r="BD124" i="9"/>
  <c r="BC124" i="9"/>
  <c r="BB124" i="9"/>
  <c r="BA124" i="9"/>
  <c r="AZ124" i="9"/>
  <c r="AX124" i="9"/>
  <c r="AW124" i="9"/>
  <c r="AV124" i="9"/>
  <c r="AU124" i="9"/>
  <c r="AT124" i="9"/>
  <c r="AR124" i="9"/>
  <c r="AQ124" i="9"/>
  <c r="AP124" i="9"/>
  <c r="AO124" i="9"/>
  <c r="AN124" i="9"/>
  <c r="AL124" i="9"/>
  <c r="AK124" i="9"/>
  <c r="AJ124" i="9"/>
  <c r="AI124" i="9"/>
  <c r="AH124" i="9"/>
  <c r="BJ123" i="9"/>
  <c r="BI123" i="9"/>
  <c r="BH123" i="9"/>
  <c r="BG123" i="9"/>
  <c r="BF123" i="9"/>
  <c r="BD123" i="9"/>
  <c r="BC123" i="9"/>
  <c r="BB123" i="9"/>
  <c r="BA123" i="9"/>
  <c r="AZ123" i="9"/>
  <c r="AX123" i="9"/>
  <c r="AW123" i="9"/>
  <c r="AV123" i="9"/>
  <c r="AU123" i="9"/>
  <c r="AT123" i="9"/>
  <c r="AR123" i="9"/>
  <c r="AQ123" i="9"/>
  <c r="AP123" i="9"/>
  <c r="AO123" i="9"/>
  <c r="AN123" i="9"/>
  <c r="AL123" i="9"/>
  <c r="AK123" i="9"/>
  <c r="AJ123" i="9"/>
  <c r="AI123" i="9"/>
  <c r="AH123" i="9"/>
  <c r="V123" i="9"/>
  <c r="BJ122" i="9"/>
  <c r="BI122" i="9"/>
  <c r="BH122" i="9"/>
  <c r="BG122" i="9"/>
  <c r="BF122" i="9"/>
  <c r="BD122" i="9"/>
  <c r="BC122" i="9"/>
  <c r="BB122" i="9"/>
  <c r="BA122" i="9"/>
  <c r="AZ122" i="9"/>
  <c r="AX122" i="9"/>
  <c r="AW122" i="9"/>
  <c r="AV122" i="9"/>
  <c r="AU122" i="9"/>
  <c r="AT122" i="9"/>
  <c r="AR122" i="9"/>
  <c r="AQ122" i="9"/>
  <c r="AP122" i="9"/>
  <c r="AO122" i="9"/>
  <c r="AN122" i="9"/>
  <c r="AL122" i="9"/>
  <c r="AK122" i="9"/>
  <c r="AJ122" i="9"/>
  <c r="AI122" i="9"/>
  <c r="AH122" i="9"/>
  <c r="BJ121" i="9"/>
  <c r="BI121" i="9"/>
  <c r="BH121" i="9"/>
  <c r="BG121" i="9"/>
  <c r="BG130" i="9" s="1"/>
  <c r="BF121" i="9"/>
  <c r="BD121" i="9"/>
  <c r="BC121" i="9"/>
  <c r="BB121" i="9"/>
  <c r="BA121" i="9"/>
  <c r="AZ121" i="9"/>
  <c r="AX121" i="9"/>
  <c r="AW121" i="9"/>
  <c r="AV121" i="9"/>
  <c r="AU121" i="9"/>
  <c r="AT121" i="9"/>
  <c r="AR121" i="9"/>
  <c r="AQ121" i="9"/>
  <c r="AP121" i="9"/>
  <c r="AO121" i="9"/>
  <c r="AN121" i="9"/>
  <c r="AL121" i="9"/>
  <c r="AK121" i="9"/>
  <c r="AJ121" i="9"/>
  <c r="AI121" i="9"/>
  <c r="AH121" i="9"/>
  <c r="B121" i="9"/>
  <c r="BJ120" i="9"/>
  <c r="BI120" i="9"/>
  <c r="BH120" i="9"/>
  <c r="BG120" i="9"/>
  <c r="BF120" i="9"/>
  <c r="BD120" i="9"/>
  <c r="BC120" i="9"/>
  <c r="BB120" i="9"/>
  <c r="BA120" i="9"/>
  <c r="AZ120" i="9"/>
  <c r="AX120" i="9"/>
  <c r="AW120" i="9"/>
  <c r="AV120" i="9"/>
  <c r="AU130" i="9" s="1"/>
  <c r="AU120" i="9"/>
  <c r="AT120" i="9"/>
  <c r="AR120" i="9"/>
  <c r="AQ120" i="9"/>
  <c r="AP120" i="9"/>
  <c r="AO120" i="9"/>
  <c r="AN120" i="9"/>
  <c r="AL120" i="9"/>
  <c r="AK120" i="9"/>
  <c r="AJ120" i="9"/>
  <c r="AI130" i="9" s="1"/>
  <c r="AI120" i="9"/>
  <c r="AH120" i="9"/>
  <c r="BF118" i="9"/>
  <c r="AZ118" i="9"/>
  <c r="AT118" i="9"/>
  <c r="AN118" i="9"/>
  <c r="AH118" i="9"/>
  <c r="BF117" i="9"/>
  <c r="AZ117" i="9"/>
  <c r="AT117" i="9"/>
  <c r="AN117" i="9"/>
  <c r="AH117" i="9"/>
  <c r="BH116" i="9"/>
  <c r="BB116" i="9"/>
  <c r="AV116" i="9"/>
  <c r="AP116" i="9"/>
  <c r="AJ116" i="9"/>
  <c r="L113" i="9"/>
  <c r="K113" i="9"/>
  <c r="J113" i="9"/>
  <c r="I113" i="9"/>
  <c r="H113" i="9"/>
  <c r="L112" i="9"/>
  <c r="K112" i="9"/>
  <c r="J112" i="9"/>
  <c r="I112" i="9"/>
  <c r="H112" i="9"/>
  <c r="L111" i="9"/>
  <c r="K111" i="9"/>
  <c r="J111" i="9"/>
  <c r="I111" i="9"/>
  <c r="H111" i="9"/>
  <c r="L110" i="9"/>
  <c r="K110" i="9"/>
  <c r="J110" i="9"/>
  <c r="I110" i="9"/>
  <c r="H110" i="9"/>
  <c r="L109" i="9"/>
  <c r="K109" i="9"/>
  <c r="J109" i="9"/>
  <c r="I109" i="9"/>
  <c r="H109" i="9"/>
  <c r="L108" i="9"/>
  <c r="K108" i="9"/>
  <c r="J108" i="9"/>
  <c r="I108" i="9"/>
  <c r="H108" i="9"/>
  <c r="L107" i="9"/>
  <c r="K107" i="9"/>
  <c r="J107" i="9"/>
  <c r="I107" i="9"/>
  <c r="H107" i="9"/>
  <c r="L106" i="9"/>
  <c r="K106" i="9"/>
  <c r="J106" i="9"/>
  <c r="I106" i="9"/>
  <c r="H106" i="9"/>
  <c r="L105" i="9"/>
  <c r="K105" i="9"/>
  <c r="J105" i="9"/>
  <c r="I105" i="9"/>
  <c r="H105" i="9"/>
  <c r="L104" i="9"/>
  <c r="K104" i="9"/>
  <c r="J104" i="9"/>
  <c r="I104" i="9"/>
  <c r="H104" i="9"/>
  <c r="L103" i="9"/>
  <c r="K103" i="9"/>
  <c r="J103" i="9"/>
  <c r="I103" i="9"/>
  <c r="H103" i="9"/>
  <c r="L102" i="9"/>
  <c r="K102" i="9"/>
  <c r="J102" i="9"/>
  <c r="I102" i="9"/>
  <c r="H102" i="9"/>
  <c r="L101" i="9"/>
  <c r="K101" i="9"/>
  <c r="J101" i="9"/>
  <c r="I101" i="9"/>
  <c r="H101" i="9"/>
  <c r="L100" i="9"/>
  <c r="K100" i="9"/>
  <c r="J100" i="9"/>
  <c r="I100" i="9"/>
  <c r="H100" i="9"/>
  <c r="L99" i="9"/>
  <c r="K99" i="9"/>
  <c r="J99" i="9"/>
  <c r="I99" i="9"/>
  <c r="H99" i="9"/>
  <c r="L98" i="9"/>
  <c r="K98" i="9"/>
  <c r="J98" i="9"/>
  <c r="I98" i="9"/>
  <c r="H98" i="9"/>
  <c r="L97" i="9"/>
  <c r="K97" i="9"/>
  <c r="J97" i="9"/>
  <c r="I97" i="9"/>
  <c r="H97" i="9"/>
  <c r="L96" i="9"/>
  <c r="K96" i="9"/>
  <c r="J96" i="9"/>
  <c r="I96" i="9"/>
  <c r="H96" i="9"/>
  <c r="L95" i="9"/>
  <c r="K95" i="9"/>
  <c r="J95" i="9"/>
  <c r="I95" i="9"/>
  <c r="H95" i="9"/>
  <c r="L94" i="9"/>
  <c r="K94" i="9"/>
  <c r="J94" i="9"/>
  <c r="I94" i="9"/>
  <c r="H94" i="9"/>
  <c r="L93" i="9"/>
  <c r="K93" i="9"/>
  <c r="J93" i="9"/>
  <c r="I93" i="9"/>
  <c r="H93" i="9"/>
  <c r="L92" i="9"/>
  <c r="K92" i="9"/>
  <c r="J92" i="9"/>
  <c r="I92" i="9"/>
  <c r="H92" i="9"/>
  <c r="L91" i="9"/>
  <c r="K91" i="9"/>
  <c r="J91" i="9"/>
  <c r="I91" i="9"/>
  <c r="H91" i="9"/>
  <c r="L90" i="9"/>
  <c r="K90" i="9"/>
  <c r="J90" i="9"/>
  <c r="I90" i="9"/>
  <c r="H90" i="9"/>
  <c r="L89" i="9"/>
  <c r="K89" i="9"/>
  <c r="J89" i="9"/>
  <c r="I89" i="9"/>
  <c r="H89" i="9"/>
  <c r="L88" i="9"/>
  <c r="K88" i="9"/>
  <c r="J88" i="9"/>
  <c r="I88" i="9"/>
  <c r="H88" i="9"/>
  <c r="L87" i="9"/>
  <c r="K87" i="9"/>
  <c r="J87" i="9"/>
  <c r="I87" i="9"/>
  <c r="H87" i="9"/>
  <c r="L86" i="9"/>
  <c r="K86" i="9"/>
  <c r="J86" i="9"/>
  <c r="I86" i="9"/>
  <c r="H86" i="9"/>
  <c r="L85" i="9"/>
  <c r="K85" i="9"/>
  <c r="J85" i="9"/>
  <c r="I85" i="9"/>
  <c r="H85" i="9"/>
  <c r="L84" i="9"/>
  <c r="K84" i="9"/>
  <c r="J84" i="9"/>
  <c r="I84" i="9"/>
  <c r="H84" i="9"/>
  <c r="L83" i="9"/>
  <c r="K83" i="9"/>
  <c r="J83" i="9"/>
  <c r="I83" i="9"/>
  <c r="H83" i="9"/>
  <c r="L82" i="9"/>
  <c r="K82" i="9"/>
  <c r="J82" i="9"/>
  <c r="I82" i="9"/>
  <c r="H82" i="9"/>
  <c r="L81" i="9"/>
  <c r="K81" i="9"/>
  <c r="J81" i="9"/>
  <c r="I81" i="9"/>
  <c r="H81" i="9"/>
  <c r="L80" i="9"/>
  <c r="K80" i="9"/>
  <c r="J80" i="9"/>
  <c r="I80" i="9"/>
  <c r="H80" i="9"/>
  <c r="L79" i="9"/>
  <c r="K79" i="9"/>
  <c r="J79" i="9"/>
  <c r="I79" i="9"/>
  <c r="H79" i="9"/>
  <c r="L78" i="9"/>
  <c r="K78" i="9"/>
  <c r="J78" i="9"/>
  <c r="I78" i="9"/>
  <c r="H78" i="9"/>
  <c r="L77" i="9"/>
  <c r="K77" i="9"/>
  <c r="J77" i="9"/>
  <c r="I77" i="9"/>
  <c r="H77" i="9"/>
  <c r="L76" i="9"/>
  <c r="K76" i="9"/>
  <c r="J76" i="9"/>
  <c r="I76" i="9"/>
  <c r="H76" i="9"/>
  <c r="L75" i="9"/>
  <c r="K75" i="9"/>
  <c r="J75" i="9"/>
  <c r="I75" i="9"/>
  <c r="H75" i="9"/>
  <c r="L74" i="9"/>
  <c r="K74" i="9"/>
  <c r="J74" i="9"/>
  <c r="I74" i="9"/>
  <c r="H74" i="9"/>
  <c r="L73" i="9"/>
  <c r="K73" i="9"/>
  <c r="J73" i="9"/>
  <c r="I73" i="9"/>
  <c r="H73" i="9"/>
  <c r="L72" i="9"/>
  <c r="K72" i="9"/>
  <c r="J72" i="9"/>
  <c r="I72" i="9"/>
  <c r="H72" i="9"/>
  <c r="L71" i="9"/>
  <c r="K71" i="9"/>
  <c r="J71" i="9"/>
  <c r="I71" i="9"/>
  <c r="H71" i="9"/>
  <c r="L70" i="9"/>
  <c r="K70" i="9"/>
  <c r="J70" i="9"/>
  <c r="I70" i="9"/>
  <c r="H70" i="9"/>
  <c r="L69" i="9"/>
  <c r="K69" i="9"/>
  <c r="J69" i="9"/>
  <c r="I69" i="9"/>
  <c r="H69" i="9"/>
  <c r="L68" i="9"/>
  <c r="K68" i="9"/>
  <c r="J68" i="9"/>
  <c r="I68" i="9"/>
  <c r="H68" i="9"/>
  <c r="L67" i="9"/>
  <c r="K67" i="9"/>
  <c r="J67" i="9"/>
  <c r="I67" i="9"/>
  <c r="H67" i="9"/>
  <c r="L66" i="9"/>
  <c r="K66" i="9"/>
  <c r="J66" i="9"/>
  <c r="I66" i="9"/>
  <c r="H66" i="9"/>
  <c r="L65" i="9"/>
  <c r="K65" i="9"/>
  <c r="J65" i="9"/>
  <c r="I65" i="9"/>
  <c r="H65" i="9"/>
  <c r="L64" i="9"/>
  <c r="K64" i="9"/>
  <c r="J64" i="9"/>
  <c r="I64" i="9"/>
  <c r="H64" i="9"/>
  <c r="L63" i="9"/>
  <c r="K63" i="9"/>
  <c r="J63" i="9"/>
  <c r="I63" i="9"/>
  <c r="H63" i="9"/>
  <c r="L62" i="9"/>
  <c r="K62" i="9"/>
  <c r="J62" i="9"/>
  <c r="I62" i="9"/>
  <c r="H62" i="9"/>
  <c r="L61" i="9"/>
  <c r="K61" i="9"/>
  <c r="J61" i="9"/>
  <c r="I61" i="9"/>
  <c r="H61" i="9"/>
  <c r="L60" i="9"/>
  <c r="K60" i="9"/>
  <c r="J60" i="9"/>
  <c r="I60" i="9"/>
  <c r="H60" i="9"/>
  <c r="L59" i="9"/>
  <c r="K59" i="9"/>
  <c r="J59" i="9"/>
  <c r="I59" i="9"/>
  <c r="H59" i="9"/>
  <c r="L58" i="9"/>
  <c r="K58" i="9"/>
  <c r="J58" i="9"/>
  <c r="I58" i="9"/>
  <c r="H58" i="9"/>
  <c r="L57" i="9"/>
  <c r="K57" i="9"/>
  <c r="J57" i="9"/>
  <c r="I57" i="9"/>
  <c r="H57" i="9"/>
  <c r="L56" i="9"/>
  <c r="K56" i="9"/>
  <c r="J56" i="9"/>
  <c r="I56" i="9"/>
  <c r="H56" i="9"/>
  <c r="L55" i="9"/>
  <c r="K55" i="9"/>
  <c r="J55" i="9"/>
  <c r="I55" i="9"/>
  <c r="H55" i="9"/>
  <c r="L54" i="9"/>
  <c r="K54" i="9"/>
  <c r="J54" i="9"/>
  <c r="I54" i="9"/>
  <c r="H54" i="9"/>
  <c r="L53" i="9"/>
  <c r="K53" i="9"/>
  <c r="J53" i="9"/>
  <c r="I53" i="9"/>
  <c r="H53" i="9"/>
  <c r="L52" i="9"/>
  <c r="K52" i="9"/>
  <c r="J52" i="9"/>
  <c r="I52" i="9"/>
  <c r="H52" i="9"/>
  <c r="L51" i="9"/>
  <c r="K51" i="9"/>
  <c r="J51" i="9"/>
  <c r="I51" i="9"/>
  <c r="H51" i="9"/>
  <c r="L50" i="9"/>
  <c r="K50" i="9"/>
  <c r="J50" i="9"/>
  <c r="I50" i="9"/>
  <c r="H50" i="9"/>
  <c r="L49" i="9"/>
  <c r="K49" i="9"/>
  <c r="J49" i="9"/>
  <c r="I49" i="9"/>
  <c r="H49" i="9"/>
  <c r="L48" i="9"/>
  <c r="K48" i="9"/>
  <c r="J48" i="9"/>
  <c r="I48" i="9"/>
  <c r="H48" i="9"/>
  <c r="L47" i="9"/>
  <c r="K47" i="9"/>
  <c r="J47" i="9"/>
  <c r="I47" i="9"/>
  <c r="H47" i="9"/>
  <c r="L46" i="9"/>
  <c r="K46" i="9"/>
  <c r="J46" i="9"/>
  <c r="I46" i="9"/>
  <c r="H46" i="9"/>
  <c r="L45" i="9"/>
  <c r="K45" i="9"/>
  <c r="J45" i="9"/>
  <c r="I45" i="9"/>
  <c r="H45" i="9"/>
  <c r="L44" i="9"/>
  <c r="K44" i="9"/>
  <c r="J44" i="9"/>
  <c r="I44" i="9"/>
  <c r="H44" i="9"/>
  <c r="L43" i="9"/>
  <c r="K43" i="9"/>
  <c r="J43" i="9"/>
  <c r="I43" i="9"/>
  <c r="H43" i="9"/>
  <c r="L42" i="9"/>
  <c r="K42" i="9"/>
  <c r="J42" i="9"/>
  <c r="I42" i="9"/>
  <c r="H42" i="9"/>
  <c r="L41" i="9"/>
  <c r="K41" i="9"/>
  <c r="J41" i="9"/>
  <c r="I41" i="9"/>
  <c r="H41" i="9"/>
  <c r="L40" i="9"/>
  <c r="K40" i="9"/>
  <c r="J40" i="9"/>
  <c r="I40" i="9"/>
  <c r="H40" i="9"/>
  <c r="L39" i="9"/>
  <c r="K39" i="9"/>
  <c r="J39" i="9"/>
  <c r="I39" i="9"/>
  <c r="H39" i="9"/>
  <c r="L38" i="9"/>
  <c r="K38" i="9"/>
  <c r="J38" i="9"/>
  <c r="I38" i="9"/>
  <c r="H38" i="9"/>
  <c r="L37" i="9"/>
  <c r="K37" i="9"/>
  <c r="J37" i="9"/>
  <c r="I37" i="9"/>
  <c r="H37" i="9"/>
  <c r="L36" i="9"/>
  <c r="K36" i="9"/>
  <c r="J36" i="9"/>
  <c r="I36" i="9"/>
  <c r="H36" i="9"/>
  <c r="L35" i="9"/>
  <c r="K35" i="9"/>
  <c r="J35" i="9"/>
  <c r="I35" i="9"/>
  <c r="H35" i="9"/>
  <c r="L34" i="9"/>
  <c r="K34" i="9"/>
  <c r="J34" i="9"/>
  <c r="I34" i="9"/>
  <c r="H34" i="9"/>
  <c r="L33" i="9"/>
  <c r="K33" i="9"/>
  <c r="J33" i="9"/>
  <c r="I33" i="9"/>
  <c r="H33" i="9"/>
  <c r="L32" i="9"/>
  <c r="K32" i="9"/>
  <c r="J32" i="9"/>
  <c r="I32" i="9"/>
  <c r="H32" i="9"/>
  <c r="L31" i="9"/>
  <c r="K31" i="9"/>
  <c r="J31" i="9"/>
  <c r="I31" i="9"/>
  <c r="H31" i="9"/>
  <c r="L30" i="9"/>
  <c r="K30" i="9"/>
  <c r="J30" i="9"/>
  <c r="I30" i="9"/>
  <c r="H30" i="9"/>
  <c r="L29" i="9"/>
  <c r="K29" i="9"/>
  <c r="J29" i="9"/>
  <c r="I29" i="9"/>
  <c r="H29" i="9"/>
  <c r="L28" i="9"/>
  <c r="K28" i="9"/>
  <c r="J28" i="9"/>
  <c r="I28" i="9"/>
  <c r="H28" i="9"/>
  <c r="L27" i="9"/>
  <c r="K27" i="9"/>
  <c r="J27" i="9"/>
  <c r="I27" i="9"/>
  <c r="H27" i="9"/>
  <c r="L26" i="9"/>
  <c r="K26" i="9"/>
  <c r="J26" i="9"/>
  <c r="I26" i="9"/>
  <c r="H26" i="9"/>
  <c r="L25" i="9"/>
  <c r="K25" i="9"/>
  <c r="J25" i="9"/>
  <c r="I25" i="9"/>
  <c r="H25" i="9"/>
  <c r="L24" i="9"/>
  <c r="K24" i="9"/>
  <c r="J24" i="9"/>
  <c r="I24" i="9"/>
  <c r="H24" i="9"/>
  <c r="BC23" i="9"/>
  <c r="BI154" i="9" s="1"/>
  <c r="BB23" i="9"/>
  <c r="BH154" i="9" s="1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L23" i="9"/>
  <c r="K23" i="9"/>
  <c r="J23" i="9"/>
  <c r="I23" i="9"/>
  <c r="H23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L22" i="9"/>
  <c r="K22" i="9"/>
  <c r="J22" i="9"/>
  <c r="I22" i="9"/>
  <c r="H22" i="9"/>
  <c r="AU21" i="9"/>
  <c r="AT156" i="9" s="1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L21" i="9"/>
  <c r="K21" i="9"/>
  <c r="J21" i="9"/>
  <c r="I21" i="9"/>
  <c r="H21" i="9"/>
  <c r="BC20" i="9"/>
  <c r="AQ154" i="9" s="1"/>
  <c r="AU20" i="9"/>
  <c r="AN156" i="9" s="1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BD20" i="9" s="1"/>
  <c r="AR154" i="9" s="1"/>
  <c r="U20" i="9"/>
  <c r="T20" i="9"/>
  <c r="S20" i="9"/>
  <c r="R20" i="9"/>
  <c r="Q20" i="9"/>
  <c r="P20" i="9"/>
  <c r="O20" i="9"/>
  <c r="L20" i="9"/>
  <c r="K20" i="9"/>
  <c r="J20" i="9"/>
  <c r="I20" i="9"/>
  <c r="H20" i="9"/>
  <c r="BD19" i="9"/>
  <c r="AL154" i="9" s="1"/>
  <c r="AX19" i="9"/>
  <c r="AK156" i="9" s="1"/>
  <c r="AV19" i="9"/>
  <c r="AI156" i="9" s="1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AW19" i="9" s="1"/>
  <c r="AJ156" i="9" s="1"/>
  <c r="U19" i="9"/>
  <c r="T19" i="9"/>
  <c r="S19" i="9"/>
  <c r="R19" i="9"/>
  <c r="Q19" i="9"/>
  <c r="P19" i="9"/>
  <c r="O19" i="9"/>
  <c r="L19" i="9"/>
  <c r="K19" i="9"/>
  <c r="J19" i="9"/>
  <c r="I19" i="9"/>
  <c r="H19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AX18" i="9" s="1"/>
  <c r="BI135" i="9" s="1"/>
  <c r="R18" i="9"/>
  <c r="Q18" i="9"/>
  <c r="P18" i="9"/>
  <c r="AY18" i="9" s="1"/>
  <c r="BJ135" i="9" s="1"/>
  <c r="O18" i="9"/>
  <c r="L18" i="9"/>
  <c r="K18" i="9"/>
  <c r="J18" i="9"/>
  <c r="I18" i="9"/>
  <c r="H18" i="9"/>
  <c r="BA17" i="9"/>
  <c r="BA133" i="9" s="1"/>
  <c r="AV17" i="9"/>
  <c r="BA135" i="9" s="1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L17" i="9"/>
  <c r="K17" i="9"/>
  <c r="J17" i="9"/>
  <c r="I17" i="9"/>
  <c r="H17" i="9"/>
  <c r="BC16" i="9"/>
  <c r="AW133" i="9" s="1"/>
  <c r="BA16" i="9"/>
  <c r="AU133" i="9" s="1"/>
  <c r="AY16" i="9"/>
  <c r="AX135" i="9" s="1"/>
  <c r="AX16" i="9"/>
  <c r="AW135" i="9" s="1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L16" i="9"/>
  <c r="K16" i="9"/>
  <c r="J16" i="9"/>
  <c r="I16" i="9"/>
  <c r="H16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L15" i="9"/>
  <c r="K15" i="9"/>
  <c r="J15" i="9"/>
  <c r="I15" i="9"/>
  <c r="H15" i="9"/>
  <c r="AY14" i="9"/>
  <c r="AL135" i="9" s="1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AV14" i="9" s="1"/>
  <c r="AI135" i="9" s="1"/>
  <c r="U14" i="9"/>
  <c r="AZ21" i="9" s="1"/>
  <c r="AT154" i="9" s="1"/>
  <c r="T14" i="9"/>
  <c r="S14" i="9"/>
  <c r="BD14" i="9" s="1"/>
  <c r="AL133" i="9" s="1"/>
  <c r="R14" i="9"/>
  <c r="Q14" i="9"/>
  <c r="AU14" i="9" s="1"/>
  <c r="AH135" i="9" s="1"/>
  <c r="P14" i="9"/>
  <c r="O14" i="9"/>
  <c r="L14" i="9"/>
  <c r="K14" i="9"/>
  <c r="J14" i="9"/>
  <c r="I14" i="9"/>
  <c r="H14" i="9"/>
  <c r="BT2" i="9"/>
  <c r="AK130" i="9" s="1"/>
  <c r="AU158" i="30"/>
  <c r="AK158" i="30"/>
  <c r="BI152" i="30"/>
  <c r="BG152" i="30"/>
  <c r="BC152" i="30"/>
  <c r="BA152" i="30"/>
  <c r="AW152" i="30"/>
  <c r="AU152" i="30"/>
  <c r="AQ152" i="30"/>
  <c r="AO152" i="30"/>
  <c r="AK152" i="30"/>
  <c r="AI152" i="30"/>
  <c r="BI151" i="30"/>
  <c r="BF151" i="30"/>
  <c r="BC151" i="30"/>
  <c r="AZ151" i="30"/>
  <c r="AW151" i="30"/>
  <c r="AT151" i="30"/>
  <c r="AQ151" i="30"/>
  <c r="AN151" i="30"/>
  <c r="AK151" i="30"/>
  <c r="AH151" i="30"/>
  <c r="BJ150" i="30"/>
  <c r="BI150" i="30"/>
  <c r="BH150" i="30"/>
  <c r="BG150" i="30"/>
  <c r="BF150" i="30"/>
  <c r="BD150" i="30"/>
  <c r="BC150" i="30"/>
  <c r="BB150" i="30"/>
  <c r="BA150" i="30"/>
  <c r="AZ150" i="30"/>
  <c r="AX150" i="30"/>
  <c r="AW150" i="30"/>
  <c r="AV150" i="30"/>
  <c r="AU150" i="30"/>
  <c r="AT150" i="30"/>
  <c r="AR150" i="30"/>
  <c r="AQ150" i="30"/>
  <c r="AP150" i="30"/>
  <c r="AO150" i="30"/>
  <c r="AN150" i="30"/>
  <c r="AL150" i="30"/>
  <c r="AK150" i="30"/>
  <c r="AJ150" i="30"/>
  <c r="AI150" i="30"/>
  <c r="AH150" i="30"/>
  <c r="BJ149" i="30"/>
  <c r="BI149" i="30"/>
  <c r="BH149" i="30"/>
  <c r="BG149" i="30"/>
  <c r="BF149" i="30"/>
  <c r="BD149" i="30"/>
  <c r="BC149" i="30"/>
  <c r="BB149" i="30"/>
  <c r="BA149" i="30"/>
  <c r="AZ149" i="30"/>
  <c r="AX149" i="30"/>
  <c r="AW149" i="30"/>
  <c r="AV149" i="30"/>
  <c r="AU149" i="30"/>
  <c r="AT149" i="30"/>
  <c r="AR149" i="30"/>
  <c r="AQ149" i="30"/>
  <c r="AP149" i="30"/>
  <c r="AO149" i="30"/>
  <c r="AN149" i="30"/>
  <c r="AL149" i="30"/>
  <c r="AK149" i="30"/>
  <c r="AJ149" i="30"/>
  <c r="AI149" i="30"/>
  <c r="AH149" i="30"/>
  <c r="AD149" i="30"/>
  <c r="BJ148" i="30"/>
  <c r="BI148" i="30"/>
  <c r="BH148" i="30"/>
  <c r="BG148" i="30"/>
  <c r="BF148" i="30"/>
  <c r="BD148" i="30"/>
  <c r="BC148" i="30"/>
  <c r="BB148" i="30"/>
  <c r="BA148" i="30"/>
  <c r="AZ148" i="30"/>
  <c r="AX148" i="30"/>
  <c r="AW148" i="30"/>
  <c r="AV148" i="30"/>
  <c r="AU148" i="30"/>
  <c r="AT148" i="30"/>
  <c r="AR148" i="30"/>
  <c r="AQ148" i="30"/>
  <c r="AP148" i="30"/>
  <c r="AO148" i="30"/>
  <c r="AN148" i="30"/>
  <c r="AL148" i="30"/>
  <c r="AK148" i="30"/>
  <c r="AJ148" i="30"/>
  <c r="AI148" i="30"/>
  <c r="AH148" i="30"/>
  <c r="BJ147" i="30"/>
  <c r="BI147" i="30"/>
  <c r="BH147" i="30"/>
  <c r="BG147" i="30"/>
  <c r="BF147" i="30"/>
  <c r="BD147" i="30"/>
  <c r="BC147" i="30"/>
  <c r="BB147" i="30"/>
  <c r="BA147" i="30"/>
  <c r="AZ147" i="30"/>
  <c r="AX147" i="30"/>
  <c r="AW147" i="30"/>
  <c r="AV147" i="30"/>
  <c r="AU147" i="30"/>
  <c r="AT147" i="30"/>
  <c r="AR147" i="30"/>
  <c r="AQ147" i="30"/>
  <c r="AP147" i="30"/>
  <c r="AO147" i="30"/>
  <c r="AN147" i="30"/>
  <c r="AL147" i="30"/>
  <c r="AK147" i="30"/>
  <c r="AJ147" i="30"/>
  <c r="AI147" i="30"/>
  <c r="AH147" i="30"/>
  <c r="BJ146" i="30"/>
  <c r="BI146" i="30"/>
  <c r="BH146" i="30"/>
  <c r="BG146" i="30"/>
  <c r="BF146" i="30"/>
  <c r="BD146" i="30"/>
  <c r="BC146" i="30"/>
  <c r="BB146" i="30"/>
  <c r="BA146" i="30"/>
  <c r="AZ146" i="30"/>
  <c r="AX146" i="30"/>
  <c r="AW146" i="30"/>
  <c r="AV146" i="30"/>
  <c r="AU146" i="30"/>
  <c r="AT146" i="30"/>
  <c r="AR146" i="30"/>
  <c r="AQ146" i="30"/>
  <c r="AP146" i="30"/>
  <c r="AO146" i="30"/>
  <c r="AN146" i="30"/>
  <c r="AL146" i="30"/>
  <c r="AK146" i="30"/>
  <c r="AJ146" i="30"/>
  <c r="AI146" i="30"/>
  <c r="AH146" i="30"/>
  <c r="BJ145" i="30"/>
  <c r="BI145" i="30"/>
  <c r="BH145" i="30"/>
  <c r="BG145" i="30"/>
  <c r="BF145" i="30"/>
  <c r="BD145" i="30"/>
  <c r="BC145" i="30"/>
  <c r="BB145" i="30"/>
  <c r="BA145" i="30"/>
  <c r="AZ145" i="30"/>
  <c r="AX145" i="30"/>
  <c r="AW145" i="30"/>
  <c r="AV145" i="30"/>
  <c r="AU145" i="30"/>
  <c r="AT145" i="30"/>
  <c r="AR145" i="30"/>
  <c r="AQ145" i="30"/>
  <c r="AP145" i="30"/>
  <c r="AO145" i="30"/>
  <c r="AN145" i="30"/>
  <c r="AL145" i="30"/>
  <c r="AK145" i="30"/>
  <c r="AJ145" i="30"/>
  <c r="AI145" i="30"/>
  <c r="AH145" i="30"/>
  <c r="BJ144" i="30"/>
  <c r="BI144" i="30"/>
  <c r="BH144" i="30"/>
  <c r="BG144" i="30"/>
  <c r="BF144" i="30"/>
  <c r="BD144" i="30"/>
  <c r="BC144" i="30"/>
  <c r="BB144" i="30"/>
  <c r="BA144" i="30"/>
  <c r="AZ144" i="30"/>
  <c r="AX144" i="30"/>
  <c r="AW144" i="30"/>
  <c r="AV144" i="30"/>
  <c r="AU144" i="30"/>
  <c r="AT144" i="30"/>
  <c r="AR144" i="30"/>
  <c r="AQ144" i="30"/>
  <c r="AP144" i="30"/>
  <c r="AO144" i="30"/>
  <c r="AN144" i="30"/>
  <c r="AL144" i="30"/>
  <c r="AK144" i="30"/>
  <c r="AJ144" i="30"/>
  <c r="AI144" i="30"/>
  <c r="AH144" i="30"/>
  <c r="BJ143" i="30"/>
  <c r="BI143" i="30"/>
  <c r="BH143" i="30"/>
  <c r="BG143" i="30"/>
  <c r="BF143" i="30"/>
  <c r="BD143" i="30"/>
  <c r="BC143" i="30"/>
  <c r="BB143" i="30"/>
  <c r="BA143" i="30"/>
  <c r="AZ143" i="30"/>
  <c r="AX143" i="30"/>
  <c r="AW143" i="30"/>
  <c r="AV143" i="30"/>
  <c r="AU143" i="30"/>
  <c r="AT143" i="30"/>
  <c r="AR143" i="30"/>
  <c r="AQ143" i="30"/>
  <c r="AP143" i="30"/>
  <c r="AO143" i="30"/>
  <c r="AN143" i="30"/>
  <c r="AL143" i="30"/>
  <c r="AK143" i="30"/>
  <c r="AJ143" i="30"/>
  <c r="AI143" i="30"/>
  <c r="AH143" i="30"/>
  <c r="BJ142" i="30"/>
  <c r="BI142" i="30"/>
  <c r="BH142" i="30"/>
  <c r="BG142" i="30"/>
  <c r="BF142" i="30"/>
  <c r="BD142" i="30"/>
  <c r="BC142" i="30"/>
  <c r="BB142" i="30"/>
  <c r="BA142" i="30"/>
  <c r="AZ142" i="30"/>
  <c r="AX142" i="30"/>
  <c r="AW142" i="30"/>
  <c r="AV142" i="30"/>
  <c r="AU142" i="30"/>
  <c r="AT142" i="30"/>
  <c r="AR142" i="30"/>
  <c r="AQ142" i="30"/>
  <c r="AP142" i="30"/>
  <c r="AO142" i="30"/>
  <c r="AN142" i="30"/>
  <c r="AL142" i="30"/>
  <c r="AK142" i="30"/>
  <c r="AJ142" i="30"/>
  <c r="AI142" i="30"/>
  <c r="AH142" i="30"/>
  <c r="BJ141" i="30"/>
  <c r="BI141" i="30"/>
  <c r="BH141" i="30"/>
  <c r="BG141" i="30"/>
  <c r="BF141" i="30"/>
  <c r="BD141" i="30"/>
  <c r="BC141" i="30"/>
  <c r="BB141" i="30"/>
  <c r="BA141" i="30"/>
  <c r="AZ141" i="30"/>
  <c r="AX141" i="30"/>
  <c r="AW141" i="30"/>
  <c r="AV141" i="30"/>
  <c r="AU141" i="30"/>
  <c r="AT141" i="30"/>
  <c r="AR141" i="30"/>
  <c r="AQ141" i="30"/>
  <c r="AP141" i="30"/>
  <c r="AO141" i="30"/>
  <c r="AN141" i="30"/>
  <c r="AL141" i="30"/>
  <c r="AK141" i="30"/>
  <c r="AJ141" i="30"/>
  <c r="AI141" i="30"/>
  <c r="AH141" i="30"/>
  <c r="AE140" i="30"/>
  <c r="BF139" i="30"/>
  <c r="AZ139" i="30"/>
  <c r="AT139" i="30"/>
  <c r="AO139" i="30"/>
  <c r="AN139" i="30"/>
  <c r="AH139" i="30"/>
  <c r="BF138" i="30"/>
  <c r="AZ138" i="30"/>
  <c r="AT138" i="30"/>
  <c r="AO138" i="30"/>
  <c r="AN138" i="30"/>
  <c r="AH138" i="30"/>
  <c r="BH137" i="30"/>
  <c r="BB137" i="30"/>
  <c r="AV137" i="30"/>
  <c r="AP137" i="30"/>
  <c r="AJ137" i="30"/>
  <c r="Y137" i="30"/>
  <c r="W136" i="30"/>
  <c r="G134" i="30"/>
  <c r="AE133" i="30"/>
  <c r="BI131" i="30"/>
  <c r="BG131" i="30"/>
  <c r="BC131" i="30"/>
  <c r="BA131" i="30"/>
  <c r="AW131" i="30"/>
  <c r="AU131" i="30"/>
  <c r="AQ131" i="30"/>
  <c r="AO131" i="30"/>
  <c r="AK131" i="30"/>
  <c r="AI131" i="30"/>
  <c r="BI130" i="30"/>
  <c r="BF130" i="30"/>
  <c r="BC130" i="30"/>
  <c r="AZ130" i="30"/>
  <c r="AW130" i="30"/>
  <c r="AT130" i="30"/>
  <c r="AQ130" i="30"/>
  <c r="AN130" i="30"/>
  <c r="AH130" i="30"/>
  <c r="BJ129" i="30"/>
  <c r="BI129" i="30"/>
  <c r="BH129" i="30"/>
  <c r="BG129" i="30"/>
  <c r="BF129" i="30"/>
  <c r="BD129" i="30"/>
  <c r="BC129" i="30"/>
  <c r="BB129" i="30"/>
  <c r="BA129" i="30"/>
  <c r="AZ129" i="30"/>
  <c r="AX129" i="30"/>
  <c r="AW129" i="30"/>
  <c r="AV129" i="30"/>
  <c r="AU129" i="30"/>
  <c r="AT129" i="30"/>
  <c r="AR129" i="30"/>
  <c r="AQ129" i="30"/>
  <c r="AP129" i="30"/>
  <c r="AO129" i="30"/>
  <c r="AN129" i="30"/>
  <c r="AL129" i="30"/>
  <c r="AK129" i="30"/>
  <c r="AJ129" i="30"/>
  <c r="AI129" i="30"/>
  <c r="AH129" i="30"/>
  <c r="BJ128" i="30"/>
  <c r="BI128" i="30"/>
  <c r="BH128" i="30"/>
  <c r="BG128" i="30"/>
  <c r="BF128" i="30"/>
  <c r="BD128" i="30"/>
  <c r="BC128" i="30"/>
  <c r="BB128" i="30"/>
  <c r="BA128" i="30"/>
  <c r="AZ128" i="30"/>
  <c r="AX128" i="30"/>
  <c r="AW128" i="30"/>
  <c r="AV128" i="30"/>
  <c r="AU128" i="30"/>
  <c r="AT128" i="30"/>
  <c r="AR128" i="30"/>
  <c r="AQ128" i="30"/>
  <c r="AP128" i="30"/>
  <c r="AO128" i="30"/>
  <c r="AN128" i="30"/>
  <c r="AL128" i="30"/>
  <c r="AK128" i="30"/>
  <c r="AJ128" i="30"/>
  <c r="AI128" i="30"/>
  <c r="AH128" i="30"/>
  <c r="BJ127" i="30"/>
  <c r="BI127" i="30"/>
  <c r="BH127" i="30"/>
  <c r="BG127" i="30"/>
  <c r="BF127" i="30"/>
  <c r="BD127" i="30"/>
  <c r="BC127" i="30"/>
  <c r="BB127" i="30"/>
  <c r="BA127" i="30"/>
  <c r="AZ127" i="30"/>
  <c r="AX127" i="30"/>
  <c r="AW127" i="30"/>
  <c r="AV127" i="30"/>
  <c r="AU127" i="30"/>
  <c r="AT127" i="30"/>
  <c r="AR127" i="30"/>
  <c r="AQ127" i="30"/>
  <c r="AP127" i="30"/>
  <c r="AO127" i="30"/>
  <c r="AN127" i="30"/>
  <c r="AL127" i="30"/>
  <c r="AK127" i="30"/>
  <c r="AJ127" i="30"/>
  <c r="AI127" i="30"/>
  <c r="AH127" i="30"/>
  <c r="BJ126" i="30"/>
  <c r="BI126" i="30"/>
  <c r="BH126" i="30"/>
  <c r="BG126" i="30"/>
  <c r="BF126" i="30"/>
  <c r="BD126" i="30"/>
  <c r="BC126" i="30"/>
  <c r="BB126" i="30"/>
  <c r="BA126" i="30"/>
  <c r="AZ126" i="30"/>
  <c r="AX126" i="30"/>
  <c r="AW126" i="30"/>
  <c r="AV126" i="30"/>
  <c r="AU126" i="30"/>
  <c r="AT126" i="30"/>
  <c r="AR126" i="30"/>
  <c r="AQ126" i="30"/>
  <c r="AP126" i="30"/>
  <c r="AO126" i="30"/>
  <c r="AN126" i="30"/>
  <c r="AL126" i="30"/>
  <c r="AK126" i="30"/>
  <c r="AJ126" i="30"/>
  <c r="AI126" i="30"/>
  <c r="AH126" i="30"/>
  <c r="E126" i="30"/>
  <c r="D126" i="30"/>
  <c r="BJ125" i="30"/>
  <c r="BI125" i="30"/>
  <c r="BH125" i="30"/>
  <c r="BG125" i="30"/>
  <c r="BF125" i="30"/>
  <c r="BD125" i="30"/>
  <c r="BC125" i="30"/>
  <c r="BB125" i="30"/>
  <c r="BA125" i="30"/>
  <c r="AZ125" i="30"/>
  <c r="AX125" i="30"/>
  <c r="AW125" i="30"/>
  <c r="AV125" i="30"/>
  <c r="AU130" i="30" s="1"/>
  <c r="AU125" i="30"/>
  <c r="AT125" i="30"/>
  <c r="AR125" i="30"/>
  <c r="AQ125" i="30"/>
  <c r="AP125" i="30"/>
  <c r="AO125" i="30"/>
  <c r="AN125" i="30"/>
  <c r="AL125" i="30"/>
  <c r="AK125" i="30"/>
  <c r="AJ125" i="30"/>
  <c r="AI125" i="30"/>
  <c r="AH125" i="30"/>
  <c r="BJ124" i="30"/>
  <c r="BI124" i="30"/>
  <c r="BH124" i="30"/>
  <c r="BG124" i="30"/>
  <c r="BF124" i="30"/>
  <c r="BD124" i="30"/>
  <c r="BC124" i="30"/>
  <c r="BB124" i="30"/>
  <c r="BA124" i="30"/>
  <c r="AZ124" i="30"/>
  <c r="AX124" i="30"/>
  <c r="AW124" i="30"/>
  <c r="AV124" i="30"/>
  <c r="AU124" i="30"/>
  <c r="AT124" i="30"/>
  <c r="AR124" i="30"/>
  <c r="AQ124" i="30"/>
  <c r="AP124" i="30"/>
  <c r="AO124" i="30"/>
  <c r="AN124" i="30"/>
  <c r="AL124" i="30"/>
  <c r="AK124" i="30"/>
  <c r="AJ124" i="30"/>
  <c r="AI124" i="30"/>
  <c r="AH124" i="30"/>
  <c r="H124" i="30"/>
  <c r="G124" i="30"/>
  <c r="BJ123" i="30"/>
  <c r="BI123" i="30"/>
  <c r="BH123" i="30"/>
  <c r="BG123" i="30"/>
  <c r="BF123" i="30"/>
  <c r="BD123" i="30"/>
  <c r="BC123" i="30"/>
  <c r="BB123" i="30"/>
  <c r="BA123" i="30"/>
  <c r="AZ123" i="30"/>
  <c r="AX123" i="30"/>
  <c r="AW123" i="30"/>
  <c r="AV123" i="30"/>
  <c r="AU123" i="30"/>
  <c r="AT123" i="30"/>
  <c r="AR123" i="30"/>
  <c r="AQ123" i="30"/>
  <c r="AP123" i="30"/>
  <c r="AO123" i="30"/>
  <c r="AN123" i="30"/>
  <c r="AL123" i="30"/>
  <c r="AK123" i="30"/>
  <c r="AJ123" i="30"/>
  <c r="AI123" i="30"/>
  <c r="AH123" i="30"/>
  <c r="V123" i="30"/>
  <c r="U123" i="30"/>
  <c r="BJ122" i="30"/>
  <c r="BI122" i="30"/>
  <c r="BH122" i="30"/>
  <c r="BG122" i="30"/>
  <c r="BF122" i="30"/>
  <c r="BD122" i="30"/>
  <c r="BC122" i="30"/>
  <c r="BB122" i="30"/>
  <c r="BA122" i="30"/>
  <c r="AZ122" i="30"/>
  <c r="AX122" i="30"/>
  <c r="AW122" i="30"/>
  <c r="AV122" i="30"/>
  <c r="AU122" i="30"/>
  <c r="AT122" i="30"/>
  <c r="AR122" i="30"/>
  <c r="AQ122" i="30"/>
  <c r="AP122" i="30"/>
  <c r="AO122" i="30"/>
  <c r="AN122" i="30"/>
  <c r="AL122" i="30"/>
  <c r="AK122" i="30"/>
  <c r="AJ122" i="30"/>
  <c r="AI122" i="30"/>
  <c r="AH122" i="30"/>
  <c r="X122" i="30"/>
  <c r="S122" i="30"/>
  <c r="BJ121" i="30"/>
  <c r="BI121" i="30"/>
  <c r="BH121" i="30"/>
  <c r="BG121" i="30"/>
  <c r="BF121" i="30"/>
  <c r="BD121" i="30"/>
  <c r="BC121" i="30"/>
  <c r="BB121" i="30"/>
  <c r="BA121" i="30"/>
  <c r="AZ121" i="30"/>
  <c r="AX121" i="30"/>
  <c r="AW121" i="30"/>
  <c r="AV121" i="30"/>
  <c r="AU121" i="30"/>
  <c r="AT121" i="30"/>
  <c r="AR121" i="30"/>
  <c r="AQ121" i="30"/>
  <c r="AP121" i="30"/>
  <c r="AO121" i="30"/>
  <c r="AN121" i="30"/>
  <c r="AL121" i="30"/>
  <c r="AK121" i="30"/>
  <c r="AJ121" i="30"/>
  <c r="AI121" i="30"/>
  <c r="AH121" i="30"/>
  <c r="BJ120" i="30"/>
  <c r="BI120" i="30"/>
  <c r="BH120" i="30"/>
  <c r="BG120" i="30"/>
  <c r="BF120" i="30"/>
  <c r="BD120" i="30"/>
  <c r="BC120" i="30"/>
  <c r="BB120" i="30"/>
  <c r="BA120" i="30"/>
  <c r="AZ120" i="30"/>
  <c r="AX120" i="30"/>
  <c r="AW120" i="30"/>
  <c r="AV120" i="30"/>
  <c r="AU120" i="30"/>
  <c r="AT120" i="30"/>
  <c r="AR120" i="30"/>
  <c r="AQ120" i="30"/>
  <c r="AP120" i="30"/>
  <c r="AO130" i="30" s="1"/>
  <c r="AO120" i="30"/>
  <c r="AN120" i="30"/>
  <c r="AL120" i="30"/>
  <c r="AK120" i="30"/>
  <c r="AJ120" i="30"/>
  <c r="AI120" i="30"/>
  <c r="AH120" i="30"/>
  <c r="G120" i="30"/>
  <c r="I164" i="30" s="1"/>
  <c r="J119" i="30"/>
  <c r="I119" i="30"/>
  <c r="BF118" i="30"/>
  <c r="AZ118" i="30"/>
  <c r="AT118" i="30"/>
  <c r="AN118" i="30"/>
  <c r="AH118" i="30"/>
  <c r="BF117" i="30"/>
  <c r="AZ117" i="30"/>
  <c r="AT117" i="30"/>
  <c r="AN117" i="30"/>
  <c r="AH117" i="30"/>
  <c r="BH116" i="30"/>
  <c r="BB116" i="30"/>
  <c r="AV116" i="30"/>
  <c r="AP116" i="30"/>
  <c r="AJ116" i="30"/>
  <c r="L113" i="30"/>
  <c r="K113" i="30"/>
  <c r="J113" i="30"/>
  <c r="I113" i="30"/>
  <c r="H113" i="30"/>
  <c r="L112" i="30"/>
  <c r="K112" i="30"/>
  <c r="J112" i="30"/>
  <c r="I112" i="30"/>
  <c r="H112" i="30"/>
  <c r="L111" i="30"/>
  <c r="K111" i="30"/>
  <c r="J111" i="30"/>
  <c r="I111" i="30"/>
  <c r="H111" i="30"/>
  <c r="L110" i="30"/>
  <c r="K110" i="30"/>
  <c r="J110" i="30"/>
  <c r="I110" i="30"/>
  <c r="H110" i="30"/>
  <c r="L109" i="30"/>
  <c r="K109" i="30"/>
  <c r="J109" i="30"/>
  <c r="I109" i="30"/>
  <c r="H109" i="30"/>
  <c r="L108" i="30"/>
  <c r="K108" i="30"/>
  <c r="J108" i="30"/>
  <c r="I108" i="30"/>
  <c r="H108" i="30"/>
  <c r="L107" i="30"/>
  <c r="K107" i="30"/>
  <c r="J107" i="30"/>
  <c r="I107" i="30"/>
  <c r="H107" i="30"/>
  <c r="L106" i="30"/>
  <c r="K106" i="30"/>
  <c r="J106" i="30"/>
  <c r="I106" i="30"/>
  <c r="H106" i="30"/>
  <c r="L105" i="30"/>
  <c r="K105" i="30"/>
  <c r="J105" i="30"/>
  <c r="I105" i="30"/>
  <c r="H105" i="30"/>
  <c r="L104" i="30"/>
  <c r="K104" i="30"/>
  <c r="J104" i="30"/>
  <c r="I104" i="30"/>
  <c r="H104" i="30"/>
  <c r="L103" i="30"/>
  <c r="K103" i="30"/>
  <c r="J103" i="30"/>
  <c r="I103" i="30"/>
  <c r="H103" i="30"/>
  <c r="L102" i="30"/>
  <c r="K102" i="30"/>
  <c r="J102" i="30"/>
  <c r="I102" i="30"/>
  <c r="H102" i="30"/>
  <c r="L101" i="30"/>
  <c r="K101" i="30"/>
  <c r="J101" i="30"/>
  <c r="I101" i="30"/>
  <c r="H101" i="30"/>
  <c r="L100" i="30"/>
  <c r="K100" i="30"/>
  <c r="J100" i="30"/>
  <c r="I100" i="30"/>
  <c r="H100" i="30"/>
  <c r="L99" i="30"/>
  <c r="K99" i="30"/>
  <c r="J99" i="30"/>
  <c r="I99" i="30"/>
  <c r="H99" i="30"/>
  <c r="L98" i="30"/>
  <c r="K98" i="30"/>
  <c r="J98" i="30"/>
  <c r="I98" i="30"/>
  <c r="H98" i="30"/>
  <c r="L97" i="30"/>
  <c r="K97" i="30"/>
  <c r="J97" i="30"/>
  <c r="I97" i="30"/>
  <c r="H97" i="30"/>
  <c r="L96" i="30"/>
  <c r="K96" i="30"/>
  <c r="J96" i="30"/>
  <c r="I96" i="30"/>
  <c r="H96" i="30"/>
  <c r="L95" i="30"/>
  <c r="K95" i="30"/>
  <c r="J95" i="30"/>
  <c r="I95" i="30"/>
  <c r="H95" i="30"/>
  <c r="L94" i="30"/>
  <c r="K94" i="30"/>
  <c r="J94" i="30"/>
  <c r="I94" i="30"/>
  <c r="H94" i="30"/>
  <c r="L93" i="30"/>
  <c r="K93" i="30"/>
  <c r="J93" i="30"/>
  <c r="I93" i="30"/>
  <c r="H93" i="30"/>
  <c r="L92" i="30"/>
  <c r="K92" i="30"/>
  <c r="J92" i="30"/>
  <c r="I92" i="30"/>
  <c r="H92" i="30"/>
  <c r="L91" i="30"/>
  <c r="K91" i="30"/>
  <c r="J91" i="30"/>
  <c r="I91" i="30"/>
  <c r="H91" i="30"/>
  <c r="L90" i="30"/>
  <c r="K90" i="30"/>
  <c r="J90" i="30"/>
  <c r="I90" i="30"/>
  <c r="H90" i="30"/>
  <c r="L89" i="30"/>
  <c r="K89" i="30"/>
  <c r="J89" i="30"/>
  <c r="I89" i="30"/>
  <c r="H89" i="30"/>
  <c r="L88" i="30"/>
  <c r="K88" i="30"/>
  <c r="J88" i="30"/>
  <c r="I88" i="30"/>
  <c r="H88" i="30"/>
  <c r="L87" i="30"/>
  <c r="K87" i="30"/>
  <c r="J87" i="30"/>
  <c r="I87" i="30"/>
  <c r="H87" i="30"/>
  <c r="L86" i="30"/>
  <c r="K86" i="30"/>
  <c r="J86" i="30"/>
  <c r="I86" i="30"/>
  <c r="H86" i="30"/>
  <c r="L85" i="30"/>
  <c r="K85" i="30"/>
  <c r="J85" i="30"/>
  <c r="I85" i="30"/>
  <c r="H85" i="30"/>
  <c r="L84" i="30"/>
  <c r="K84" i="30"/>
  <c r="J84" i="30"/>
  <c r="I84" i="30"/>
  <c r="H84" i="30"/>
  <c r="L83" i="30"/>
  <c r="K83" i="30"/>
  <c r="J83" i="30"/>
  <c r="I83" i="30"/>
  <c r="H83" i="30"/>
  <c r="L82" i="30"/>
  <c r="K82" i="30"/>
  <c r="J82" i="30"/>
  <c r="I82" i="30"/>
  <c r="H82" i="30"/>
  <c r="L81" i="30"/>
  <c r="K81" i="30"/>
  <c r="J81" i="30"/>
  <c r="I81" i="30"/>
  <c r="H81" i="30"/>
  <c r="L80" i="30"/>
  <c r="K80" i="30"/>
  <c r="J80" i="30"/>
  <c r="I80" i="30"/>
  <c r="H80" i="30"/>
  <c r="L79" i="30"/>
  <c r="K79" i="30"/>
  <c r="J79" i="30"/>
  <c r="I79" i="30"/>
  <c r="H79" i="30"/>
  <c r="L78" i="30"/>
  <c r="K78" i="30"/>
  <c r="J78" i="30"/>
  <c r="I78" i="30"/>
  <c r="H78" i="30"/>
  <c r="L77" i="30"/>
  <c r="K77" i="30"/>
  <c r="J77" i="30"/>
  <c r="I77" i="30"/>
  <c r="H77" i="30"/>
  <c r="L76" i="30"/>
  <c r="K76" i="30"/>
  <c r="J76" i="30"/>
  <c r="I76" i="30"/>
  <c r="H76" i="30"/>
  <c r="L75" i="30"/>
  <c r="K75" i="30"/>
  <c r="J75" i="30"/>
  <c r="I75" i="30"/>
  <c r="H75" i="30"/>
  <c r="L74" i="30"/>
  <c r="K74" i="30"/>
  <c r="J74" i="30"/>
  <c r="I74" i="30"/>
  <c r="H74" i="30"/>
  <c r="L73" i="30"/>
  <c r="K73" i="30"/>
  <c r="J73" i="30"/>
  <c r="I73" i="30"/>
  <c r="H73" i="30"/>
  <c r="L72" i="30"/>
  <c r="K72" i="30"/>
  <c r="J72" i="30"/>
  <c r="I72" i="30"/>
  <c r="H72" i="30"/>
  <c r="L71" i="30"/>
  <c r="K71" i="30"/>
  <c r="J71" i="30"/>
  <c r="I71" i="30"/>
  <c r="H71" i="30"/>
  <c r="L70" i="30"/>
  <c r="K70" i="30"/>
  <c r="J70" i="30"/>
  <c r="I70" i="30"/>
  <c r="H70" i="30"/>
  <c r="L69" i="30"/>
  <c r="K69" i="30"/>
  <c r="J69" i="30"/>
  <c r="I69" i="30"/>
  <c r="H69" i="30"/>
  <c r="L68" i="30"/>
  <c r="K68" i="30"/>
  <c r="J68" i="30"/>
  <c r="I68" i="30"/>
  <c r="H68" i="30"/>
  <c r="L67" i="30"/>
  <c r="K67" i="30"/>
  <c r="J67" i="30"/>
  <c r="I67" i="30"/>
  <c r="H67" i="30"/>
  <c r="L66" i="30"/>
  <c r="K66" i="30"/>
  <c r="J66" i="30"/>
  <c r="I66" i="30"/>
  <c r="H66" i="30"/>
  <c r="L65" i="30"/>
  <c r="K65" i="30"/>
  <c r="J65" i="30"/>
  <c r="I65" i="30"/>
  <c r="H65" i="30"/>
  <c r="L64" i="30"/>
  <c r="K64" i="30"/>
  <c r="J64" i="30"/>
  <c r="I64" i="30"/>
  <c r="H64" i="30"/>
  <c r="L63" i="30"/>
  <c r="K63" i="30"/>
  <c r="J63" i="30"/>
  <c r="I63" i="30"/>
  <c r="H63" i="30"/>
  <c r="L62" i="30"/>
  <c r="K62" i="30"/>
  <c r="J62" i="30"/>
  <c r="I62" i="30"/>
  <c r="H62" i="30"/>
  <c r="L61" i="30"/>
  <c r="K61" i="30"/>
  <c r="J61" i="30"/>
  <c r="I61" i="30"/>
  <c r="H61" i="30"/>
  <c r="L60" i="30"/>
  <c r="K60" i="30"/>
  <c r="J60" i="30"/>
  <c r="I60" i="30"/>
  <c r="H60" i="30"/>
  <c r="L59" i="30"/>
  <c r="K59" i="30"/>
  <c r="J59" i="30"/>
  <c r="I59" i="30"/>
  <c r="H59" i="30"/>
  <c r="L58" i="30"/>
  <c r="K58" i="30"/>
  <c r="J58" i="30"/>
  <c r="I58" i="30"/>
  <c r="H58" i="30"/>
  <c r="L57" i="30"/>
  <c r="K57" i="30"/>
  <c r="J57" i="30"/>
  <c r="I57" i="30"/>
  <c r="H57" i="30"/>
  <c r="L56" i="30"/>
  <c r="K56" i="30"/>
  <c r="J56" i="30"/>
  <c r="I56" i="30"/>
  <c r="H56" i="30"/>
  <c r="L55" i="30"/>
  <c r="K55" i="30"/>
  <c r="J55" i="30"/>
  <c r="I55" i="30"/>
  <c r="H55" i="30"/>
  <c r="L54" i="30"/>
  <c r="K54" i="30"/>
  <c r="J54" i="30"/>
  <c r="I54" i="30"/>
  <c r="H54" i="30"/>
  <c r="L53" i="30"/>
  <c r="K53" i="30"/>
  <c r="J53" i="30"/>
  <c r="I53" i="30"/>
  <c r="H53" i="30"/>
  <c r="L52" i="30"/>
  <c r="K52" i="30"/>
  <c r="J52" i="30"/>
  <c r="I52" i="30"/>
  <c r="H52" i="30"/>
  <c r="L51" i="30"/>
  <c r="K51" i="30"/>
  <c r="J51" i="30"/>
  <c r="I51" i="30"/>
  <c r="H51" i="30"/>
  <c r="L50" i="30"/>
  <c r="K50" i="30"/>
  <c r="J50" i="30"/>
  <c r="I50" i="30"/>
  <c r="H50" i="30"/>
  <c r="L49" i="30"/>
  <c r="K49" i="30"/>
  <c r="J49" i="30"/>
  <c r="I49" i="30"/>
  <c r="H49" i="30"/>
  <c r="L48" i="30"/>
  <c r="K48" i="30"/>
  <c r="J48" i="30"/>
  <c r="I48" i="30"/>
  <c r="H48" i="30"/>
  <c r="L47" i="30"/>
  <c r="K47" i="30"/>
  <c r="J47" i="30"/>
  <c r="I47" i="30"/>
  <c r="H47" i="30"/>
  <c r="L46" i="30"/>
  <c r="K46" i="30"/>
  <c r="J46" i="30"/>
  <c r="I46" i="30"/>
  <c r="H46" i="30"/>
  <c r="L45" i="30"/>
  <c r="K45" i="30"/>
  <c r="J45" i="30"/>
  <c r="I45" i="30"/>
  <c r="H45" i="30"/>
  <c r="L44" i="30"/>
  <c r="K44" i="30"/>
  <c r="J44" i="30"/>
  <c r="I44" i="30"/>
  <c r="H44" i="30"/>
  <c r="L43" i="30"/>
  <c r="K43" i="30"/>
  <c r="J43" i="30"/>
  <c r="I43" i="30"/>
  <c r="H43" i="30"/>
  <c r="L42" i="30"/>
  <c r="K42" i="30"/>
  <c r="J42" i="30"/>
  <c r="I42" i="30"/>
  <c r="H42" i="30"/>
  <c r="L41" i="30"/>
  <c r="K41" i="30"/>
  <c r="J41" i="30"/>
  <c r="I41" i="30"/>
  <c r="H41" i="30"/>
  <c r="L40" i="30"/>
  <c r="K40" i="30"/>
  <c r="J40" i="30"/>
  <c r="I40" i="30"/>
  <c r="H40" i="30"/>
  <c r="L39" i="30"/>
  <c r="K39" i="30"/>
  <c r="J39" i="30"/>
  <c r="I39" i="30"/>
  <c r="H39" i="30"/>
  <c r="L38" i="30"/>
  <c r="K38" i="30"/>
  <c r="J38" i="30"/>
  <c r="I38" i="30"/>
  <c r="H38" i="30"/>
  <c r="L37" i="30"/>
  <c r="K37" i="30"/>
  <c r="J37" i="30"/>
  <c r="I37" i="30"/>
  <c r="H37" i="30"/>
  <c r="L36" i="30"/>
  <c r="K36" i="30"/>
  <c r="J36" i="30"/>
  <c r="I36" i="30"/>
  <c r="H36" i="30"/>
  <c r="L35" i="30"/>
  <c r="K35" i="30"/>
  <c r="J35" i="30"/>
  <c r="I35" i="30"/>
  <c r="H35" i="30"/>
  <c r="L34" i="30"/>
  <c r="K34" i="30"/>
  <c r="J34" i="30"/>
  <c r="I34" i="30"/>
  <c r="H34" i="30"/>
  <c r="L33" i="30"/>
  <c r="K33" i="30"/>
  <c r="J33" i="30"/>
  <c r="I33" i="30"/>
  <c r="H33" i="30"/>
  <c r="L32" i="30"/>
  <c r="K32" i="30"/>
  <c r="J32" i="30"/>
  <c r="I32" i="30"/>
  <c r="H32" i="30"/>
  <c r="L31" i="30"/>
  <c r="K31" i="30"/>
  <c r="J31" i="30"/>
  <c r="I31" i="30"/>
  <c r="H31" i="30"/>
  <c r="L30" i="30"/>
  <c r="K30" i="30"/>
  <c r="J30" i="30"/>
  <c r="I30" i="30"/>
  <c r="H30" i="30"/>
  <c r="L29" i="30"/>
  <c r="K29" i="30"/>
  <c r="J29" i="30"/>
  <c r="I29" i="30"/>
  <c r="H29" i="30"/>
  <c r="L28" i="30"/>
  <c r="K28" i="30"/>
  <c r="J28" i="30"/>
  <c r="I28" i="30"/>
  <c r="H28" i="30"/>
  <c r="L27" i="30"/>
  <c r="K27" i="30"/>
  <c r="J27" i="30"/>
  <c r="I27" i="30"/>
  <c r="H27" i="30"/>
  <c r="L26" i="30"/>
  <c r="K26" i="30"/>
  <c r="J26" i="30"/>
  <c r="I26" i="30"/>
  <c r="H26" i="30"/>
  <c r="L25" i="30"/>
  <c r="K25" i="30"/>
  <c r="J25" i="30"/>
  <c r="I25" i="30"/>
  <c r="H25" i="30"/>
  <c r="L24" i="30"/>
  <c r="K24" i="30"/>
  <c r="J24" i="30"/>
  <c r="I24" i="30"/>
  <c r="H24" i="30"/>
  <c r="BC23" i="30"/>
  <c r="BI154" i="30" s="1"/>
  <c r="BA23" i="30"/>
  <c r="BG154" i="30" s="1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L23" i="30"/>
  <c r="K23" i="30"/>
  <c r="J23" i="30"/>
  <c r="I23" i="30"/>
  <c r="H23" i="30"/>
  <c r="BB22" i="30"/>
  <c r="BB154" i="30" s="1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L22" i="30"/>
  <c r="K22" i="30"/>
  <c r="J22" i="30"/>
  <c r="I22" i="30"/>
  <c r="H22" i="30"/>
  <c r="BD21" i="30"/>
  <c r="AX154" i="30" s="1"/>
  <c r="BA21" i="30"/>
  <c r="AU154" i="30" s="1"/>
  <c r="AY21" i="30"/>
  <c r="AX156" i="30" s="1"/>
  <c r="AX21" i="30"/>
  <c r="AW156" i="30" s="1"/>
  <c r="AW21" i="30"/>
  <c r="AV156" i="30" s="1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L21" i="30"/>
  <c r="K21" i="30"/>
  <c r="J21" i="30"/>
  <c r="I21" i="30"/>
  <c r="H21" i="30"/>
  <c r="BB20" i="30"/>
  <c r="AP154" i="30" s="1"/>
  <c r="BA20" i="30"/>
  <c r="AO154" i="30" s="1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AU20" i="30" s="1"/>
  <c r="AN156" i="30" s="1"/>
  <c r="X20" i="30"/>
  <c r="W20" i="30"/>
  <c r="V20" i="30"/>
  <c r="U20" i="30"/>
  <c r="T20" i="30"/>
  <c r="S20" i="30"/>
  <c r="R20" i="30"/>
  <c r="Q20" i="30"/>
  <c r="P20" i="30"/>
  <c r="O20" i="30"/>
  <c r="L20" i="30"/>
  <c r="K20" i="30"/>
  <c r="J20" i="30"/>
  <c r="I20" i="30"/>
  <c r="H20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AX19" i="30" s="1"/>
  <c r="AK156" i="30" s="1"/>
  <c r="R19" i="30"/>
  <c r="Q19" i="30"/>
  <c r="P19" i="30"/>
  <c r="O19" i="30"/>
  <c r="L19" i="30"/>
  <c r="K19" i="30"/>
  <c r="J19" i="30"/>
  <c r="I19" i="30"/>
  <c r="H19" i="30"/>
  <c r="BB18" i="30"/>
  <c r="BH133" i="30" s="1"/>
  <c r="BA18" i="30"/>
  <c r="BG133" i="30" s="1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BD18" i="30" s="1"/>
  <c r="BJ133" i="30" s="1"/>
  <c r="R18" i="30"/>
  <c r="Q18" i="30"/>
  <c r="P18" i="30"/>
  <c r="O18" i="30"/>
  <c r="L18" i="30"/>
  <c r="K18" i="30"/>
  <c r="J18" i="30"/>
  <c r="I18" i="30"/>
  <c r="H18" i="30"/>
  <c r="BB17" i="30"/>
  <c r="BB133" i="30" s="1"/>
  <c r="BA17" i="30"/>
  <c r="BA133" i="30" s="1"/>
  <c r="AX17" i="30"/>
  <c r="BC135" i="30" s="1"/>
  <c r="AW17" i="30"/>
  <c r="BB135" i="30" s="1"/>
  <c r="AU17" i="30"/>
  <c r="AZ135" i="30" s="1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AV17" i="30" s="1"/>
  <c r="BA135" i="30" s="1"/>
  <c r="U17" i="30"/>
  <c r="T17" i="30"/>
  <c r="S17" i="30"/>
  <c r="R17" i="30"/>
  <c r="Q17" i="30"/>
  <c r="P17" i="30"/>
  <c r="AY17" i="30" s="1"/>
  <c r="BD135" i="30" s="1"/>
  <c r="O17" i="30"/>
  <c r="L17" i="30"/>
  <c r="K17" i="30"/>
  <c r="J17" i="30"/>
  <c r="I17" i="30"/>
  <c r="C135" i="30" s="1"/>
  <c r="H17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BD16" i="30" s="1"/>
  <c r="AX133" i="30" s="1"/>
  <c r="O16" i="30"/>
  <c r="L16" i="30"/>
  <c r="K16" i="30"/>
  <c r="J16" i="30"/>
  <c r="I16" i="30"/>
  <c r="H16" i="30"/>
  <c r="BC15" i="30"/>
  <c r="AQ133" i="30" s="1"/>
  <c r="BB15" i="30"/>
  <c r="AP133" i="30" s="1"/>
  <c r="AR15" i="30"/>
  <c r="AQ15" i="30"/>
  <c r="AP15" i="30"/>
  <c r="AO15" i="30"/>
  <c r="AN15" i="30"/>
  <c r="AM15" i="30"/>
  <c r="AL15" i="30"/>
  <c r="AK15" i="30"/>
  <c r="AJ15" i="30"/>
  <c r="AI15" i="30"/>
  <c r="AH15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BD15" i="30" s="1"/>
  <c r="AR133" i="30" s="1"/>
  <c r="R15" i="30"/>
  <c r="Q15" i="30"/>
  <c r="P15" i="30"/>
  <c r="O15" i="30"/>
  <c r="L15" i="30"/>
  <c r="K15" i="30"/>
  <c r="J15" i="30"/>
  <c r="I15" i="30"/>
  <c r="H15" i="30"/>
  <c r="BB14" i="30"/>
  <c r="AJ133" i="30" s="1"/>
  <c r="BA14" i="30"/>
  <c r="AI133" i="30" s="1"/>
  <c r="AZ14" i="30"/>
  <c r="AH133" i="30" s="1"/>
  <c r="AV14" i="30"/>
  <c r="AI135" i="30" s="1"/>
  <c r="AR14" i="30"/>
  <c r="AQ14" i="30"/>
  <c r="AP14" i="30"/>
  <c r="AO14" i="30"/>
  <c r="AN14" i="30"/>
  <c r="AM14" i="30"/>
  <c r="AL14" i="30"/>
  <c r="AK14" i="30"/>
  <c r="AJ14" i="30"/>
  <c r="AI14" i="30"/>
  <c r="AH14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BD14" i="30" s="1"/>
  <c r="AL133" i="30" s="1"/>
  <c r="U14" i="30"/>
  <c r="T14" i="30"/>
  <c r="S14" i="30"/>
  <c r="R14" i="30"/>
  <c r="Q14" i="30"/>
  <c r="P14" i="30"/>
  <c r="O14" i="30"/>
  <c r="L14" i="30"/>
  <c r="K14" i="30"/>
  <c r="J14" i="30"/>
  <c r="I14" i="30"/>
  <c r="K141" i="30" s="1"/>
  <c r="H14" i="30"/>
  <c r="BT2" i="30"/>
  <c r="AK130" i="30" s="1"/>
  <c r="AU158" i="29"/>
  <c r="AK158" i="29"/>
  <c r="N153" i="29"/>
  <c r="BI152" i="29"/>
  <c r="BG152" i="29"/>
  <c r="BC152" i="29"/>
  <c r="BA152" i="29"/>
  <c r="AW152" i="29"/>
  <c r="AU152" i="29"/>
  <c r="AQ152" i="29"/>
  <c r="AO152" i="29"/>
  <c r="AK152" i="29"/>
  <c r="AI152" i="29"/>
  <c r="BI151" i="29"/>
  <c r="BF151" i="29"/>
  <c r="BC151" i="29"/>
  <c r="AZ151" i="29"/>
  <c r="AW151" i="29"/>
  <c r="AT151" i="29"/>
  <c r="AQ151" i="29"/>
  <c r="AN151" i="29"/>
  <c r="AK151" i="29"/>
  <c r="AH151" i="29"/>
  <c r="N151" i="29"/>
  <c r="BJ150" i="29"/>
  <c r="BI150" i="29"/>
  <c r="BH150" i="29"/>
  <c r="BG150" i="29"/>
  <c r="BF150" i="29"/>
  <c r="BD150" i="29"/>
  <c r="BC150" i="29"/>
  <c r="BB150" i="29"/>
  <c r="BA150" i="29"/>
  <c r="AZ150" i="29"/>
  <c r="AX150" i="29"/>
  <c r="AW150" i="29"/>
  <c r="AV150" i="29"/>
  <c r="AU150" i="29"/>
  <c r="AT150" i="29"/>
  <c r="AR150" i="29"/>
  <c r="AQ150" i="29"/>
  <c r="AP150" i="29"/>
  <c r="AO150" i="29"/>
  <c r="AN150" i="29"/>
  <c r="AL150" i="29"/>
  <c r="AK150" i="29"/>
  <c r="AJ150" i="29"/>
  <c r="AI150" i="29"/>
  <c r="AH150" i="29"/>
  <c r="BJ149" i="29"/>
  <c r="BI149" i="29"/>
  <c r="BH149" i="29"/>
  <c r="BG149" i="29"/>
  <c r="BF149" i="29"/>
  <c r="BD149" i="29"/>
  <c r="BC149" i="29"/>
  <c r="BB149" i="29"/>
  <c r="BA149" i="29"/>
  <c r="AZ149" i="29"/>
  <c r="AX149" i="29"/>
  <c r="AW149" i="29"/>
  <c r="AV149" i="29"/>
  <c r="AU149" i="29"/>
  <c r="AT149" i="29"/>
  <c r="AR149" i="29"/>
  <c r="AQ149" i="29"/>
  <c r="AP149" i="29"/>
  <c r="AO149" i="29"/>
  <c r="AN149" i="29"/>
  <c r="AL149" i="29"/>
  <c r="AK149" i="29"/>
  <c r="AJ149" i="29"/>
  <c r="AI149" i="29"/>
  <c r="AH149" i="29"/>
  <c r="AD149" i="29"/>
  <c r="Q149" i="29"/>
  <c r="BJ148" i="29"/>
  <c r="BI148" i="29"/>
  <c r="BH148" i="29"/>
  <c r="BG148" i="29"/>
  <c r="BF148" i="29"/>
  <c r="BD148" i="29"/>
  <c r="BC148" i="29"/>
  <c r="BB148" i="29"/>
  <c r="BA148" i="29"/>
  <c r="AZ148" i="29"/>
  <c r="AX148" i="29"/>
  <c r="AW148" i="29"/>
  <c r="AV148" i="29"/>
  <c r="AU148" i="29"/>
  <c r="AT148" i="29"/>
  <c r="AR148" i="29"/>
  <c r="AQ148" i="29"/>
  <c r="AP148" i="29"/>
  <c r="AO148" i="29"/>
  <c r="AN148" i="29"/>
  <c r="AL148" i="29"/>
  <c r="AK148" i="29"/>
  <c r="AJ148" i="29"/>
  <c r="AI148" i="29"/>
  <c r="AH148" i="29"/>
  <c r="BJ147" i="29"/>
  <c r="BI147" i="29"/>
  <c r="BH147" i="29"/>
  <c r="BG147" i="29"/>
  <c r="BF147" i="29"/>
  <c r="BD147" i="29"/>
  <c r="BC147" i="29"/>
  <c r="BB147" i="29"/>
  <c r="BA147" i="29"/>
  <c r="AZ147" i="29"/>
  <c r="AX147" i="29"/>
  <c r="AW147" i="29"/>
  <c r="AV147" i="29"/>
  <c r="AU147" i="29"/>
  <c r="AT147" i="29"/>
  <c r="AR147" i="29"/>
  <c r="AQ147" i="29"/>
  <c r="AP147" i="29"/>
  <c r="AO147" i="29"/>
  <c r="AN147" i="29"/>
  <c r="AL147" i="29"/>
  <c r="AK147" i="29"/>
  <c r="AJ147" i="29"/>
  <c r="AI147" i="29"/>
  <c r="AH147" i="29"/>
  <c r="BJ146" i="29"/>
  <c r="BI146" i="29"/>
  <c r="BH146" i="29"/>
  <c r="BG146" i="29"/>
  <c r="BF146" i="29"/>
  <c r="BD146" i="29"/>
  <c r="BC146" i="29"/>
  <c r="BB146" i="29"/>
  <c r="BA146" i="29"/>
  <c r="AZ146" i="29"/>
  <c r="AX146" i="29"/>
  <c r="AW146" i="29"/>
  <c r="AV146" i="29"/>
  <c r="AU146" i="29"/>
  <c r="AU151" i="29" s="1"/>
  <c r="AT146" i="29"/>
  <c r="AR146" i="29"/>
  <c r="AQ146" i="29"/>
  <c r="AP146" i="29"/>
  <c r="AO146" i="29"/>
  <c r="AN146" i="29"/>
  <c r="AL146" i="29"/>
  <c r="AK146" i="29"/>
  <c r="AJ146" i="29"/>
  <c r="AI146" i="29"/>
  <c r="AH146" i="29"/>
  <c r="E146" i="29"/>
  <c r="BJ145" i="29"/>
  <c r="BI145" i="29"/>
  <c r="BH145" i="29"/>
  <c r="BG145" i="29"/>
  <c r="BF145" i="29"/>
  <c r="BD145" i="29"/>
  <c r="BC145" i="29"/>
  <c r="BB145" i="29"/>
  <c r="BA145" i="29"/>
  <c r="AZ145" i="29"/>
  <c r="AX145" i="29"/>
  <c r="AW145" i="29"/>
  <c r="AV145" i="29"/>
  <c r="AU145" i="29"/>
  <c r="AT145" i="29"/>
  <c r="AR145" i="29"/>
  <c r="AQ145" i="29"/>
  <c r="AP145" i="29"/>
  <c r="AO145" i="29"/>
  <c r="AN145" i="29"/>
  <c r="AL145" i="29"/>
  <c r="AK145" i="29"/>
  <c r="AJ145" i="29"/>
  <c r="AI145" i="29"/>
  <c r="AH145" i="29"/>
  <c r="BJ144" i="29"/>
  <c r="BI144" i="29"/>
  <c r="BH144" i="29"/>
  <c r="BG144" i="29"/>
  <c r="BF144" i="29"/>
  <c r="BD144" i="29"/>
  <c r="BC144" i="29"/>
  <c r="BB144" i="29"/>
  <c r="BA144" i="29"/>
  <c r="AZ144" i="29"/>
  <c r="AX144" i="29"/>
  <c r="AW144" i="29"/>
  <c r="AV144" i="29"/>
  <c r="AU144" i="29"/>
  <c r="AT144" i="29"/>
  <c r="AR144" i="29"/>
  <c r="AQ144" i="29"/>
  <c r="AP144" i="29"/>
  <c r="AO144" i="29"/>
  <c r="AN144" i="29"/>
  <c r="AL144" i="29"/>
  <c r="AK144" i="29"/>
  <c r="AJ144" i="29"/>
  <c r="AI144" i="29"/>
  <c r="AH144" i="29"/>
  <c r="BJ143" i="29"/>
  <c r="BI143" i="29"/>
  <c r="BH143" i="29"/>
  <c r="BG143" i="29"/>
  <c r="BF143" i="29"/>
  <c r="BD143" i="29"/>
  <c r="BC143" i="29"/>
  <c r="BB143" i="29"/>
  <c r="BA143" i="29"/>
  <c r="BA151" i="29" s="1"/>
  <c r="AZ143" i="29"/>
  <c r="AX143" i="29"/>
  <c r="AW143" i="29"/>
  <c r="AV143" i="29"/>
  <c r="AU143" i="29"/>
  <c r="AT143" i="29"/>
  <c r="AR143" i="29"/>
  <c r="AQ143" i="29"/>
  <c r="AP143" i="29"/>
  <c r="AO143" i="29"/>
  <c r="AN143" i="29"/>
  <c r="AL143" i="29"/>
  <c r="AK143" i="29"/>
  <c r="AJ143" i="29"/>
  <c r="AI143" i="29"/>
  <c r="AH143" i="29"/>
  <c r="BJ142" i="29"/>
  <c r="BI142" i="29"/>
  <c r="BH142" i="29"/>
  <c r="BG142" i="29"/>
  <c r="BF142" i="29"/>
  <c r="BD142" i="29"/>
  <c r="BC142" i="29"/>
  <c r="BB142" i="29"/>
  <c r="BA142" i="29"/>
  <c r="AZ142" i="29"/>
  <c r="AX142" i="29"/>
  <c r="AW142" i="29"/>
  <c r="AV142" i="29"/>
  <c r="AU142" i="29"/>
  <c r="AT142" i="29"/>
  <c r="AR142" i="29"/>
  <c r="AQ142" i="29"/>
  <c r="AP142" i="29"/>
  <c r="AO142" i="29"/>
  <c r="AN142" i="29"/>
  <c r="AL142" i="29"/>
  <c r="AK142" i="29"/>
  <c r="AJ142" i="29"/>
  <c r="AI142" i="29"/>
  <c r="AH142" i="29"/>
  <c r="BJ141" i="29"/>
  <c r="BI141" i="29"/>
  <c r="BH141" i="29"/>
  <c r="BG141" i="29"/>
  <c r="BF141" i="29"/>
  <c r="BD141" i="29"/>
  <c r="BC141" i="29"/>
  <c r="BB141" i="29"/>
  <c r="BA141" i="29"/>
  <c r="AZ141" i="29"/>
  <c r="AX141" i="29"/>
  <c r="AW141" i="29"/>
  <c r="AV141" i="29"/>
  <c r="AU141" i="29"/>
  <c r="AT141" i="29"/>
  <c r="AR141" i="29"/>
  <c r="AQ141" i="29"/>
  <c r="AP141" i="29"/>
  <c r="AO141" i="29"/>
  <c r="AN141" i="29"/>
  <c r="AL141" i="29"/>
  <c r="AK141" i="29"/>
  <c r="AJ141" i="29"/>
  <c r="AI141" i="29"/>
  <c r="AI151" i="29" s="1"/>
  <c r="AH141" i="29"/>
  <c r="BF139" i="29"/>
  <c r="AZ139" i="29"/>
  <c r="AT139" i="29"/>
  <c r="AO139" i="29"/>
  <c r="AN139" i="29"/>
  <c r="AH139" i="29"/>
  <c r="BF138" i="29"/>
  <c r="AZ138" i="29"/>
  <c r="AT138" i="29"/>
  <c r="AO138" i="29"/>
  <c r="AN138" i="29"/>
  <c r="AH138" i="29"/>
  <c r="BH137" i="29"/>
  <c r="BB137" i="29"/>
  <c r="AV137" i="29"/>
  <c r="AP137" i="29"/>
  <c r="AJ137" i="29"/>
  <c r="BI131" i="29"/>
  <c r="BG131" i="29"/>
  <c r="BC131" i="29"/>
  <c r="BA131" i="29"/>
  <c r="AW131" i="29"/>
  <c r="AU131" i="29"/>
  <c r="AQ131" i="29"/>
  <c r="AO131" i="29"/>
  <c r="AK131" i="29"/>
  <c r="AI131" i="29"/>
  <c r="BI130" i="29"/>
  <c r="BF130" i="29"/>
  <c r="BC130" i="29"/>
  <c r="AZ130" i="29"/>
  <c r="AW130" i="29"/>
  <c r="AT130" i="29"/>
  <c r="AQ130" i="29"/>
  <c r="AN130" i="29"/>
  <c r="AH130" i="29"/>
  <c r="BJ129" i="29"/>
  <c r="BI129" i="29"/>
  <c r="BH129" i="29"/>
  <c r="BG129" i="29"/>
  <c r="BF129" i="29"/>
  <c r="BD129" i="29"/>
  <c r="BC129" i="29"/>
  <c r="BB129" i="29"/>
  <c r="BA129" i="29"/>
  <c r="AZ129" i="29"/>
  <c r="AX129" i="29"/>
  <c r="AW129" i="29"/>
  <c r="AV129" i="29"/>
  <c r="AU129" i="29"/>
  <c r="AT129" i="29"/>
  <c r="AR129" i="29"/>
  <c r="AQ129" i="29"/>
  <c r="AP129" i="29"/>
  <c r="AO129" i="29"/>
  <c r="AN129" i="29"/>
  <c r="AL129" i="29"/>
  <c r="AK129" i="29"/>
  <c r="AJ129" i="29"/>
  <c r="AI129" i="29"/>
  <c r="AH129" i="29"/>
  <c r="BJ128" i="29"/>
  <c r="BI128" i="29"/>
  <c r="BH128" i="29"/>
  <c r="BG128" i="29"/>
  <c r="BF128" i="29"/>
  <c r="BD128" i="29"/>
  <c r="BC128" i="29"/>
  <c r="BB128" i="29"/>
  <c r="BA128" i="29"/>
  <c r="AZ128" i="29"/>
  <c r="AX128" i="29"/>
  <c r="AW128" i="29"/>
  <c r="AV128" i="29"/>
  <c r="AU128" i="29"/>
  <c r="AT128" i="29"/>
  <c r="AR128" i="29"/>
  <c r="AQ128" i="29"/>
  <c r="AP128" i="29"/>
  <c r="AO128" i="29"/>
  <c r="AN128" i="29"/>
  <c r="AL128" i="29"/>
  <c r="AK128" i="29"/>
  <c r="AJ128" i="29"/>
  <c r="AI128" i="29"/>
  <c r="AH128" i="29"/>
  <c r="BJ127" i="29"/>
  <c r="BI127" i="29"/>
  <c r="BH127" i="29"/>
  <c r="BG127" i="29"/>
  <c r="BF127" i="29"/>
  <c r="BD127" i="29"/>
  <c r="BC127" i="29"/>
  <c r="BB127" i="29"/>
  <c r="BA127" i="29"/>
  <c r="AZ127" i="29"/>
  <c r="AX127" i="29"/>
  <c r="AW127" i="29"/>
  <c r="AV127" i="29"/>
  <c r="AU127" i="29"/>
  <c r="AT127" i="29"/>
  <c r="AR127" i="29"/>
  <c r="AQ127" i="29"/>
  <c r="AP127" i="29"/>
  <c r="AO127" i="29"/>
  <c r="AN127" i="29"/>
  <c r="AL127" i="29"/>
  <c r="AK127" i="29"/>
  <c r="AJ127" i="29"/>
  <c r="AI127" i="29"/>
  <c r="AH127" i="29"/>
  <c r="BJ126" i="29"/>
  <c r="BI126" i="29"/>
  <c r="BH126" i="29"/>
  <c r="BG126" i="29"/>
  <c r="BF126" i="29"/>
  <c r="BD126" i="29"/>
  <c r="BC126" i="29"/>
  <c r="BB126" i="29"/>
  <c r="BA126" i="29"/>
  <c r="AZ126" i="29"/>
  <c r="AX126" i="29"/>
  <c r="AW126" i="29"/>
  <c r="AV126" i="29"/>
  <c r="AU126" i="29"/>
  <c r="AT126" i="29"/>
  <c r="AR126" i="29"/>
  <c r="AQ126" i="29"/>
  <c r="AP126" i="29"/>
  <c r="AO126" i="29"/>
  <c r="AN126" i="29"/>
  <c r="AL126" i="29"/>
  <c r="AK126" i="29"/>
  <c r="AJ126" i="29"/>
  <c r="AI126" i="29"/>
  <c r="AH126" i="29"/>
  <c r="BJ125" i="29"/>
  <c r="BI125" i="29"/>
  <c r="BH125" i="29"/>
  <c r="BG125" i="29"/>
  <c r="BF125" i="29"/>
  <c r="BD125" i="29"/>
  <c r="BC125" i="29"/>
  <c r="BB125" i="29"/>
  <c r="BA130" i="29" s="1"/>
  <c r="BA125" i="29"/>
  <c r="AZ125" i="29"/>
  <c r="AX125" i="29"/>
  <c r="AW125" i="29"/>
  <c r="AV125" i="29"/>
  <c r="AU125" i="29"/>
  <c r="AT125" i="29"/>
  <c r="AR125" i="29"/>
  <c r="AQ125" i="29"/>
  <c r="AP125" i="29"/>
  <c r="AO125" i="29"/>
  <c r="AN125" i="29"/>
  <c r="AL125" i="29"/>
  <c r="AK125" i="29"/>
  <c r="AJ125" i="29"/>
  <c r="AI125" i="29"/>
  <c r="AH125" i="29"/>
  <c r="BJ124" i="29"/>
  <c r="BI124" i="29"/>
  <c r="BH124" i="29"/>
  <c r="BG124" i="29"/>
  <c r="BF124" i="29"/>
  <c r="BD124" i="29"/>
  <c r="BC124" i="29"/>
  <c r="BB124" i="29"/>
  <c r="BA124" i="29"/>
  <c r="AZ124" i="29"/>
  <c r="AX124" i="29"/>
  <c r="AW124" i="29"/>
  <c r="AV124" i="29"/>
  <c r="AU124" i="29"/>
  <c r="AT124" i="29"/>
  <c r="AR124" i="29"/>
  <c r="AQ124" i="29"/>
  <c r="AP124" i="29"/>
  <c r="AO124" i="29"/>
  <c r="AN124" i="29"/>
  <c r="AL124" i="29"/>
  <c r="AK124" i="29"/>
  <c r="AJ124" i="29"/>
  <c r="AI124" i="29"/>
  <c r="AH124" i="29"/>
  <c r="BJ123" i="29"/>
  <c r="BI123" i="29"/>
  <c r="BH123" i="29"/>
  <c r="BG123" i="29"/>
  <c r="BF123" i="29"/>
  <c r="BD123" i="29"/>
  <c r="BC123" i="29"/>
  <c r="BB123" i="29"/>
  <c r="BA123" i="29"/>
  <c r="AZ123" i="29"/>
  <c r="AX123" i="29"/>
  <c r="AW123" i="29"/>
  <c r="AV123" i="29"/>
  <c r="AU123" i="29"/>
  <c r="AT123" i="29"/>
  <c r="AR123" i="29"/>
  <c r="AQ123" i="29"/>
  <c r="AP123" i="29"/>
  <c r="AO123" i="29"/>
  <c r="AN123" i="29"/>
  <c r="AL123" i="29"/>
  <c r="AK123" i="29"/>
  <c r="AJ123" i="29"/>
  <c r="AI123" i="29"/>
  <c r="AH123" i="29"/>
  <c r="BJ122" i="29"/>
  <c r="BI122" i="29"/>
  <c r="BH122" i="29"/>
  <c r="BG122" i="29"/>
  <c r="BF122" i="29"/>
  <c r="BD122" i="29"/>
  <c r="BC122" i="29"/>
  <c r="BB122" i="29"/>
  <c r="BA122" i="29"/>
  <c r="AZ122" i="29"/>
  <c r="AX122" i="29"/>
  <c r="AW122" i="29"/>
  <c r="AV122" i="29"/>
  <c r="AU130" i="29" s="1"/>
  <c r="AU122" i="29"/>
  <c r="AT122" i="29"/>
  <c r="AR122" i="29"/>
  <c r="AQ122" i="29"/>
  <c r="AP122" i="29"/>
  <c r="AO122" i="29"/>
  <c r="AN122" i="29"/>
  <c r="AL122" i="29"/>
  <c r="AK122" i="29"/>
  <c r="AJ122" i="29"/>
  <c r="AI122" i="29"/>
  <c r="AH122" i="29"/>
  <c r="BJ121" i="29"/>
  <c r="BI121" i="29"/>
  <c r="BH121" i="29"/>
  <c r="BG121" i="29"/>
  <c r="BF121" i="29"/>
  <c r="BD121" i="29"/>
  <c r="BC121" i="29"/>
  <c r="BB121" i="29"/>
  <c r="BA121" i="29"/>
  <c r="AZ121" i="29"/>
  <c r="AX121" i="29"/>
  <c r="AW121" i="29"/>
  <c r="AV121" i="29"/>
  <c r="AU121" i="29"/>
  <c r="AT121" i="29"/>
  <c r="AR121" i="29"/>
  <c r="AQ121" i="29"/>
  <c r="AP121" i="29"/>
  <c r="AO121" i="29"/>
  <c r="AN121" i="29"/>
  <c r="AL121" i="29"/>
  <c r="AK121" i="29"/>
  <c r="AJ121" i="29"/>
  <c r="AI121" i="29"/>
  <c r="AH121" i="29"/>
  <c r="BJ120" i="29"/>
  <c r="BI120" i="29"/>
  <c r="BH120" i="29"/>
  <c r="BG120" i="29"/>
  <c r="BF120" i="29"/>
  <c r="BD120" i="29"/>
  <c r="BC120" i="29"/>
  <c r="BB120" i="29"/>
  <c r="BA120" i="29"/>
  <c r="AZ120" i="29"/>
  <c r="AX120" i="29"/>
  <c r="AW120" i="29"/>
  <c r="AV120" i="29"/>
  <c r="AU120" i="29"/>
  <c r="AT120" i="29"/>
  <c r="AR120" i="29"/>
  <c r="AQ120" i="29"/>
  <c r="AP120" i="29"/>
  <c r="AO120" i="29"/>
  <c r="AN120" i="29"/>
  <c r="AL120" i="29"/>
  <c r="AK120" i="29"/>
  <c r="AJ120" i="29"/>
  <c r="AI120" i="29"/>
  <c r="AH120" i="29"/>
  <c r="BF118" i="29"/>
  <c r="AZ118" i="29"/>
  <c r="AT118" i="29"/>
  <c r="AN118" i="29"/>
  <c r="AH118" i="29"/>
  <c r="BF117" i="29"/>
  <c r="AZ117" i="29"/>
  <c r="AT117" i="29"/>
  <c r="AN117" i="29"/>
  <c r="AH117" i="29"/>
  <c r="BH116" i="29"/>
  <c r="BB116" i="29"/>
  <c r="AV116" i="29"/>
  <c r="AP116" i="29"/>
  <c r="AJ116" i="29"/>
  <c r="L113" i="29"/>
  <c r="K113" i="29"/>
  <c r="J113" i="29"/>
  <c r="I113" i="29"/>
  <c r="H113" i="29"/>
  <c r="L112" i="29"/>
  <c r="K112" i="29"/>
  <c r="J112" i="29"/>
  <c r="I112" i="29"/>
  <c r="H112" i="29"/>
  <c r="L111" i="29"/>
  <c r="K111" i="29"/>
  <c r="J111" i="29"/>
  <c r="I111" i="29"/>
  <c r="H111" i="29"/>
  <c r="L110" i="29"/>
  <c r="K110" i="29"/>
  <c r="J110" i="29"/>
  <c r="I110" i="29"/>
  <c r="H110" i="29"/>
  <c r="L109" i="29"/>
  <c r="K109" i="29"/>
  <c r="J109" i="29"/>
  <c r="I109" i="29"/>
  <c r="H109" i="29"/>
  <c r="L108" i="29"/>
  <c r="K108" i="29"/>
  <c r="J108" i="29"/>
  <c r="I108" i="29"/>
  <c r="H108" i="29"/>
  <c r="L107" i="29"/>
  <c r="K107" i="29"/>
  <c r="J107" i="29"/>
  <c r="I107" i="29"/>
  <c r="H107" i="29"/>
  <c r="L106" i="29"/>
  <c r="K106" i="29"/>
  <c r="J106" i="29"/>
  <c r="I106" i="29"/>
  <c r="H106" i="29"/>
  <c r="L105" i="29"/>
  <c r="K105" i="29"/>
  <c r="J105" i="29"/>
  <c r="I105" i="29"/>
  <c r="H105" i="29"/>
  <c r="L104" i="29"/>
  <c r="K104" i="29"/>
  <c r="J104" i="29"/>
  <c r="I104" i="29"/>
  <c r="H104" i="29"/>
  <c r="L103" i="29"/>
  <c r="K103" i="29"/>
  <c r="J103" i="29"/>
  <c r="I103" i="29"/>
  <c r="H103" i="29"/>
  <c r="L102" i="29"/>
  <c r="K102" i="29"/>
  <c r="J102" i="29"/>
  <c r="I102" i="29"/>
  <c r="H102" i="29"/>
  <c r="L101" i="29"/>
  <c r="K101" i="29"/>
  <c r="J101" i="29"/>
  <c r="I101" i="29"/>
  <c r="H101" i="29"/>
  <c r="L100" i="29"/>
  <c r="K100" i="29"/>
  <c r="J100" i="29"/>
  <c r="I100" i="29"/>
  <c r="H100" i="29"/>
  <c r="L99" i="29"/>
  <c r="K99" i="29"/>
  <c r="J99" i="29"/>
  <c r="I99" i="29"/>
  <c r="H99" i="29"/>
  <c r="L98" i="29"/>
  <c r="K98" i="29"/>
  <c r="J98" i="29"/>
  <c r="I98" i="29"/>
  <c r="H98" i="29"/>
  <c r="L97" i="29"/>
  <c r="K97" i="29"/>
  <c r="J97" i="29"/>
  <c r="I97" i="29"/>
  <c r="H97" i="29"/>
  <c r="L96" i="29"/>
  <c r="K96" i="29"/>
  <c r="J96" i="29"/>
  <c r="I96" i="29"/>
  <c r="H96" i="29"/>
  <c r="L95" i="29"/>
  <c r="K95" i="29"/>
  <c r="J95" i="29"/>
  <c r="I95" i="29"/>
  <c r="H95" i="29"/>
  <c r="L94" i="29"/>
  <c r="K94" i="29"/>
  <c r="J94" i="29"/>
  <c r="I94" i="29"/>
  <c r="H94" i="29"/>
  <c r="L93" i="29"/>
  <c r="K93" i="29"/>
  <c r="J93" i="29"/>
  <c r="I93" i="29"/>
  <c r="H93" i="29"/>
  <c r="L92" i="29"/>
  <c r="K92" i="29"/>
  <c r="J92" i="29"/>
  <c r="I92" i="29"/>
  <c r="H92" i="29"/>
  <c r="L91" i="29"/>
  <c r="K91" i="29"/>
  <c r="J91" i="29"/>
  <c r="I91" i="29"/>
  <c r="H91" i="29"/>
  <c r="L90" i="29"/>
  <c r="K90" i="29"/>
  <c r="J90" i="29"/>
  <c r="I90" i="29"/>
  <c r="H90" i="29"/>
  <c r="L89" i="29"/>
  <c r="K89" i="29"/>
  <c r="J89" i="29"/>
  <c r="I89" i="29"/>
  <c r="H89" i="29"/>
  <c r="L88" i="29"/>
  <c r="K88" i="29"/>
  <c r="J88" i="29"/>
  <c r="I88" i="29"/>
  <c r="H88" i="29"/>
  <c r="L87" i="29"/>
  <c r="K87" i="29"/>
  <c r="J87" i="29"/>
  <c r="I87" i="29"/>
  <c r="H87" i="29"/>
  <c r="L86" i="29"/>
  <c r="K86" i="29"/>
  <c r="J86" i="29"/>
  <c r="I86" i="29"/>
  <c r="H86" i="29"/>
  <c r="L85" i="29"/>
  <c r="K85" i="29"/>
  <c r="J85" i="29"/>
  <c r="I85" i="29"/>
  <c r="H85" i="29"/>
  <c r="L84" i="29"/>
  <c r="K84" i="29"/>
  <c r="J84" i="29"/>
  <c r="I84" i="29"/>
  <c r="H84" i="29"/>
  <c r="L83" i="29"/>
  <c r="K83" i="29"/>
  <c r="J83" i="29"/>
  <c r="I83" i="29"/>
  <c r="H83" i="29"/>
  <c r="L82" i="29"/>
  <c r="K82" i="29"/>
  <c r="J82" i="29"/>
  <c r="I82" i="29"/>
  <c r="H82" i="29"/>
  <c r="L81" i="29"/>
  <c r="K81" i="29"/>
  <c r="J81" i="29"/>
  <c r="I81" i="29"/>
  <c r="H81" i="29"/>
  <c r="L80" i="29"/>
  <c r="K80" i="29"/>
  <c r="J80" i="29"/>
  <c r="I80" i="29"/>
  <c r="H80" i="29"/>
  <c r="L79" i="29"/>
  <c r="K79" i="29"/>
  <c r="J79" i="29"/>
  <c r="I79" i="29"/>
  <c r="H79" i="29"/>
  <c r="L78" i="29"/>
  <c r="K78" i="29"/>
  <c r="J78" i="29"/>
  <c r="I78" i="29"/>
  <c r="H78" i="29"/>
  <c r="L77" i="29"/>
  <c r="K77" i="29"/>
  <c r="J77" i="29"/>
  <c r="I77" i="29"/>
  <c r="H77" i="29"/>
  <c r="L76" i="29"/>
  <c r="K76" i="29"/>
  <c r="J76" i="29"/>
  <c r="I76" i="29"/>
  <c r="H76" i="29"/>
  <c r="L75" i="29"/>
  <c r="K75" i="29"/>
  <c r="J75" i="29"/>
  <c r="I75" i="29"/>
  <c r="H75" i="29"/>
  <c r="L74" i="29"/>
  <c r="K74" i="29"/>
  <c r="J74" i="29"/>
  <c r="I74" i="29"/>
  <c r="H74" i="29"/>
  <c r="L73" i="29"/>
  <c r="K73" i="29"/>
  <c r="J73" i="29"/>
  <c r="I73" i="29"/>
  <c r="H73" i="29"/>
  <c r="L72" i="29"/>
  <c r="K72" i="29"/>
  <c r="J72" i="29"/>
  <c r="I72" i="29"/>
  <c r="H72" i="29"/>
  <c r="L71" i="29"/>
  <c r="K71" i="29"/>
  <c r="J71" i="29"/>
  <c r="I71" i="29"/>
  <c r="H71" i="29"/>
  <c r="L70" i="29"/>
  <c r="K70" i="29"/>
  <c r="J70" i="29"/>
  <c r="I70" i="29"/>
  <c r="H70" i="29"/>
  <c r="L69" i="29"/>
  <c r="K69" i="29"/>
  <c r="J69" i="29"/>
  <c r="I69" i="29"/>
  <c r="H69" i="29"/>
  <c r="L68" i="29"/>
  <c r="K68" i="29"/>
  <c r="J68" i="29"/>
  <c r="I68" i="29"/>
  <c r="H68" i="29"/>
  <c r="L67" i="29"/>
  <c r="K67" i="29"/>
  <c r="J67" i="29"/>
  <c r="I67" i="29"/>
  <c r="H67" i="29"/>
  <c r="L66" i="29"/>
  <c r="K66" i="29"/>
  <c r="J66" i="29"/>
  <c r="I66" i="29"/>
  <c r="H66" i="29"/>
  <c r="L65" i="29"/>
  <c r="K65" i="29"/>
  <c r="J65" i="29"/>
  <c r="I65" i="29"/>
  <c r="H65" i="29"/>
  <c r="L64" i="29"/>
  <c r="K64" i="29"/>
  <c r="J64" i="29"/>
  <c r="I64" i="29"/>
  <c r="H64" i="29"/>
  <c r="L63" i="29"/>
  <c r="K63" i="29"/>
  <c r="J63" i="29"/>
  <c r="I63" i="29"/>
  <c r="H63" i="29"/>
  <c r="L62" i="29"/>
  <c r="K62" i="29"/>
  <c r="J62" i="29"/>
  <c r="I62" i="29"/>
  <c r="H62" i="29"/>
  <c r="L61" i="29"/>
  <c r="K61" i="29"/>
  <c r="J61" i="29"/>
  <c r="I61" i="29"/>
  <c r="H61" i="29"/>
  <c r="L60" i="29"/>
  <c r="K60" i="29"/>
  <c r="J60" i="29"/>
  <c r="I60" i="29"/>
  <c r="H60" i="29"/>
  <c r="L59" i="29"/>
  <c r="K59" i="29"/>
  <c r="J59" i="29"/>
  <c r="I59" i="29"/>
  <c r="H59" i="29"/>
  <c r="L58" i="29"/>
  <c r="K58" i="29"/>
  <c r="J58" i="29"/>
  <c r="I58" i="29"/>
  <c r="H58" i="29"/>
  <c r="L57" i="29"/>
  <c r="K57" i="29"/>
  <c r="J57" i="29"/>
  <c r="I57" i="29"/>
  <c r="H57" i="29"/>
  <c r="L56" i="29"/>
  <c r="K56" i="29"/>
  <c r="J56" i="29"/>
  <c r="I56" i="29"/>
  <c r="H56" i="29"/>
  <c r="L55" i="29"/>
  <c r="K55" i="29"/>
  <c r="J55" i="29"/>
  <c r="I55" i="29"/>
  <c r="H55" i="29"/>
  <c r="L54" i="29"/>
  <c r="K54" i="29"/>
  <c r="J54" i="29"/>
  <c r="I54" i="29"/>
  <c r="H54" i="29"/>
  <c r="L53" i="29"/>
  <c r="K53" i="29"/>
  <c r="J53" i="29"/>
  <c r="I53" i="29"/>
  <c r="H53" i="29"/>
  <c r="L52" i="29"/>
  <c r="K52" i="29"/>
  <c r="J52" i="29"/>
  <c r="I52" i="29"/>
  <c r="H52" i="29"/>
  <c r="L51" i="29"/>
  <c r="K51" i="29"/>
  <c r="J51" i="29"/>
  <c r="I51" i="29"/>
  <c r="H51" i="29"/>
  <c r="L50" i="29"/>
  <c r="K50" i="29"/>
  <c r="J50" i="29"/>
  <c r="I50" i="29"/>
  <c r="H50" i="29"/>
  <c r="L49" i="29"/>
  <c r="K49" i="29"/>
  <c r="J49" i="29"/>
  <c r="I49" i="29"/>
  <c r="H49" i="29"/>
  <c r="L48" i="29"/>
  <c r="K48" i="29"/>
  <c r="J48" i="29"/>
  <c r="I48" i="29"/>
  <c r="H48" i="29"/>
  <c r="L47" i="29"/>
  <c r="K47" i="29"/>
  <c r="J47" i="29"/>
  <c r="I47" i="29"/>
  <c r="H47" i="29"/>
  <c r="L46" i="29"/>
  <c r="K46" i="29"/>
  <c r="J46" i="29"/>
  <c r="I46" i="29"/>
  <c r="H46" i="29"/>
  <c r="L45" i="29"/>
  <c r="K45" i="29"/>
  <c r="J45" i="29"/>
  <c r="I45" i="29"/>
  <c r="H45" i="29"/>
  <c r="L44" i="29"/>
  <c r="K44" i="29"/>
  <c r="J44" i="29"/>
  <c r="I44" i="29"/>
  <c r="H44" i="29"/>
  <c r="L43" i="29"/>
  <c r="K43" i="29"/>
  <c r="J43" i="29"/>
  <c r="I43" i="29"/>
  <c r="H43" i="29"/>
  <c r="L42" i="29"/>
  <c r="K42" i="29"/>
  <c r="J42" i="29"/>
  <c r="I42" i="29"/>
  <c r="H42" i="29"/>
  <c r="L41" i="29"/>
  <c r="K41" i="29"/>
  <c r="J41" i="29"/>
  <c r="I41" i="29"/>
  <c r="H41" i="29"/>
  <c r="L40" i="29"/>
  <c r="K40" i="29"/>
  <c r="J40" i="29"/>
  <c r="I40" i="29"/>
  <c r="H40" i="29"/>
  <c r="L39" i="29"/>
  <c r="K39" i="29"/>
  <c r="J39" i="29"/>
  <c r="I39" i="29"/>
  <c r="H39" i="29"/>
  <c r="L38" i="29"/>
  <c r="K38" i="29"/>
  <c r="J38" i="29"/>
  <c r="I38" i="29"/>
  <c r="H38" i="29"/>
  <c r="L37" i="29"/>
  <c r="K37" i="29"/>
  <c r="J37" i="29"/>
  <c r="I37" i="29"/>
  <c r="H37" i="29"/>
  <c r="L36" i="29"/>
  <c r="K36" i="29"/>
  <c r="J36" i="29"/>
  <c r="I36" i="29"/>
  <c r="H36" i="29"/>
  <c r="L35" i="29"/>
  <c r="K35" i="29"/>
  <c r="J35" i="29"/>
  <c r="I35" i="29"/>
  <c r="H35" i="29"/>
  <c r="L34" i="29"/>
  <c r="K34" i="29"/>
  <c r="J34" i="29"/>
  <c r="I34" i="29"/>
  <c r="H34" i="29"/>
  <c r="L33" i="29"/>
  <c r="K33" i="29"/>
  <c r="J33" i="29"/>
  <c r="I33" i="29"/>
  <c r="H33" i="29"/>
  <c r="L32" i="29"/>
  <c r="K32" i="29"/>
  <c r="J32" i="29"/>
  <c r="I32" i="29"/>
  <c r="H32" i="29"/>
  <c r="L31" i="29"/>
  <c r="K31" i="29"/>
  <c r="J31" i="29"/>
  <c r="I31" i="29"/>
  <c r="H31" i="29"/>
  <c r="L30" i="29"/>
  <c r="K30" i="29"/>
  <c r="J30" i="29"/>
  <c r="I30" i="29"/>
  <c r="H30" i="29"/>
  <c r="L29" i="29"/>
  <c r="K29" i="29"/>
  <c r="J29" i="29"/>
  <c r="I29" i="29"/>
  <c r="H29" i="29"/>
  <c r="L28" i="29"/>
  <c r="K28" i="29"/>
  <c r="J28" i="29"/>
  <c r="I28" i="29"/>
  <c r="H28" i="29"/>
  <c r="L27" i="29"/>
  <c r="K27" i="29"/>
  <c r="J27" i="29"/>
  <c r="I27" i="29"/>
  <c r="H27" i="29"/>
  <c r="L26" i="29"/>
  <c r="K26" i="29"/>
  <c r="J26" i="29"/>
  <c r="I26" i="29"/>
  <c r="H26" i="29"/>
  <c r="L25" i="29"/>
  <c r="K25" i="29"/>
  <c r="J25" i="29"/>
  <c r="I25" i="29"/>
  <c r="H25" i="29"/>
  <c r="L24" i="29"/>
  <c r="K24" i="29"/>
  <c r="J24" i="29"/>
  <c r="I24" i="29"/>
  <c r="H24" i="29"/>
  <c r="AY23" i="29"/>
  <c r="BJ156" i="29" s="1"/>
  <c r="AX23" i="29"/>
  <c r="BI156" i="29" s="1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AW23" i="29" s="1"/>
  <c r="BH156" i="29" s="1"/>
  <c r="R23" i="29"/>
  <c r="Q23" i="29"/>
  <c r="P23" i="29"/>
  <c r="O23" i="29"/>
  <c r="L23" i="29"/>
  <c r="K23" i="29"/>
  <c r="J23" i="29"/>
  <c r="I23" i="29"/>
  <c r="H23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AY22" i="29" s="1"/>
  <c r="BD156" i="29" s="1"/>
  <c r="R22" i="29"/>
  <c r="Q22" i="29"/>
  <c r="P22" i="29"/>
  <c r="O22" i="29"/>
  <c r="L22" i="29"/>
  <c r="K22" i="29"/>
  <c r="J22" i="29"/>
  <c r="I22" i="29"/>
  <c r="H22" i="29"/>
  <c r="AZ21" i="29"/>
  <c r="AT154" i="29" s="1"/>
  <c r="AY21" i="29"/>
  <c r="AX156" i="29" s="1"/>
  <c r="AX21" i="29"/>
  <c r="AW156" i="29" s="1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AW21" i="29" s="1"/>
  <c r="AV156" i="29" s="1"/>
  <c r="R21" i="29"/>
  <c r="Q21" i="29"/>
  <c r="P21" i="29"/>
  <c r="O21" i="29"/>
  <c r="L21" i="29"/>
  <c r="K21" i="29"/>
  <c r="J21" i="29"/>
  <c r="I21" i="29"/>
  <c r="E140" i="29" s="1"/>
  <c r="H21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L20" i="29"/>
  <c r="K20" i="29"/>
  <c r="J20" i="29"/>
  <c r="I20" i="29"/>
  <c r="H20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AX19" i="29" s="1"/>
  <c r="AK156" i="29" s="1"/>
  <c r="U19" i="29"/>
  <c r="T19" i="29"/>
  <c r="S19" i="29"/>
  <c r="R19" i="29"/>
  <c r="Q19" i="29"/>
  <c r="P19" i="29"/>
  <c r="O19" i="29"/>
  <c r="L19" i="29"/>
  <c r="K19" i="29"/>
  <c r="J19" i="29"/>
  <c r="I19" i="29"/>
  <c r="K141" i="29" s="1"/>
  <c r="H19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AY18" i="29" s="1"/>
  <c r="BJ135" i="29" s="1"/>
  <c r="R18" i="29"/>
  <c r="Q18" i="29"/>
  <c r="P18" i="29"/>
  <c r="O18" i="29"/>
  <c r="L18" i="29"/>
  <c r="K18" i="29"/>
  <c r="J18" i="29"/>
  <c r="I18" i="29"/>
  <c r="H18" i="29"/>
  <c r="BB17" i="29"/>
  <c r="BB133" i="29" s="1"/>
  <c r="AZ17" i="29"/>
  <c r="AZ133" i="29" s="1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L17" i="29"/>
  <c r="K17" i="29"/>
  <c r="J17" i="29"/>
  <c r="I17" i="29"/>
  <c r="H17" i="29"/>
  <c r="BC16" i="29"/>
  <c r="AW133" i="29" s="1"/>
  <c r="BB16" i="29"/>
  <c r="AV133" i="29" s="1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BD16" i="29" s="1"/>
  <c r="AX133" i="29" s="1"/>
  <c r="R16" i="29"/>
  <c r="Q16" i="29"/>
  <c r="P16" i="29"/>
  <c r="O16" i="29"/>
  <c r="L16" i="29"/>
  <c r="K16" i="29"/>
  <c r="J16" i="29"/>
  <c r="I16" i="29"/>
  <c r="H16" i="29"/>
  <c r="AR15" i="29"/>
  <c r="AQ15" i="29"/>
  <c r="AP15" i="29"/>
  <c r="AO15" i="29"/>
  <c r="AN15" i="29"/>
  <c r="AM15" i="29"/>
  <c r="AL15" i="29"/>
  <c r="AK15" i="29"/>
  <c r="AJ15" i="29"/>
  <c r="AI15" i="29"/>
  <c r="AH15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BD15" i="29" s="1"/>
  <c r="AR133" i="29" s="1"/>
  <c r="O15" i="29"/>
  <c r="L15" i="29"/>
  <c r="K15" i="29"/>
  <c r="J15" i="29"/>
  <c r="I15" i="29"/>
  <c r="H15" i="29"/>
  <c r="AU14" i="29"/>
  <c r="AH135" i="29" s="1"/>
  <c r="AR14" i="29"/>
  <c r="AQ14" i="29"/>
  <c r="AP14" i="29"/>
  <c r="AO14" i="29"/>
  <c r="AN14" i="29"/>
  <c r="AM14" i="29"/>
  <c r="AL14" i="29"/>
  <c r="AK14" i="29"/>
  <c r="AJ14" i="29"/>
  <c r="AI14" i="29"/>
  <c r="AH14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AY14" i="29" s="1"/>
  <c r="AL135" i="29" s="1"/>
  <c r="R14" i="29"/>
  <c r="Q14" i="29"/>
  <c r="P14" i="29"/>
  <c r="O14" i="29"/>
  <c r="L14" i="29"/>
  <c r="K14" i="29"/>
  <c r="J14" i="29"/>
  <c r="I14" i="29"/>
  <c r="H14" i="29"/>
  <c r="BT2" i="29"/>
  <c r="AK130" i="29" s="1"/>
  <c r="AU158" i="25"/>
  <c r="AK158" i="25"/>
  <c r="AJ156" i="25"/>
  <c r="BI152" i="25"/>
  <c r="BG152" i="25"/>
  <c r="BC152" i="25"/>
  <c r="BA152" i="25"/>
  <c r="AW152" i="25"/>
  <c r="AU152" i="25"/>
  <c r="AQ152" i="25"/>
  <c r="AO152" i="25"/>
  <c r="AK152" i="25"/>
  <c r="AI152" i="25"/>
  <c r="BI151" i="25"/>
  <c r="BF151" i="25"/>
  <c r="BC151" i="25"/>
  <c r="AZ151" i="25"/>
  <c r="AW151" i="25"/>
  <c r="AU151" i="25"/>
  <c r="AT151" i="25"/>
  <c r="AQ151" i="25"/>
  <c r="AN151" i="25"/>
  <c r="AK151" i="25"/>
  <c r="AH151" i="25"/>
  <c r="BJ150" i="25"/>
  <c r="BI150" i="25"/>
  <c r="BH150" i="25"/>
  <c r="BG150" i="25"/>
  <c r="BF150" i="25"/>
  <c r="BD150" i="25"/>
  <c r="BC150" i="25"/>
  <c r="BB150" i="25"/>
  <c r="BA150" i="25"/>
  <c r="AZ150" i="25"/>
  <c r="AX150" i="25"/>
  <c r="AW150" i="25"/>
  <c r="AV150" i="25"/>
  <c r="AU150" i="25"/>
  <c r="AT150" i="25"/>
  <c r="AR150" i="25"/>
  <c r="AQ150" i="25"/>
  <c r="AP150" i="25"/>
  <c r="AO150" i="25"/>
  <c r="AN150" i="25"/>
  <c r="AL150" i="25"/>
  <c r="AK150" i="25"/>
  <c r="AJ150" i="25"/>
  <c r="AI150" i="25"/>
  <c r="AH150" i="25"/>
  <c r="BJ149" i="25"/>
  <c r="BI149" i="25"/>
  <c r="BH149" i="25"/>
  <c r="BG149" i="25"/>
  <c r="BF149" i="25"/>
  <c r="BD149" i="25"/>
  <c r="BC149" i="25"/>
  <c r="BB149" i="25"/>
  <c r="BA149" i="25"/>
  <c r="AZ149" i="25"/>
  <c r="AX149" i="25"/>
  <c r="AW149" i="25"/>
  <c r="AV149" i="25"/>
  <c r="AU149" i="25"/>
  <c r="AT149" i="25"/>
  <c r="AR149" i="25"/>
  <c r="AQ149" i="25"/>
  <c r="AP149" i="25"/>
  <c r="AO149" i="25"/>
  <c r="AN149" i="25"/>
  <c r="AL149" i="25"/>
  <c r="AK149" i="25"/>
  <c r="AJ149" i="25"/>
  <c r="AI149" i="25"/>
  <c r="AH149" i="25"/>
  <c r="AD149" i="25"/>
  <c r="BJ148" i="25"/>
  <c r="BI148" i="25"/>
  <c r="BH148" i="25"/>
  <c r="BG148" i="25"/>
  <c r="BF148" i="25"/>
  <c r="BD148" i="25"/>
  <c r="BC148" i="25"/>
  <c r="BB148" i="25"/>
  <c r="BA148" i="25"/>
  <c r="AZ148" i="25"/>
  <c r="AX148" i="25"/>
  <c r="AW148" i="25"/>
  <c r="AV148" i="25"/>
  <c r="AU148" i="25"/>
  <c r="AT148" i="25"/>
  <c r="AR148" i="25"/>
  <c r="AQ148" i="25"/>
  <c r="AP148" i="25"/>
  <c r="AO148" i="25"/>
  <c r="AN148" i="25"/>
  <c r="AL148" i="25"/>
  <c r="AK148" i="25"/>
  <c r="AJ148" i="25"/>
  <c r="AI148" i="25"/>
  <c r="AH148" i="25"/>
  <c r="BJ147" i="25"/>
  <c r="BI147" i="25"/>
  <c r="BH147" i="25"/>
  <c r="BG147" i="25"/>
  <c r="BF147" i="25"/>
  <c r="BD147" i="25"/>
  <c r="BC147" i="25"/>
  <c r="BB147" i="25"/>
  <c r="BA147" i="25"/>
  <c r="AZ147" i="25"/>
  <c r="AX147" i="25"/>
  <c r="AW147" i="25"/>
  <c r="AV147" i="25"/>
  <c r="AU147" i="25"/>
  <c r="AT147" i="25"/>
  <c r="AR147" i="25"/>
  <c r="AQ147" i="25"/>
  <c r="AP147" i="25"/>
  <c r="AO147" i="25"/>
  <c r="AN147" i="25"/>
  <c r="AL147" i="25"/>
  <c r="AK147" i="25"/>
  <c r="AJ147" i="25"/>
  <c r="AI147" i="25"/>
  <c r="AH147" i="25"/>
  <c r="BJ146" i="25"/>
  <c r="BI146" i="25"/>
  <c r="BH146" i="25"/>
  <c r="BG146" i="25"/>
  <c r="BF146" i="25"/>
  <c r="BD146" i="25"/>
  <c r="BC146" i="25"/>
  <c r="BB146" i="25"/>
  <c r="BA146" i="25"/>
  <c r="AZ146" i="25"/>
  <c r="AX146" i="25"/>
  <c r="AW146" i="25"/>
  <c r="AV146" i="25"/>
  <c r="AU146" i="25"/>
  <c r="AT146" i="25"/>
  <c r="AR146" i="25"/>
  <c r="AQ146" i="25"/>
  <c r="AP146" i="25"/>
  <c r="AO146" i="25"/>
  <c r="AN146" i="25"/>
  <c r="AL146" i="25"/>
  <c r="AK146" i="25"/>
  <c r="AJ146" i="25"/>
  <c r="AI146" i="25"/>
  <c r="AH146" i="25"/>
  <c r="BJ145" i="25"/>
  <c r="BI145" i="25"/>
  <c r="BH145" i="25"/>
  <c r="BG145" i="25"/>
  <c r="BF145" i="25"/>
  <c r="BD145" i="25"/>
  <c r="BC145" i="25"/>
  <c r="BB145" i="25"/>
  <c r="BA145" i="25"/>
  <c r="AZ145" i="25"/>
  <c r="AX145" i="25"/>
  <c r="AW145" i="25"/>
  <c r="AV145" i="25"/>
  <c r="AU145" i="25"/>
  <c r="AT145" i="25"/>
  <c r="AR145" i="25"/>
  <c r="AQ145" i="25"/>
  <c r="AP145" i="25"/>
  <c r="AO145" i="25"/>
  <c r="AN145" i="25"/>
  <c r="AL145" i="25"/>
  <c r="AK145" i="25"/>
  <c r="AJ145" i="25"/>
  <c r="AI145" i="25"/>
  <c r="AH145" i="25"/>
  <c r="BJ144" i="25"/>
  <c r="BI144" i="25"/>
  <c r="BH144" i="25"/>
  <c r="BG144" i="25"/>
  <c r="BF144" i="25"/>
  <c r="BD144" i="25"/>
  <c r="BC144" i="25"/>
  <c r="BB144" i="25"/>
  <c r="BA144" i="25"/>
  <c r="AZ144" i="25"/>
  <c r="AX144" i="25"/>
  <c r="AW144" i="25"/>
  <c r="AV144" i="25"/>
  <c r="AU144" i="25"/>
  <c r="AT144" i="25"/>
  <c r="AR144" i="25"/>
  <c r="AQ144" i="25"/>
  <c r="AP144" i="25"/>
  <c r="AO144" i="25"/>
  <c r="AN144" i="25"/>
  <c r="AL144" i="25"/>
  <c r="AK144" i="25"/>
  <c r="AJ144" i="25"/>
  <c r="AI144" i="25"/>
  <c r="AH144" i="25"/>
  <c r="BJ143" i="25"/>
  <c r="BI143" i="25"/>
  <c r="BH143" i="25"/>
  <c r="BG143" i="25"/>
  <c r="BF143" i="25"/>
  <c r="BD143" i="25"/>
  <c r="BC143" i="25"/>
  <c r="BB143" i="25"/>
  <c r="BA143" i="25"/>
  <c r="AZ143" i="25"/>
  <c r="AX143" i="25"/>
  <c r="AW143" i="25"/>
  <c r="AV143" i="25"/>
  <c r="AU143" i="25"/>
  <c r="AT143" i="25"/>
  <c r="AR143" i="25"/>
  <c r="AQ143" i="25"/>
  <c r="AP143" i="25"/>
  <c r="AO143" i="25"/>
  <c r="AN143" i="25"/>
  <c r="AL143" i="25"/>
  <c r="AK143" i="25"/>
  <c r="AJ143" i="25"/>
  <c r="AI143" i="25"/>
  <c r="AH143" i="25"/>
  <c r="BJ142" i="25"/>
  <c r="BI142" i="25"/>
  <c r="BH142" i="25"/>
  <c r="BG142" i="25"/>
  <c r="BF142" i="25"/>
  <c r="BD142" i="25"/>
  <c r="BC142" i="25"/>
  <c r="BB142" i="25"/>
  <c r="BA142" i="25"/>
  <c r="AZ142" i="25"/>
  <c r="AX142" i="25"/>
  <c r="AW142" i="25"/>
  <c r="AV142" i="25"/>
  <c r="AU142" i="25"/>
  <c r="AT142" i="25"/>
  <c r="AR142" i="25"/>
  <c r="AQ142" i="25"/>
  <c r="AP142" i="25"/>
  <c r="AO142" i="25"/>
  <c r="AN142" i="25"/>
  <c r="AL142" i="25"/>
  <c r="AK142" i="25"/>
  <c r="AJ142" i="25"/>
  <c r="AI142" i="25"/>
  <c r="AH142" i="25"/>
  <c r="BJ141" i="25"/>
  <c r="BI141" i="25"/>
  <c r="BH141" i="25"/>
  <c r="BG141" i="25"/>
  <c r="BF141" i="25"/>
  <c r="BD141" i="25"/>
  <c r="BC141" i="25"/>
  <c r="BB141" i="25"/>
  <c r="BA141" i="25"/>
  <c r="BA151" i="25" s="1"/>
  <c r="AZ141" i="25"/>
  <c r="AX141" i="25"/>
  <c r="AW141" i="25"/>
  <c r="AV141" i="25"/>
  <c r="AU141" i="25"/>
  <c r="AT141" i="25"/>
  <c r="AR141" i="25"/>
  <c r="AQ141" i="25"/>
  <c r="AP141" i="25"/>
  <c r="AO141" i="25"/>
  <c r="AO151" i="25" s="1"/>
  <c r="AN141" i="25"/>
  <c r="AL141" i="25"/>
  <c r="AK141" i="25"/>
  <c r="AJ141" i="25"/>
  <c r="AI141" i="25"/>
  <c r="AI151" i="25" s="1"/>
  <c r="AH141" i="25"/>
  <c r="BF139" i="25"/>
  <c r="AZ139" i="25"/>
  <c r="AT139" i="25"/>
  <c r="AO139" i="25"/>
  <c r="AN139" i="25"/>
  <c r="AH139" i="25"/>
  <c r="BF138" i="25"/>
  <c r="AZ138" i="25"/>
  <c r="AT138" i="25"/>
  <c r="AO138" i="25"/>
  <c r="AN138" i="25"/>
  <c r="AH138" i="25"/>
  <c r="BH137" i="25"/>
  <c r="BB137" i="25"/>
  <c r="AV137" i="25"/>
  <c r="AP137" i="25"/>
  <c r="AJ137" i="25"/>
  <c r="BI131" i="25"/>
  <c r="BG131" i="25"/>
  <c r="BC131" i="25"/>
  <c r="BA131" i="25"/>
  <c r="AW131" i="25"/>
  <c r="AU131" i="25"/>
  <c r="AQ131" i="25"/>
  <c r="AO131" i="25"/>
  <c r="AK131" i="25"/>
  <c r="AI131" i="25"/>
  <c r="BI130" i="25"/>
  <c r="BF130" i="25"/>
  <c r="BC130" i="25"/>
  <c r="AZ130" i="25"/>
  <c r="AW130" i="25"/>
  <c r="AT130" i="25"/>
  <c r="AQ130" i="25"/>
  <c r="AN130" i="25"/>
  <c r="AH130" i="25"/>
  <c r="BJ129" i="25"/>
  <c r="BI129" i="25"/>
  <c r="BH129" i="25"/>
  <c r="BG129" i="25"/>
  <c r="BF129" i="25"/>
  <c r="BD129" i="25"/>
  <c r="BC129" i="25"/>
  <c r="BB129" i="25"/>
  <c r="BA129" i="25"/>
  <c r="AZ129" i="25"/>
  <c r="AX129" i="25"/>
  <c r="AW129" i="25"/>
  <c r="AV129" i="25"/>
  <c r="AU129" i="25"/>
  <c r="AT129" i="25"/>
  <c r="AR129" i="25"/>
  <c r="AQ129" i="25"/>
  <c r="AP129" i="25"/>
  <c r="AO129" i="25"/>
  <c r="AN129" i="25"/>
  <c r="AL129" i="25"/>
  <c r="AK129" i="25"/>
  <c r="AJ129" i="25"/>
  <c r="AI129" i="25"/>
  <c r="AH129" i="25"/>
  <c r="BJ128" i="25"/>
  <c r="BI128" i="25"/>
  <c r="BH128" i="25"/>
  <c r="BG128" i="25"/>
  <c r="BF128" i="25"/>
  <c r="BD128" i="25"/>
  <c r="BC128" i="25"/>
  <c r="BB128" i="25"/>
  <c r="BA128" i="25"/>
  <c r="AZ128" i="25"/>
  <c r="AX128" i="25"/>
  <c r="AW128" i="25"/>
  <c r="AV128" i="25"/>
  <c r="AU128" i="25"/>
  <c r="AT128" i="25"/>
  <c r="AR128" i="25"/>
  <c r="AQ128" i="25"/>
  <c r="AP128" i="25"/>
  <c r="AO128" i="25"/>
  <c r="AN128" i="25"/>
  <c r="AL128" i="25"/>
  <c r="AK128" i="25"/>
  <c r="AJ128" i="25"/>
  <c r="AI128" i="25"/>
  <c r="AH128" i="25"/>
  <c r="BJ127" i="25"/>
  <c r="BI127" i="25"/>
  <c r="BH127" i="25"/>
  <c r="BG127" i="25"/>
  <c r="BF127" i="25"/>
  <c r="BD127" i="25"/>
  <c r="BC127" i="25"/>
  <c r="BB127" i="25"/>
  <c r="BA127" i="25"/>
  <c r="AZ127" i="25"/>
  <c r="AX127" i="25"/>
  <c r="AW127" i="25"/>
  <c r="AV127" i="25"/>
  <c r="AU127" i="25"/>
  <c r="AT127" i="25"/>
  <c r="AR127" i="25"/>
  <c r="AQ127" i="25"/>
  <c r="AP127" i="25"/>
  <c r="AO127" i="25"/>
  <c r="AN127" i="25"/>
  <c r="AL127" i="25"/>
  <c r="AK127" i="25"/>
  <c r="AJ127" i="25"/>
  <c r="AI127" i="25"/>
  <c r="AH127" i="25"/>
  <c r="BJ126" i="25"/>
  <c r="BI126" i="25"/>
  <c r="BH126" i="25"/>
  <c r="BG126" i="25"/>
  <c r="BF126" i="25"/>
  <c r="BD126" i="25"/>
  <c r="BC126" i="25"/>
  <c r="BB126" i="25"/>
  <c r="BA126" i="25"/>
  <c r="AZ126" i="25"/>
  <c r="AX126" i="25"/>
  <c r="AW126" i="25"/>
  <c r="AV126" i="25"/>
  <c r="AU126" i="25"/>
  <c r="AT126" i="25"/>
  <c r="AR126" i="25"/>
  <c r="AQ126" i="25"/>
  <c r="AP126" i="25"/>
  <c r="AO126" i="25"/>
  <c r="AN126" i="25"/>
  <c r="AL126" i="25"/>
  <c r="AK126" i="25"/>
  <c r="AJ126" i="25"/>
  <c r="AI126" i="25"/>
  <c r="AH126" i="25"/>
  <c r="BJ125" i="25"/>
  <c r="BI125" i="25"/>
  <c r="BH125" i="25"/>
  <c r="BG125" i="25"/>
  <c r="BF125" i="25"/>
  <c r="BD125" i="25"/>
  <c r="BC125" i="25"/>
  <c r="BB125" i="25"/>
  <c r="BA125" i="25"/>
  <c r="AZ125" i="25"/>
  <c r="AX125" i="25"/>
  <c r="AW125" i="25"/>
  <c r="AV125" i="25"/>
  <c r="AU125" i="25"/>
  <c r="AT125" i="25"/>
  <c r="AR125" i="25"/>
  <c r="AQ125" i="25"/>
  <c r="AP125" i="25"/>
  <c r="AO125" i="25"/>
  <c r="AN125" i="25"/>
  <c r="AL125" i="25"/>
  <c r="AK125" i="25"/>
  <c r="AJ125" i="25"/>
  <c r="AI125" i="25"/>
  <c r="AH125" i="25"/>
  <c r="BJ124" i="25"/>
  <c r="BI124" i="25"/>
  <c r="BH124" i="25"/>
  <c r="BG124" i="25"/>
  <c r="BF124" i="25"/>
  <c r="BD124" i="25"/>
  <c r="BC124" i="25"/>
  <c r="BB124" i="25"/>
  <c r="BA124" i="25"/>
  <c r="AZ124" i="25"/>
  <c r="AX124" i="25"/>
  <c r="AW124" i="25"/>
  <c r="AV124" i="25"/>
  <c r="AU124" i="25"/>
  <c r="AT124" i="25"/>
  <c r="AR124" i="25"/>
  <c r="AQ124" i="25"/>
  <c r="AP124" i="25"/>
  <c r="AO124" i="25"/>
  <c r="AN124" i="25"/>
  <c r="AL124" i="25"/>
  <c r="AK124" i="25"/>
  <c r="AJ124" i="25"/>
  <c r="AI124" i="25"/>
  <c r="AH124" i="25"/>
  <c r="BJ123" i="25"/>
  <c r="BI123" i="25"/>
  <c r="BH123" i="25"/>
  <c r="BG123" i="25"/>
  <c r="BF123" i="25"/>
  <c r="BD123" i="25"/>
  <c r="BC123" i="25"/>
  <c r="BB123" i="25"/>
  <c r="BA123" i="25"/>
  <c r="AZ123" i="25"/>
  <c r="AX123" i="25"/>
  <c r="AW123" i="25"/>
  <c r="AV123" i="25"/>
  <c r="AU123" i="25"/>
  <c r="AT123" i="25"/>
  <c r="AR123" i="25"/>
  <c r="AQ123" i="25"/>
  <c r="AP123" i="25"/>
  <c r="AO123" i="25"/>
  <c r="AN123" i="25"/>
  <c r="AL123" i="25"/>
  <c r="AK123" i="25"/>
  <c r="AJ123" i="25"/>
  <c r="AI123" i="25"/>
  <c r="AH123" i="25"/>
  <c r="BJ122" i="25"/>
  <c r="BI122" i="25"/>
  <c r="BH122" i="25"/>
  <c r="BG122" i="25"/>
  <c r="BF122" i="25"/>
  <c r="BD122" i="25"/>
  <c r="BC122" i="25"/>
  <c r="BB122" i="25"/>
  <c r="BA122" i="25"/>
  <c r="AZ122" i="25"/>
  <c r="AX122" i="25"/>
  <c r="AW122" i="25"/>
  <c r="AV122" i="25"/>
  <c r="AU122" i="25"/>
  <c r="AT122" i="25"/>
  <c r="AR122" i="25"/>
  <c r="AQ122" i="25"/>
  <c r="AP122" i="25"/>
  <c r="AO122" i="25"/>
  <c r="AN122" i="25"/>
  <c r="AL122" i="25"/>
  <c r="AK122" i="25"/>
  <c r="AJ122" i="25"/>
  <c r="AI122" i="25"/>
  <c r="AH122" i="25"/>
  <c r="BJ121" i="25"/>
  <c r="BI121" i="25"/>
  <c r="BH121" i="25"/>
  <c r="BG121" i="25"/>
  <c r="BF121" i="25"/>
  <c r="BD121" i="25"/>
  <c r="BC121" i="25"/>
  <c r="BB121" i="25"/>
  <c r="BA121" i="25"/>
  <c r="AZ121" i="25"/>
  <c r="AX121" i="25"/>
  <c r="AW121" i="25"/>
  <c r="AV121" i="25"/>
  <c r="AU121" i="25"/>
  <c r="AT121" i="25"/>
  <c r="AR121" i="25"/>
  <c r="AQ121" i="25"/>
  <c r="AP121" i="25"/>
  <c r="AO121" i="25"/>
  <c r="AN121" i="25"/>
  <c r="AL121" i="25"/>
  <c r="AK121" i="25"/>
  <c r="AJ121" i="25"/>
  <c r="AI121" i="25"/>
  <c r="AH121" i="25"/>
  <c r="BJ120" i="25"/>
  <c r="BI120" i="25"/>
  <c r="BH120" i="25"/>
  <c r="BG120" i="25"/>
  <c r="BG130" i="25" s="1"/>
  <c r="BF120" i="25"/>
  <c r="BD120" i="25"/>
  <c r="BC120" i="25"/>
  <c r="BB120" i="25"/>
  <c r="BA120" i="25"/>
  <c r="AZ120" i="25"/>
  <c r="AX120" i="25"/>
  <c r="AW120" i="25"/>
  <c r="AV120" i="25"/>
  <c r="AU120" i="25"/>
  <c r="AT120" i="25"/>
  <c r="AR120" i="25"/>
  <c r="AQ120" i="25"/>
  <c r="AP120" i="25"/>
  <c r="AO120" i="25"/>
  <c r="AN120" i="25"/>
  <c r="AL120" i="25"/>
  <c r="AK120" i="25"/>
  <c r="AJ120" i="25"/>
  <c r="AI120" i="25"/>
  <c r="AH120" i="25"/>
  <c r="BF118" i="25"/>
  <c r="AZ118" i="25"/>
  <c r="AT118" i="25"/>
  <c r="AN118" i="25"/>
  <c r="AH118" i="25"/>
  <c r="BF117" i="25"/>
  <c r="AZ117" i="25"/>
  <c r="AT117" i="25"/>
  <c r="AN117" i="25"/>
  <c r="AH117" i="25"/>
  <c r="BH116" i="25"/>
  <c r="BB116" i="25"/>
  <c r="AV116" i="25"/>
  <c r="AP116" i="25"/>
  <c r="AJ116" i="25"/>
  <c r="L113" i="25"/>
  <c r="K113" i="25"/>
  <c r="J113" i="25"/>
  <c r="I113" i="25"/>
  <c r="H113" i="25"/>
  <c r="L112" i="25"/>
  <c r="K112" i="25"/>
  <c r="J112" i="25"/>
  <c r="I112" i="25"/>
  <c r="H112" i="25"/>
  <c r="L111" i="25"/>
  <c r="K111" i="25"/>
  <c r="J111" i="25"/>
  <c r="I111" i="25"/>
  <c r="H111" i="25"/>
  <c r="L110" i="25"/>
  <c r="K110" i="25"/>
  <c r="J110" i="25"/>
  <c r="I110" i="25"/>
  <c r="H110" i="25"/>
  <c r="L109" i="25"/>
  <c r="K109" i="25"/>
  <c r="J109" i="25"/>
  <c r="I109" i="25"/>
  <c r="H109" i="25"/>
  <c r="L108" i="25"/>
  <c r="K108" i="25"/>
  <c r="J108" i="25"/>
  <c r="I108" i="25"/>
  <c r="H108" i="25"/>
  <c r="L107" i="25"/>
  <c r="K107" i="25"/>
  <c r="J107" i="25"/>
  <c r="I107" i="25"/>
  <c r="H107" i="25"/>
  <c r="L106" i="25"/>
  <c r="K106" i="25"/>
  <c r="J106" i="25"/>
  <c r="I106" i="25"/>
  <c r="H106" i="25"/>
  <c r="L105" i="25"/>
  <c r="K105" i="25"/>
  <c r="J105" i="25"/>
  <c r="I105" i="25"/>
  <c r="H105" i="25"/>
  <c r="L104" i="25"/>
  <c r="K104" i="25"/>
  <c r="J104" i="25"/>
  <c r="I104" i="25"/>
  <c r="H104" i="25"/>
  <c r="L103" i="25"/>
  <c r="K103" i="25"/>
  <c r="J103" i="25"/>
  <c r="I103" i="25"/>
  <c r="H103" i="25"/>
  <c r="L102" i="25"/>
  <c r="K102" i="25"/>
  <c r="J102" i="25"/>
  <c r="I102" i="25"/>
  <c r="H102" i="25"/>
  <c r="L101" i="25"/>
  <c r="K101" i="25"/>
  <c r="J101" i="25"/>
  <c r="I101" i="25"/>
  <c r="H101" i="25"/>
  <c r="L100" i="25"/>
  <c r="K100" i="25"/>
  <c r="J100" i="25"/>
  <c r="I100" i="25"/>
  <c r="H100" i="25"/>
  <c r="L99" i="25"/>
  <c r="K99" i="25"/>
  <c r="J99" i="25"/>
  <c r="I99" i="25"/>
  <c r="H99" i="25"/>
  <c r="L98" i="25"/>
  <c r="K98" i="25"/>
  <c r="J98" i="25"/>
  <c r="I98" i="25"/>
  <c r="H98" i="25"/>
  <c r="L97" i="25"/>
  <c r="K97" i="25"/>
  <c r="J97" i="25"/>
  <c r="I97" i="25"/>
  <c r="H97" i="25"/>
  <c r="L96" i="25"/>
  <c r="K96" i="25"/>
  <c r="J96" i="25"/>
  <c r="I96" i="25"/>
  <c r="H96" i="25"/>
  <c r="L95" i="25"/>
  <c r="K95" i="25"/>
  <c r="J95" i="25"/>
  <c r="I95" i="25"/>
  <c r="H95" i="25"/>
  <c r="L94" i="25"/>
  <c r="K94" i="25"/>
  <c r="J94" i="25"/>
  <c r="I94" i="25"/>
  <c r="H94" i="25"/>
  <c r="L93" i="25"/>
  <c r="K93" i="25"/>
  <c r="J93" i="25"/>
  <c r="I93" i="25"/>
  <c r="H93" i="25"/>
  <c r="L92" i="25"/>
  <c r="K92" i="25"/>
  <c r="J92" i="25"/>
  <c r="I92" i="25"/>
  <c r="H92" i="25"/>
  <c r="L91" i="25"/>
  <c r="K91" i="25"/>
  <c r="J91" i="25"/>
  <c r="I91" i="25"/>
  <c r="H91" i="25"/>
  <c r="L90" i="25"/>
  <c r="K90" i="25"/>
  <c r="J90" i="25"/>
  <c r="I90" i="25"/>
  <c r="H90" i="25"/>
  <c r="L89" i="25"/>
  <c r="K89" i="25"/>
  <c r="J89" i="25"/>
  <c r="I89" i="25"/>
  <c r="H89" i="25"/>
  <c r="L88" i="25"/>
  <c r="K88" i="25"/>
  <c r="J88" i="25"/>
  <c r="I88" i="25"/>
  <c r="H88" i="25"/>
  <c r="L87" i="25"/>
  <c r="K87" i="25"/>
  <c r="J87" i="25"/>
  <c r="I87" i="25"/>
  <c r="H87" i="25"/>
  <c r="L86" i="25"/>
  <c r="K86" i="25"/>
  <c r="J86" i="25"/>
  <c r="I86" i="25"/>
  <c r="H86" i="25"/>
  <c r="L85" i="25"/>
  <c r="K85" i="25"/>
  <c r="J85" i="25"/>
  <c r="I85" i="25"/>
  <c r="H85" i="25"/>
  <c r="L84" i="25"/>
  <c r="K84" i="25"/>
  <c r="J84" i="25"/>
  <c r="I84" i="25"/>
  <c r="H84" i="25"/>
  <c r="L83" i="25"/>
  <c r="K83" i="25"/>
  <c r="J83" i="25"/>
  <c r="I83" i="25"/>
  <c r="H83" i="25"/>
  <c r="L82" i="25"/>
  <c r="K82" i="25"/>
  <c r="J82" i="25"/>
  <c r="I82" i="25"/>
  <c r="H82" i="25"/>
  <c r="L81" i="25"/>
  <c r="K81" i="25"/>
  <c r="J81" i="25"/>
  <c r="I81" i="25"/>
  <c r="H81" i="25"/>
  <c r="L80" i="25"/>
  <c r="K80" i="25"/>
  <c r="J80" i="25"/>
  <c r="I80" i="25"/>
  <c r="H80" i="25"/>
  <c r="L79" i="25"/>
  <c r="K79" i="25"/>
  <c r="J79" i="25"/>
  <c r="I79" i="25"/>
  <c r="H79" i="25"/>
  <c r="L78" i="25"/>
  <c r="K78" i="25"/>
  <c r="J78" i="25"/>
  <c r="I78" i="25"/>
  <c r="H78" i="25"/>
  <c r="L77" i="25"/>
  <c r="K77" i="25"/>
  <c r="J77" i="25"/>
  <c r="I77" i="25"/>
  <c r="H77" i="25"/>
  <c r="L76" i="25"/>
  <c r="K76" i="25"/>
  <c r="J76" i="25"/>
  <c r="I76" i="25"/>
  <c r="H76" i="25"/>
  <c r="L75" i="25"/>
  <c r="K75" i="25"/>
  <c r="J75" i="25"/>
  <c r="I75" i="25"/>
  <c r="H75" i="25"/>
  <c r="L74" i="25"/>
  <c r="K74" i="25"/>
  <c r="J74" i="25"/>
  <c r="I74" i="25"/>
  <c r="H74" i="25"/>
  <c r="L73" i="25"/>
  <c r="K73" i="25"/>
  <c r="J73" i="25"/>
  <c r="I73" i="25"/>
  <c r="H73" i="25"/>
  <c r="L72" i="25"/>
  <c r="K72" i="25"/>
  <c r="J72" i="25"/>
  <c r="I72" i="25"/>
  <c r="H72" i="25"/>
  <c r="L71" i="25"/>
  <c r="K71" i="25"/>
  <c r="J71" i="25"/>
  <c r="I71" i="25"/>
  <c r="H71" i="25"/>
  <c r="L70" i="25"/>
  <c r="K70" i="25"/>
  <c r="J70" i="25"/>
  <c r="I70" i="25"/>
  <c r="H70" i="25"/>
  <c r="L69" i="25"/>
  <c r="K69" i="25"/>
  <c r="J69" i="25"/>
  <c r="I69" i="25"/>
  <c r="H69" i="25"/>
  <c r="L68" i="25"/>
  <c r="K68" i="25"/>
  <c r="J68" i="25"/>
  <c r="I68" i="25"/>
  <c r="H68" i="25"/>
  <c r="L67" i="25"/>
  <c r="K67" i="25"/>
  <c r="J67" i="25"/>
  <c r="I67" i="25"/>
  <c r="H67" i="25"/>
  <c r="L66" i="25"/>
  <c r="K66" i="25"/>
  <c r="J66" i="25"/>
  <c r="I66" i="25"/>
  <c r="H66" i="25"/>
  <c r="L65" i="25"/>
  <c r="K65" i="25"/>
  <c r="J65" i="25"/>
  <c r="I65" i="25"/>
  <c r="H65" i="25"/>
  <c r="L64" i="25"/>
  <c r="K64" i="25"/>
  <c r="J64" i="25"/>
  <c r="I64" i="25"/>
  <c r="H64" i="25"/>
  <c r="L63" i="25"/>
  <c r="K63" i="25"/>
  <c r="J63" i="25"/>
  <c r="I63" i="25"/>
  <c r="H63" i="25"/>
  <c r="L62" i="25"/>
  <c r="K62" i="25"/>
  <c r="J62" i="25"/>
  <c r="I62" i="25"/>
  <c r="H62" i="25"/>
  <c r="L61" i="25"/>
  <c r="K61" i="25"/>
  <c r="J61" i="25"/>
  <c r="I61" i="25"/>
  <c r="H61" i="25"/>
  <c r="L60" i="25"/>
  <c r="K60" i="25"/>
  <c r="J60" i="25"/>
  <c r="I60" i="25"/>
  <c r="H60" i="25"/>
  <c r="L59" i="25"/>
  <c r="K59" i="25"/>
  <c r="J59" i="25"/>
  <c r="I59" i="25"/>
  <c r="H59" i="25"/>
  <c r="L58" i="25"/>
  <c r="K58" i="25"/>
  <c r="J58" i="25"/>
  <c r="I58" i="25"/>
  <c r="H58" i="25"/>
  <c r="L57" i="25"/>
  <c r="K57" i="25"/>
  <c r="J57" i="25"/>
  <c r="I57" i="25"/>
  <c r="H57" i="25"/>
  <c r="L56" i="25"/>
  <c r="K56" i="25"/>
  <c r="J56" i="25"/>
  <c r="I56" i="25"/>
  <c r="H56" i="25"/>
  <c r="L55" i="25"/>
  <c r="K55" i="25"/>
  <c r="J55" i="25"/>
  <c r="I55" i="25"/>
  <c r="H55" i="25"/>
  <c r="L54" i="25"/>
  <c r="K54" i="25"/>
  <c r="J54" i="25"/>
  <c r="I54" i="25"/>
  <c r="H54" i="25"/>
  <c r="L53" i="25"/>
  <c r="K53" i="25"/>
  <c r="J53" i="25"/>
  <c r="I53" i="25"/>
  <c r="H53" i="25"/>
  <c r="L52" i="25"/>
  <c r="K52" i="25"/>
  <c r="J52" i="25"/>
  <c r="I52" i="25"/>
  <c r="H52" i="25"/>
  <c r="L51" i="25"/>
  <c r="K51" i="25"/>
  <c r="J51" i="25"/>
  <c r="I51" i="25"/>
  <c r="H51" i="25"/>
  <c r="L50" i="25"/>
  <c r="K50" i="25"/>
  <c r="J50" i="25"/>
  <c r="I50" i="25"/>
  <c r="H50" i="25"/>
  <c r="L49" i="25"/>
  <c r="K49" i="25"/>
  <c r="J49" i="25"/>
  <c r="I49" i="25"/>
  <c r="H49" i="25"/>
  <c r="L48" i="25"/>
  <c r="K48" i="25"/>
  <c r="J48" i="25"/>
  <c r="I48" i="25"/>
  <c r="H48" i="25"/>
  <c r="L47" i="25"/>
  <c r="K47" i="25"/>
  <c r="J47" i="25"/>
  <c r="I47" i="25"/>
  <c r="H47" i="25"/>
  <c r="L46" i="25"/>
  <c r="K46" i="25"/>
  <c r="J46" i="25"/>
  <c r="I46" i="25"/>
  <c r="H46" i="25"/>
  <c r="L45" i="25"/>
  <c r="K45" i="25"/>
  <c r="J45" i="25"/>
  <c r="I45" i="25"/>
  <c r="H45" i="25"/>
  <c r="L44" i="25"/>
  <c r="K44" i="25"/>
  <c r="J44" i="25"/>
  <c r="I44" i="25"/>
  <c r="H44" i="25"/>
  <c r="L43" i="25"/>
  <c r="K43" i="25"/>
  <c r="J43" i="25"/>
  <c r="I43" i="25"/>
  <c r="H43" i="25"/>
  <c r="L42" i="25"/>
  <c r="K42" i="25"/>
  <c r="J42" i="25"/>
  <c r="I42" i="25"/>
  <c r="H42" i="25"/>
  <c r="L41" i="25"/>
  <c r="K41" i="25"/>
  <c r="J41" i="25"/>
  <c r="I41" i="25"/>
  <c r="H41" i="25"/>
  <c r="L40" i="25"/>
  <c r="K40" i="25"/>
  <c r="J40" i="25"/>
  <c r="I40" i="25"/>
  <c r="H40" i="25"/>
  <c r="L39" i="25"/>
  <c r="K39" i="25"/>
  <c r="J39" i="25"/>
  <c r="I39" i="25"/>
  <c r="H39" i="25"/>
  <c r="L38" i="25"/>
  <c r="K38" i="25"/>
  <c r="J38" i="25"/>
  <c r="I38" i="25"/>
  <c r="H38" i="25"/>
  <c r="L37" i="25"/>
  <c r="K37" i="25"/>
  <c r="J37" i="25"/>
  <c r="I37" i="25"/>
  <c r="H37" i="25"/>
  <c r="L36" i="25"/>
  <c r="K36" i="25"/>
  <c r="J36" i="25"/>
  <c r="I36" i="25"/>
  <c r="H36" i="25"/>
  <c r="L35" i="25"/>
  <c r="K35" i="25"/>
  <c r="J35" i="25"/>
  <c r="I35" i="25"/>
  <c r="H35" i="25"/>
  <c r="L34" i="25"/>
  <c r="K34" i="25"/>
  <c r="J34" i="25"/>
  <c r="I34" i="25"/>
  <c r="H34" i="25"/>
  <c r="L33" i="25"/>
  <c r="K33" i="25"/>
  <c r="J33" i="25"/>
  <c r="I33" i="25"/>
  <c r="H33" i="25"/>
  <c r="L32" i="25"/>
  <c r="K32" i="25"/>
  <c r="J32" i="25"/>
  <c r="I32" i="25"/>
  <c r="H32" i="25"/>
  <c r="L31" i="25"/>
  <c r="K31" i="25"/>
  <c r="J31" i="25"/>
  <c r="I31" i="25"/>
  <c r="H31" i="25"/>
  <c r="L30" i="25"/>
  <c r="K30" i="25"/>
  <c r="J30" i="25"/>
  <c r="I30" i="25"/>
  <c r="H30" i="25"/>
  <c r="L29" i="25"/>
  <c r="K29" i="25"/>
  <c r="J29" i="25"/>
  <c r="I29" i="25"/>
  <c r="H29" i="25"/>
  <c r="L28" i="25"/>
  <c r="K28" i="25"/>
  <c r="J28" i="25"/>
  <c r="I28" i="25"/>
  <c r="H28" i="25"/>
  <c r="L27" i="25"/>
  <c r="K27" i="25"/>
  <c r="J27" i="25"/>
  <c r="I27" i="25"/>
  <c r="H27" i="25"/>
  <c r="L26" i="25"/>
  <c r="K26" i="25"/>
  <c r="J26" i="25"/>
  <c r="I26" i="25"/>
  <c r="H26" i="25"/>
  <c r="L25" i="25"/>
  <c r="K25" i="25"/>
  <c r="J25" i="25"/>
  <c r="I25" i="25"/>
  <c r="H25" i="25"/>
  <c r="L24" i="25"/>
  <c r="K24" i="25"/>
  <c r="J24" i="25"/>
  <c r="I24" i="25"/>
  <c r="H24" i="25"/>
  <c r="BD23" i="25"/>
  <c r="BJ154" i="25" s="1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L23" i="25"/>
  <c r="K23" i="25"/>
  <c r="J23" i="25"/>
  <c r="I23" i="25"/>
  <c r="H23" i="25"/>
  <c r="BD22" i="25"/>
  <c r="BD154" i="25" s="1"/>
  <c r="AY22" i="25"/>
  <c r="BD156" i="25" s="1"/>
  <c r="AX22" i="25"/>
  <c r="BC156" i="25" s="1"/>
  <c r="AU22" i="25"/>
  <c r="AZ156" i="25" s="1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L22" i="25"/>
  <c r="K22" i="25"/>
  <c r="J22" i="25"/>
  <c r="I22" i="25"/>
  <c r="H22" i="25"/>
  <c r="BD21" i="25"/>
  <c r="AX154" i="25" s="1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L21" i="25"/>
  <c r="K21" i="25"/>
  <c r="J21" i="25"/>
  <c r="I21" i="25"/>
  <c r="H21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L20" i="25"/>
  <c r="K20" i="25"/>
  <c r="J20" i="25"/>
  <c r="I20" i="25"/>
  <c r="H20" i="25"/>
  <c r="BD19" i="25"/>
  <c r="AL154" i="25" s="1"/>
  <c r="AW19" i="25"/>
  <c r="AU19" i="25"/>
  <c r="AH156" i="25" s="1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L19" i="25"/>
  <c r="K19" i="25"/>
  <c r="J19" i="25"/>
  <c r="I19" i="25"/>
  <c r="H19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L18" i="25"/>
  <c r="K18" i="25"/>
  <c r="J18" i="25"/>
  <c r="I18" i="25"/>
  <c r="H18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AX17" i="25" s="1"/>
  <c r="BC135" i="25" s="1"/>
  <c r="U17" i="25"/>
  <c r="T17" i="25"/>
  <c r="S17" i="25"/>
  <c r="R17" i="25"/>
  <c r="Q17" i="25"/>
  <c r="P17" i="25"/>
  <c r="O17" i="25"/>
  <c r="L17" i="25"/>
  <c r="K17" i="25"/>
  <c r="J17" i="25"/>
  <c r="I17" i="25"/>
  <c r="H17" i="25"/>
  <c r="BD16" i="25"/>
  <c r="AX133" i="25" s="1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L16" i="25"/>
  <c r="K16" i="25"/>
  <c r="J16" i="25"/>
  <c r="I16" i="25"/>
  <c r="H16" i="25"/>
  <c r="AR15" i="25"/>
  <c r="AQ15" i="25"/>
  <c r="AP15" i="25"/>
  <c r="AO15" i="25"/>
  <c r="AN15" i="25"/>
  <c r="AM15" i="25"/>
  <c r="AL15" i="25"/>
  <c r="AK15" i="25"/>
  <c r="AJ15" i="25"/>
  <c r="AI15" i="25"/>
  <c r="AH15" i="25"/>
  <c r="AG15" i="25"/>
  <c r="AF15" i="25"/>
  <c r="AE15" i="25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AY15" i="25" s="1"/>
  <c r="AR135" i="25" s="1"/>
  <c r="R15" i="25"/>
  <c r="Q15" i="25"/>
  <c r="P15" i="25"/>
  <c r="O15" i="25"/>
  <c r="L15" i="25"/>
  <c r="K15" i="25"/>
  <c r="J15" i="25"/>
  <c r="I15" i="25"/>
  <c r="H15" i="25"/>
  <c r="AY14" i="25"/>
  <c r="AL135" i="25" s="1"/>
  <c r="AR14" i="25"/>
  <c r="AQ14" i="25"/>
  <c r="AP14" i="25"/>
  <c r="AO14" i="25"/>
  <c r="AN14" i="25"/>
  <c r="AM14" i="25"/>
  <c r="AL14" i="25"/>
  <c r="AK14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AX14" i="25" s="1"/>
  <c r="AK135" i="25" s="1"/>
  <c r="X14" i="25"/>
  <c r="W14" i="25"/>
  <c r="V14" i="25"/>
  <c r="U14" i="25"/>
  <c r="T14" i="25"/>
  <c r="S14" i="25"/>
  <c r="R14" i="25"/>
  <c r="Q14" i="25"/>
  <c r="P14" i="25"/>
  <c r="O14" i="25"/>
  <c r="BC16" i="25" s="1"/>
  <c r="AW133" i="25" s="1"/>
  <c r="L14" i="25"/>
  <c r="K14" i="25"/>
  <c r="J14" i="25"/>
  <c r="I14" i="25"/>
  <c r="H14" i="25"/>
  <c r="BT2" i="25"/>
  <c r="AK130" i="25" s="1"/>
  <c r="AU158" i="5"/>
  <c r="AK158" i="5"/>
  <c r="BJ156" i="5"/>
  <c r="BI156" i="5"/>
  <c r="AZ156" i="5"/>
  <c r="BI152" i="5"/>
  <c r="BG152" i="5"/>
  <c r="BC152" i="5"/>
  <c r="BA152" i="5"/>
  <c r="AW152" i="5"/>
  <c r="AU152" i="5"/>
  <c r="AQ152" i="5"/>
  <c r="AO152" i="5"/>
  <c r="AK152" i="5"/>
  <c r="AI152" i="5"/>
  <c r="BI151" i="5"/>
  <c r="BG151" i="5"/>
  <c r="BF151" i="5"/>
  <c r="BC151" i="5"/>
  <c r="AZ151" i="5"/>
  <c r="AW151" i="5"/>
  <c r="AT151" i="5"/>
  <c r="AQ151" i="5"/>
  <c r="AN151" i="5"/>
  <c r="AK151" i="5"/>
  <c r="AH151" i="5"/>
  <c r="BJ150" i="5"/>
  <c r="BI150" i="5"/>
  <c r="BH150" i="5"/>
  <c r="BG150" i="5"/>
  <c r="BF150" i="5"/>
  <c r="BD150" i="5"/>
  <c r="BC150" i="5"/>
  <c r="BB150" i="5"/>
  <c r="BA150" i="5"/>
  <c r="AZ150" i="5"/>
  <c r="AX150" i="5"/>
  <c r="AW150" i="5"/>
  <c r="AV150" i="5"/>
  <c r="AU150" i="5"/>
  <c r="AT150" i="5"/>
  <c r="AR150" i="5"/>
  <c r="AQ150" i="5"/>
  <c r="AP150" i="5"/>
  <c r="AO150" i="5"/>
  <c r="AN150" i="5"/>
  <c r="AL150" i="5"/>
  <c r="AK150" i="5"/>
  <c r="AJ150" i="5"/>
  <c r="AI150" i="5"/>
  <c r="AH150" i="5"/>
  <c r="BJ149" i="5"/>
  <c r="BI149" i="5"/>
  <c r="BH149" i="5"/>
  <c r="BG149" i="5"/>
  <c r="BF149" i="5"/>
  <c r="BD149" i="5"/>
  <c r="BC149" i="5"/>
  <c r="BB149" i="5"/>
  <c r="BA149" i="5"/>
  <c r="AZ149" i="5"/>
  <c r="AX149" i="5"/>
  <c r="AW149" i="5"/>
  <c r="AV149" i="5"/>
  <c r="AU149" i="5"/>
  <c r="AT149" i="5"/>
  <c r="AR149" i="5"/>
  <c r="AQ149" i="5"/>
  <c r="AP149" i="5"/>
  <c r="AO149" i="5"/>
  <c r="AN149" i="5"/>
  <c r="AL149" i="5"/>
  <c r="AK149" i="5"/>
  <c r="AJ149" i="5"/>
  <c r="AI149" i="5"/>
  <c r="AH149" i="5"/>
  <c r="AD149" i="5"/>
  <c r="BJ148" i="5"/>
  <c r="BI148" i="5"/>
  <c r="BH148" i="5"/>
  <c r="BG148" i="5"/>
  <c r="BF148" i="5"/>
  <c r="BD148" i="5"/>
  <c r="BC148" i="5"/>
  <c r="BB148" i="5"/>
  <c r="BA148" i="5"/>
  <c r="AZ148" i="5"/>
  <c r="AX148" i="5"/>
  <c r="AW148" i="5"/>
  <c r="AV148" i="5"/>
  <c r="AU148" i="5"/>
  <c r="AT148" i="5"/>
  <c r="AR148" i="5"/>
  <c r="AQ148" i="5"/>
  <c r="AP148" i="5"/>
  <c r="AO148" i="5"/>
  <c r="AN148" i="5"/>
  <c r="AL148" i="5"/>
  <c r="AK148" i="5"/>
  <c r="AJ148" i="5"/>
  <c r="AI148" i="5"/>
  <c r="AH148" i="5"/>
  <c r="BJ147" i="5"/>
  <c r="BI147" i="5"/>
  <c r="BH147" i="5"/>
  <c r="BG147" i="5"/>
  <c r="BF147" i="5"/>
  <c r="BD147" i="5"/>
  <c r="BC147" i="5"/>
  <c r="BB147" i="5"/>
  <c r="BA147" i="5"/>
  <c r="AZ147" i="5"/>
  <c r="AX147" i="5"/>
  <c r="AW147" i="5"/>
  <c r="AV147" i="5"/>
  <c r="AU147" i="5"/>
  <c r="AT147" i="5"/>
  <c r="AR147" i="5"/>
  <c r="AQ147" i="5"/>
  <c r="AP147" i="5"/>
  <c r="AO147" i="5"/>
  <c r="AN147" i="5"/>
  <c r="AL147" i="5"/>
  <c r="AK147" i="5"/>
  <c r="AJ147" i="5"/>
  <c r="AI147" i="5"/>
  <c r="AH147" i="5"/>
  <c r="BJ146" i="5"/>
  <c r="BI146" i="5"/>
  <c r="BH146" i="5"/>
  <c r="BG146" i="5"/>
  <c r="BF146" i="5"/>
  <c r="BD146" i="5"/>
  <c r="BC146" i="5"/>
  <c r="BB146" i="5"/>
  <c r="BA146" i="5"/>
  <c r="AZ146" i="5"/>
  <c r="AX146" i="5"/>
  <c r="AW146" i="5"/>
  <c r="AV146" i="5"/>
  <c r="AU146" i="5"/>
  <c r="AT146" i="5"/>
  <c r="AR146" i="5"/>
  <c r="AQ146" i="5"/>
  <c r="AP146" i="5"/>
  <c r="AO146" i="5"/>
  <c r="AN146" i="5"/>
  <c r="AL146" i="5"/>
  <c r="AK146" i="5"/>
  <c r="AJ146" i="5"/>
  <c r="AI146" i="5"/>
  <c r="AH146" i="5"/>
  <c r="BJ145" i="5"/>
  <c r="BI145" i="5"/>
  <c r="BH145" i="5"/>
  <c r="BG145" i="5"/>
  <c r="BF145" i="5"/>
  <c r="BD145" i="5"/>
  <c r="BC145" i="5"/>
  <c r="BB145" i="5"/>
  <c r="BA145" i="5"/>
  <c r="AZ145" i="5"/>
  <c r="AX145" i="5"/>
  <c r="AW145" i="5"/>
  <c r="AV145" i="5"/>
  <c r="AU145" i="5"/>
  <c r="AT145" i="5"/>
  <c r="AR145" i="5"/>
  <c r="AQ145" i="5"/>
  <c r="AP145" i="5"/>
  <c r="AO145" i="5"/>
  <c r="AN145" i="5"/>
  <c r="AL145" i="5"/>
  <c r="AK145" i="5"/>
  <c r="AJ145" i="5"/>
  <c r="AI145" i="5"/>
  <c r="AH145" i="5"/>
  <c r="BJ144" i="5"/>
  <c r="BI144" i="5"/>
  <c r="BH144" i="5"/>
  <c r="BG144" i="5"/>
  <c r="BF144" i="5"/>
  <c r="BD144" i="5"/>
  <c r="BC144" i="5"/>
  <c r="BB144" i="5"/>
  <c r="BA144" i="5"/>
  <c r="AZ144" i="5"/>
  <c r="AX144" i="5"/>
  <c r="AW144" i="5"/>
  <c r="AV144" i="5"/>
  <c r="AU144" i="5"/>
  <c r="AT144" i="5"/>
  <c r="AR144" i="5"/>
  <c r="AQ144" i="5"/>
  <c r="AP144" i="5"/>
  <c r="AO144" i="5"/>
  <c r="AN144" i="5"/>
  <c r="AL144" i="5"/>
  <c r="AK144" i="5"/>
  <c r="AJ144" i="5"/>
  <c r="AI144" i="5"/>
  <c r="AH144" i="5"/>
  <c r="BJ143" i="5"/>
  <c r="BI143" i="5"/>
  <c r="BH143" i="5"/>
  <c r="BG143" i="5"/>
  <c r="BF143" i="5"/>
  <c r="BD143" i="5"/>
  <c r="BC143" i="5"/>
  <c r="BB143" i="5"/>
  <c r="BA143" i="5"/>
  <c r="AZ143" i="5"/>
  <c r="AX143" i="5"/>
  <c r="AW143" i="5"/>
  <c r="AV143" i="5"/>
  <c r="AU143" i="5"/>
  <c r="AT143" i="5"/>
  <c r="AR143" i="5"/>
  <c r="AQ143" i="5"/>
  <c r="AP143" i="5"/>
  <c r="AO143" i="5"/>
  <c r="AN143" i="5"/>
  <c r="AL143" i="5"/>
  <c r="AK143" i="5"/>
  <c r="AJ143" i="5"/>
  <c r="AI143" i="5"/>
  <c r="AH143" i="5"/>
  <c r="BJ142" i="5"/>
  <c r="BI142" i="5"/>
  <c r="BH142" i="5"/>
  <c r="BG142" i="5"/>
  <c r="BF142" i="5"/>
  <c r="BD142" i="5"/>
  <c r="BC142" i="5"/>
  <c r="BB142" i="5"/>
  <c r="BA142" i="5"/>
  <c r="AZ142" i="5"/>
  <c r="AX142" i="5"/>
  <c r="AW142" i="5"/>
  <c r="AV142" i="5"/>
  <c r="AU142" i="5"/>
  <c r="AT142" i="5"/>
  <c r="AR142" i="5"/>
  <c r="AQ142" i="5"/>
  <c r="AP142" i="5"/>
  <c r="AO142" i="5"/>
  <c r="AN142" i="5"/>
  <c r="AL142" i="5"/>
  <c r="AK142" i="5"/>
  <c r="AJ142" i="5"/>
  <c r="AI142" i="5"/>
  <c r="AH142" i="5"/>
  <c r="BJ141" i="5"/>
  <c r="BI141" i="5"/>
  <c r="BH141" i="5"/>
  <c r="BG141" i="5"/>
  <c r="BF141" i="5"/>
  <c r="BD141" i="5"/>
  <c r="BC141" i="5"/>
  <c r="BB141" i="5"/>
  <c r="BA141" i="5"/>
  <c r="AZ141" i="5"/>
  <c r="AX141" i="5"/>
  <c r="AW141" i="5"/>
  <c r="AV141" i="5"/>
  <c r="AU141" i="5"/>
  <c r="AT141" i="5"/>
  <c r="AR141" i="5"/>
  <c r="AQ141" i="5"/>
  <c r="AP141" i="5"/>
  <c r="AO141" i="5"/>
  <c r="AN141" i="5"/>
  <c r="AL141" i="5"/>
  <c r="AK141" i="5"/>
  <c r="AJ141" i="5"/>
  <c r="AI141" i="5"/>
  <c r="AH141" i="5"/>
  <c r="BF139" i="5"/>
  <c r="AZ139" i="5"/>
  <c r="AT139" i="5"/>
  <c r="AO139" i="5"/>
  <c r="AN139" i="5"/>
  <c r="AH139" i="5"/>
  <c r="BF138" i="5"/>
  <c r="AZ138" i="5"/>
  <c r="AT138" i="5"/>
  <c r="AO138" i="5"/>
  <c r="AN138" i="5"/>
  <c r="AH138" i="5"/>
  <c r="BH137" i="5"/>
  <c r="BB137" i="5"/>
  <c r="AV137" i="5"/>
  <c r="AP137" i="5"/>
  <c r="AJ137" i="5"/>
  <c r="BI131" i="5"/>
  <c r="BG131" i="5"/>
  <c r="BC131" i="5"/>
  <c r="BA131" i="5"/>
  <c r="AW131" i="5"/>
  <c r="AU131" i="5"/>
  <c r="AQ131" i="5"/>
  <c r="AO131" i="5"/>
  <c r="AK131" i="5"/>
  <c r="AI131" i="5"/>
  <c r="BI130" i="5"/>
  <c r="BF130" i="5"/>
  <c r="BC130" i="5"/>
  <c r="AZ130" i="5"/>
  <c r="AW130" i="5"/>
  <c r="AT130" i="5"/>
  <c r="AQ130" i="5"/>
  <c r="AN130" i="5"/>
  <c r="AH130" i="5"/>
  <c r="BJ129" i="5"/>
  <c r="BI129" i="5"/>
  <c r="BH129" i="5"/>
  <c r="BG129" i="5"/>
  <c r="BF129" i="5"/>
  <c r="BD129" i="5"/>
  <c r="BC129" i="5"/>
  <c r="BB129" i="5"/>
  <c r="BA129" i="5"/>
  <c r="AZ129" i="5"/>
  <c r="AX129" i="5"/>
  <c r="AW129" i="5"/>
  <c r="AV129" i="5"/>
  <c r="AU129" i="5"/>
  <c r="AT129" i="5"/>
  <c r="AR129" i="5"/>
  <c r="AQ129" i="5"/>
  <c r="AP129" i="5"/>
  <c r="AO129" i="5"/>
  <c r="AN129" i="5"/>
  <c r="AL129" i="5"/>
  <c r="AK129" i="5"/>
  <c r="AJ129" i="5"/>
  <c r="AI129" i="5"/>
  <c r="AH129" i="5"/>
  <c r="BJ128" i="5"/>
  <c r="BI128" i="5"/>
  <c r="BH128" i="5"/>
  <c r="BG128" i="5"/>
  <c r="BF128" i="5"/>
  <c r="BD128" i="5"/>
  <c r="BC128" i="5"/>
  <c r="BB128" i="5"/>
  <c r="BA128" i="5"/>
  <c r="AZ128" i="5"/>
  <c r="AX128" i="5"/>
  <c r="AW128" i="5"/>
  <c r="AV128" i="5"/>
  <c r="AU128" i="5"/>
  <c r="AT128" i="5"/>
  <c r="AR128" i="5"/>
  <c r="AQ128" i="5"/>
  <c r="AP128" i="5"/>
  <c r="AO128" i="5"/>
  <c r="AN128" i="5"/>
  <c r="AL128" i="5"/>
  <c r="AK128" i="5"/>
  <c r="AJ128" i="5"/>
  <c r="AI128" i="5"/>
  <c r="AH128" i="5"/>
  <c r="BJ127" i="5"/>
  <c r="BI127" i="5"/>
  <c r="BH127" i="5"/>
  <c r="BG127" i="5"/>
  <c r="BF127" i="5"/>
  <c r="BD127" i="5"/>
  <c r="BC127" i="5"/>
  <c r="BB127" i="5"/>
  <c r="BA127" i="5"/>
  <c r="AZ127" i="5"/>
  <c r="AX127" i="5"/>
  <c r="AW127" i="5"/>
  <c r="AV127" i="5"/>
  <c r="AU127" i="5"/>
  <c r="AT127" i="5"/>
  <c r="AR127" i="5"/>
  <c r="AQ127" i="5"/>
  <c r="AP127" i="5"/>
  <c r="AO127" i="5"/>
  <c r="AN127" i="5"/>
  <c r="AL127" i="5"/>
  <c r="AK127" i="5"/>
  <c r="AJ127" i="5"/>
  <c r="AI127" i="5"/>
  <c r="AH127" i="5"/>
  <c r="BJ126" i="5"/>
  <c r="BI126" i="5"/>
  <c r="BH126" i="5"/>
  <c r="BG126" i="5"/>
  <c r="BF126" i="5"/>
  <c r="BD126" i="5"/>
  <c r="BC126" i="5"/>
  <c r="BB126" i="5"/>
  <c r="BA126" i="5"/>
  <c r="AZ126" i="5"/>
  <c r="AX126" i="5"/>
  <c r="AW126" i="5"/>
  <c r="AV126" i="5"/>
  <c r="AU126" i="5"/>
  <c r="AT126" i="5"/>
  <c r="AR126" i="5"/>
  <c r="AQ126" i="5"/>
  <c r="AP126" i="5"/>
  <c r="AO126" i="5"/>
  <c r="AN126" i="5"/>
  <c r="AL126" i="5"/>
  <c r="AK126" i="5"/>
  <c r="AJ126" i="5"/>
  <c r="AI126" i="5"/>
  <c r="AH126" i="5"/>
  <c r="BJ125" i="5"/>
  <c r="BI125" i="5"/>
  <c r="BH125" i="5"/>
  <c r="BG125" i="5"/>
  <c r="BF125" i="5"/>
  <c r="BD125" i="5"/>
  <c r="BC125" i="5"/>
  <c r="BB125" i="5"/>
  <c r="BA125" i="5"/>
  <c r="AZ125" i="5"/>
  <c r="AX125" i="5"/>
  <c r="AW125" i="5"/>
  <c r="AV125" i="5"/>
  <c r="AU125" i="5"/>
  <c r="AT125" i="5"/>
  <c r="AR125" i="5"/>
  <c r="AQ125" i="5"/>
  <c r="AP125" i="5"/>
  <c r="AO125" i="5"/>
  <c r="AN125" i="5"/>
  <c r="AL125" i="5"/>
  <c r="AK125" i="5"/>
  <c r="AJ125" i="5"/>
  <c r="AI125" i="5"/>
  <c r="AH125" i="5"/>
  <c r="BJ124" i="5"/>
  <c r="BI124" i="5"/>
  <c r="BH124" i="5"/>
  <c r="BG124" i="5"/>
  <c r="BF124" i="5"/>
  <c r="BD124" i="5"/>
  <c r="BC124" i="5"/>
  <c r="BB124" i="5"/>
  <c r="BA124" i="5"/>
  <c r="AZ124" i="5"/>
  <c r="AX124" i="5"/>
  <c r="AW124" i="5"/>
  <c r="AV124" i="5"/>
  <c r="AU124" i="5"/>
  <c r="AT124" i="5"/>
  <c r="AR124" i="5"/>
  <c r="AQ124" i="5"/>
  <c r="AP124" i="5"/>
  <c r="AO124" i="5"/>
  <c r="AN124" i="5"/>
  <c r="AL124" i="5"/>
  <c r="AK124" i="5"/>
  <c r="AJ124" i="5"/>
  <c r="AI124" i="5"/>
  <c r="AH124" i="5"/>
  <c r="BJ123" i="5"/>
  <c r="BI123" i="5"/>
  <c r="BH123" i="5"/>
  <c r="BG123" i="5"/>
  <c r="BF123" i="5"/>
  <c r="BD123" i="5"/>
  <c r="BC123" i="5"/>
  <c r="BB123" i="5"/>
  <c r="BA123" i="5"/>
  <c r="AZ123" i="5"/>
  <c r="AX123" i="5"/>
  <c r="AW123" i="5"/>
  <c r="AV123" i="5"/>
  <c r="AU123" i="5"/>
  <c r="AT123" i="5"/>
  <c r="AR123" i="5"/>
  <c r="AQ123" i="5"/>
  <c r="AP123" i="5"/>
  <c r="AO123" i="5"/>
  <c r="AN123" i="5"/>
  <c r="AL123" i="5"/>
  <c r="AK123" i="5"/>
  <c r="AJ123" i="5"/>
  <c r="AI123" i="5"/>
  <c r="AH123" i="5"/>
  <c r="BJ122" i="5"/>
  <c r="BI122" i="5"/>
  <c r="BH122" i="5"/>
  <c r="BG122" i="5"/>
  <c r="BF122" i="5"/>
  <c r="BD122" i="5"/>
  <c r="BC122" i="5"/>
  <c r="BB122" i="5"/>
  <c r="BA122" i="5"/>
  <c r="AZ122" i="5"/>
  <c r="AX122" i="5"/>
  <c r="AW122" i="5"/>
  <c r="AV122" i="5"/>
  <c r="AU122" i="5"/>
  <c r="AT122" i="5"/>
  <c r="AR122" i="5"/>
  <c r="AQ122" i="5"/>
  <c r="AP122" i="5"/>
  <c r="AO122" i="5"/>
  <c r="AN122" i="5"/>
  <c r="AL122" i="5"/>
  <c r="AK122" i="5"/>
  <c r="AJ122" i="5"/>
  <c r="AI122" i="5"/>
  <c r="AH122" i="5"/>
  <c r="BJ121" i="5"/>
  <c r="BI121" i="5"/>
  <c r="BH121" i="5"/>
  <c r="BG121" i="5"/>
  <c r="BF121" i="5"/>
  <c r="BD121" i="5"/>
  <c r="BC121" i="5"/>
  <c r="BB121" i="5"/>
  <c r="BA121" i="5"/>
  <c r="AZ121" i="5"/>
  <c r="AX121" i="5"/>
  <c r="AW121" i="5"/>
  <c r="AV121" i="5"/>
  <c r="AU121" i="5"/>
  <c r="AT121" i="5"/>
  <c r="AR121" i="5"/>
  <c r="AQ121" i="5"/>
  <c r="AP121" i="5"/>
  <c r="AO121" i="5"/>
  <c r="AN121" i="5"/>
  <c r="AL121" i="5"/>
  <c r="AK121" i="5"/>
  <c r="AJ121" i="5"/>
  <c r="AI121" i="5"/>
  <c r="AH121" i="5"/>
  <c r="BJ120" i="5"/>
  <c r="BI120" i="5"/>
  <c r="BH120" i="5"/>
  <c r="BG120" i="5"/>
  <c r="BF120" i="5"/>
  <c r="BD120" i="5"/>
  <c r="BC120" i="5"/>
  <c r="BB120" i="5"/>
  <c r="BA130" i="5" s="1"/>
  <c r="BA120" i="5"/>
  <c r="AZ120" i="5"/>
  <c r="AX120" i="5"/>
  <c r="AW120" i="5"/>
  <c r="AV120" i="5"/>
  <c r="AU120" i="5"/>
  <c r="AT120" i="5"/>
  <c r="AR120" i="5"/>
  <c r="AQ120" i="5"/>
  <c r="AP120" i="5"/>
  <c r="AO120" i="5"/>
  <c r="AN120" i="5"/>
  <c r="AL120" i="5"/>
  <c r="AK120" i="5"/>
  <c r="AJ120" i="5"/>
  <c r="AI120" i="5"/>
  <c r="AH120" i="5"/>
  <c r="BF118" i="5"/>
  <c r="AZ118" i="5"/>
  <c r="AT118" i="5"/>
  <c r="AN118" i="5"/>
  <c r="AH118" i="5"/>
  <c r="BF117" i="5"/>
  <c r="AZ117" i="5"/>
  <c r="AT117" i="5"/>
  <c r="AN117" i="5"/>
  <c r="AH117" i="5"/>
  <c r="BH116" i="5"/>
  <c r="BB116" i="5"/>
  <c r="AV116" i="5"/>
  <c r="AP116" i="5"/>
  <c r="AJ116" i="5"/>
  <c r="L113" i="5"/>
  <c r="K113" i="5"/>
  <c r="J113" i="5"/>
  <c r="I113" i="5"/>
  <c r="H113" i="5"/>
  <c r="L112" i="5"/>
  <c r="K112" i="5"/>
  <c r="J112" i="5"/>
  <c r="I112" i="5"/>
  <c r="H112" i="5"/>
  <c r="L111" i="5"/>
  <c r="K111" i="5"/>
  <c r="J111" i="5"/>
  <c r="I111" i="5"/>
  <c r="H111" i="5"/>
  <c r="L110" i="5"/>
  <c r="K110" i="5"/>
  <c r="J110" i="5"/>
  <c r="I110" i="5"/>
  <c r="H110" i="5"/>
  <c r="L109" i="5"/>
  <c r="K109" i="5"/>
  <c r="J109" i="5"/>
  <c r="I109" i="5"/>
  <c r="H109" i="5"/>
  <c r="L108" i="5"/>
  <c r="K108" i="5"/>
  <c r="J108" i="5"/>
  <c r="I108" i="5"/>
  <c r="H108" i="5"/>
  <c r="L107" i="5"/>
  <c r="K107" i="5"/>
  <c r="J107" i="5"/>
  <c r="I107" i="5"/>
  <c r="H107" i="5"/>
  <c r="L106" i="5"/>
  <c r="K106" i="5"/>
  <c r="J106" i="5"/>
  <c r="I106" i="5"/>
  <c r="H106" i="5"/>
  <c r="L105" i="5"/>
  <c r="K105" i="5"/>
  <c r="J105" i="5"/>
  <c r="I105" i="5"/>
  <c r="H105" i="5"/>
  <c r="L104" i="5"/>
  <c r="K104" i="5"/>
  <c r="J104" i="5"/>
  <c r="I104" i="5"/>
  <c r="H104" i="5"/>
  <c r="L103" i="5"/>
  <c r="K103" i="5"/>
  <c r="J103" i="5"/>
  <c r="I103" i="5"/>
  <c r="H103" i="5"/>
  <c r="L102" i="5"/>
  <c r="K102" i="5"/>
  <c r="J102" i="5"/>
  <c r="I102" i="5"/>
  <c r="H102" i="5"/>
  <c r="L101" i="5"/>
  <c r="K101" i="5"/>
  <c r="J101" i="5"/>
  <c r="I101" i="5"/>
  <c r="H101" i="5"/>
  <c r="L100" i="5"/>
  <c r="K100" i="5"/>
  <c r="J100" i="5"/>
  <c r="I100" i="5"/>
  <c r="H100" i="5"/>
  <c r="L99" i="5"/>
  <c r="K99" i="5"/>
  <c r="J99" i="5"/>
  <c r="I99" i="5"/>
  <c r="H99" i="5"/>
  <c r="L98" i="5"/>
  <c r="K98" i="5"/>
  <c r="J98" i="5"/>
  <c r="I98" i="5"/>
  <c r="H98" i="5"/>
  <c r="L97" i="5"/>
  <c r="K97" i="5"/>
  <c r="J97" i="5"/>
  <c r="I97" i="5"/>
  <c r="H97" i="5"/>
  <c r="L96" i="5"/>
  <c r="K96" i="5"/>
  <c r="J96" i="5"/>
  <c r="I96" i="5"/>
  <c r="H96" i="5"/>
  <c r="L95" i="5"/>
  <c r="K95" i="5"/>
  <c r="J95" i="5"/>
  <c r="I95" i="5"/>
  <c r="H95" i="5"/>
  <c r="L94" i="5"/>
  <c r="K94" i="5"/>
  <c r="J94" i="5"/>
  <c r="I94" i="5"/>
  <c r="H94" i="5"/>
  <c r="L93" i="5"/>
  <c r="K93" i="5"/>
  <c r="J93" i="5"/>
  <c r="I93" i="5"/>
  <c r="H93" i="5"/>
  <c r="L92" i="5"/>
  <c r="K92" i="5"/>
  <c r="J92" i="5"/>
  <c r="I92" i="5"/>
  <c r="H92" i="5"/>
  <c r="L91" i="5"/>
  <c r="K91" i="5"/>
  <c r="J91" i="5"/>
  <c r="I91" i="5"/>
  <c r="H91" i="5"/>
  <c r="L90" i="5"/>
  <c r="K90" i="5"/>
  <c r="J90" i="5"/>
  <c r="I90" i="5"/>
  <c r="H90" i="5"/>
  <c r="L89" i="5"/>
  <c r="K89" i="5"/>
  <c r="J89" i="5"/>
  <c r="I89" i="5"/>
  <c r="H89" i="5"/>
  <c r="L88" i="5"/>
  <c r="K88" i="5"/>
  <c r="J88" i="5"/>
  <c r="I88" i="5"/>
  <c r="H88" i="5"/>
  <c r="L87" i="5"/>
  <c r="K87" i="5"/>
  <c r="J87" i="5"/>
  <c r="I87" i="5"/>
  <c r="H87" i="5"/>
  <c r="L86" i="5"/>
  <c r="K86" i="5"/>
  <c r="J86" i="5"/>
  <c r="I86" i="5"/>
  <c r="H86" i="5"/>
  <c r="L85" i="5"/>
  <c r="K85" i="5"/>
  <c r="J85" i="5"/>
  <c r="I85" i="5"/>
  <c r="H85" i="5"/>
  <c r="L84" i="5"/>
  <c r="K84" i="5"/>
  <c r="J84" i="5"/>
  <c r="I84" i="5"/>
  <c r="H84" i="5"/>
  <c r="L83" i="5"/>
  <c r="K83" i="5"/>
  <c r="J83" i="5"/>
  <c r="I83" i="5"/>
  <c r="H83" i="5"/>
  <c r="L82" i="5"/>
  <c r="K82" i="5"/>
  <c r="J82" i="5"/>
  <c r="I82" i="5"/>
  <c r="H82" i="5"/>
  <c r="L81" i="5"/>
  <c r="K81" i="5"/>
  <c r="J81" i="5"/>
  <c r="I81" i="5"/>
  <c r="H81" i="5"/>
  <c r="L80" i="5"/>
  <c r="K80" i="5"/>
  <c r="J80" i="5"/>
  <c r="I80" i="5"/>
  <c r="H80" i="5"/>
  <c r="L79" i="5"/>
  <c r="K79" i="5"/>
  <c r="J79" i="5"/>
  <c r="I79" i="5"/>
  <c r="H79" i="5"/>
  <c r="L78" i="5"/>
  <c r="K78" i="5"/>
  <c r="J78" i="5"/>
  <c r="I78" i="5"/>
  <c r="H78" i="5"/>
  <c r="L77" i="5"/>
  <c r="K77" i="5"/>
  <c r="J77" i="5"/>
  <c r="I77" i="5"/>
  <c r="H77" i="5"/>
  <c r="L76" i="5"/>
  <c r="K76" i="5"/>
  <c r="J76" i="5"/>
  <c r="I76" i="5"/>
  <c r="H76" i="5"/>
  <c r="L75" i="5"/>
  <c r="K75" i="5"/>
  <c r="J75" i="5"/>
  <c r="I75" i="5"/>
  <c r="H75" i="5"/>
  <c r="L74" i="5"/>
  <c r="K74" i="5"/>
  <c r="J74" i="5"/>
  <c r="I74" i="5"/>
  <c r="H74" i="5"/>
  <c r="L73" i="5"/>
  <c r="K73" i="5"/>
  <c r="J73" i="5"/>
  <c r="I73" i="5"/>
  <c r="H73" i="5"/>
  <c r="L72" i="5"/>
  <c r="K72" i="5"/>
  <c r="J72" i="5"/>
  <c r="I72" i="5"/>
  <c r="H72" i="5"/>
  <c r="L71" i="5"/>
  <c r="K71" i="5"/>
  <c r="J71" i="5"/>
  <c r="I71" i="5"/>
  <c r="H71" i="5"/>
  <c r="L70" i="5"/>
  <c r="K70" i="5"/>
  <c r="J70" i="5"/>
  <c r="I70" i="5"/>
  <c r="H70" i="5"/>
  <c r="L69" i="5"/>
  <c r="K69" i="5"/>
  <c r="J69" i="5"/>
  <c r="I69" i="5"/>
  <c r="H69" i="5"/>
  <c r="L68" i="5"/>
  <c r="K68" i="5"/>
  <c r="J68" i="5"/>
  <c r="I68" i="5"/>
  <c r="H68" i="5"/>
  <c r="L67" i="5"/>
  <c r="K67" i="5"/>
  <c r="J67" i="5"/>
  <c r="I67" i="5"/>
  <c r="H67" i="5"/>
  <c r="L66" i="5"/>
  <c r="K66" i="5"/>
  <c r="J66" i="5"/>
  <c r="I66" i="5"/>
  <c r="H66" i="5"/>
  <c r="L65" i="5"/>
  <c r="K65" i="5"/>
  <c r="J65" i="5"/>
  <c r="I65" i="5"/>
  <c r="H65" i="5"/>
  <c r="L64" i="5"/>
  <c r="K64" i="5"/>
  <c r="J64" i="5"/>
  <c r="I64" i="5"/>
  <c r="H64" i="5"/>
  <c r="L63" i="5"/>
  <c r="K63" i="5"/>
  <c r="J63" i="5"/>
  <c r="I63" i="5"/>
  <c r="H63" i="5"/>
  <c r="L62" i="5"/>
  <c r="K62" i="5"/>
  <c r="J62" i="5"/>
  <c r="I62" i="5"/>
  <c r="H62" i="5"/>
  <c r="L61" i="5"/>
  <c r="K61" i="5"/>
  <c r="J61" i="5"/>
  <c r="I61" i="5"/>
  <c r="H61" i="5"/>
  <c r="L60" i="5"/>
  <c r="K60" i="5"/>
  <c r="J60" i="5"/>
  <c r="I60" i="5"/>
  <c r="H60" i="5"/>
  <c r="L59" i="5"/>
  <c r="K59" i="5"/>
  <c r="J59" i="5"/>
  <c r="I59" i="5"/>
  <c r="H59" i="5"/>
  <c r="L58" i="5"/>
  <c r="K58" i="5"/>
  <c r="J58" i="5"/>
  <c r="I58" i="5"/>
  <c r="H58" i="5"/>
  <c r="L57" i="5"/>
  <c r="K57" i="5"/>
  <c r="J57" i="5"/>
  <c r="I57" i="5"/>
  <c r="H57" i="5"/>
  <c r="L56" i="5"/>
  <c r="K56" i="5"/>
  <c r="J56" i="5"/>
  <c r="I56" i="5"/>
  <c r="H56" i="5"/>
  <c r="L55" i="5"/>
  <c r="K55" i="5"/>
  <c r="J55" i="5"/>
  <c r="I55" i="5"/>
  <c r="H55" i="5"/>
  <c r="L54" i="5"/>
  <c r="K54" i="5"/>
  <c r="J54" i="5"/>
  <c r="I54" i="5"/>
  <c r="H54" i="5"/>
  <c r="L53" i="5"/>
  <c r="K53" i="5"/>
  <c r="J53" i="5"/>
  <c r="I53" i="5"/>
  <c r="H53" i="5"/>
  <c r="L52" i="5"/>
  <c r="K52" i="5"/>
  <c r="J52" i="5"/>
  <c r="I52" i="5"/>
  <c r="H52" i="5"/>
  <c r="L51" i="5"/>
  <c r="K51" i="5"/>
  <c r="J51" i="5"/>
  <c r="I51" i="5"/>
  <c r="H51" i="5"/>
  <c r="L50" i="5"/>
  <c r="K50" i="5"/>
  <c r="J50" i="5"/>
  <c r="I50" i="5"/>
  <c r="H50" i="5"/>
  <c r="L49" i="5"/>
  <c r="K49" i="5"/>
  <c r="J49" i="5"/>
  <c r="I49" i="5"/>
  <c r="H49" i="5"/>
  <c r="L48" i="5"/>
  <c r="K48" i="5"/>
  <c r="J48" i="5"/>
  <c r="I48" i="5"/>
  <c r="H48" i="5"/>
  <c r="L47" i="5"/>
  <c r="K47" i="5"/>
  <c r="J47" i="5"/>
  <c r="I47" i="5"/>
  <c r="H47" i="5"/>
  <c r="L46" i="5"/>
  <c r="K46" i="5"/>
  <c r="J46" i="5"/>
  <c r="I46" i="5"/>
  <c r="H46" i="5"/>
  <c r="L45" i="5"/>
  <c r="K45" i="5"/>
  <c r="J45" i="5"/>
  <c r="I45" i="5"/>
  <c r="H45" i="5"/>
  <c r="L44" i="5"/>
  <c r="K44" i="5"/>
  <c r="J44" i="5"/>
  <c r="I44" i="5"/>
  <c r="H44" i="5"/>
  <c r="L43" i="5"/>
  <c r="K43" i="5"/>
  <c r="J43" i="5"/>
  <c r="I43" i="5"/>
  <c r="H43" i="5"/>
  <c r="L42" i="5"/>
  <c r="K42" i="5"/>
  <c r="J42" i="5"/>
  <c r="I42" i="5"/>
  <c r="H42" i="5"/>
  <c r="L41" i="5"/>
  <c r="K41" i="5"/>
  <c r="J41" i="5"/>
  <c r="I41" i="5"/>
  <c r="H41" i="5"/>
  <c r="L40" i="5"/>
  <c r="K40" i="5"/>
  <c r="J40" i="5"/>
  <c r="I40" i="5"/>
  <c r="H40" i="5"/>
  <c r="L39" i="5"/>
  <c r="K39" i="5"/>
  <c r="J39" i="5"/>
  <c r="I39" i="5"/>
  <c r="H39" i="5"/>
  <c r="L38" i="5"/>
  <c r="K38" i="5"/>
  <c r="J38" i="5"/>
  <c r="I38" i="5"/>
  <c r="H38" i="5"/>
  <c r="L37" i="5"/>
  <c r="K37" i="5"/>
  <c r="J37" i="5"/>
  <c r="I37" i="5"/>
  <c r="H37" i="5"/>
  <c r="L36" i="5"/>
  <c r="K36" i="5"/>
  <c r="J36" i="5"/>
  <c r="I36" i="5"/>
  <c r="H36" i="5"/>
  <c r="L35" i="5"/>
  <c r="K35" i="5"/>
  <c r="J35" i="5"/>
  <c r="I35" i="5"/>
  <c r="H35" i="5"/>
  <c r="L34" i="5"/>
  <c r="K34" i="5"/>
  <c r="J34" i="5"/>
  <c r="I34" i="5"/>
  <c r="H34" i="5"/>
  <c r="L33" i="5"/>
  <c r="K33" i="5"/>
  <c r="J33" i="5"/>
  <c r="I33" i="5"/>
  <c r="H33" i="5"/>
  <c r="L32" i="5"/>
  <c r="K32" i="5"/>
  <c r="J32" i="5"/>
  <c r="I32" i="5"/>
  <c r="H32" i="5"/>
  <c r="L31" i="5"/>
  <c r="K31" i="5"/>
  <c r="J31" i="5"/>
  <c r="I31" i="5"/>
  <c r="H31" i="5"/>
  <c r="L30" i="5"/>
  <c r="K30" i="5"/>
  <c r="J30" i="5"/>
  <c r="I30" i="5"/>
  <c r="H30" i="5"/>
  <c r="L29" i="5"/>
  <c r="K29" i="5"/>
  <c r="J29" i="5"/>
  <c r="I29" i="5"/>
  <c r="H29" i="5"/>
  <c r="L28" i="5"/>
  <c r="K28" i="5"/>
  <c r="J28" i="5"/>
  <c r="I28" i="5"/>
  <c r="H28" i="5"/>
  <c r="L27" i="5"/>
  <c r="K27" i="5"/>
  <c r="J27" i="5"/>
  <c r="I27" i="5"/>
  <c r="H27" i="5"/>
  <c r="L26" i="5"/>
  <c r="K26" i="5"/>
  <c r="J26" i="5"/>
  <c r="I26" i="5"/>
  <c r="H26" i="5"/>
  <c r="L25" i="5"/>
  <c r="K25" i="5"/>
  <c r="J25" i="5"/>
  <c r="I25" i="5"/>
  <c r="H25" i="5"/>
  <c r="L24" i="5"/>
  <c r="K24" i="5"/>
  <c r="J24" i="5"/>
  <c r="I24" i="5"/>
  <c r="H24" i="5"/>
  <c r="BD23" i="5"/>
  <c r="BJ154" i="5" s="1"/>
  <c r="AY23" i="5"/>
  <c r="AW23" i="5"/>
  <c r="BH156" i="5" s="1"/>
  <c r="AU23" i="5"/>
  <c r="BF156" i="5" s="1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AX23" i="5" s="1"/>
  <c r="R23" i="5"/>
  <c r="Q23" i="5"/>
  <c r="P23" i="5"/>
  <c r="O23" i="5"/>
  <c r="L23" i="5"/>
  <c r="K23" i="5"/>
  <c r="J23" i="5"/>
  <c r="I23" i="5"/>
  <c r="H23" i="5"/>
  <c r="BD22" i="5"/>
  <c r="BD154" i="5" s="1"/>
  <c r="AU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L22" i="5"/>
  <c r="K22" i="5"/>
  <c r="J22" i="5"/>
  <c r="I22" i="5"/>
  <c r="H22" i="5"/>
  <c r="AV21" i="5"/>
  <c r="AU156" i="5" s="1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BD21" i="5" s="1"/>
  <c r="AX154" i="5" s="1"/>
  <c r="X21" i="5"/>
  <c r="W21" i="5"/>
  <c r="V21" i="5"/>
  <c r="U21" i="5"/>
  <c r="T21" i="5"/>
  <c r="S21" i="5"/>
  <c r="R21" i="5"/>
  <c r="Q21" i="5"/>
  <c r="P21" i="5"/>
  <c r="O21" i="5"/>
  <c r="L21" i="5"/>
  <c r="K21" i="5"/>
  <c r="J21" i="5"/>
  <c r="I21" i="5"/>
  <c r="H21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AV20" i="5" s="1"/>
  <c r="AO156" i="5" s="1"/>
  <c r="R20" i="5"/>
  <c r="Q20" i="5"/>
  <c r="P20" i="5"/>
  <c r="O20" i="5"/>
  <c r="L20" i="5"/>
  <c r="K20" i="5"/>
  <c r="J20" i="5"/>
  <c r="I20" i="5"/>
  <c r="H20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BD19" i="5" s="1"/>
  <c r="AL154" i="5" s="1"/>
  <c r="X19" i="5"/>
  <c r="W19" i="5"/>
  <c r="V19" i="5"/>
  <c r="U19" i="5"/>
  <c r="T19" i="5"/>
  <c r="S19" i="5"/>
  <c r="AU19" i="5" s="1"/>
  <c r="AH156" i="5" s="1"/>
  <c r="R19" i="5"/>
  <c r="Q19" i="5"/>
  <c r="P19" i="5"/>
  <c r="O19" i="5"/>
  <c r="L19" i="5"/>
  <c r="K19" i="5"/>
  <c r="J19" i="5"/>
  <c r="I19" i="5"/>
  <c r="H19" i="5"/>
  <c r="AV18" i="5"/>
  <c r="BG135" i="5" s="1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AX18" i="5" s="1"/>
  <c r="BI135" i="5" s="1"/>
  <c r="U18" i="5"/>
  <c r="T18" i="5"/>
  <c r="S18" i="5"/>
  <c r="R18" i="5"/>
  <c r="Q18" i="5"/>
  <c r="P18" i="5"/>
  <c r="O18" i="5"/>
  <c r="L18" i="5"/>
  <c r="K18" i="5"/>
  <c r="J18" i="5"/>
  <c r="I18" i="5"/>
  <c r="H18" i="5"/>
  <c r="AY17" i="5"/>
  <c r="BD135" i="5" s="1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L17" i="5"/>
  <c r="K17" i="5"/>
  <c r="J17" i="5"/>
  <c r="I17" i="5"/>
  <c r="M127" i="5" s="1"/>
  <c r="H17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L16" i="5"/>
  <c r="K16" i="5"/>
  <c r="J16" i="5"/>
  <c r="I16" i="5"/>
  <c r="H16" i="5"/>
  <c r="AY15" i="5"/>
  <c r="AR135" i="5" s="1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BD15" i="5" s="1"/>
  <c r="AR133" i="5" s="1"/>
  <c r="X15" i="5"/>
  <c r="W15" i="5"/>
  <c r="V15" i="5"/>
  <c r="U15" i="5"/>
  <c r="T15" i="5"/>
  <c r="S15" i="5"/>
  <c r="R15" i="5"/>
  <c r="Q15" i="5"/>
  <c r="P15" i="5"/>
  <c r="O15" i="5"/>
  <c r="L15" i="5"/>
  <c r="K15" i="5"/>
  <c r="J15" i="5"/>
  <c r="I15" i="5"/>
  <c r="H15" i="5"/>
  <c r="AU14" i="5"/>
  <c r="AH135" i="5" s="1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AW14" i="5" s="1"/>
  <c r="AJ135" i="5" s="1"/>
  <c r="U14" i="5"/>
  <c r="BB16" i="5" s="1"/>
  <c r="AV133" i="5" s="1"/>
  <c r="T14" i="5"/>
  <c r="S14" i="5"/>
  <c r="R14" i="5"/>
  <c r="Q14" i="5"/>
  <c r="P14" i="5"/>
  <c r="O14" i="5"/>
  <c r="L14" i="5"/>
  <c r="K14" i="5"/>
  <c r="J14" i="5"/>
  <c r="I14" i="5"/>
  <c r="H14" i="5"/>
  <c r="BT2" i="5"/>
  <c r="AK130" i="5" s="1"/>
  <c r="AK158" i="23"/>
  <c r="BI152" i="23"/>
  <c r="BG152" i="23"/>
  <c r="BC152" i="23"/>
  <c r="BA152" i="23"/>
  <c r="AW152" i="23"/>
  <c r="AU152" i="23"/>
  <c r="AQ152" i="23"/>
  <c r="AO152" i="23"/>
  <c r="AK152" i="23"/>
  <c r="AI152" i="23"/>
  <c r="BI151" i="23"/>
  <c r="BF151" i="23"/>
  <c r="BC151" i="23"/>
  <c r="AZ151" i="23"/>
  <c r="AW151" i="23"/>
  <c r="AT151" i="23"/>
  <c r="AQ151" i="23"/>
  <c r="AN151" i="23"/>
  <c r="AK151" i="23"/>
  <c r="AH151" i="23"/>
  <c r="BJ150" i="23"/>
  <c r="BI150" i="23"/>
  <c r="BH150" i="23"/>
  <c r="BG150" i="23"/>
  <c r="BF150" i="23"/>
  <c r="BD150" i="23"/>
  <c r="BC150" i="23"/>
  <c r="BB150" i="23"/>
  <c r="BA150" i="23"/>
  <c r="AZ150" i="23"/>
  <c r="AX150" i="23"/>
  <c r="AW150" i="23"/>
  <c r="AV150" i="23"/>
  <c r="AU150" i="23"/>
  <c r="AT150" i="23"/>
  <c r="AR150" i="23"/>
  <c r="AQ150" i="23"/>
  <c r="AP150" i="23"/>
  <c r="AO150" i="23"/>
  <c r="AN150" i="23"/>
  <c r="AL150" i="23"/>
  <c r="AK150" i="23"/>
  <c r="AJ150" i="23"/>
  <c r="AI150" i="23"/>
  <c r="AH150" i="23"/>
  <c r="BJ149" i="23"/>
  <c r="BI149" i="23"/>
  <c r="BH149" i="23"/>
  <c r="BG149" i="23"/>
  <c r="BF149" i="23"/>
  <c r="BD149" i="23"/>
  <c r="BC149" i="23"/>
  <c r="BB149" i="23"/>
  <c r="BA149" i="23"/>
  <c r="AZ149" i="23"/>
  <c r="AX149" i="23"/>
  <c r="AW149" i="23"/>
  <c r="AV149" i="23"/>
  <c r="AU149" i="23"/>
  <c r="AU151" i="23" s="1"/>
  <c r="AT149" i="23"/>
  <c r="AR149" i="23"/>
  <c r="AQ149" i="23"/>
  <c r="AP149" i="23"/>
  <c r="AO149" i="23"/>
  <c r="AN149" i="23"/>
  <c r="AL149" i="23"/>
  <c r="AK149" i="23"/>
  <c r="AJ149" i="23"/>
  <c r="AI149" i="23"/>
  <c r="AH149" i="23"/>
  <c r="AD149" i="23"/>
  <c r="AU158" i="23" s="1"/>
  <c r="BJ148" i="23"/>
  <c r="BI148" i="23"/>
  <c r="BH148" i="23"/>
  <c r="BG148" i="23"/>
  <c r="BF148" i="23"/>
  <c r="BD148" i="23"/>
  <c r="BC148" i="23"/>
  <c r="BB148" i="23"/>
  <c r="BA148" i="23"/>
  <c r="AZ148" i="23"/>
  <c r="AX148" i="23"/>
  <c r="AW148" i="23"/>
  <c r="AV148" i="23"/>
  <c r="AU148" i="23"/>
  <c r="AT148" i="23"/>
  <c r="AR148" i="23"/>
  <c r="AQ148" i="23"/>
  <c r="AP148" i="23"/>
  <c r="AO148" i="23"/>
  <c r="AN148" i="23"/>
  <c r="AL148" i="23"/>
  <c r="AK148" i="23"/>
  <c r="AJ148" i="23"/>
  <c r="AI148" i="23"/>
  <c r="AH148" i="23"/>
  <c r="BJ147" i="23"/>
  <c r="BI147" i="23"/>
  <c r="BH147" i="23"/>
  <c r="BG147" i="23"/>
  <c r="BF147" i="23"/>
  <c r="BD147" i="23"/>
  <c r="BC147" i="23"/>
  <c r="BB147" i="23"/>
  <c r="BA147" i="23"/>
  <c r="AZ147" i="23"/>
  <c r="AX147" i="23"/>
  <c r="AW147" i="23"/>
  <c r="AV147" i="23"/>
  <c r="AU147" i="23"/>
  <c r="AT147" i="23"/>
  <c r="AR147" i="23"/>
  <c r="AQ147" i="23"/>
  <c r="AP147" i="23"/>
  <c r="AO147" i="23"/>
  <c r="AN147" i="23"/>
  <c r="AL147" i="23"/>
  <c r="AK147" i="23"/>
  <c r="AJ147" i="23"/>
  <c r="AI147" i="23"/>
  <c r="AH147" i="23"/>
  <c r="BJ146" i="23"/>
  <c r="BI146" i="23"/>
  <c r="BH146" i="23"/>
  <c r="BG146" i="23"/>
  <c r="BF146" i="23"/>
  <c r="BD146" i="23"/>
  <c r="BC146" i="23"/>
  <c r="BB146" i="23"/>
  <c r="BA146" i="23"/>
  <c r="AZ146" i="23"/>
  <c r="AX146" i="23"/>
  <c r="AW146" i="23"/>
  <c r="AV146" i="23"/>
  <c r="AU146" i="23"/>
  <c r="AT146" i="23"/>
  <c r="AR146" i="23"/>
  <c r="AQ146" i="23"/>
  <c r="AP146" i="23"/>
  <c r="AO146" i="23"/>
  <c r="AN146" i="23"/>
  <c r="AL146" i="23"/>
  <c r="AK146" i="23"/>
  <c r="AJ146" i="23"/>
  <c r="AI146" i="23"/>
  <c r="AH146" i="23"/>
  <c r="BJ145" i="23"/>
  <c r="BI145" i="23"/>
  <c r="BH145" i="23"/>
  <c r="BG145" i="23"/>
  <c r="BF145" i="23"/>
  <c r="BD145" i="23"/>
  <c r="BC145" i="23"/>
  <c r="BB145" i="23"/>
  <c r="BA145" i="23"/>
  <c r="AZ145" i="23"/>
  <c r="AX145" i="23"/>
  <c r="AW145" i="23"/>
  <c r="AV145" i="23"/>
  <c r="AU145" i="23"/>
  <c r="AT145" i="23"/>
  <c r="AR145" i="23"/>
  <c r="AQ145" i="23"/>
  <c r="AP145" i="23"/>
  <c r="AO145" i="23"/>
  <c r="AN145" i="23"/>
  <c r="AL145" i="23"/>
  <c r="AK145" i="23"/>
  <c r="AJ145" i="23"/>
  <c r="AI145" i="23"/>
  <c r="AH145" i="23"/>
  <c r="BJ144" i="23"/>
  <c r="BI144" i="23"/>
  <c r="BH144" i="23"/>
  <c r="BG144" i="23"/>
  <c r="BF144" i="23"/>
  <c r="BD144" i="23"/>
  <c r="BC144" i="23"/>
  <c r="BB144" i="23"/>
  <c r="BA144" i="23"/>
  <c r="AZ144" i="23"/>
  <c r="AX144" i="23"/>
  <c r="AW144" i="23"/>
  <c r="AV144" i="23"/>
  <c r="AU144" i="23"/>
  <c r="AT144" i="23"/>
  <c r="AR144" i="23"/>
  <c r="AQ144" i="23"/>
  <c r="AP144" i="23"/>
  <c r="AO144" i="23"/>
  <c r="AN144" i="23"/>
  <c r="AL144" i="23"/>
  <c r="AK144" i="23"/>
  <c r="AJ144" i="23"/>
  <c r="AI144" i="23"/>
  <c r="AH144" i="23"/>
  <c r="BJ143" i="23"/>
  <c r="BI143" i="23"/>
  <c r="BH143" i="23"/>
  <c r="BG143" i="23"/>
  <c r="BF143" i="23"/>
  <c r="BD143" i="23"/>
  <c r="BC143" i="23"/>
  <c r="BB143" i="23"/>
  <c r="BA143" i="23"/>
  <c r="AZ143" i="23"/>
  <c r="AX143" i="23"/>
  <c r="AW143" i="23"/>
  <c r="AV143" i="23"/>
  <c r="AU143" i="23"/>
  <c r="AT143" i="23"/>
  <c r="AR143" i="23"/>
  <c r="AQ143" i="23"/>
  <c r="AP143" i="23"/>
  <c r="AO143" i="23"/>
  <c r="AN143" i="23"/>
  <c r="AL143" i="23"/>
  <c r="AK143" i="23"/>
  <c r="AJ143" i="23"/>
  <c r="AI143" i="23"/>
  <c r="AH143" i="23"/>
  <c r="BJ142" i="23"/>
  <c r="BI142" i="23"/>
  <c r="BH142" i="23"/>
  <c r="BG142" i="23"/>
  <c r="BF142" i="23"/>
  <c r="BD142" i="23"/>
  <c r="BC142" i="23"/>
  <c r="BB142" i="23"/>
  <c r="BA142" i="23"/>
  <c r="AZ142" i="23"/>
  <c r="AX142" i="23"/>
  <c r="AW142" i="23"/>
  <c r="AV142" i="23"/>
  <c r="AU142" i="23"/>
  <c r="AT142" i="23"/>
  <c r="AR142" i="23"/>
  <c r="AQ142" i="23"/>
  <c r="AP142" i="23"/>
  <c r="AO142" i="23"/>
  <c r="AO151" i="23" s="1"/>
  <c r="AN142" i="23"/>
  <c r="AL142" i="23"/>
  <c r="AK142" i="23"/>
  <c r="AJ142" i="23"/>
  <c r="AI142" i="23"/>
  <c r="AH142" i="23"/>
  <c r="BJ141" i="23"/>
  <c r="BI141" i="23"/>
  <c r="BH141" i="23"/>
  <c r="BG141" i="23"/>
  <c r="BF141" i="23"/>
  <c r="BD141" i="23"/>
  <c r="BC141" i="23"/>
  <c r="BB141" i="23"/>
  <c r="BA141" i="23"/>
  <c r="BA151" i="23" s="1"/>
  <c r="AZ141" i="23"/>
  <c r="AX141" i="23"/>
  <c r="AW141" i="23"/>
  <c r="AV141" i="23"/>
  <c r="AU141" i="23"/>
  <c r="AT141" i="23"/>
  <c r="AR141" i="23"/>
  <c r="AQ141" i="23"/>
  <c r="AP141" i="23"/>
  <c r="AO141" i="23"/>
  <c r="AN141" i="23"/>
  <c r="AL141" i="23"/>
  <c r="AK141" i="23"/>
  <c r="AJ141" i="23"/>
  <c r="AI141" i="23"/>
  <c r="AI151" i="23" s="1"/>
  <c r="AH141" i="23"/>
  <c r="BF139" i="23"/>
  <c r="AZ139" i="23"/>
  <c r="AT139" i="23"/>
  <c r="AO139" i="23"/>
  <c r="AN139" i="23"/>
  <c r="AH139" i="23"/>
  <c r="BF138" i="23"/>
  <c r="AZ138" i="23"/>
  <c r="AT138" i="23"/>
  <c r="AO138" i="23"/>
  <c r="AN138" i="23"/>
  <c r="AH138" i="23"/>
  <c r="AA138" i="23"/>
  <c r="BH137" i="23"/>
  <c r="BB137" i="23"/>
  <c r="AV137" i="23"/>
  <c r="AP137" i="23"/>
  <c r="AJ137" i="23"/>
  <c r="AB136" i="23"/>
  <c r="R135" i="23"/>
  <c r="BI131" i="23"/>
  <c r="BG131" i="23"/>
  <c r="BC131" i="23"/>
  <c r="BA131" i="23"/>
  <c r="AW131" i="23"/>
  <c r="AU131" i="23"/>
  <c r="AQ131" i="23"/>
  <c r="AO131" i="23"/>
  <c r="AK131" i="23"/>
  <c r="AI131" i="23"/>
  <c r="BI130" i="23"/>
  <c r="BF130" i="23"/>
  <c r="BC130" i="23"/>
  <c r="AZ130" i="23"/>
  <c r="AW130" i="23"/>
  <c r="AU130" i="23"/>
  <c r="AT130" i="23"/>
  <c r="AQ130" i="23"/>
  <c r="AN130" i="23"/>
  <c r="AK130" i="23"/>
  <c r="AH130" i="23"/>
  <c r="BJ129" i="23"/>
  <c r="BI129" i="23"/>
  <c r="BH129" i="23"/>
  <c r="BG129" i="23"/>
  <c r="BF129" i="23"/>
  <c r="BD129" i="23"/>
  <c r="BC129" i="23"/>
  <c r="BB129" i="23"/>
  <c r="BA129" i="23"/>
  <c r="AZ129" i="23"/>
  <c r="AX129" i="23"/>
  <c r="AW129" i="23"/>
  <c r="AV129" i="23"/>
  <c r="AU129" i="23"/>
  <c r="AT129" i="23"/>
  <c r="AR129" i="23"/>
  <c r="AQ129" i="23"/>
  <c r="AP129" i="23"/>
  <c r="AO129" i="23"/>
  <c r="AN129" i="23"/>
  <c r="AL129" i="23"/>
  <c r="AK129" i="23"/>
  <c r="AJ129" i="23"/>
  <c r="AI129" i="23"/>
  <c r="AH129" i="23"/>
  <c r="BJ128" i="23"/>
  <c r="BI128" i="23"/>
  <c r="BH128" i="23"/>
  <c r="BG128" i="23"/>
  <c r="BF128" i="23"/>
  <c r="BD128" i="23"/>
  <c r="BC128" i="23"/>
  <c r="BB128" i="23"/>
  <c r="BA128" i="23"/>
  <c r="AZ128" i="23"/>
  <c r="AX128" i="23"/>
  <c r="AW128" i="23"/>
  <c r="AV128" i="23"/>
  <c r="AU128" i="23"/>
  <c r="AT128" i="23"/>
  <c r="AR128" i="23"/>
  <c r="AQ128" i="23"/>
  <c r="AP128" i="23"/>
  <c r="AO128" i="23"/>
  <c r="AN128" i="23"/>
  <c r="AL128" i="23"/>
  <c r="AK128" i="23"/>
  <c r="AJ128" i="23"/>
  <c r="AI128" i="23"/>
  <c r="AH128" i="23"/>
  <c r="BJ127" i="23"/>
  <c r="BI127" i="23"/>
  <c r="BH127" i="23"/>
  <c r="BG127" i="23"/>
  <c r="BF127" i="23"/>
  <c r="BD127" i="23"/>
  <c r="BC127" i="23"/>
  <c r="BB127" i="23"/>
  <c r="BA127" i="23"/>
  <c r="AZ127" i="23"/>
  <c r="AX127" i="23"/>
  <c r="AW127" i="23"/>
  <c r="AV127" i="23"/>
  <c r="AU127" i="23"/>
  <c r="AT127" i="23"/>
  <c r="AR127" i="23"/>
  <c r="AQ127" i="23"/>
  <c r="AP127" i="23"/>
  <c r="AO127" i="23"/>
  <c r="AN127" i="23"/>
  <c r="AL127" i="23"/>
  <c r="AK127" i="23"/>
  <c r="AJ127" i="23"/>
  <c r="AI127" i="23"/>
  <c r="AH127" i="23"/>
  <c r="L127" i="23"/>
  <c r="BJ126" i="23"/>
  <c r="BI126" i="23"/>
  <c r="BH126" i="23"/>
  <c r="BG126" i="23"/>
  <c r="BF126" i="23"/>
  <c r="BD126" i="23"/>
  <c r="BC126" i="23"/>
  <c r="BB126" i="23"/>
  <c r="BA126" i="23"/>
  <c r="AZ126" i="23"/>
  <c r="AX126" i="23"/>
  <c r="AW126" i="23"/>
  <c r="AV126" i="23"/>
  <c r="AU126" i="23"/>
  <c r="AT126" i="23"/>
  <c r="AR126" i="23"/>
  <c r="AQ126" i="23"/>
  <c r="AP126" i="23"/>
  <c r="AO126" i="23"/>
  <c r="AN126" i="23"/>
  <c r="AL126" i="23"/>
  <c r="AK126" i="23"/>
  <c r="AJ126" i="23"/>
  <c r="AI126" i="23"/>
  <c r="AH126" i="23"/>
  <c r="BJ125" i="23"/>
  <c r="BI125" i="23"/>
  <c r="BH125" i="23"/>
  <c r="BG125" i="23"/>
  <c r="BF125" i="23"/>
  <c r="BD125" i="23"/>
  <c r="BC125" i="23"/>
  <c r="BB125" i="23"/>
  <c r="BA125" i="23"/>
  <c r="AZ125" i="23"/>
  <c r="AX125" i="23"/>
  <c r="AW125" i="23"/>
  <c r="AV125" i="23"/>
  <c r="AU125" i="23"/>
  <c r="AT125" i="23"/>
  <c r="AR125" i="23"/>
  <c r="AQ125" i="23"/>
  <c r="AP125" i="23"/>
  <c r="AO125" i="23"/>
  <c r="AN125" i="23"/>
  <c r="AL125" i="23"/>
  <c r="AK125" i="23"/>
  <c r="AJ125" i="23"/>
  <c r="AI125" i="23"/>
  <c r="AH125" i="23"/>
  <c r="BJ124" i="23"/>
  <c r="BI124" i="23"/>
  <c r="BH124" i="23"/>
  <c r="BG124" i="23"/>
  <c r="BF124" i="23"/>
  <c r="BD124" i="23"/>
  <c r="BC124" i="23"/>
  <c r="BB124" i="23"/>
  <c r="BA124" i="23"/>
  <c r="AZ124" i="23"/>
  <c r="AX124" i="23"/>
  <c r="AW124" i="23"/>
  <c r="AV124" i="23"/>
  <c r="AU124" i="23"/>
  <c r="AT124" i="23"/>
  <c r="AR124" i="23"/>
  <c r="AQ124" i="23"/>
  <c r="AP124" i="23"/>
  <c r="AO124" i="23"/>
  <c r="AN124" i="23"/>
  <c r="AL124" i="23"/>
  <c r="AK124" i="23"/>
  <c r="AJ124" i="23"/>
  <c r="AI124" i="23"/>
  <c r="AH124" i="23"/>
  <c r="Q124" i="23"/>
  <c r="BJ123" i="23"/>
  <c r="BI123" i="23"/>
  <c r="BH123" i="23"/>
  <c r="BG123" i="23"/>
  <c r="BF123" i="23"/>
  <c r="BD123" i="23"/>
  <c r="BC123" i="23"/>
  <c r="BB123" i="23"/>
  <c r="BA123" i="23"/>
  <c r="AZ123" i="23"/>
  <c r="AX123" i="23"/>
  <c r="AW123" i="23"/>
  <c r="AV123" i="23"/>
  <c r="AU123" i="23"/>
  <c r="AT123" i="23"/>
  <c r="AR123" i="23"/>
  <c r="AQ123" i="23"/>
  <c r="AP123" i="23"/>
  <c r="AO123" i="23"/>
  <c r="AN123" i="23"/>
  <c r="AL123" i="23"/>
  <c r="AK123" i="23"/>
  <c r="AJ123" i="23"/>
  <c r="AI130" i="23" s="1"/>
  <c r="AI123" i="23"/>
  <c r="AH123" i="23"/>
  <c r="R123" i="23"/>
  <c r="BJ122" i="23"/>
  <c r="BI122" i="23"/>
  <c r="BH122" i="23"/>
  <c r="BG122" i="23"/>
  <c r="BF122" i="23"/>
  <c r="BD122" i="23"/>
  <c r="BC122" i="23"/>
  <c r="BB122" i="23"/>
  <c r="BA122" i="23"/>
  <c r="AZ122" i="23"/>
  <c r="AX122" i="23"/>
  <c r="AW122" i="23"/>
  <c r="AV122" i="23"/>
  <c r="AU122" i="23"/>
  <c r="AT122" i="23"/>
  <c r="AR122" i="23"/>
  <c r="AQ122" i="23"/>
  <c r="AP122" i="23"/>
  <c r="AO122" i="23"/>
  <c r="AN122" i="23"/>
  <c r="AL122" i="23"/>
  <c r="AK122" i="23"/>
  <c r="AJ122" i="23"/>
  <c r="AI122" i="23"/>
  <c r="AH122" i="23"/>
  <c r="BJ121" i="23"/>
  <c r="BI121" i="23"/>
  <c r="BH121" i="23"/>
  <c r="BG121" i="23"/>
  <c r="BG130" i="23" s="1"/>
  <c r="BF121" i="23"/>
  <c r="BD121" i="23"/>
  <c r="BC121" i="23"/>
  <c r="BB121" i="23"/>
  <c r="BA121" i="23"/>
  <c r="AZ121" i="23"/>
  <c r="AX121" i="23"/>
  <c r="AW121" i="23"/>
  <c r="AV121" i="23"/>
  <c r="AU121" i="23"/>
  <c r="AT121" i="23"/>
  <c r="AR121" i="23"/>
  <c r="AQ121" i="23"/>
  <c r="AP121" i="23"/>
  <c r="AO121" i="23"/>
  <c r="AN121" i="23"/>
  <c r="AL121" i="23"/>
  <c r="AK121" i="23"/>
  <c r="AJ121" i="23"/>
  <c r="AI121" i="23"/>
  <c r="AH121" i="23"/>
  <c r="BJ120" i="23"/>
  <c r="BI120" i="23"/>
  <c r="BH120" i="23"/>
  <c r="BG120" i="23"/>
  <c r="BF120" i="23"/>
  <c r="BD120" i="23"/>
  <c r="BC120" i="23"/>
  <c r="BB120" i="23"/>
  <c r="BA120" i="23"/>
  <c r="AZ120" i="23"/>
  <c r="AX120" i="23"/>
  <c r="AW120" i="23"/>
  <c r="AV120" i="23"/>
  <c r="AU120" i="23"/>
  <c r="AT120" i="23"/>
  <c r="AR120" i="23"/>
  <c r="AQ120" i="23"/>
  <c r="AP120" i="23"/>
  <c r="AO120" i="23"/>
  <c r="AN120" i="23"/>
  <c r="AL120" i="23"/>
  <c r="AK120" i="23"/>
  <c r="AJ120" i="23"/>
  <c r="AI120" i="23"/>
  <c r="AH120" i="23"/>
  <c r="AD120" i="23"/>
  <c r="M119" i="23"/>
  <c r="L119" i="23"/>
  <c r="BF118" i="23"/>
  <c r="AZ118" i="23"/>
  <c r="AT118" i="23"/>
  <c r="AN118" i="23"/>
  <c r="AH118" i="23"/>
  <c r="BF117" i="23"/>
  <c r="AZ117" i="23"/>
  <c r="AT117" i="23"/>
  <c r="AN117" i="23"/>
  <c r="AH117" i="23"/>
  <c r="BH116" i="23"/>
  <c r="BB116" i="23"/>
  <c r="AV116" i="23"/>
  <c r="AP116" i="23"/>
  <c r="AJ116" i="23"/>
  <c r="L113" i="23"/>
  <c r="K113" i="23"/>
  <c r="J113" i="23"/>
  <c r="I113" i="23"/>
  <c r="H113" i="23"/>
  <c r="L112" i="23"/>
  <c r="K112" i="23"/>
  <c r="J112" i="23"/>
  <c r="I112" i="23"/>
  <c r="H112" i="23"/>
  <c r="L111" i="23"/>
  <c r="K111" i="23"/>
  <c r="J111" i="23"/>
  <c r="I111" i="23"/>
  <c r="H111" i="23"/>
  <c r="L110" i="23"/>
  <c r="K110" i="23"/>
  <c r="J110" i="23"/>
  <c r="I110" i="23"/>
  <c r="H110" i="23"/>
  <c r="L109" i="23"/>
  <c r="K109" i="23"/>
  <c r="J109" i="23"/>
  <c r="I109" i="23"/>
  <c r="H109" i="23"/>
  <c r="L108" i="23"/>
  <c r="K108" i="23"/>
  <c r="J108" i="23"/>
  <c r="I108" i="23"/>
  <c r="H108" i="23"/>
  <c r="L107" i="23"/>
  <c r="K107" i="23"/>
  <c r="J107" i="23"/>
  <c r="I107" i="23"/>
  <c r="H107" i="23"/>
  <c r="L106" i="23"/>
  <c r="K106" i="23"/>
  <c r="J106" i="23"/>
  <c r="I106" i="23"/>
  <c r="H106" i="23"/>
  <c r="L105" i="23"/>
  <c r="K105" i="23"/>
  <c r="J105" i="23"/>
  <c r="I105" i="23"/>
  <c r="H105" i="23"/>
  <c r="L104" i="23"/>
  <c r="K104" i="23"/>
  <c r="J104" i="23"/>
  <c r="I104" i="23"/>
  <c r="H104" i="23"/>
  <c r="L103" i="23"/>
  <c r="K103" i="23"/>
  <c r="J103" i="23"/>
  <c r="I103" i="23"/>
  <c r="H103" i="23"/>
  <c r="L102" i="23"/>
  <c r="K102" i="23"/>
  <c r="J102" i="23"/>
  <c r="I102" i="23"/>
  <c r="H102" i="23"/>
  <c r="L101" i="23"/>
  <c r="K101" i="23"/>
  <c r="J101" i="23"/>
  <c r="I101" i="23"/>
  <c r="H101" i="23"/>
  <c r="L100" i="23"/>
  <c r="K100" i="23"/>
  <c r="J100" i="23"/>
  <c r="I100" i="23"/>
  <c r="H100" i="23"/>
  <c r="L99" i="23"/>
  <c r="K99" i="23"/>
  <c r="J99" i="23"/>
  <c r="I99" i="23"/>
  <c r="H99" i="23"/>
  <c r="L98" i="23"/>
  <c r="K98" i="23"/>
  <c r="J98" i="23"/>
  <c r="I98" i="23"/>
  <c r="H98" i="23"/>
  <c r="L97" i="23"/>
  <c r="K97" i="23"/>
  <c r="J97" i="23"/>
  <c r="I97" i="23"/>
  <c r="H97" i="23"/>
  <c r="L96" i="23"/>
  <c r="K96" i="23"/>
  <c r="J96" i="23"/>
  <c r="I96" i="23"/>
  <c r="H96" i="23"/>
  <c r="L95" i="23"/>
  <c r="K95" i="23"/>
  <c r="J95" i="23"/>
  <c r="I95" i="23"/>
  <c r="H95" i="23"/>
  <c r="L94" i="23"/>
  <c r="K94" i="23"/>
  <c r="J94" i="23"/>
  <c r="I94" i="23"/>
  <c r="H94" i="23"/>
  <c r="L93" i="23"/>
  <c r="K93" i="23"/>
  <c r="J93" i="23"/>
  <c r="I93" i="23"/>
  <c r="H93" i="23"/>
  <c r="L92" i="23"/>
  <c r="K92" i="23"/>
  <c r="J92" i="23"/>
  <c r="I92" i="23"/>
  <c r="H92" i="23"/>
  <c r="L91" i="23"/>
  <c r="K91" i="23"/>
  <c r="J91" i="23"/>
  <c r="I91" i="23"/>
  <c r="H91" i="23"/>
  <c r="L90" i="23"/>
  <c r="K90" i="23"/>
  <c r="J90" i="23"/>
  <c r="I90" i="23"/>
  <c r="H90" i="23"/>
  <c r="L89" i="23"/>
  <c r="K89" i="23"/>
  <c r="J89" i="23"/>
  <c r="I89" i="23"/>
  <c r="H89" i="23"/>
  <c r="L88" i="23"/>
  <c r="K88" i="23"/>
  <c r="J88" i="23"/>
  <c r="I88" i="23"/>
  <c r="H88" i="23"/>
  <c r="L87" i="23"/>
  <c r="K87" i="23"/>
  <c r="J87" i="23"/>
  <c r="I87" i="23"/>
  <c r="H87" i="23"/>
  <c r="L86" i="23"/>
  <c r="K86" i="23"/>
  <c r="J86" i="23"/>
  <c r="I86" i="23"/>
  <c r="H86" i="23"/>
  <c r="L85" i="23"/>
  <c r="K85" i="23"/>
  <c r="J85" i="23"/>
  <c r="I85" i="23"/>
  <c r="H85" i="23"/>
  <c r="L84" i="23"/>
  <c r="K84" i="23"/>
  <c r="J84" i="23"/>
  <c r="I84" i="23"/>
  <c r="H84" i="23"/>
  <c r="L83" i="23"/>
  <c r="K83" i="23"/>
  <c r="J83" i="23"/>
  <c r="I83" i="23"/>
  <c r="H83" i="23"/>
  <c r="L82" i="23"/>
  <c r="K82" i="23"/>
  <c r="J82" i="23"/>
  <c r="I82" i="23"/>
  <c r="H82" i="23"/>
  <c r="L81" i="23"/>
  <c r="K81" i="23"/>
  <c r="J81" i="23"/>
  <c r="I81" i="23"/>
  <c r="H81" i="23"/>
  <c r="L80" i="23"/>
  <c r="K80" i="23"/>
  <c r="J80" i="23"/>
  <c r="I80" i="23"/>
  <c r="H80" i="23"/>
  <c r="L79" i="23"/>
  <c r="K79" i="23"/>
  <c r="J79" i="23"/>
  <c r="I79" i="23"/>
  <c r="H79" i="23"/>
  <c r="L78" i="23"/>
  <c r="K78" i="23"/>
  <c r="J78" i="23"/>
  <c r="I78" i="23"/>
  <c r="H78" i="23"/>
  <c r="L77" i="23"/>
  <c r="K77" i="23"/>
  <c r="J77" i="23"/>
  <c r="I77" i="23"/>
  <c r="H77" i="23"/>
  <c r="L76" i="23"/>
  <c r="K76" i="23"/>
  <c r="J76" i="23"/>
  <c r="I76" i="23"/>
  <c r="H76" i="23"/>
  <c r="L75" i="23"/>
  <c r="K75" i="23"/>
  <c r="J75" i="23"/>
  <c r="I75" i="23"/>
  <c r="H75" i="23"/>
  <c r="L74" i="23"/>
  <c r="K74" i="23"/>
  <c r="J74" i="23"/>
  <c r="I74" i="23"/>
  <c r="H74" i="23"/>
  <c r="L73" i="23"/>
  <c r="K73" i="23"/>
  <c r="J73" i="23"/>
  <c r="I73" i="23"/>
  <c r="H73" i="23"/>
  <c r="L72" i="23"/>
  <c r="K72" i="23"/>
  <c r="J72" i="23"/>
  <c r="I72" i="23"/>
  <c r="H72" i="23"/>
  <c r="L71" i="23"/>
  <c r="K71" i="23"/>
  <c r="J71" i="23"/>
  <c r="I71" i="23"/>
  <c r="H71" i="23"/>
  <c r="L70" i="23"/>
  <c r="K70" i="23"/>
  <c r="J70" i="23"/>
  <c r="I70" i="23"/>
  <c r="H70" i="23"/>
  <c r="L69" i="23"/>
  <c r="K69" i="23"/>
  <c r="J69" i="23"/>
  <c r="I69" i="23"/>
  <c r="H69" i="23"/>
  <c r="L68" i="23"/>
  <c r="K68" i="23"/>
  <c r="J68" i="23"/>
  <c r="I68" i="23"/>
  <c r="H68" i="23"/>
  <c r="L67" i="23"/>
  <c r="K67" i="23"/>
  <c r="J67" i="23"/>
  <c r="I67" i="23"/>
  <c r="H67" i="23"/>
  <c r="L66" i="23"/>
  <c r="K66" i="23"/>
  <c r="J66" i="23"/>
  <c r="I66" i="23"/>
  <c r="H66" i="23"/>
  <c r="L65" i="23"/>
  <c r="K65" i="23"/>
  <c r="J65" i="23"/>
  <c r="I65" i="23"/>
  <c r="H65" i="23"/>
  <c r="L64" i="23"/>
  <c r="K64" i="23"/>
  <c r="J64" i="23"/>
  <c r="I64" i="23"/>
  <c r="H64" i="23"/>
  <c r="L63" i="23"/>
  <c r="K63" i="23"/>
  <c r="J63" i="23"/>
  <c r="I63" i="23"/>
  <c r="H63" i="23"/>
  <c r="L62" i="23"/>
  <c r="K62" i="23"/>
  <c r="J62" i="23"/>
  <c r="I62" i="23"/>
  <c r="H62" i="23"/>
  <c r="L61" i="23"/>
  <c r="K61" i="23"/>
  <c r="J61" i="23"/>
  <c r="I61" i="23"/>
  <c r="H61" i="23"/>
  <c r="L60" i="23"/>
  <c r="K60" i="23"/>
  <c r="J60" i="23"/>
  <c r="I60" i="23"/>
  <c r="H60" i="23"/>
  <c r="L59" i="23"/>
  <c r="K59" i="23"/>
  <c r="J59" i="23"/>
  <c r="I59" i="23"/>
  <c r="H59" i="23"/>
  <c r="L58" i="23"/>
  <c r="K58" i="23"/>
  <c r="J58" i="23"/>
  <c r="I58" i="23"/>
  <c r="H58" i="23"/>
  <c r="L57" i="23"/>
  <c r="K57" i="23"/>
  <c r="J57" i="23"/>
  <c r="I57" i="23"/>
  <c r="H57" i="23"/>
  <c r="L56" i="23"/>
  <c r="K56" i="23"/>
  <c r="J56" i="23"/>
  <c r="I56" i="23"/>
  <c r="H56" i="23"/>
  <c r="L55" i="23"/>
  <c r="K55" i="23"/>
  <c r="J55" i="23"/>
  <c r="I55" i="23"/>
  <c r="H55" i="23"/>
  <c r="L54" i="23"/>
  <c r="K54" i="23"/>
  <c r="J54" i="23"/>
  <c r="I54" i="23"/>
  <c r="H54" i="23"/>
  <c r="L53" i="23"/>
  <c r="K53" i="23"/>
  <c r="J53" i="23"/>
  <c r="I53" i="23"/>
  <c r="H53" i="23"/>
  <c r="L52" i="23"/>
  <c r="K52" i="23"/>
  <c r="J52" i="23"/>
  <c r="I52" i="23"/>
  <c r="H52" i="23"/>
  <c r="L51" i="23"/>
  <c r="K51" i="23"/>
  <c r="J51" i="23"/>
  <c r="I51" i="23"/>
  <c r="H51" i="23"/>
  <c r="L50" i="23"/>
  <c r="K50" i="23"/>
  <c r="J50" i="23"/>
  <c r="I50" i="23"/>
  <c r="H50" i="23"/>
  <c r="L49" i="23"/>
  <c r="K49" i="23"/>
  <c r="J49" i="23"/>
  <c r="I49" i="23"/>
  <c r="H49" i="23"/>
  <c r="L48" i="23"/>
  <c r="K48" i="23"/>
  <c r="J48" i="23"/>
  <c r="I48" i="23"/>
  <c r="H48" i="23"/>
  <c r="L47" i="23"/>
  <c r="K47" i="23"/>
  <c r="J47" i="23"/>
  <c r="I47" i="23"/>
  <c r="H47" i="23"/>
  <c r="L46" i="23"/>
  <c r="K46" i="23"/>
  <c r="J46" i="23"/>
  <c r="I46" i="23"/>
  <c r="H46" i="23"/>
  <c r="L45" i="23"/>
  <c r="K45" i="23"/>
  <c r="J45" i="23"/>
  <c r="I45" i="23"/>
  <c r="H45" i="23"/>
  <c r="L44" i="23"/>
  <c r="K44" i="23"/>
  <c r="J44" i="23"/>
  <c r="I44" i="23"/>
  <c r="H44" i="23"/>
  <c r="L43" i="23"/>
  <c r="K43" i="23"/>
  <c r="J43" i="23"/>
  <c r="I43" i="23"/>
  <c r="H43" i="23"/>
  <c r="L42" i="23"/>
  <c r="K42" i="23"/>
  <c r="J42" i="23"/>
  <c r="I42" i="23"/>
  <c r="H42" i="23"/>
  <c r="L41" i="23"/>
  <c r="K41" i="23"/>
  <c r="J41" i="23"/>
  <c r="I41" i="23"/>
  <c r="H41" i="23"/>
  <c r="L40" i="23"/>
  <c r="K40" i="23"/>
  <c r="J40" i="23"/>
  <c r="I40" i="23"/>
  <c r="H40" i="23"/>
  <c r="L39" i="23"/>
  <c r="K39" i="23"/>
  <c r="J39" i="23"/>
  <c r="I39" i="23"/>
  <c r="H39" i="23"/>
  <c r="L38" i="23"/>
  <c r="K38" i="23"/>
  <c r="J38" i="23"/>
  <c r="I38" i="23"/>
  <c r="H38" i="23"/>
  <c r="L37" i="23"/>
  <c r="K37" i="23"/>
  <c r="J37" i="23"/>
  <c r="I37" i="23"/>
  <c r="H37" i="23"/>
  <c r="L36" i="23"/>
  <c r="K36" i="23"/>
  <c r="J36" i="23"/>
  <c r="I36" i="23"/>
  <c r="H36" i="23"/>
  <c r="L35" i="23"/>
  <c r="K35" i="23"/>
  <c r="J35" i="23"/>
  <c r="I35" i="23"/>
  <c r="H35" i="23"/>
  <c r="L34" i="23"/>
  <c r="K34" i="23"/>
  <c r="J34" i="23"/>
  <c r="I34" i="23"/>
  <c r="H34" i="23"/>
  <c r="L33" i="23"/>
  <c r="K33" i="23"/>
  <c r="J33" i="23"/>
  <c r="I33" i="23"/>
  <c r="H33" i="23"/>
  <c r="L32" i="23"/>
  <c r="K32" i="23"/>
  <c r="J32" i="23"/>
  <c r="I32" i="23"/>
  <c r="H32" i="23"/>
  <c r="L31" i="23"/>
  <c r="K31" i="23"/>
  <c r="J31" i="23"/>
  <c r="I31" i="23"/>
  <c r="H31" i="23"/>
  <c r="L30" i="23"/>
  <c r="K30" i="23"/>
  <c r="J30" i="23"/>
  <c r="I30" i="23"/>
  <c r="H30" i="23"/>
  <c r="L29" i="23"/>
  <c r="K29" i="23"/>
  <c r="J29" i="23"/>
  <c r="I29" i="23"/>
  <c r="H29" i="23"/>
  <c r="L28" i="23"/>
  <c r="K28" i="23"/>
  <c r="J28" i="23"/>
  <c r="I28" i="23"/>
  <c r="H28" i="23"/>
  <c r="L27" i="23"/>
  <c r="K27" i="23"/>
  <c r="J27" i="23"/>
  <c r="I27" i="23"/>
  <c r="H27" i="23"/>
  <c r="L26" i="23"/>
  <c r="K26" i="23"/>
  <c r="J26" i="23"/>
  <c r="I26" i="23"/>
  <c r="U125" i="23" s="1"/>
  <c r="H26" i="23"/>
  <c r="L25" i="23"/>
  <c r="K25" i="23"/>
  <c r="J25" i="23"/>
  <c r="I25" i="23"/>
  <c r="H25" i="23"/>
  <c r="L24" i="23"/>
  <c r="K24" i="23"/>
  <c r="J24" i="23"/>
  <c r="I24" i="23"/>
  <c r="H24" i="23"/>
  <c r="BD23" i="23"/>
  <c r="BJ154" i="23" s="1"/>
  <c r="AU23" i="23"/>
  <c r="BF156" i="23" s="1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AY23" i="23" s="1"/>
  <c r="BJ156" i="23" s="1"/>
  <c r="U23" i="23"/>
  <c r="T23" i="23"/>
  <c r="S23" i="23"/>
  <c r="R23" i="23"/>
  <c r="Q23" i="23"/>
  <c r="P23" i="23"/>
  <c r="O23" i="23"/>
  <c r="L23" i="23"/>
  <c r="K23" i="23"/>
  <c r="J23" i="23"/>
  <c r="I23" i="23"/>
  <c r="H23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L22" i="23"/>
  <c r="K22" i="23"/>
  <c r="J22" i="23"/>
  <c r="I22" i="23"/>
  <c r="H22" i="23"/>
  <c r="AY21" i="23"/>
  <c r="AX156" i="23" s="1"/>
  <c r="AX21" i="23"/>
  <c r="AW156" i="23" s="1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L21" i="23"/>
  <c r="K21" i="23"/>
  <c r="J21" i="23"/>
  <c r="I21" i="23"/>
  <c r="H21" i="23"/>
  <c r="BB20" i="23"/>
  <c r="AP154" i="23" s="1"/>
  <c r="AZ20" i="23"/>
  <c r="AN154" i="23" s="1"/>
  <c r="AW20" i="23"/>
  <c r="AP156" i="23" s="1"/>
  <c r="AU20" i="23"/>
  <c r="AN156" i="23" s="1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AX20" i="23" s="1"/>
  <c r="AQ156" i="23" s="1"/>
  <c r="U20" i="23"/>
  <c r="T20" i="23"/>
  <c r="S20" i="23"/>
  <c r="R20" i="23"/>
  <c r="Q20" i="23"/>
  <c r="P20" i="23"/>
  <c r="BD20" i="23" s="1"/>
  <c r="AR154" i="23" s="1"/>
  <c r="O20" i="23"/>
  <c r="L20" i="23"/>
  <c r="K20" i="23"/>
  <c r="J20" i="23"/>
  <c r="I20" i="23"/>
  <c r="H20" i="23"/>
  <c r="BD19" i="23"/>
  <c r="AL154" i="23" s="1"/>
  <c r="AU19" i="23"/>
  <c r="AH156" i="23" s="1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AV19" i="23" s="1"/>
  <c r="AI156" i="23" s="1"/>
  <c r="U19" i="23"/>
  <c r="T19" i="23"/>
  <c r="S19" i="23"/>
  <c r="R19" i="23"/>
  <c r="Q19" i="23"/>
  <c r="P19" i="23"/>
  <c r="O19" i="23"/>
  <c r="L19" i="23"/>
  <c r="K19" i="23"/>
  <c r="J19" i="23"/>
  <c r="I19" i="23"/>
  <c r="H19" i="23"/>
  <c r="AV18" i="23"/>
  <c r="BG135" i="23" s="1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AX18" i="23" s="1"/>
  <c r="BI135" i="23" s="1"/>
  <c r="U18" i="23"/>
  <c r="T18" i="23"/>
  <c r="S18" i="23"/>
  <c r="R18" i="23"/>
  <c r="Q18" i="23"/>
  <c r="P18" i="23"/>
  <c r="BD18" i="23" s="1"/>
  <c r="BJ133" i="23" s="1"/>
  <c r="O18" i="23"/>
  <c r="L18" i="23"/>
  <c r="K18" i="23"/>
  <c r="J18" i="23"/>
  <c r="I18" i="23"/>
  <c r="H18" i="23"/>
  <c r="BC17" i="23"/>
  <c r="BC133" i="23" s="1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L17" i="23"/>
  <c r="K17" i="23"/>
  <c r="J17" i="23"/>
  <c r="I17" i="23"/>
  <c r="H17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L16" i="23"/>
  <c r="K16" i="23"/>
  <c r="J16" i="23"/>
  <c r="I16" i="23"/>
  <c r="H16" i="23"/>
  <c r="AU15" i="23"/>
  <c r="AN135" i="23" s="1"/>
  <c r="AR15" i="23"/>
  <c r="AQ15" i="23"/>
  <c r="AP15" i="23"/>
  <c r="AO15" i="23"/>
  <c r="AN15" i="23"/>
  <c r="AM15" i="23"/>
  <c r="AL15" i="23"/>
  <c r="AK15" i="23"/>
  <c r="AJ15" i="23"/>
  <c r="AI15" i="23"/>
  <c r="AH15" i="23"/>
  <c r="AG15" i="23"/>
  <c r="AF15" i="23"/>
  <c r="AE15" i="23"/>
  <c r="AD15" i="23"/>
  <c r="AC15" i="23"/>
  <c r="AB15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L15" i="23"/>
  <c r="K15" i="23"/>
  <c r="J15" i="23"/>
  <c r="I15" i="23"/>
  <c r="H15" i="23"/>
  <c r="BD14" i="23"/>
  <c r="AL133" i="23" s="1"/>
  <c r="BC14" i="23"/>
  <c r="AK133" i="23" s="1"/>
  <c r="AR14" i="23"/>
  <c r="AQ14" i="23"/>
  <c r="AP14" i="23"/>
  <c r="AO14" i="23"/>
  <c r="AN14" i="23"/>
  <c r="AM14" i="23"/>
  <c r="AL14" i="23"/>
  <c r="AK14" i="23"/>
  <c r="AJ14" i="23"/>
  <c r="AI14" i="23"/>
  <c r="AH14" i="23"/>
  <c r="AG14" i="23"/>
  <c r="AF14" i="23"/>
  <c r="AE14" i="23"/>
  <c r="AD14" i="23"/>
  <c r="AC14" i="23"/>
  <c r="AB14" i="23"/>
  <c r="AA14" i="23"/>
  <c r="Z14" i="23"/>
  <c r="Y14" i="23"/>
  <c r="X14" i="23"/>
  <c r="W14" i="23"/>
  <c r="V14" i="23"/>
  <c r="U14" i="23"/>
  <c r="T14" i="23"/>
  <c r="S14" i="23"/>
  <c r="R14" i="23"/>
  <c r="BC16" i="23" s="1"/>
  <c r="AW133" i="23" s="1"/>
  <c r="Q14" i="23"/>
  <c r="P14" i="23"/>
  <c r="O14" i="23"/>
  <c r="L14" i="23"/>
  <c r="K14" i="23"/>
  <c r="J14" i="23"/>
  <c r="I14" i="23"/>
  <c r="R134" i="23" s="1"/>
  <c r="H14" i="23"/>
  <c r="BT2" i="23"/>
  <c r="AK158" i="32"/>
  <c r="BD154" i="32"/>
  <c r="BA154" i="32"/>
  <c r="AZ154" i="32"/>
  <c r="AX154" i="32"/>
  <c r="BI152" i="32"/>
  <c r="BG152" i="32"/>
  <c r="BC152" i="32"/>
  <c r="BA152" i="32"/>
  <c r="AW152" i="32"/>
  <c r="AU152" i="32"/>
  <c r="AQ152" i="32"/>
  <c r="AO152" i="32"/>
  <c r="AK152" i="32"/>
  <c r="AI152" i="32"/>
  <c r="BI151" i="32"/>
  <c r="BF151" i="32"/>
  <c r="BC151" i="32"/>
  <c r="AZ151" i="32"/>
  <c r="AW151" i="32"/>
  <c r="AU151" i="32"/>
  <c r="AT151" i="32"/>
  <c r="AQ151" i="32"/>
  <c r="AN151" i="32"/>
  <c r="AK151" i="32"/>
  <c r="AH151" i="32"/>
  <c r="BJ150" i="32"/>
  <c r="BI150" i="32"/>
  <c r="BH150" i="32"/>
  <c r="BG150" i="32"/>
  <c r="BF150" i="32"/>
  <c r="BD150" i="32"/>
  <c r="BC150" i="32"/>
  <c r="BB150" i="32"/>
  <c r="BA150" i="32"/>
  <c r="AZ150" i="32"/>
  <c r="AX150" i="32"/>
  <c r="AW150" i="32"/>
  <c r="AV150" i="32"/>
  <c r="AU150" i="32"/>
  <c r="AT150" i="32"/>
  <c r="AR150" i="32"/>
  <c r="AQ150" i="32"/>
  <c r="AP150" i="32"/>
  <c r="AO150" i="32"/>
  <c r="AN150" i="32"/>
  <c r="AL150" i="32"/>
  <c r="AK150" i="32"/>
  <c r="AJ150" i="32"/>
  <c r="AI150" i="32"/>
  <c r="AH150" i="32"/>
  <c r="B150" i="32"/>
  <c r="BJ149" i="32"/>
  <c r="BI149" i="32"/>
  <c r="BH149" i="32"/>
  <c r="BG149" i="32"/>
  <c r="BF149" i="32"/>
  <c r="BD149" i="32"/>
  <c r="BC149" i="32"/>
  <c r="BB149" i="32"/>
  <c r="BA149" i="32"/>
  <c r="AZ149" i="32"/>
  <c r="AX149" i="32"/>
  <c r="AW149" i="32"/>
  <c r="AV149" i="32"/>
  <c r="AU149" i="32"/>
  <c r="AT149" i="32"/>
  <c r="AR149" i="32"/>
  <c r="AQ149" i="32"/>
  <c r="AP149" i="32"/>
  <c r="AO149" i="32"/>
  <c r="AN149" i="32"/>
  <c r="AL149" i="32"/>
  <c r="AK149" i="32"/>
  <c r="AJ149" i="32"/>
  <c r="AI149" i="32"/>
  <c r="AH149" i="32"/>
  <c r="AD149" i="32"/>
  <c r="AU158" i="32" s="1"/>
  <c r="BJ148" i="32"/>
  <c r="BI148" i="32"/>
  <c r="BH148" i="32"/>
  <c r="BG148" i="32"/>
  <c r="BF148" i="32"/>
  <c r="BD148" i="32"/>
  <c r="BC148" i="32"/>
  <c r="BB148" i="32"/>
  <c r="BA148" i="32"/>
  <c r="AZ148" i="32"/>
  <c r="AX148" i="32"/>
  <c r="AW148" i="32"/>
  <c r="AV148" i="32"/>
  <c r="AU148" i="32"/>
  <c r="AT148" i="32"/>
  <c r="AR148" i="32"/>
  <c r="AQ148" i="32"/>
  <c r="AP148" i="32"/>
  <c r="AO148" i="32"/>
  <c r="AN148" i="32"/>
  <c r="AL148" i="32"/>
  <c r="AK148" i="32"/>
  <c r="AJ148" i="32"/>
  <c r="AI148" i="32"/>
  <c r="AH148" i="32"/>
  <c r="BJ147" i="32"/>
  <c r="BI147" i="32"/>
  <c r="BH147" i="32"/>
  <c r="BG147" i="32"/>
  <c r="BF147" i="32"/>
  <c r="BD147" i="32"/>
  <c r="BC147" i="32"/>
  <c r="BB147" i="32"/>
  <c r="BA147" i="32"/>
  <c r="AZ147" i="32"/>
  <c r="AX147" i="32"/>
  <c r="AW147" i="32"/>
  <c r="AV147" i="32"/>
  <c r="AU147" i="32"/>
  <c r="AT147" i="32"/>
  <c r="AR147" i="32"/>
  <c r="AQ147" i="32"/>
  <c r="AP147" i="32"/>
  <c r="AO147" i="32"/>
  <c r="AN147" i="32"/>
  <c r="AL147" i="32"/>
  <c r="AK147" i="32"/>
  <c r="AJ147" i="32"/>
  <c r="AI147" i="32"/>
  <c r="AH147" i="32"/>
  <c r="BJ146" i="32"/>
  <c r="BI146" i="32"/>
  <c r="BH146" i="32"/>
  <c r="BG146" i="32"/>
  <c r="BF146" i="32"/>
  <c r="BD146" i="32"/>
  <c r="BC146" i="32"/>
  <c r="BB146" i="32"/>
  <c r="BA146" i="32"/>
  <c r="AZ146" i="32"/>
  <c r="AX146" i="32"/>
  <c r="AW146" i="32"/>
  <c r="AV146" i="32"/>
  <c r="AU146" i="32"/>
  <c r="AT146" i="32"/>
  <c r="AR146" i="32"/>
  <c r="AQ146" i="32"/>
  <c r="AP146" i="32"/>
  <c r="AO146" i="32"/>
  <c r="AN146" i="32"/>
  <c r="AL146" i="32"/>
  <c r="AK146" i="32"/>
  <c r="AJ146" i="32"/>
  <c r="AI146" i="32"/>
  <c r="AH146" i="32"/>
  <c r="BJ145" i="32"/>
  <c r="BI145" i="32"/>
  <c r="BH145" i="32"/>
  <c r="BG145" i="32"/>
  <c r="BF145" i="32"/>
  <c r="BD145" i="32"/>
  <c r="BC145" i="32"/>
  <c r="BB145" i="32"/>
  <c r="BA145" i="32"/>
  <c r="AZ145" i="32"/>
  <c r="AX145" i="32"/>
  <c r="AW145" i="32"/>
  <c r="AV145" i="32"/>
  <c r="AU145" i="32"/>
  <c r="AT145" i="32"/>
  <c r="AR145" i="32"/>
  <c r="AQ145" i="32"/>
  <c r="AP145" i="32"/>
  <c r="AO145" i="32"/>
  <c r="AN145" i="32"/>
  <c r="AL145" i="32"/>
  <c r="AK145" i="32"/>
  <c r="AJ145" i="32"/>
  <c r="AI145" i="32"/>
  <c r="AH145" i="32"/>
  <c r="BJ144" i="32"/>
  <c r="BI144" i="32"/>
  <c r="BH144" i="32"/>
  <c r="BG144" i="32"/>
  <c r="BF144" i="32"/>
  <c r="BD144" i="32"/>
  <c r="BC144" i="32"/>
  <c r="BB144" i="32"/>
  <c r="BA144" i="32"/>
  <c r="AZ144" i="32"/>
  <c r="AX144" i="32"/>
  <c r="AW144" i="32"/>
  <c r="AV144" i="32"/>
  <c r="AU144" i="32"/>
  <c r="AT144" i="32"/>
  <c r="AR144" i="32"/>
  <c r="AQ144" i="32"/>
  <c r="AP144" i="32"/>
  <c r="AO144" i="32"/>
  <c r="AN144" i="32"/>
  <c r="AL144" i="32"/>
  <c r="AK144" i="32"/>
  <c r="AJ144" i="32"/>
  <c r="AI144" i="32"/>
  <c r="AH144" i="32"/>
  <c r="BJ143" i="32"/>
  <c r="BI143" i="32"/>
  <c r="BH143" i="32"/>
  <c r="BG143" i="32"/>
  <c r="BF143" i="32"/>
  <c r="BD143" i="32"/>
  <c r="BC143" i="32"/>
  <c r="BB143" i="32"/>
  <c r="BA143" i="32"/>
  <c r="AZ143" i="32"/>
  <c r="AX143" i="32"/>
  <c r="AW143" i="32"/>
  <c r="AV143" i="32"/>
  <c r="AU143" i="32"/>
  <c r="AT143" i="32"/>
  <c r="AR143" i="32"/>
  <c r="AQ143" i="32"/>
  <c r="AP143" i="32"/>
  <c r="AO143" i="32"/>
  <c r="AN143" i="32"/>
  <c r="AL143" i="32"/>
  <c r="AK143" i="32"/>
  <c r="AJ143" i="32"/>
  <c r="AI143" i="32"/>
  <c r="AH143" i="32"/>
  <c r="BJ142" i="32"/>
  <c r="BI142" i="32"/>
  <c r="BH142" i="32"/>
  <c r="BG142" i="32"/>
  <c r="BF142" i="32"/>
  <c r="BD142" i="32"/>
  <c r="BC142" i="32"/>
  <c r="BB142" i="32"/>
  <c r="BA142" i="32"/>
  <c r="AZ142" i="32"/>
  <c r="AX142" i="32"/>
  <c r="AW142" i="32"/>
  <c r="AV142" i="32"/>
  <c r="AU142" i="32"/>
  <c r="AT142" i="32"/>
  <c r="AR142" i="32"/>
  <c r="AQ142" i="32"/>
  <c r="AP142" i="32"/>
  <c r="AO142" i="32"/>
  <c r="AN142" i="32"/>
  <c r="AL142" i="32"/>
  <c r="AK142" i="32"/>
  <c r="AJ142" i="32"/>
  <c r="AI142" i="32"/>
  <c r="AH142" i="32"/>
  <c r="BJ141" i="32"/>
  <c r="BI141" i="32"/>
  <c r="BH141" i="32"/>
  <c r="BG141" i="32"/>
  <c r="BF141" i="32"/>
  <c r="BD141" i="32"/>
  <c r="BC141" i="32"/>
  <c r="BB141" i="32"/>
  <c r="BA141" i="32"/>
  <c r="AZ141" i="32"/>
  <c r="AX141" i="32"/>
  <c r="AW141" i="32"/>
  <c r="AV141" i="32"/>
  <c r="AU141" i="32"/>
  <c r="AT141" i="32"/>
  <c r="AR141" i="32"/>
  <c r="AQ141" i="32"/>
  <c r="AP141" i="32"/>
  <c r="AO141" i="32"/>
  <c r="AO151" i="32" s="1"/>
  <c r="AN141" i="32"/>
  <c r="AL141" i="32"/>
  <c r="AK141" i="32"/>
  <c r="AJ141" i="32"/>
  <c r="AI141" i="32"/>
  <c r="AH141" i="32"/>
  <c r="BF139" i="32"/>
  <c r="AZ139" i="32"/>
  <c r="AT139" i="32"/>
  <c r="AO139" i="32"/>
  <c r="AN139" i="32"/>
  <c r="AH139" i="32"/>
  <c r="BF138" i="32"/>
  <c r="AZ138" i="32"/>
  <c r="AT138" i="32"/>
  <c r="AO138" i="32"/>
  <c r="AN138" i="32"/>
  <c r="AH138" i="32"/>
  <c r="BH137" i="32"/>
  <c r="BB137" i="32"/>
  <c r="AV137" i="32"/>
  <c r="AP137" i="32"/>
  <c r="AJ137" i="32"/>
  <c r="BI131" i="32"/>
  <c r="BG131" i="32"/>
  <c r="BC131" i="32"/>
  <c r="BA131" i="32"/>
  <c r="AW131" i="32"/>
  <c r="AU131" i="32"/>
  <c r="AQ131" i="32"/>
  <c r="AO131" i="32"/>
  <c r="AK131" i="32"/>
  <c r="AI131" i="32"/>
  <c r="BI130" i="32"/>
  <c r="BF130" i="32"/>
  <c r="BC130" i="32"/>
  <c r="AZ130" i="32"/>
  <c r="AW130" i="32"/>
  <c r="AT130" i="32"/>
  <c r="AQ130" i="32"/>
  <c r="AN130" i="32"/>
  <c r="AK130" i="32"/>
  <c r="AH130" i="32"/>
  <c r="BJ129" i="32"/>
  <c r="BI129" i="32"/>
  <c r="BH129" i="32"/>
  <c r="BG129" i="32"/>
  <c r="BF129" i="32"/>
  <c r="BD129" i="32"/>
  <c r="BC129" i="32"/>
  <c r="BB129" i="32"/>
  <c r="BA129" i="32"/>
  <c r="AZ129" i="32"/>
  <c r="AX129" i="32"/>
  <c r="AW129" i="32"/>
  <c r="AV129" i="32"/>
  <c r="AU129" i="32"/>
  <c r="AT129" i="32"/>
  <c r="AR129" i="32"/>
  <c r="AQ129" i="32"/>
  <c r="AP129" i="32"/>
  <c r="AO129" i="32"/>
  <c r="AN129" i="32"/>
  <c r="AL129" i="32"/>
  <c r="AK129" i="32"/>
  <c r="AJ129" i="32"/>
  <c r="AI129" i="32"/>
  <c r="AH129" i="32"/>
  <c r="BJ128" i="32"/>
  <c r="BI128" i="32"/>
  <c r="BH128" i="32"/>
  <c r="BG128" i="32"/>
  <c r="BF128" i="32"/>
  <c r="BD128" i="32"/>
  <c r="BC128" i="32"/>
  <c r="BB128" i="32"/>
  <c r="BA128" i="32"/>
  <c r="AZ128" i="32"/>
  <c r="AX128" i="32"/>
  <c r="AW128" i="32"/>
  <c r="AV128" i="32"/>
  <c r="AU128" i="32"/>
  <c r="AT128" i="32"/>
  <c r="AR128" i="32"/>
  <c r="AQ128" i="32"/>
  <c r="AP128" i="32"/>
  <c r="AO128" i="32"/>
  <c r="AN128" i="32"/>
  <c r="AL128" i="32"/>
  <c r="AK128" i="32"/>
  <c r="AJ128" i="32"/>
  <c r="AI128" i="32"/>
  <c r="AH128" i="32"/>
  <c r="BJ127" i="32"/>
  <c r="BI127" i="32"/>
  <c r="BH127" i="32"/>
  <c r="BG127" i="32"/>
  <c r="BF127" i="32"/>
  <c r="BD127" i="32"/>
  <c r="BC127" i="32"/>
  <c r="BB127" i="32"/>
  <c r="BA127" i="32"/>
  <c r="AZ127" i="32"/>
  <c r="AX127" i="32"/>
  <c r="AW127" i="32"/>
  <c r="AV127" i="32"/>
  <c r="AU127" i="32"/>
  <c r="AT127" i="32"/>
  <c r="AR127" i="32"/>
  <c r="AQ127" i="32"/>
  <c r="AP127" i="32"/>
  <c r="AO127" i="32"/>
  <c r="AN127" i="32"/>
  <c r="AL127" i="32"/>
  <c r="AK127" i="32"/>
  <c r="AJ127" i="32"/>
  <c r="AI127" i="32"/>
  <c r="AH127" i="32"/>
  <c r="BJ126" i="32"/>
  <c r="BI126" i="32"/>
  <c r="BH126" i="32"/>
  <c r="BG126" i="32"/>
  <c r="BF126" i="32"/>
  <c r="BD126" i="32"/>
  <c r="BC126" i="32"/>
  <c r="BB126" i="32"/>
  <c r="BA126" i="32"/>
  <c r="AZ126" i="32"/>
  <c r="AX126" i="32"/>
  <c r="AW126" i="32"/>
  <c r="AV126" i="32"/>
  <c r="AU126" i="32"/>
  <c r="AT126" i="32"/>
  <c r="AR126" i="32"/>
  <c r="AQ126" i="32"/>
  <c r="AP126" i="32"/>
  <c r="AO126" i="32"/>
  <c r="AN126" i="32"/>
  <c r="AL126" i="32"/>
  <c r="AK126" i="32"/>
  <c r="AJ126" i="32"/>
  <c r="AI126" i="32"/>
  <c r="AH126" i="32"/>
  <c r="BJ125" i="32"/>
  <c r="BI125" i="32"/>
  <c r="BH125" i="32"/>
  <c r="BG125" i="32"/>
  <c r="BF125" i="32"/>
  <c r="BD125" i="32"/>
  <c r="BC125" i="32"/>
  <c r="BB125" i="32"/>
  <c r="BA125" i="32"/>
  <c r="AZ125" i="32"/>
  <c r="AX125" i="32"/>
  <c r="AW125" i="32"/>
  <c r="AV125" i="32"/>
  <c r="AU125" i="32"/>
  <c r="AT125" i="32"/>
  <c r="AR125" i="32"/>
  <c r="AQ125" i="32"/>
  <c r="AP125" i="32"/>
  <c r="AO125" i="32"/>
  <c r="AN125" i="32"/>
  <c r="AL125" i="32"/>
  <c r="AK125" i="32"/>
  <c r="AJ125" i="32"/>
  <c r="AI125" i="32"/>
  <c r="AH125" i="32"/>
  <c r="BJ124" i="32"/>
  <c r="BI124" i="32"/>
  <c r="BH124" i="32"/>
  <c r="BG124" i="32"/>
  <c r="BF124" i="32"/>
  <c r="BD124" i="32"/>
  <c r="BC124" i="32"/>
  <c r="BB124" i="32"/>
  <c r="BA124" i="32"/>
  <c r="AZ124" i="32"/>
  <c r="AX124" i="32"/>
  <c r="AW124" i="32"/>
  <c r="AV124" i="32"/>
  <c r="AU124" i="32"/>
  <c r="AT124" i="32"/>
  <c r="AR124" i="32"/>
  <c r="AQ124" i="32"/>
  <c r="AP124" i="32"/>
  <c r="AO124" i="32"/>
  <c r="AN124" i="32"/>
  <c r="AL124" i="32"/>
  <c r="AK124" i="32"/>
  <c r="AJ124" i="32"/>
  <c r="AI124" i="32"/>
  <c r="AH124" i="32"/>
  <c r="BJ123" i="32"/>
  <c r="BI123" i="32"/>
  <c r="BH123" i="32"/>
  <c r="BG123" i="32"/>
  <c r="BF123" i="32"/>
  <c r="BD123" i="32"/>
  <c r="BC123" i="32"/>
  <c r="BB123" i="32"/>
  <c r="BA123" i="32"/>
  <c r="AZ123" i="32"/>
  <c r="AX123" i="32"/>
  <c r="AW123" i="32"/>
  <c r="AV123" i="32"/>
  <c r="AU123" i="32"/>
  <c r="AT123" i="32"/>
  <c r="AR123" i="32"/>
  <c r="AQ123" i="32"/>
  <c r="AP123" i="32"/>
  <c r="AO123" i="32"/>
  <c r="AN123" i="32"/>
  <c r="AL123" i="32"/>
  <c r="AK123" i="32"/>
  <c r="AJ123" i="32"/>
  <c r="AI123" i="32"/>
  <c r="AH123" i="32"/>
  <c r="BJ122" i="32"/>
  <c r="BI122" i="32"/>
  <c r="BH122" i="32"/>
  <c r="BG122" i="32"/>
  <c r="BF122" i="32"/>
  <c r="BD122" i="32"/>
  <c r="BC122" i="32"/>
  <c r="BB122" i="32"/>
  <c r="BA122" i="32"/>
  <c r="AZ122" i="32"/>
  <c r="AX122" i="32"/>
  <c r="AW122" i="32"/>
  <c r="AV122" i="32"/>
  <c r="AU122" i="32"/>
  <c r="AT122" i="32"/>
  <c r="AR122" i="32"/>
  <c r="AQ122" i="32"/>
  <c r="AP122" i="32"/>
  <c r="AO122" i="32"/>
  <c r="AN122" i="32"/>
  <c r="AL122" i="32"/>
  <c r="AK122" i="32"/>
  <c r="AJ122" i="32"/>
  <c r="AI122" i="32"/>
  <c r="AH122" i="32"/>
  <c r="BJ121" i="32"/>
  <c r="BI121" i="32"/>
  <c r="BH121" i="32"/>
  <c r="BG121" i="32"/>
  <c r="BF121" i="32"/>
  <c r="BD121" i="32"/>
  <c r="BC121" i="32"/>
  <c r="BB121" i="32"/>
  <c r="BA121" i="32"/>
  <c r="AZ121" i="32"/>
  <c r="AX121" i="32"/>
  <c r="AW121" i="32"/>
  <c r="AV121" i="32"/>
  <c r="AU121" i="32"/>
  <c r="AT121" i="32"/>
  <c r="AR121" i="32"/>
  <c r="AQ121" i="32"/>
  <c r="AP121" i="32"/>
  <c r="AO121" i="32"/>
  <c r="AN121" i="32"/>
  <c r="AL121" i="32"/>
  <c r="AK121" i="32"/>
  <c r="AJ121" i="32"/>
  <c r="AI130" i="32" s="1"/>
  <c r="AI121" i="32"/>
  <c r="AH121" i="32"/>
  <c r="BJ120" i="32"/>
  <c r="BI120" i="32"/>
  <c r="BH120" i="32"/>
  <c r="BG120" i="32"/>
  <c r="BG130" i="32" s="1"/>
  <c r="BF120" i="32"/>
  <c r="BD120" i="32"/>
  <c r="BC120" i="32"/>
  <c r="BB120" i="32"/>
  <c r="BA120" i="32"/>
  <c r="AZ120" i="32"/>
  <c r="AX120" i="32"/>
  <c r="AW120" i="32"/>
  <c r="AV120" i="32"/>
  <c r="AU120" i="32"/>
  <c r="AT120" i="32"/>
  <c r="AR120" i="32"/>
  <c r="AQ120" i="32"/>
  <c r="AP120" i="32"/>
  <c r="AO120" i="32"/>
  <c r="AN120" i="32"/>
  <c r="AL120" i="32"/>
  <c r="AK120" i="32"/>
  <c r="AJ120" i="32"/>
  <c r="AI120" i="32"/>
  <c r="AH120" i="32"/>
  <c r="BF118" i="32"/>
  <c r="AZ118" i="32"/>
  <c r="AT118" i="32"/>
  <c r="AN118" i="32"/>
  <c r="AH118" i="32"/>
  <c r="BF117" i="32"/>
  <c r="AZ117" i="32"/>
  <c r="AT117" i="32"/>
  <c r="AN117" i="32"/>
  <c r="AH117" i="32"/>
  <c r="BH116" i="32"/>
  <c r="BB116" i="32"/>
  <c r="AV116" i="32"/>
  <c r="AP116" i="32"/>
  <c r="AJ116" i="32"/>
  <c r="L113" i="32"/>
  <c r="K113" i="32"/>
  <c r="J113" i="32"/>
  <c r="I113" i="32"/>
  <c r="H113" i="32"/>
  <c r="L112" i="32"/>
  <c r="K112" i="32"/>
  <c r="J112" i="32"/>
  <c r="I112" i="32"/>
  <c r="H112" i="32"/>
  <c r="L111" i="32"/>
  <c r="K111" i="32"/>
  <c r="J111" i="32"/>
  <c r="I111" i="32"/>
  <c r="H111" i="32"/>
  <c r="L110" i="32"/>
  <c r="K110" i="32"/>
  <c r="J110" i="32"/>
  <c r="I110" i="32"/>
  <c r="H110" i="32"/>
  <c r="L109" i="32"/>
  <c r="K109" i="32"/>
  <c r="J109" i="32"/>
  <c r="I109" i="32"/>
  <c r="H109" i="32"/>
  <c r="L108" i="32"/>
  <c r="K108" i="32"/>
  <c r="J108" i="32"/>
  <c r="I108" i="32"/>
  <c r="H108" i="32"/>
  <c r="L107" i="32"/>
  <c r="K107" i="32"/>
  <c r="J107" i="32"/>
  <c r="I107" i="32"/>
  <c r="H107" i="32"/>
  <c r="L106" i="32"/>
  <c r="K106" i="32"/>
  <c r="J106" i="32"/>
  <c r="I106" i="32"/>
  <c r="H106" i="32"/>
  <c r="L105" i="32"/>
  <c r="K105" i="32"/>
  <c r="J105" i="32"/>
  <c r="I105" i="32"/>
  <c r="H105" i="32"/>
  <c r="L104" i="32"/>
  <c r="K104" i="32"/>
  <c r="J104" i="32"/>
  <c r="I104" i="32"/>
  <c r="H104" i="32"/>
  <c r="L103" i="32"/>
  <c r="K103" i="32"/>
  <c r="J103" i="32"/>
  <c r="I103" i="32"/>
  <c r="H103" i="32"/>
  <c r="L102" i="32"/>
  <c r="K102" i="32"/>
  <c r="J102" i="32"/>
  <c r="I102" i="32"/>
  <c r="H102" i="32"/>
  <c r="L101" i="32"/>
  <c r="K101" i="32"/>
  <c r="J101" i="32"/>
  <c r="I101" i="32"/>
  <c r="H101" i="32"/>
  <c r="L100" i="32"/>
  <c r="K100" i="32"/>
  <c r="J100" i="32"/>
  <c r="I100" i="32"/>
  <c r="H100" i="32"/>
  <c r="L99" i="32"/>
  <c r="K99" i="32"/>
  <c r="J99" i="32"/>
  <c r="I99" i="32"/>
  <c r="H99" i="32"/>
  <c r="L98" i="32"/>
  <c r="K98" i="32"/>
  <c r="J98" i="32"/>
  <c r="I98" i="32"/>
  <c r="H98" i="32"/>
  <c r="L97" i="32"/>
  <c r="K97" i="32"/>
  <c r="J97" i="32"/>
  <c r="I97" i="32"/>
  <c r="H97" i="32"/>
  <c r="L96" i="32"/>
  <c r="K96" i="32"/>
  <c r="J96" i="32"/>
  <c r="I96" i="32"/>
  <c r="H96" i="32"/>
  <c r="L95" i="32"/>
  <c r="K95" i="32"/>
  <c r="J95" i="32"/>
  <c r="I95" i="32"/>
  <c r="H95" i="32"/>
  <c r="L94" i="32"/>
  <c r="K94" i="32"/>
  <c r="J94" i="32"/>
  <c r="I94" i="32"/>
  <c r="H94" i="32"/>
  <c r="L93" i="32"/>
  <c r="K93" i="32"/>
  <c r="J93" i="32"/>
  <c r="I93" i="32"/>
  <c r="H93" i="32"/>
  <c r="L92" i="32"/>
  <c r="K92" i="32"/>
  <c r="J92" i="32"/>
  <c r="I92" i="32"/>
  <c r="H92" i="32"/>
  <c r="L91" i="32"/>
  <c r="K91" i="32"/>
  <c r="J91" i="32"/>
  <c r="I91" i="32"/>
  <c r="H91" i="32"/>
  <c r="L90" i="32"/>
  <c r="K90" i="32"/>
  <c r="J90" i="32"/>
  <c r="I90" i="32"/>
  <c r="H90" i="32"/>
  <c r="L89" i="32"/>
  <c r="K89" i="32"/>
  <c r="J89" i="32"/>
  <c r="I89" i="32"/>
  <c r="H89" i="32"/>
  <c r="L88" i="32"/>
  <c r="K88" i="32"/>
  <c r="J88" i="32"/>
  <c r="I88" i="32"/>
  <c r="H88" i="32"/>
  <c r="L87" i="32"/>
  <c r="K87" i="32"/>
  <c r="J87" i="32"/>
  <c r="I87" i="32"/>
  <c r="H87" i="32"/>
  <c r="L86" i="32"/>
  <c r="K86" i="32"/>
  <c r="J86" i="32"/>
  <c r="I86" i="32"/>
  <c r="H86" i="32"/>
  <c r="L85" i="32"/>
  <c r="K85" i="32"/>
  <c r="J85" i="32"/>
  <c r="I85" i="32"/>
  <c r="H85" i="32"/>
  <c r="L84" i="32"/>
  <c r="K84" i="32"/>
  <c r="J84" i="32"/>
  <c r="I84" i="32"/>
  <c r="H84" i="32"/>
  <c r="L83" i="32"/>
  <c r="K83" i="32"/>
  <c r="J83" i="32"/>
  <c r="I83" i="32"/>
  <c r="H83" i="32"/>
  <c r="L82" i="32"/>
  <c r="K82" i="32"/>
  <c r="J82" i="32"/>
  <c r="I82" i="32"/>
  <c r="H82" i="32"/>
  <c r="L81" i="32"/>
  <c r="K81" i="32"/>
  <c r="J81" i="32"/>
  <c r="I81" i="32"/>
  <c r="H81" i="32"/>
  <c r="L80" i="32"/>
  <c r="K80" i="32"/>
  <c r="J80" i="32"/>
  <c r="I80" i="32"/>
  <c r="H80" i="32"/>
  <c r="L79" i="32"/>
  <c r="K79" i="32"/>
  <c r="J79" i="32"/>
  <c r="I79" i="32"/>
  <c r="H79" i="32"/>
  <c r="L78" i="32"/>
  <c r="K78" i="32"/>
  <c r="J78" i="32"/>
  <c r="I78" i="32"/>
  <c r="H78" i="32"/>
  <c r="L77" i="32"/>
  <c r="K77" i="32"/>
  <c r="J77" i="32"/>
  <c r="I77" i="32"/>
  <c r="H77" i="32"/>
  <c r="L76" i="32"/>
  <c r="K76" i="32"/>
  <c r="J76" i="32"/>
  <c r="I76" i="32"/>
  <c r="H76" i="32"/>
  <c r="L75" i="32"/>
  <c r="K75" i="32"/>
  <c r="J75" i="32"/>
  <c r="I75" i="32"/>
  <c r="H75" i="32"/>
  <c r="L74" i="32"/>
  <c r="K74" i="32"/>
  <c r="J74" i="32"/>
  <c r="I74" i="32"/>
  <c r="H74" i="32"/>
  <c r="L73" i="32"/>
  <c r="K73" i="32"/>
  <c r="J73" i="32"/>
  <c r="I73" i="32"/>
  <c r="H73" i="32"/>
  <c r="L72" i="32"/>
  <c r="K72" i="32"/>
  <c r="J72" i="32"/>
  <c r="I72" i="32"/>
  <c r="H72" i="32"/>
  <c r="L71" i="32"/>
  <c r="K71" i="32"/>
  <c r="J71" i="32"/>
  <c r="I71" i="32"/>
  <c r="H71" i="32"/>
  <c r="L70" i="32"/>
  <c r="K70" i="32"/>
  <c r="J70" i="32"/>
  <c r="I70" i="32"/>
  <c r="H70" i="32"/>
  <c r="L69" i="32"/>
  <c r="K69" i="32"/>
  <c r="J69" i="32"/>
  <c r="I69" i="32"/>
  <c r="H69" i="32"/>
  <c r="L68" i="32"/>
  <c r="K68" i="32"/>
  <c r="J68" i="32"/>
  <c r="I68" i="32"/>
  <c r="H68" i="32"/>
  <c r="L67" i="32"/>
  <c r="K67" i="32"/>
  <c r="J67" i="32"/>
  <c r="I67" i="32"/>
  <c r="H67" i="32"/>
  <c r="L66" i="32"/>
  <c r="K66" i="32"/>
  <c r="J66" i="32"/>
  <c r="I66" i="32"/>
  <c r="H66" i="32"/>
  <c r="L65" i="32"/>
  <c r="K65" i="32"/>
  <c r="J65" i="32"/>
  <c r="I65" i="32"/>
  <c r="H65" i="32"/>
  <c r="L64" i="32"/>
  <c r="K64" i="32"/>
  <c r="J64" i="32"/>
  <c r="I64" i="32"/>
  <c r="H64" i="32"/>
  <c r="L63" i="32"/>
  <c r="K63" i="32"/>
  <c r="J63" i="32"/>
  <c r="I63" i="32"/>
  <c r="H63" i="32"/>
  <c r="L62" i="32"/>
  <c r="K62" i="32"/>
  <c r="J62" i="32"/>
  <c r="I62" i="32"/>
  <c r="H62" i="32"/>
  <c r="L61" i="32"/>
  <c r="K61" i="32"/>
  <c r="J61" i="32"/>
  <c r="I61" i="32"/>
  <c r="H61" i="32"/>
  <c r="L60" i="32"/>
  <c r="K60" i="32"/>
  <c r="J60" i="32"/>
  <c r="I60" i="32"/>
  <c r="H60" i="32"/>
  <c r="L59" i="32"/>
  <c r="K59" i="32"/>
  <c r="J59" i="32"/>
  <c r="I59" i="32"/>
  <c r="H59" i="32"/>
  <c r="L58" i="32"/>
  <c r="K58" i="32"/>
  <c r="J58" i="32"/>
  <c r="I58" i="32"/>
  <c r="H58" i="32"/>
  <c r="L57" i="32"/>
  <c r="K57" i="32"/>
  <c r="J57" i="32"/>
  <c r="I57" i="32"/>
  <c r="H57" i="32"/>
  <c r="L56" i="32"/>
  <c r="K56" i="32"/>
  <c r="J56" i="32"/>
  <c r="I56" i="32"/>
  <c r="H56" i="32"/>
  <c r="L55" i="32"/>
  <c r="K55" i="32"/>
  <c r="J55" i="32"/>
  <c r="I55" i="32"/>
  <c r="H55" i="32"/>
  <c r="L54" i="32"/>
  <c r="K54" i="32"/>
  <c r="J54" i="32"/>
  <c r="I54" i="32"/>
  <c r="H54" i="32"/>
  <c r="L53" i="32"/>
  <c r="K53" i="32"/>
  <c r="J53" i="32"/>
  <c r="I53" i="32"/>
  <c r="H53" i="32"/>
  <c r="L52" i="32"/>
  <c r="K52" i="32"/>
  <c r="J52" i="32"/>
  <c r="I52" i="32"/>
  <c r="H52" i="32"/>
  <c r="L51" i="32"/>
  <c r="K51" i="32"/>
  <c r="J51" i="32"/>
  <c r="I51" i="32"/>
  <c r="H51" i="32"/>
  <c r="L50" i="32"/>
  <c r="K50" i="32"/>
  <c r="J50" i="32"/>
  <c r="I50" i="32"/>
  <c r="H50" i="32"/>
  <c r="L49" i="32"/>
  <c r="K49" i="32"/>
  <c r="J49" i="32"/>
  <c r="I49" i="32"/>
  <c r="H49" i="32"/>
  <c r="L48" i="32"/>
  <c r="K48" i="32"/>
  <c r="J48" i="32"/>
  <c r="I48" i="32"/>
  <c r="H48" i="32"/>
  <c r="L47" i="32"/>
  <c r="K47" i="32"/>
  <c r="J47" i="32"/>
  <c r="I47" i="32"/>
  <c r="H47" i="32"/>
  <c r="L46" i="32"/>
  <c r="K46" i="32"/>
  <c r="J46" i="32"/>
  <c r="I46" i="32"/>
  <c r="H46" i="32"/>
  <c r="L45" i="32"/>
  <c r="K45" i="32"/>
  <c r="J45" i="32"/>
  <c r="I45" i="32"/>
  <c r="H45" i="32"/>
  <c r="L44" i="32"/>
  <c r="K44" i="32"/>
  <c r="J44" i="32"/>
  <c r="I44" i="32"/>
  <c r="H44" i="32"/>
  <c r="L43" i="32"/>
  <c r="K43" i="32"/>
  <c r="J43" i="32"/>
  <c r="I43" i="32"/>
  <c r="H43" i="32"/>
  <c r="L42" i="32"/>
  <c r="K42" i="32"/>
  <c r="J42" i="32"/>
  <c r="I42" i="32"/>
  <c r="H42" i="32"/>
  <c r="L41" i="32"/>
  <c r="K41" i="32"/>
  <c r="J41" i="32"/>
  <c r="I41" i="32"/>
  <c r="H41" i="32"/>
  <c r="L40" i="32"/>
  <c r="K40" i="32"/>
  <c r="J40" i="32"/>
  <c r="I40" i="32"/>
  <c r="H40" i="32"/>
  <c r="L39" i="32"/>
  <c r="K39" i="32"/>
  <c r="J39" i="32"/>
  <c r="I39" i="32"/>
  <c r="H39" i="32"/>
  <c r="L38" i="32"/>
  <c r="K38" i="32"/>
  <c r="J38" i="32"/>
  <c r="I38" i="32"/>
  <c r="H38" i="32"/>
  <c r="L37" i="32"/>
  <c r="K37" i="32"/>
  <c r="J37" i="32"/>
  <c r="I37" i="32"/>
  <c r="H37" i="32"/>
  <c r="L36" i="32"/>
  <c r="K36" i="32"/>
  <c r="J36" i="32"/>
  <c r="I36" i="32"/>
  <c r="H36" i="32"/>
  <c r="L35" i="32"/>
  <c r="K35" i="32"/>
  <c r="J35" i="32"/>
  <c r="I35" i="32"/>
  <c r="H35" i="32"/>
  <c r="L34" i="32"/>
  <c r="K34" i="32"/>
  <c r="J34" i="32"/>
  <c r="I34" i="32"/>
  <c r="H34" i="32"/>
  <c r="L33" i="32"/>
  <c r="K33" i="32"/>
  <c r="J33" i="32"/>
  <c r="I33" i="32"/>
  <c r="H33" i="32"/>
  <c r="L32" i="32"/>
  <c r="K32" i="32"/>
  <c r="J32" i="32"/>
  <c r="I32" i="32"/>
  <c r="H32" i="32"/>
  <c r="L31" i="32"/>
  <c r="K31" i="32"/>
  <c r="J31" i="32"/>
  <c r="I31" i="32"/>
  <c r="H31" i="32"/>
  <c r="L30" i="32"/>
  <c r="K30" i="32"/>
  <c r="J30" i="32"/>
  <c r="I30" i="32"/>
  <c r="H30" i="32"/>
  <c r="L29" i="32"/>
  <c r="K29" i="32"/>
  <c r="J29" i="32"/>
  <c r="I29" i="32"/>
  <c r="H29" i="32"/>
  <c r="L28" i="32"/>
  <c r="K28" i="32"/>
  <c r="J28" i="32"/>
  <c r="I28" i="32"/>
  <c r="H28" i="32"/>
  <c r="L27" i="32"/>
  <c r="K27" i="32"/>
  <c r="J27" i="32"/>
  <c r="I27" i="32"/>
  <c r="H27" i="32"/>
  <c r="L26" i="32"/>
  <c r="K26" i="32"/>
  <c r="J26" i="32"/>
  <c r="I26" i="32"/>
  <c r="H26" i="32"/>
  <c r="L25" i="32"/>
  <c r="K25" i="32"/>
  <c r="J25" i="32"/>
  <c r="I25" i="32"/>
  <c r="H25" i="32"/>
  <c r="L24" i="32"/>
  <c r="K24" i="32"/>
  <c r="J24" i="32"/>
  <c r="I24" i="32"/>
  <c r="H24" i="32"/>
  <c r="AR23" i="32"/>
  <c r="AQ23" i="32"/>
  <c r="AP23" i="32"/>
  <c r="AO23" i="32"/>
  <c r="AN23" i="32"/>
  <c r="AM23" i="32"/>
  <c r="AL23" i="32"/>
  <c r="AK23" i="32"/>
  <c r="AJ23" i="32"/>
  <c r="AI23" i="32"/>
  <c r="AH23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AV23" i="32" s="1"/>
  <c r="BG156" i="32" s="1"/>
  <c r="O23" i="32"/>
  <c r="L23" i="32"/>
  <c r="K23" i="32"/>
  <c r="J23" i="32"/>
  <c r="I23" i="32"/>
  <c r="H23" i="32"/>
  <c r="BD22" i="32"/>
  <c r="BB22" i="32"/>
  <c r="BB154" i="32" s="1"/>
  <c r="BA22" i="32"/>
  <c r="AZ22" i="32"/>
  <c r="AR22" i="32"/>
  <c r="AQ22" i="32"/>
  <c r="AP22" i="32"/>
  <c r="AO22" i="32"/>
  <c r="AN22" i="32"/>
  <c r="AM22" i="32"/>
  <c r="AL22" i="32"/>
  <c r="AK22" i="32"/>
  <c r="AJ22" i="32"/>
  <c r="AI22" i="32"/>
  <c r="AH22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L22" i="32"/>
  <c r="K22" i="32"/>
  <c r="J22" i="32"/>
  <c r="I22" i="32"/>
  <c r="H22" i="32"/>
  <c r="BA21" i="32"/>
  <c r="AU154" i="32" s="1"/>
  <c r="AZ21" i="32"/>
  <c r="AT154" i="32" s="1"/>
  <c r="AY21" i="32"/>
  <c r="AX156" i="32" s="1"/>
  <c r="AR21" i="32"/>
  <c r="AQ21" i="32"/>
  <c r="AP21" i="32"/>
  <c r="AO21" i="32"/>
  <c r="AN21" i="32"/>
  <c r="AM21" i="32"/>
  <c r="AL21" i="32"/>
  <c r="AK21" i="32"/>
  <c r="AJ21" i="32"/>
  <c r="AI21" i="32"/>
  <c r="AH21" i="32"/>
  <c r="AG21" i="32"/>
  <c r="AF21" i="32"/>
  <c r="AE21" i="32"/>
  <c r="AD21" i="32"/>
  <c r="AC21" i="32"/>
  <c r="AB21" i="32"/>
  <c r="AA21" i="32"/>
  <c r="Z21" i="32"/>
  <c r="Y21" i="32"/>
  <c r="BD21" i="32" s="1"/>
  <c r="X21" i="32"/>
  <c r="W21" i="32"/>
  <c r="V21" i="32"/>
  <c r="U21" i="32"/>
  <c r="T21" i="32"/>
  <c r="S21" i="32"/>
  <c r="R21" i="32"/>
  <c r="Q21" i="32"/>
  <c r="P21" i="32"/>
  <c r="O21" i="32"/>
  <c r="L21" i="32"/>
  <c r="K21" i="32"/>
  <c r="J21" i="32"/>
  <c r="I21" i="32"/>
  <c r="Y141" i="32" s="1"/>
  <c r="H21" i="32"/>
  <c r="AR20" i="32"/>
  <c r="AQ20" i="32"/>
  <c r="AP20" i="32"/>
  <c r="AO20" i="32"/>
  <c r="AN20" i="32"/>
  <c r="AM20" i="32"/>
  <c r="AL20" i="32"/>
  <c r="AK20" i="32"/>
  <c r="AJ20" i="32"/>
  <c r="AI20" i="32"/>
  <c r="AH20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AX20" i="32" s="1"/>
  <c r="AQ156" i="32" s="1"/>
  <c r="U20" i="32"/>
  <c r="T20" i="32"/>
  <c r="S20" i="32"/>
  <c r="R20" i="32"/>
  <c r="Q20" i="32"/>
  <c r="P20" i="32"/>
  <c r="BD20" i="32" s="1"/>
  <c r="AR154" i="32" s="1"/>
  <c r="O20" i="32"/>
  <c r="L20" i="32"/>
  <c r="K20" i="32"/>
  <c r="J20" i="32"/>
  <c r="I20" i="32"/>
  <c r="H20" i="32"/>
  <c r="AR19" i="32"/>
  <c r="AQ19" i="32"/>
  <c r="AP19" i="32"/>
  <c r="AO19" i="32"/>
  <c r="AN19" i="32"/>
  <c r="AM19" i="32"/>
  <c r="AL19" i="32"/>
  <c r="AK19" i="32"/>
  <c r="AJ19" i="32"/>
  <c r="AI19" i="32"/>
  <c r="AH19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AV19" i="32" s="1"/>
  <c r="AI156" i="32" s="1"/>
  <c r="O19" i="32"/>
  <c r="L19" i="32"/>
  <c r="K19" i="32"/>
  <c r="J19" i="32"/>
  <c r="I19" i="32"/>
  <c r="H19" i="32"/>
  <c r="BC18" i="32"/>
  <c r="BI133" i="32" s="1"/>
  <c r="BB18" i="32"/>
  <c r="BH133" i="32" s="1"/>
  <c r="BA18" i="32"/>
  <c r="BG133" i="32" s="1"/>
  <c r="AZ18" i="32"/>
  <c r="BF133" i="32" s="1"/>
  <c r="AR18" i="32"/>
  <c r="AQ18" i="32"/>
  <c r="AP18" i="32"/>
  <c r="AO18" i="32"/>
  <c r="AN18" i="32"/>
  <c r="AM18" i="32"/>
  <c r="AL18" i="32"/>
  <c r="AK18" i="32"/>
  <c r="AJ18" i="32"/>
  <c r="AI18" i="32"/>
  <c r="AH18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BD18" i="32" s="1"/>
  <c r="BJ133" i="32" s="1"/>
  <c r="O18" i="32"/>
  <c r="L18" i="32"/>
  <c r="K18" i="32"/>
  <c r="J18" i="32"/>
  <c r="I18" i="32"/>
  <c r="H18" i="32"/>
  <c r="BA17" i="32"/>
  <c r="BA133" i="32" s="1"/>
  <c r="AZ17" i="32"/>
  <c r="AZ133" i="32" s="1"/>
  <c r="AR17" i="32"/>
  <c r="AQ17" i="32"/>
  <c r="AP17" i="32"/>
  <c r="AO17" i="32"/>
  <c r="AN17" i="32"/>
  <c r="AM17" i="32"/>
  <c r="AL17" i="32"/>
  <c r="AK17" i="32"/>
  <c r="AJ17" i="32"/>
  <c r="AI17" i="32"/>
  <c r="AH17" i="32"/>
  <c r="AG17" i="32"/>
  <c r="AF17" i="32"/>
  <c r="AE17" i="32"/>
  <c r="AD17" i="32"/>
  <c r="AC17" i="32"/>
  <c r="AB17" i="32"/>
  <c r="AA17" i="32"/>
  <c r="Z17" i="32"/>
  <c r="Y17" i="32"/>
  <c r="BD17" i="32" s="1"/>
  <c r="BD133" i="32" s="1"/>
  <c r="X17" i="32"/>
  <c r="W17" i="32"/>
  <c r="V17" i="32"/>
  <c r="U17" i="32"/>
  <c r="T17" i="32"/>
  <c r="S17" i="32"/>
  <c r="R17" i="32"/>
  <c r="Q17" i="32"/>
  <c r="P17" i="32"/>
  <c r="O17" i="32"/>
  <c r="L17" i="32"/>
  <c r="K17" i="32"/>
  <c r="J17" i="32"/>
  <c r="I17" i="32"/>
  <c r="H17" i="32"/>
  <c r="AR16" i="32"/>
  <c r="AQ16" i="32"/>
  <c r="AP16" i="32"/>
  <c r="AO16" i="32"/>
  <c r="AN16" i="32"/>
  <c r="AM16" i="32"/>
  <c r="AL16" i="32"/>
  <c r="AK16" i="32"/>
  <c r="AJ16" i="32"/>
  <c r="AI16" i="32"/>
  <c r="AH16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AX16" i="32" s="1"/>
  <c r="AW135" i="32" s="1"/>
  <c r="U16" i="32"/>
  <c r="T16" i="32"/>
  <c r="S16" i="32"/>
  <c r="R16" i="32"/>
  <c r="Q16" i="32"/>
  <c r="P16" i="32"/>
  <c r="BD16" i="32" s="1"/>
  <c r="AX133" i="32" s="1"/>
  <c r="O16" i="32"/>
  <c r="L16" i="32"/>
  <c r="K16" i="32"/>
  <c r="J16" i="32"/>
  <c r="I16" i="32"/>
  <c r="T148" i="32" s="1"/>
  <c r="H16" i="32"/>
  <c r="Q152" i="32" s="1"/>
  <c r="AR15" i="32"/>
  <c r="AQ15" i="32"/>
  <c r="AP15" i="32"/>
  <c r="AO15" i="32"/>
  <c r="AN15" i="32"/>
  <c r="AM15" i="32"/>
  <c r="AL15" i="32"/>
  <c r="AK15" i="32"/>
  <c r="AJ15" i="32"/>
  <c r="AI15" i="32"/>
  <c r="AH15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L15" i="32"/>
  <c r="K15" i="32"/>
  <c r="J15" i="32"/>
  <c r="I15" i="32"/>
  <c r="H15" i="32"/>
  <c r="BD14" i="32"/>
  <c r="AL133" i="32" s="1"/>
  <c r="BC14" i="32"/>
  <c r="AK133" i="32" s="1"/>
  <c r="BB14" i="32"/>
  <c r="AJ133" i="32" s="1"/>
  <c r="BA14" i="32"/>
  <c r="AI133" i="32" s="1"/>
  <c r="AZ14" i="32"/>
  <c r="AH133" i="32" s="1"/>
  <c r="AR14" i="32"/>
  <c r="AQ14" i="32"/>
  <c r="AP14" i="32"/>
  <c r="AO14" i="32"/>
  <c r="AN14" i="32"/>
  <c r="AM14" i="32"/>
  <c r="AL14" i="32"/>
  <c r="AK14" i="32"/>
  <c r="AJ14" i="32"/>
  <c r="AI14" i="32"/>
  <c r="AH14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BC22" i="32" s="1"/>
  <c r="BC154" i="32" s="1"/>
  <c r="L14" i="32"/>
  <c r="K14" i="32"/>
  <c r="J14" i="32"/>
  <c r="I14" i="32"/>
  <c r="H14" i="32"/>
  <c r="N151" i="32" s="1"/>
  <c r="BT2" i="32"/>
  <c r="D164" i="38"/>
  <c r="E164" i="38"/>
  <c r="F164" i="38"/>
  <c r="G164" i="38"/>
  <c r="H164" i="38"/>
  <c r="I164" i="38"/>
  <c r="J164" i="38"/>
  <c r="K164" i="38"/>
  <c r="L164" i="38"/>
  <c r="M164" i="38"/>
  <c r="N164" i="38"/>
  <c r="N172" i="38" s="1"/>
  <c r="O164" i="38"/>
  <c r="AH164" i="38" s="1"/>
  <c r="P164" i="38"/>
  <c r="Q164" i="38"/>
  <c r="R164" i="38"/>
  <c r="S164" i="38"/>
  <c r="T164" i="38"/>
  <c r="U164" i="38"/>
  <c r="V164" i="38"/>
  <c r="V172" i="38" s="1"/>
  <c r="W164" i="38"/>
  <c r="W172" i="38" s="1"/>
  <c r="X164" i="38"/>
  <c r="Y164" i="38"/>
  <c r="Y172" i="38" s="1"/>
  <c r="Z164" i="38"/>
  <c r="Z172" i="38" s="1"/>
  <c r="AA164" i="38"/>
  <c r="AB164" i="38"/>
  <c r="AC164" i="38"/>
  <c r="AD164" i="38"/>
  <c r="AE164" i="38"/>
  <c r="AF164" i="38"/>
  <c r="AG164" i="38"/>
  <c r="D165" i="38"/>
  <c r="D172" i="38" s="1"/>
  <c r="E165" i="38"/>
  <c r="E172" i="38" s="1"/>
  <c r="F165" i="38"/>
  <c r="F172" i="38" s="1"/>
  <c r="G165" i="38"/>
  <c r="AI165" i="38" s="1"/>
  <c r="H165" i="38"/>
  <c r="I165" i="38"/>
  <c r="J165" i="38"/>
  <c r="K165" i="38"/>
  <c r="L165" i="38"/>
  <c r="M165" i="38"/>
  <c r="N165" i="38"/>
  <c r="O165" i="38"/>
  <c r="P165" i="38"/>
  <c r="Q165" i="38"/>
  <c r="R165" i="38"/>
  <c r="R172" i="38" s="1"/>
  <c r="S165" i="38"/>
  <c r="T165" i="38"/>
  <c r="U165" i="38"/>
  <c r="V165" i="38"/>
  <c r="W165" i="38"/>
  <c r="X165" i="38"/>
  <c r="Y165" i="38"/>
  <c r="Z165" i="38"/>
  <c r="AA165" i="38"/>
  <c r="AB165" i="38"/>
  <c r="AC165" i="38"/>
  <c r="AC172" i="38" s="1"/>
  <c r="AD165" i="38"/>
  <c r="AD172" i="38" s="1"/>
  <c r="AE165" i="38"/>
  <c r="AF165" i="38"/>
  <c r="AG165" i="38"/>
  <c r="D166" i="38"/>
  <c r="E166" i="38"/>
  <c r="F166" i="38"/>
  <c r="G166" i="38"/>
  <c r="H166" i="38"/>
  <c r="I166" i="38"/>
  <c r="J166" i="38"/>
  <c r="K166" i="38"/>
  <c r="L166" i="38"/>
  <c r="AI166" i="38" s="1"/>
  <c r="M166" i="38"/>
  <c r="N166" i="38"/>
  <c r="O166" i="38"/>
  <c r="P166" i="38"/>
  <c r="Q166" i="38"/>
  <c r="R166" i="38"/>
  <c r="S166" i="38"/>
  <c r="T166" i="38"/>
  <c r="U166" i="38"/>
  <c r="V166" i="38"/>
  <c r="W166" i="38"/>
  <c r="X166" i="38"/>
  <c r="Y166" i="38"/>
  <c r="Z166" i="38"/>
  <c r="AA166" i="38"/>
  <c r="AB166" i="38"/>
  <c r="AC166" i="38"/>
  <c r="AD166" i="38"/>
  <c r="AE166" i="38"/>
  <c r="AF166" i="38"/>
  <c r="AG166" i="38"/>
  <c r="D167" i="38"/>
  <c r="AI167" i="38" s="1"/>
  <c r="E167" i="38"/>
  <c r="AH167" i="38" s="1"/>
  <c r="F167" i="38"/>
  <c r="G167" i="38"/>
  <c r="H167" i="38"/>
  <c r="I167" i="38"/>
  <c r="J167" i="38"/>
  <c r="K167" i="38"/>
  <c r="L167" i="38"/>
  <c r="M167" i="38"/>
  <c r="N167" i="38"/>
  <c r="O167" i="38"/>
  <c r="P167" i="38"/>
  <c r="Q167" i="38"/>
  <c r="R167" i="38"/>
  <c r="S167" i="38"/>
  <c r="T167" i="38"/>
  <c r="U167" i="38"/>
  <c r="V167" i="38"/>
  <c r="W167" i="38"/>
  <c r="X167" i="38"/>
  <c r="Y167" i="38"/>
  <c r="Z167" i="38"/>
  <c r="AA167" i="38"/>
  <c r="AB167" i="38"/>
  <c r="AC167" i="38"/>
  <c r="AD167" i="38"/>
  <c r="AE167" i="38"/>
  <c r="AF167" i="38"/>
  <c r="AG167" i="38"/>
  <c r="D168" i="38"/>
  <c r="AI168" i="38" s="1"/>
  <c r="E168" i="38"/>
  <c r="F168" i="38"/>
  <c r="G168" i="38"/>
  <c r="H168" i="38"/>
  <c r="I168" i="38"/>
  <c r="J168" i="38"/>
  <c r="K168" i="38"/>
  <c r="L168" i="38"/>
  <c r="M168" i="38"/>
  <c r="N168" i="38"/>
  <c r="O168" i="38"/>
  <c r="P168" i="38"/>
  <c r="Q168" i="38"/>
  <c r="R168" i="38"/>
  <c r="S168" i="38"/>
  <c r="T168" i="38"/>
  <c r="U168" i="38"/>
  <c r="V168" i="38"/>
  <c r="W168" i="38"/>
  <c r="X168" i="38"/>
  <c r="Y168" i="38"/>
  <c r="Z168" i="38"/>
  <c r="AA168" i="38"/>
  <c r="AB168" i="38"/>
  <c r="AC168" i="38"/>
  <c r="AD168" i="38"/>
  <c r="AE168" i="38"/>
  <c r="AF168" i="38"/>
  <c r="AG168" i="38"/>
  <c r="D169" i="38"/>
  <c r="AI169" i="38" s="1"/>
  <c r="E169" i="38"/>
  <c r="F169" i="38"/>
  <c r="G169" i="38"/>
  <c r="H169" i="38"/>
  <c r="I169" i="38"/>
  <c r="J169" i="38"/>
  <c r="K169" i="38"/>
  <c r="L169" i="38"/>
  <c r="M169" i="38"/>
  <c r="N169" i="38"/>
  <c r="O169" i="38"/>
  <c r="P169" i="38"/>
  <c r="Q169" i="38"/>
  <c r="Q172" i="38" s="1"/>
  <c r="R169" i="38"/>
  <c r="S169" i="38"/>
  <c r="T169" i="38"/>
  <c r="U169" i="38"/>
  <c r="V169" i="38"/>
  <c r="W169" i="38"/>
  <c r="X169" i="38"/>
  <c r="Y169" i="38"/>
  <c r="Z169" i="38"/>
  <c r="AA169" i="38"/>
  <c r="AB169" i="38"/>
  <c r="AC169" i="38"/>
  <c r="AD169" i="38"/>
  <c r="AE169" i="38"/>
  <c r="AF169" i="38"/>
  <c r="AG169" i="38"/>
  <c r="D170" i="38"/>
  <c r="E170" i="38"/>
  <c r="AH170" i="38" s="1"/>
  <c r="F170" i="38"/>
  <c r="G170" i="38"/>
  <c r="H170" i="38"/>
  <c r="I170" i="38"/>
  <c r="AI170" i="38" s="1"/>
  <c r="J170" i="38"/>
  <c r="K170" i="38"/>
  <c r="L170" i="38"/>
  <c r="M170" i="38"/>
  <c r="N170" i="38"/>
  <c r="O170" i="38"/>
  <c r="P170" i="38"/>
  <c r="Q170" i="38"/>
  <c r="R170" i="38"/>
  <c r="S170" i="38"/>
  <c r="T170" i="38"/>
  <c r="U170" i="38"/>
  <c r="V170" i="38"/>
  <c r="W170" i="38"/>
  <c r="X170" i="38"/>
  <c r="Y170" i="38"/>
  <c r="Z170" i="38"/>
  <c r="AA170" i="38"/>
  <c r="AB170" i="38"/>
  <c r="AC170" i="38"/>
  <c r="AD170" i="38"/>
  <c r="AE170" i="38"/>
  <c r="AF170" i="38"/>
  <c r="AG170" i="38"/>
  <c r="D171" i="38"/>
  <c r="AI171" i="38" s="1"/>
  <c r="E171" i="38"/>
  <c r="F171" i="38"/>
  <c r="G171" i="38"/>
  <c r="H171" i="38"/>
  <c r="I171" i="38"/>
  <c r="J171" i="38"/>
  <c r="K171" i="38"/>
  <c r="L171" i="38"/>
  <c r="M171" i="38"/>
  <c r="N171" i="38"/>
  <c r="O171" i="38"/>
  <c r="P171" i="38"/>
  <c r="Q171" i="38"/>
  <c r="R171" i="38"/>
  <c r="S171" i="38"/>
  <c r="T171" i="38"/>
  <c r="U171" i="38"/>
  <c r="V171" i="38"/>
  <c r="W171" i="38"/>
  <c r="X171" i="38"/>
  <c r="Y171" i="38"/>
  <c r="Z171" i="38"/>
  <c r="AA171" i="38"/>
  <c r="AB171" i="38"/>
  <c r="AC171" i="38"/>
  <c r="AD171" i="38"/>
  <c r="AE171" i="38"/>
  <c r="AF171" i="38"/>
  <c r="AG171" i="38"/>
  <c r="E163" i="38"/>
  <c r="F163" i="38"/>
  <c r="G163" i="38"/>
  <c r="H163" i="38"/>
  <c r="I163" i="38"/>
  <c r="J163" i="38"/>
  <c r="K163" i="38"/>
  <c r="L163" i="38"/>
  <c r="M163" i="38"/>
  <c r="N163" i="38"/>
  <c r="O163" i="38"/>
  <c r="P163" i="38"/>
  <c r="P172" i="38" s="1"/>
  <c r="Q163" i="38"/>
  <c r="R163" i="38"/>
  <c r="S163" i="38"/>
  <c r="T163" i="38"/>
  <c r="U163" i="38"/>
  <c r="V163" i="38"/>
  <c r="W163" i="38"/>
  <c r="X163" i="38"/>
  <c r="Y163" i="38"/>
  <c r="Z163" i="38"/>
  <c r="AA163" i="38"/>
  <c r="AB163" i="38"/>
  <c r="AB172" i="38" s="1"/>
  <c r="AC163" i="38"/>
  <c r="AD163" i="38"/>
  <c r="AE163" i="38"/>
  <c r="AF163" i="38"/>
  <c r="AG163" i="38"/>
  <c r="D163" i="38"/>
  <c r="B164" i="38"/>
  <c r="C164" i="38"/>
  <c r="B165" i="38"/>
  <c r="C165" i="38"/>
  <c r="B166" i="38"/>
  <c r="C166" i="38"/>
  <c r="B167" i="38"/>
  <c r="C167" i="38"/>
  <c r="C172" i="38" s="1"/>
  <c r="B168" i="38"/>
  <c r="C168" i="38"/>
  <c r="B169" i="38"/>
  <c r="C169" i="38"/>
  <c r="B170" i="38"/>
  <c r="C170" i="38"/>
  <c r="B171" i="38"/>
  <c r="C171" i="38"/>
  <c r="C163" i="38"/>
  <c r="B163" i="38"/>
  <c r="AE172" i="38"/>
  <c r="M172" i="38"/>
  <c r="K172" i="38"/>
  <c r="J172" i="38"/>
  <c r="AF591" i="21"/>
  <c r="AF590" i="21"/>
  <c r="AF589" i="21"/>
  <c r="AF588" i="21"/>
  <c r="AF587" i="21"/>
  <c r="AF586" i="21"/>
  <c r="AF585" i="21"/>
  <c r="AF584" i="21"/>
  <c r="AF583" i="21"/>
  <c r="AF592" i="21" s="1"/>
  <c r="AF577" i="21"/>
  <c r="AF576" i="21"/>
  <c r="AF575" i="21"/>
  <c r="AF574" i="21"/>
  <c r="AF573" i="21"/>
  <c r="AF572" i="21"/>
  <c r="AF571" i="21"/>
  <c r="AF570" i="21"/>
  <c r="AF569" i="21"/>
  <c r="AF578" i="21" s="1"/>
  <c r="AF134" i="38"/>
  <c r="AF135" i="38"/>
  <c r="AF136" i="38"/>
  <c r="AF137" i="38"/>
  <c r="AF138" i="38"/>
  <c r="AF139" i="38"/>
  <c r="AF140" i="38"/>
  <c r="AF141" i="38"/>
  <c r="AF133" i="38"/>
  <c r="AF128" i="38"/>
  <c r="AF120" i="38"/>
  <c r="AF121" i="38"/>
  <c r="AF122" i="38"/>
  <c r="AF123" i="38"/>
  <c r="AF124" i="38"/>
  <c r="AF125" i="38"/>
  <c r="AF126" i="38"/>
  <c r="AF127" i="38"/>
  <c r="AF119" i="38"/>
  <c r="AG134" i="38"/>
  <c r="AG135" i="38"/>
  <c r="AG136" i="38"/>
  <c r="AG137" i="38"/>
  <c r="AG138" i="38"/>
  <c r="AG139" i="38"/>
  <c r="AG140" i="38"/>
  <c r="AG141" i="38"/>
  <c r="AG142" i="38"/>
  <c r="AG133" i="38"/>
  <c r="AG120" i="38"/>
  <c r="AG121" i="38"/>
  <c r="AG122" i="38"/>
  <c r="AG123" i="38"/>
  <c r="AG124" i="38"/>
  <c r="AG125" i="38"/>
  <c r="AG126" i="38"/>
  <c r="AG127" i="38"/>
  <c r="AG128" i="38"/>
  <c r="AG119" i="38"/>
  <c r="AG584" i="21"/>
  <c r="AG585" i="21"/>
  <c r="AG586" i="21"/>
  <c r="AG587" i="21"/>
  <c r="AG588" i="21"/>
  <c r="AG589" i="21"/>
  <c r="AG590" i="21"/>
  <c r="AG591" i="21"/>
  <c r="AG592" i="21"/>
  <c r="AG583" i="21"/>
  <c r="AG570" i="21"/>
  <c r="AG571" i="21"/>
  <c r="AG572" i="21"/>
  <c r="AG573" i="21"/>
  <c r="AG574" i="21"/>
  <c r="AG575" i="21"/>
  <c r="AG576" i="21"/>
  <c r="AG577" i="21"/>
  <c r="AG578" i="21"/>
  <c r="AG569" i="21"/>
  <c r="K153" i="17" l="1"/>
  <c r="N150" i="17"/>
  <c r="B149" i="17"/>
  <c r="H146" i="17"/>
  <c r="Q149" i="17"/>
  <c r="B148" i="17"/>
  <c r="K150" i="17"/>
  <c r="B150" i="17"/>
  <c r="N153" i="17"/>
  <c r="N151" i="17"/>
  <c r="Q153" i="17"/>
  <c r="E146" i="17"/>
  <c r="E148" i="17" s="1"/>
  <c r="Q151" i="17"/>
  <c r="K149" i="17"/>
  <c r="E147" i="17"/>
  <c r="Q150" i="17"/>
  <c r="H147" i="17"/>
  <c r="B147" i="17"/>
  <c r="N152" i="17"/>
  <c r="B146" i="17"/>
  <c r="B152" i="17" s="1"/>
  <c r="K152" i="17"/>
  <c r="K151" i="17"/>
  <c r="B151" i="17"/>
  <c r="AF170" i="17"/>
  <c r="U151" i="17"/>
  <c r="C168" i="17" s="1"/>
  <c r="Y141" i="17"/>
  <c r="M141" i="17"/>
  <c r="U140" i="17"/>
  <c r="I140" i="17"/>
  <c r="W139" i="17"/>
  <c r="K139" i="17"/>
  <c r="Y138" i="17"/>
  <c r="M138" i="17"/>
  <c r="Z137" i="17"/>
  <c r="N137" i="17"/>
  <c r="B137" i="17"/>
  <c r="V136" i="17"/>
  <c r="J136" i="17"/>
  <c r="AE135" i="17"/>
  <c r="S135" i="17"/>
  <c r="G135" i="17"/>
  <c r="AA134" i="17"/>
  <c r="O134" i="17"/>
  <c r="C134" i="17"/>
  <c r="X133" i="17"/>
  <c r="L133" i="17"/>
  <c r="T127" i="17"/>
  <c r="H127" i="17"/>
  <c r="AC126" i="17"/>
  <c r="Q126" i="17"/>
  <c r="E126" i="17"/>
  <c r="G170" i="17" s="1"/>
  <c r="Z125" i="17"/>
  <c r="N125" i="17"/>
  <c r="B125" i="17"/>
  <c r="W124" i="17"/>
  <c r="K124" i="17"/>
  <c r="T123" i="17"/>
  <c r="T149" i="17"/>
  <c r="U146" i="17"/>
  <c r="T146" i="17"/>
  <c r="U141" i="17"/>
  <c r="H141" i="17"/>
  <c r="AA140" i="17"/>
  <c r="N140" i="17"/>
  <c r="AA139" i="17"/>
  <c r="N139" i="17"/>
  <c r="AA138" i="17"/>
  <c r="N138" i="17"/>
  <c r="Y137" i="17"/>
  <c r="L137" i="17"/>
  <c r="AE136" i="17"/>
  <c r="R136" i="17"/>
  <c r="E136" i="17"/>
  <c r="W135" i="17"/>
  <c r="J135" i="17"/>
  <c r="AC134" i="17"/>
  <c r="P134" i="17"/>
  <c r="B134" i="17"/>
  <c r="T133" i="17"/>
  <c r="G133" i="17"/>
  <c r="X127" i="17"/>
  <c r="Z171" i="17" s="1"/>
  <c r="K127" i="17"/>
  <c r="AE126" i="17"/>
  <c r="R126" i="17"/>
  <c r="D126" i="17"/>
  <c r="X125" i="17"/>
  <c r="K125" i="17"/>
  <c r="M169" i="17" s="1"/>
  <c r="AE124" i="17"/>
  <c r="AG168" i="17" s="1"/>
  <c r="R124" i="17"/>
  <c r="E124" i="17"/>
  <c r="G168" i="17" s="1"/>
  <c r="Y123" i="17"/>
  <c r="AA167" i="17" s="1"/>
  <c r="L123" i="17"/>
  <c r="N167" i="17" s="1"/>
  <c r="U122" i="17"/>
  <c r="I122" i="17"/>
  <c r="AD121" i="17"/>
  <c r="R121" i="17"/>
  <c r="F121" i="17"/>
  <c r="AA120" i="17"/>
  <c r="AC164" i="17" s="1"/>
  <c r="O120" i="17"/>
  <c r="Q164" i="17" s="1"/>
  <c r="C120" i="17"/>
  <c r="E164" i="17" s="1"/>
  <c r="T141" i="17"/>
  <c r="F141" i="17"/>
  <c r="X140" i="17"/>
  <c r="J140" i="17"/>
  <c r="U139" i="17"/>
  <c r="G139" i="17"/>
  <c r="S138" i="17"/>
  <c r="E138" i="17"/>
  <c r="AD137" i="17"/>
  <c r="P137" i="17"/>
  <c r="R167" i="17" s="1"/>
  <c r="S136" i="17"/>
  <c r="D136" i="17"/>
  <c r="R135" i="17"/>
  <c r="D135" i="17"/>
  <c r="V134" i="17"/>
  <c r="X164" i="17" s="1"/>
  <c r="H134" i="17"/>
  <c r="V133" i="17"/>
  <c r="H133" i="17"/>
  <c r="S127" i="17"/>
  <c r="E127" i="17"/>
  <c r="G171" i="17" s="1"/>
  <c r="X126" i="17"/>
  <c r="J126" i="17"/>
  <c r="L170" i="17" s="1"/>
  <c r="AC125" i="17"/>
  <c r="AE169" i="17" s="1"/>
  <c r="O125" i="17"/>
  <c r="Q169" i="17" s="1"/>
  <c r="S124" i="17"/>
  <c r="U168" i="17" s="1"/>
  <c r="D124" i="17"/>
  <c r="F168" i="17" s="1"/>
  <c r="W123" i="17"/>
  <c r="Y167" i="17" s="1"/>
  <c r="I123" i="17"/>
  <c r="AC122" i="17"/>
  <c r="P122" i="17"/>
  <c r="C122" i="17"/>
  <c r="S141" i="17"/>
  <c r="E141" i="17"/>
  <c r="W140" i="17"/>
  <c r="H140" i="17"/>
  <c r="T139" i="17"/>
  <c r="F139" i="17"/>
  <c r="R138" i="17"/>
  <c r="D138" i="17"/>
  <c r="AC137" i="17"/>
  <c r="O137" i="17"/>
  <c r="Q136" i="17"/>
  <c r="C136" i="17"/>
  <c r="Q135" i="17"/>
  <c r="C135" i="17"/>
  <c r="U134" i="17"/>
  <c r="G134" i="17"/>
  <c r="U133" i="17"/>
  <c r="F133" i="17"/>
  <c r="R127" i="17"/>
  <c r="T171" i="17" s="1"/>
  <c r="D127" i="17"/>
  <c r="F171" i="17" s="1"/>
  <c r="W126" i="17"/>
  <c r="I126" i="17"/>
  <c r="AB125" i="17"/>
  <c r="M125" i="17"/>
  <c r="O169" i="17" s="1"/>
  <c r="Q124" i="17"/>
  <c r="C124" i="17"/>
  <c r="V123" i="17"/>
  <c r="X167" i="17" s="1"/>
  <c r="H123" i="17"/>
  <c r="J167" i="17" s="1"/>
  <c r="AB122" i="17"/>
  <c r="AD166" i="17" s="1"/>
  <c r="O122" i="17"/>
  <c r="B122" i="17"/>
  <c r="V121" i="17"/>
  <c r="X165" i="17" s="1"/>
  <c r="I121" i="17"/>
  <c r="AC120" i="17"/>
  <c r="P120" i="17"/>
  <c r="B120" i="17"/>
  <c r="V119" i="17"/>
  <c r="J119" i="17"/>
  <c r="U152" i="17"/>
  <c r="C169" i="17" s="1"/>
  <c r="AC141" i="17"/>
  <c r="O141" i="17"/>
  <c r="R140" i="17"/>
  <c r="D140" i="17"/>
  <c r="AD139" i="17"/>
  <c r="P139" i="17"/>
  <c r="B139" i="17"/>
  <c r="AB138" i="17"/>
  <c r="L138" i="17"/>
  <c r="W137" i="17"/>
  <c r="I137" i="17"/>
  <c r="AA136" i="17"/>
  <c r="M136" i="17"/>
  <c r="AA135" i="17"/>
  <c r="M135" i="17"/>
  <c r="AE134" i="17"/>
  <c r="Q134" i="17"/>
  <c r="AD133" i="17"/>
  <c r="P133" i="17"/>
  <c r="B133" i="17"/>
  <c r="AB127" i="17"/>
  <c r="N127" i="17"/>
  <c r="P171" i="17" s="1"/>
  <c r="S126" i="17"/>
  <c r="C126" i="17"/>
  <c r="V125" i="17"/>
  <c r="X169" i="17" s="1"/>
  <c r="H125" i="17"/>
  <c r="AA124" i="17"/>
  <c r="AC168" i="17" s="1"/>
  <c r="M124" i="17"/>
  <c r="O168" i="17" s="1"/>
  <c r="AE123" i="17"/>
  <c r="AG167" i="17" s="1"/>
  <c r="Q123" i="17"/>
  <c r="D123" i="17"/>
  <c r="X122" i="17"/>
  <c r="K122" i="17"/>
  <c r="M166" i="17" s="1"/>
  <c r="AE121" i="17"/>
  <c r="Q121" i="17"/>
  <c r="D121" i="17"/>
  <c r="F165" i="17" s="1"/>
  <c r="X120" i="17"/>
  <c r="Z164" i="17" s="1"/>
  <c r="K120" i="17"/>
  <c r="M164" i="17" s="1"/>
  <c r="AD119" i="17"/>
  <c r="R119" i="17"/>
  <c r="F119" i="17"/>
  <c r="T152" i="17"/>
  <c r="U150" i="17"/>
  <c r="C167" i="17" s="1"/>
  <c r="U148" i="17"/>
  <c r="C165" i="17" s="1"/>
  <c r="V141" i="17"/>
  <c r="B141" i="17"/>
  <c r="O140" i="17"/>
  <c r="S139" i="17"/>
  <c r="V138" i="17"/>
  <c r="C138" i="17"/>
  <c r="X137" i="17"/>
  <c r="F137" i="17"/>
  <c r="T136" i="17"/>
  <c r="T135" i="17"/>
  <c r="L134" i="17"/>
  <c r="AE133" i="17"/>
  <c r="M133" i="17"/>
  <c r="W127" i="17"/>
  <c r="Y171" i="17" s="1"/>
  <c r="C127" i="17"/>
  <c r="P126" i="17"/>
  <c r="L125" i="17"/>
  <c r="N169" i="17" s="1"/>
  <c r="Z124" i="17"/>
  <c r="AB168" i="17" s="1"/>
  <c r="H124" i="17"/>
  <c r="J168" i="17" s="1"/>
  <c r="U123" i="17"/>
  <c r="W167" i="17" s="1"/>
  <c r="C123" i="17"/>
  <c r="E167" i="17" s="1"/>
  <c r="S122" i="17"/>
  <c r="S121" i="17"/>
  <c r="B121" i="17"/>
  <c r="T120" i="17"/>
  <c r="E120" i="17"/>
  <c r="U119" i="17"/>
  <c r="G119" i="17"/>
  <c r="U147" i="17"/>
  <c r="C164" i="17" s="1"/>
  <c r="AE141" i="17"/>
  <c r="L141" i="17"/>
  <c r="Z140" i="17"/>
  <c r="F140" i="17"/>
  <c r="AE139" i="17"/>
  <c r="L139" i="17"/>
  <c r="O138" i="17"/>
  <c r="R137" i="17"/>
  <c r="AC136" i="17"/>
  <c r="K136" i="17"/>
  <c r="AC135" i="17"/>
  <c r="K135" i="17"/>
  <c r="X134" i="17"/>
  <c r="E134" i="17"/>
  <c r="Y133" i="17"/>
  <c r="D133" i="17"/>
  <c r="O127" i="17"/>
  <c r="AB126" i="17"/>
  <c r="K126" i="17"/>
  <c r="W125" i="17"/>
  <c r="E125" i="17"/>
  <c r="G169" i="17" s="1"/>
  <c r="T124" i="17"/>
  <c r="N123" i="17"/>
  <c r="P167" i="17" s="1"/>
  <c r="AD122" i="17"/>
  <c r="AF166" i="17" s="1"/>
  <c r="L122" i="17"/>
  <c r="AA121" i="17"/>
  <c r="AC165" i="17" s="1"/>
  <c r="L121" i="17"/>
  <c r="N165" i="17" s="1"/>
  <c r="AD120" i="17"/>
  <c r="M120" i="17"/>
  <c r="AC119" i="17"/>
  <c r="O119" i="17"/>
  <c r="T154" i="17"/>
  <c r="AA141" i="17"/>
  <c r="I141" i="17"/>
  <c r="T140" i="17"/>
  <c r="B140" i="17"/>
  <c r="Z139" i="17"/>
  <c r="H139" i="17"/>
  <c r="AC138" i="17"/>
  <c r="I138" i="17"/>
  <c r="K137" i="17"/>
  <c r="Y136" i="17"/>
  <c r="G136" i="17"/>
  <c r="Y135" i="17"/>
  <c r="F135" i="17"/>
  <c r="S134" i="17"/>
  <c r="R133" i="17"/>
  <c r="AC127" i="17"/>
  <c r="AE171" i="17" s="1"/>
  <c r="J127" i="17"/>
  <c r="Y126" i="17"/>
  <c r="AA170" i="17" s="1"/>
  <c r="F126" i="17"/>
  <c r="H170" i="17" s="1"/>
  <c r="S125" i="17"/>
  <c r="N124" i="17"/>
  <c r="P168" i="17" s="1"/>
  <c r="AB123" i="17"/>
  <c r="J123" i="17"/>
  <c r="Y122" i="17"/>
  <c r="AA166" i="17" s="1"/>
  <c r="G122" i="17"/>
  <c r="I166" i="17" s="1"/>
  <c r="X121" i="17"/>
  <c r="Z165" i="17" s="1"/>
  <c r="H121" i="17"/>
  <c r="Y120" i="17"/>
  <c r="AA164" i="17" s="1"/>
  <c r="I120" i="17"/>
  <c r="K164" i="17" s="1"/>
  <c r="Z119" i="17"/>
  <c r="L119" i="17"/>
  <c r="T147" i="17"/>
  <c r="N141" i="17"/>
  <c r="S140" i="17"/>
  <c r="O139" i="17"/>
  <c r="H138" i="17"/>
  <c r="AA137" i="17"/>
  <c r="C137" i="17"/>
  <c r="H136" i="17"/>
  <c r="N135" i="17"/>
  <c r="T134" i="17"/>
  <c r="AA133" i="17"/>
  <c r="Q127" i="17"/>
  <c r="S171" i="17" s="1"/>
  <c r="Z126" i="17"/>
  <c r="AB170" i="17" s="1"/>
  <c r="G125" i="17"/>
  <c r="I169" i="17" s="1"/>
  <c r="P124" i="17"/>
  <c r="Z123" i="17"/>
  <c r="AB167" i="17" s="1"/>
  <c r="J122" i="17"/>
  <c r="W121" i="17"/>
  <c r="N120" i="17"/>
  <c r="Y119" i="17"/>
  <c r="E119" i="17"/>
  <c r="D119" i="17"/>
  <c r="U154" i="17"/>
  <c r="C171" i="17" s="1"/>
  <c r="K141" i="17"/>
  <c r="Q140" i="17"/>
  <c r="M139" i="17"/>
  <c r="AE138" i="17"/>
  <c r="G138" i="17"/>
  <c r="V137" i="17"/>
  <c r="AD136" i="17"/>
  <c r="F136" i="17"/>
  <c r="L135" i="17"/>
  <c r="R134" i="17"/>
  <c r="Z133" i="17"/>
  <c r="P127" i="17"/>
  <c r="R171" i="17" s="1"/>
  <c r="V126" i="17"/>
  <c r="X170" i="17" s="1"/>
  <c r="AE125" i="17"/>
  <c r="AG169" i="17" s="1"/>
  <c r="F125" i="17"/>
  <c r="O124" i="17"/>
  <c r="Q168" i="17" s="1"/>
  <c r="X123" i="17"/>
  <c r="H122" i="17"/>
  <c r="U121" i="17"/>
  <c r="L120" i="17"/>
  <c r="N164" i="17" s="1"/>
  <c r="X119" i="17"/>
  <c r="J141" i="17"/>
  <c r="P140" i="17"/>
  <c r="J139" i="17"/>
  <c r="AD138" i="17"/>
  <c r="F138" i="17"/>
  <c r="U137" i="17"/>
  <c r="AB136" i="17"/>
  <c r="B136" i="17"/>
  <c r="I135" i="17"/>
  <c r="N134" i="17"/>
  <c r="W133" i="17"/>
  <c r="M127" i="17"/>
  <c r="U126" i="17"/>
  <c r="W170" i="17" s="1"/>
  <c r="AD125" i="17"/>
  <c r="AF169" i="17" s="1"/>
  <c r="D125" i="17"/>
  <c r="L124" i="17"/>
  <c r="N168" i="17" s="1"/>
  <c r="S123" i="17"/>
  <c r="AE122" i="17"/>
  <c r="F122" i="17"/>
  <c r="H166" i="17" s="1"/>
  <c r="T121" i="17"/>
  <c r="J120" i="17"/>
  <c r="W119" i="17"/>
  <c r="C119" i="17"/>
  <c r="AB141" i="17"/>
  <c r="C141" i="17"/>
  <c r="K140" i="17"/>
  <c r="AC139" i="17"/>
  <c r="D139" i="17"/>
  <c r="W138" i="17"/>
  <c r="Q137" i="17"/>
  <c r="W136" i="17"/>
  <c r="AB135" i="17"/>
  <c r="B135" i="17"/>
  <c r="J134" i="17"/>
  <c r="O133" i="17"/>
  <c r="AE127" i="17"/>
  <c r="AG171" i="17" s="1"/>
  <c r="G127" i="17"/>
  <c r="I171" i="17" s="1"/>
  <c r="N126" i="17"/>
  <c r="P170" i="17" s="1"/>
  <c r="U125" i="17"/>
  <c r="W169" i="17" s="1"/>
  <c r="AD124" i="17"/>
  <c r="AF168" i="17" s="1"/>
  <c r="G124" i="17"/>
  <c r="I168" i="17" s="1"/>
  <c r="O123" i="17"/>
  <c r="Q167" i="17" s="1"/>
  <c r="W122" i="17"/>
  <c r="Y166" i="17" s="1"/>
  <c r="N121" i="17"/>
  <c r="Z120" i="17"/>
  <c r="F120" i="17"/>
  <c r="H164" i="17" s="1"/>
  <c r="Q119" i="17"/>
  <c r="Z141" i="17"/>
  <c r="AE140" i="17"/>
  <c r="G140" i="17"/>
  <c r="AB139" i="17"/>
  <c r="C139" i="17"/>
  <c r="E169" i="17" s="1"/>
  <c r="U138" i="17"/>
  <c r="M137" i="17"/>
  <c r="U136" i="17"/>
  <c r="Z135" i="17"/>
  <c r="I134" i="17"/>
  <c r="N133" i="17"/>
  <c r="AD127" i="17"/>
  <c r="AF171" i="17" s="1"/>
  <c r="F127" i="17"/>
  <c r="H171" i="17" s="1"/>
  <c r="M126" i="17"/>
  <c r="O170" i="17" s="1"/>
  <c r="T125" i="17"/>
  <c r="V169" i="17" s="1"/>
  <c r="AC124" i="17"/>
  <c r="AE168" i="17" s="1"/>
  <c r="F124" i="17"/>
  <c r="H168" i="17" s="1"/>
  <c r="M123" i="17"/>
  <c r="O167" i="17" s="1"/>
  <c r="V122" i="17"/>
  <c r="X166" i="17" s="1"/>
  <c r="M121" i="17"/>
  <c r="W120" i="17"/>
  <c r="D120" i="17"/>
  <c r="F164" i="17" s="1"/>
  <c r="T148" i="17"/>
  <c r="W141" i="17"/>
  <c r="AC140" i="17"/>
  <c r="C140" i="17"/>
  <c r="X139" i="17"/>
  <c r="Q138" i="17"/>
  <c r="H137" i="17"/>
  <c r="O136" i="17"/>
  <c r="V135" i="17"/>
  <c r="AB134" i="17"/>
  <c r="D134" i="17"/>
  <c r="J133" i="17"/>
  <c r="Z127" i="17"/>
  <c r="H126" i="17"/>
  <c r="Q125" i="17"/>
  <c r="Y124" i="17"/>
  <c r="AA168" i="17" s="1"/>
  <c r="G123" i="17"/>
  <c r="I167" i="17" s="1"/>
  <c r="R122" i="17"/>
  <c r="T166" i="17" s="1"/>
  <c r="AC121" i="17"/>
  <c r="AE165" i="17" s="1"/>
  <c r="J121" i="17"/>
  <c r="U120" i="17"/>
  <c r="M119" i="17"/>
  <c r="R141" i="17"/>
  <c r="AB140" i="17"/>
  <c r="V139" i="17"/>
  <c r="P138" i="17"/>
  <c r="G137" i="17"/>
  <c r="N136" i="17"/>
  <c r="U135" i="17"/>
  <c r="Z134" i="17"/>
  <c r="I133" i="17"/>
  <c r="Y127" i="17"/>
  <c r="AA171" i="17" s="1"/>
  <c r="G126" i="17"/>
  <c r="P125" i="17"/>
  <c r="R169" i="17" s="1"/>
  <c r="X124" i="17"/>
  <c r="AD123" i="17"/>
  <c r="AF167" i="17" s="1"/>
  <c r="F123" i="17"/>
  <c r="Q122" i="17"/>
  <c r="S166" i="17" s="1"/>
  <c r="AB121" i="17"/>
  <c r="AD165" i="17" s="1"/>
  <c r="G121" i="17"/>
  <c r="I165" i="17" s="1"/>
  <c r="S120" i="17"/>
  <c r="U164" i="17" s="1"/>
  <c r="AE119" i="17"/>
  <c r="K119" i="17"/>
  <c r="AY15" i="17"/>
  <c r="AR135" i="17" s="1"/>
  <c r="BD17" i="17"/>
  <c r="BD133" i="17" s="1"/>
  <c r="AX17" i="17"/>
  <c r="BC135" i="17" s="1"/>
  <c r="AU17" i="17"/>
  <c r="AZ135" i="17" s="1"/>
  <c r="AW17" i="17"/>
  <c r="BB135" i="17" s="1"/>
  <c r="AV17" i="17"/>
  <c r="BA135" i="17" s="1"/>
  <c r="N119" i="17"/>
  <c r="AB120" i="17"/>
  <c r="AD164" i="17" s="1"/>
  <c r="D122" i="17"/>
  <c r="F166" i="17" s="1"/>
  <c r="R123" i="17"/>
  <c r="T167" i="17" s="1"/>
  <c r="I125" i="17"/>
  <c r="K169" i="17" s="1"/>
  <c r="AD135" i="17"/>
  <c r="D137" i="17"/>
  <c r="B138" i="17"/>
  <c r="E139" i="17"/>
  <c r="AD141" i="17"/>
  <c r="T150" i="17"/>
  <c r="AV20" i="17"/>
  <c r="AO156" i="17" s="1"/>
  <c r="P119" i="17"/>
  <c r="AE120" i="17"/>
  <c r="AG164" i="17" s="1"/>
  <c r="E122" i="17"/>
  <c r="G166" i="17" s="1"/>
  <c r="AA123" i="17"/>
  <c r="AC167" i="17" s="1"/>
  <c r="J125" i="17"/>
  <c r="L169" i="17" s="1"/>
  <c r="B127" i="17"/>
  <c r="C133" i="17"/>
  <c r="F134" i="17"/>
  <c r="E137" i="17"/>
  <c r="J138" i="17"/>
  <c r="I139" i="17"/>
  <c r="E140" i="17"/>
  <c r="Q152" i="17"/>
  <c r="T153" i="17"/>
  <c r="AU16" i="17"/>
  <c r="AT135" i="17" s="1"/>
  <c r="AU21" i="17"/>
  <c r="AT156" i="17" s="1"/>
  <c r="AY21" i="17"/>
  <c r="AX156" i="17" s="1"/>
  <c r="AX21" i="17"/>
  <c r="AW156" i="17" s="1"/>
  <c r="S119" i="17"/>
  <c r="M122" i="17"/>
  <c r="AC123" i="17"/>
  <c r="AE167" i="17" s="1"/>
  <c r="R125" i="17"/>
  <c r="I127" i="17"/>
  <c r="K171" i="17" s="1"/>
  <c r="E133" i="17"/>
  <c r="K134" i="17"/>
  <c r="J137" i="17"/>
  <c r="K138" i="17"/>
  <c r="Q139" i="17"/>
  <c r="L140" i="17"/>
  <c r="T151" i="17"/>
  <c r="U153" i="17"/>
  <c r="C170" i="17" s="1"/>
  <c r="AV16" i="17"/>
  <c r="AU135" i="17" s="1"/>
  <c r="T119" i="17"/>
  <c r="C121" i="17"/>
  <c r="N122" i="17"/>
  <c r="Y125" i="17"/>
  <c r="AA169" i="17" s="1"/>
  <c r="L127" i="17"/>
  <c r="K133" i="17"/>
  <c r="M134" i="17"/>
  <c r="S137" i="17"/>
  <c r="T138" i="17"/>
  <c r="R139" i="17"/>
  <c r="M140" i="17"/>
  <c r="AI151" i="17"/>
  <c r="BA20" i="17"/>
  <c r="AO154" i="17" s="1"/>
  <c r="BA16" i="17"/>
  <c r="AU133" i="17" s="1"/>
  <c r="BC22" i="17"/>
  <c r="BC154" i="17" s="1"/>
  <c r="AZ21" i="17"/>
  <c r="AT154" i="17" s="1"/>
  <c r="BA22" i="17"/>
  <c r="BA154" i="17" s="1"/>
  <c r="AZ19" i="17"/>
  <c r="AH154" i="17" s="1"/>
  <c r="BC17" i="17"/>
  <c r="BC133" i="17" s="1"/>
  <c r="BA23" i="17"/>
  <c r="BG154" i="17" s="1"/>
  <c r="BC21" i="17"/>
  <c r="AW154" i="17" s="1"/>
  <c r="BC18" i="17"/>
  <c r="BI133" i="17" s="1"/>
  <c r="BC15" i="17"/>
  <c r="AQ133" i="17" s="1"/>
  <c r="AZ18" i="17"/>
  <c r="BF133" i="17" s="1"/>
  <c r="AZ15" i="17"/>
  <c r="AN133" i="17" s="1"/>
  <c r="BB21" i="17"/>
  <c r="AV154" i="17" s="1"/>
  <c r="BC14" i="17"/>
  <c r="AK133" i="17" s="1"/>
  <c r="BA21" i="17"/>
  <c r="AU154" i="17" s="1"/>
  <c r="BC16" i="17"/>
  <c r="AW133" i="17" s="1"/>
  <c r="BB14" i="17"/>
  <c r="AJ133" i="17" s="1"/>
  <c r="BC23" i="17"/>
  <c r="BI154" i="17" s="1"/>
  <c r="BB16" i="17"/>
  <c r="AV133" i="17" s="1"/>
  <c r="BA14" i="17"/>
  <c r="AI133" i="17" s="1"/>
  <c r="BB20" i="17"/>
  <c r="AP154" i="17" s="1"/>
  <c r="BA18" i="17"/>
  <c r="BG133" i="17" s="1"/>
  <c r="BB22" i="17"/>
  <c r="BB154" i="17" s="1"/>
  <c r="BB17" i="17"/>
  <c r="BB133" i="17" s="1"/>
  <c r="BB15" i="17"/>
  <c r="AP133" i="17" s="1"/>
  <c r="AX16" i="17"/>
  <c r="AW135" i="17" s="1"/>
  <c r="BC20" i="17"/>
  <c r="AQ154" i="17" s="1"/>
  <c r="AV21" i="17"/>
  <c r="AU156" i="17" s="1"/>
  <c r="AA119" i="17"/>
  <c r="AI130" i="17"/>
  <c r="E121" i="17"/>
  <c r="T122" i="17"/>
  <c r="V166" i="17" s="1"/>
  <c r="B124" i="17"/>
  <c r="AA125" i="17"/>
  <c r="AC169" i="17" s="1"/>
  <c r="U127" i="17"/>
  <c r="W171" i="17" s="1"/>
  <c r="Q133" i="17"/>
  <c r="W134" i="17"/>
  <c r="T137" i="17"/>
  <c r="X138" i="17"/>
  <c r="Y139" i="17"/>
  <c r="V140" i="17"/>
  <c r="AU14" i="17"/>
  <c r="AH135" i="17" s="1"/>
  <c r="BD14" i="17"/>
  <c r="AL133" i="17" s="1"/>
  <c r="AY14" i="17"/>
  <c r="AL135" i="17" s="1"/>
  <c r="AV14" i="17"/>
  <c r="AI135" i="17" s="1"/>
  <c r="AW14" i="17"/>
  <c r="AJ135" i="17" s="1"/>
  <c r="AZ16" i="17"/>
  <c r="AT133" i="17" s="1"/>
  <c r="AY17" i="17"/>
  <c r="BD135" i="17" s="1"/>
  <c r="AV18" i="17"/>
  <c r="BG135" i="17" s="1"/>
  <c r="AW18" i="17"/>
  <c r="BH135" i="17" s="1"/>
  <c r="AW21" i="17"/>
  <c r="AV156" i="17" s="1"/>
  <c r="AB119" i="17"/>
  <c r="K121" i="17"/>
  <c r="Z122" i="17"/>
  <c r="AB166" i="17" s="1"/>
  <c r="I124" i="17"/>
  <c r="K168" i="17" s="1"/>
  <c r="V127" i="17"/>
  <c r="X171" i="17" s="1"/>
  <c r="S133" i="17"/>
  <c r="Y134" i="17"/>
  <c r="AB137" i="17"/>
  <c r="Z138" i="17"/>
  <c r="Y140" i="17"/>
  <c r="AZ17" i="17"/>
  <c r="AZ133" i="17" s="1"/>
  <c r="AY22" i="17"/>
  <c r="BD156" i="17" s="1"/>
  <c r="O121" i="17"/>
  <c r="AA122" i="17"/>
  <c r="AC166" i="17" s="1"/>
  <c r="J124" i="17"/>
  <c r="L168" i="17" s="1"/>
  <c r="B126" i="17"/>
  <c r="AA127" i="17"/>
  <c r="AC171" i="17" s="1"/>
  <c r="AB133" i="17"/>
  <c r="AB142" i="17" s="1"/>
  <c r="AD134" i="17"/>
  <c r="AE137" i="17"/>
  <c r="AD140" i="17"/>
  <c r="BA17" i="17"/>
  <c r="BA133" i="17" s="1"/>
  <c r="AX18" i="17"/>
  <c r="BI135" i="17" s="1"/>
  <c r="AZ22" i="17"/>
  <c r="AZ154" i="17" s="1"/>
  <c r="G120" i="17"/>
  <c r="P121" i="17"/>
  <c r="U124" i="17"/>
  <c r="W168" i="17" s="1"/>
  <c r="L126" i="17"/>
  <c r="N170" i="17" s="1"/>
  <c r="AC133" i="17"/>
  <c r="E135" i="17"/>
  <c r="I136" i="17"/>
  <c r="D141" i="17"/>
  <c r="AY18" i="17"/>
  <c r="BJ135" i="17" s="1"/>
  <c r="AW20" i="17"/>
  <c r="AP156" i="17" s="1"/>
  <c r="H120" i="17"/>
  <c r="J164" i="17" s="1"/>
  <c r="Y121" i="17"/>
  <c r="AA165" i="17" s="1"/>
  <c r="B123" i="17"/>
  <c r="V124" i="17"/>
  <c r="O126" i="17"/>
  <c r="Q170" i="17" s="1"/>
  <c r="H135" i="17"/>
  <c r="L136" i="17"/>
  <c r="G141" i="17"/>
  <c r="N149" i="17"/>
  <c r="N154" i="17" s="1"/>
  <c r="BB18" i="17"/>
  <c r="BH133" i="17" s="1"/>
  <c r="BD23" i="17"/>
  <c r="BJ154" i="17" s="1"/>
  <c r="AY23" i="17"/>
  <c r="BJ156" i="17" s="1"/>
  <c r="AV23" i="17"/>
  <c r="BG156" i="17" s="1"/>
  <c r="B119" i="17"/>
  <c r="Q120" i="17"/>
  <c r="Z121" i="17"/>
  <c r="AB165" i="17" s="1"/>
  <c r="E123" i="17"/>
  <c r="G167" i="17" s="1"/>
  <c r="AB124" i="17"/>
  <c r="AD168" i="17" s="1"/>
  <c r="T126" i="17"/>
  <c r="V170" i="17" s="1"/>
  <c r="O135" i="17"/>
  <c r="P136" i="17"/>
  <c r="P141" i="17"/>
  <c r="AU151" i="17"/>
  <c r="AO151" i="17"/>
  <c r="U149" i="17"/>
  <c r="C166" i="17" s="1"/>
  <c r="AX14" i="17"/>
  <c r="AK135" i="17" s="1"/>
  <c r="BD18" i="17"/>
  <c r="BJ133" i="17" s="1"/>
  <c r="AZ23" i="17"/>
  <c r="BF154" i="17" s="1"/>
  <c r="H119" i="17"/>
  <c r="R120" i="17"/>
  <c r="K123" i="17"/>
  <c r="M167" i="17" s="1"/>
  <c r="AA126" i="17"/>
  <c r="AC170" i="17" s="1"/>
  <c r="P135" i="17"/>
  <c r="X136" i="17"/>
  <c r="Q141" i="17"/>
  <c r="AX19" i="17"/>
  <c r="AK156" i="17" s="1"/>
  <c r="BD19" i="17"/>
  <c r="AL154" i="17" s="1"/>
  <c r="AU22" i="17"/>
  <c r="AZ156" i="17" s="1"/>
  <c r="AV22" i="17"/>
  <c r="BA156" i="17" s="1"/>
  <c r="BG151" i="17"/>
  <c r="AU15" i="17"/>
  <c r="AN135" i="17" s="1"/>
  <c r="AV19" i="17"/>
  <c r="AI156" i="17" s="1"/>
  <c r="BD20" i="17"/>
  <c r="AR154" i="17" s="1"/>
  <c r="AX20" i="17"/>
  <c r="AQ156" i="17" s="1"/>
  <c r="AU20" i="17"/>
  <c r="AN156" i="17" s="1"/>
  <c r="AV15" i="17"/>
  <c r="AO135" i="17" s="1"/>
  <c r="AY16" i="17"/>
  <c r="AX135" i="17" s="1"/>
  <c r="BD16" i="17"/>
  <c r="AX133" i="17" s="1"/>
  <c r="AY19" i="17"/>
  <c r="AL156" i="17" s="1"/>
  <c r="AW22" i="17"/>
  <c r="BB156" i="17" s="1"/>
  <c r="AX23" i="17"/>
  <c r="BI156" i="17" s="1"/>
  <c r="AW23" i="17"/>
  <c r="BH156" i="17" s="1"/>
  <c r="BA130" i="17"/>
  <c r="AX15" i="17"/>
  <c r="AQ135" i="17" s="1"/>
  <c r="AU18" i="17"/>
  <c r="BF135" i="17" s="1"/>
  <c r="BD21" i="17"/>
  <c r="AX154" i="17" s="1"/>
  <c r="AW19" i="33"/>
  <c r="AJ156" i="33" s="1"/>
  <c r="H134" i="33"/>
  <c r="Z121" i="33"/>
  <c r="T141" i="33"/>
  <c r="AA121" i="33"/>
  <c r="J134" i="33"/>
  <c r="D139" i="33"/>
  <c r="AB121" i="33"/>
  <c r="G126" i="33"/>
  <c r="N135" i="33"/>
  <c r="E139" i="33"/>
  <c r="AZ22" i="33"/>
  <c r="AZ154" i="33" s="1"/>
  <c r="BB23" i="33"/>
  <c r="BH154" i="33" s="1"/>
  <c r="B119" i="33"/>
  <c r="H126" i="33"/>
  <c r="O135" i="33"/>
  <c r="F139" i="33"/>
  <c r="BC23" i="33"/>
  <c r="BI154" i="33" s="1"/>
  <c r="C119" i="33"/>
  <c r="Z122" i="33"/>
  <c r="AB166" i="33" s="1"/>
  <c r="AB135" i="33"/>
  <c r="AY21" i="33"/>
  <c r="AX156" i="33" s="1"/>
  <c r="AX21" i="33"/>
  <c r="AW156" i="33" s="1"/>
  <c r="BD21" i="33"/>
  <c r="AX154" i="33" s="1"/>
  <c r="AW21" i="33"/>
  <c r="AV156" i="33" s="1"/>
  <c r="AV21" i="33"/>
  <c r="AU156" i="33" s="1"/>
  <c r="AU21" i="33"/>
  <c r="AT156" i="33" s="1"/>
  <c r="L141" i="33"/>
  <c r="T149" i="33"/>
  <c r="BA19" i="33"/>
  <c r="AI154" i="33" s="1"/>
  <c r="I134" i="33"/>
  <c r="U149" i="33"/>
  <c r="C166" i="33" s="1"/>
  <c r="BB14" i="33"/>
  <c r="AJ133" i="33" s="1"/>
  <c r="F127" i="33"/>
  <c r="H171" i="33" s="1"/>
  <c r="G136" i="33"/>
  <c r="AB138" i="33"/>
  <c r="AD168" i="33" s="1"/>
  <c r="C123" i="33"/>
  <c r="G127" i="33"/>
  <c r="H136" i="33"/>
  <c r="AC138" i="33"/>
  <c r="O139" i="33"/>
  <c r="AC136" i="33"/>
  <c r="P141" i="33"/>
  <c r="AC140" i="33"/>
  <c r="G140" i="33"/>
  <c r="P139" i="33"/>
  <c r="V138" i="33"/>
  <c r="N136" i="33"/>
  <c r="R135" i="33"/>
  <c r="B135" i="33"/>
  <c r="R134" i="33"/>
  <c r="V133" i="33"/>
  <c r="C133" i="33"/>
  <c r="R127" i="33"/>
  <c r="B127" i="33"/>
  <c r="O126" i="33"/>
  <c r="Q170" i="33" s="1"/>
  <c r="P125" i="33"/>
  <c r="AC124" i="33"/>
  <c r="AE168" i="33" s="1"/>
  <c r="M124" i="33"/>
  <c r="AD122" i="33"/>
  <c r="O122" i="33"/>
  <c r="O121" i="33"/>
  <c r="T120" i="33"/>
  <c r="F120" i="33"/>
  <c r="H164" i="33" s="1"/>
  <c r="V119" i="33"/>
  <c r="H119" i="33"/>
  <c r="M141" i="33"/>
  <c r="AB140" i="33"/>
  <c r="F140" i="33"/>
  <c r="R138" i="33"/>
  <c r="M136" i="33"/>
  <c r="Q135" i="33"/>
  <c r="U153" i="33"/>
  <c r="C170" i="33" s="1"/>
  <c r="T151" i="33"/>
  <c r="F141" i="33"/>
  <c r="D140" i="33"/>
  <c r="AB139" i="33"/>
  <c r="M138" i="33"/>
  <c r="Z136" i="33"/>
  <c r="AA135" i="33"/>
  <c r="Y134" i="33"/>
  <c r="AD133" i="33"/>
  <c r="AD142" i="33" s="1"/>
  <c r="B133" i="33"/>
  <c r="N127" i="33"/>
  <c r="W126" i="33"/>
  <c r="AC125" i="33"/>
  <c r="E125" i="33"/>
  <c r="G169" i="33" s="1"/>
  <c r="J124" i="33"/>
  <c r="L168" i="33" s="1"/>
  <c r="AC122" i="33"/>
  <c r="G122" i="33"/>
  <c r="I166" i="33" s="1"/>
  <c r="V121" i="33"/>
  <c r="X165" i="33" s="1"/>
  <c r="AE120" i="33"/>
  <c r="AG164" i="33" s="1"/>
  <c r="K120" i="33"/>
  <c r="M164" i="33" s="1"/>
  <c r="S119" i="33"/>
  <c r="AE141" i="33"/>
  <c r="D141" i="33"/>
  <c r="B140" i="33"/>
  <c r="Z139" i="33"/>
  <c r="K138" i="33"/>
  <c r="X136" i="33"/>
  <c r="P135" i="33"/>
  <c r="W134" i="33"/>
  <c r="AB133" i="33"/>
  <c r="H127" i="33"/>
  <c r="M126" i="33"/>
  <c r="O170" i="33" s="1"/>
  <c r="H124" i="33"/>
  <c r="J168" i="33" s="1"/>
  <c r="AA122" i="33"/>
  <c r="E122" i="33"/>
  <c r="M121" i="33"/>
  <c r="AC120" i="33"/>
  <c r="Q119" i="33"/>
  <c r="E141" i="33"/>
  <c r="C140" i="33"/>
  <c r="AA139" i="33"/>
  <c r="L138" i="33"/>
  <c r="Y136" i="33"/>
  <c r="Z135" i="33"/>
  <c r="X134" i="33"/>
  <c r="AC133" i="33"/>
  <c r="M127" i="33"/>
  <c r="N126" i="33"/>
  <c r="AB125" i="33"/>
  <c r="D125" i="33"/>
  <c r="I124" i="33"/>
  <c r="K168" i="33" s="1"/>
  <c r="AB122" i="33"/>
  <c r="AD166" i="33" s="1"/>
  <c r="F122" i="33"/>
  <c r="N121" i="33"/>
  <c r="AD120" i="33"/>
  <c r="AF164" i="33" s="1"/>
  <c r="J120" i="33"/>
  <c r="L164" i="33" s="1"/>
  <c r="R119" i="33"/>
  <c r="Z125" i="33"/>
  <c r="E120" i="33"/>
  <c r="AB141" i="33"/>
  <c r="U140" i="33"/>
  <c r="K139" i="33"/>
  <c r="L136" i="33"/>
  <c r="M135" i="33"/>
  <c r="L134" i="33"/>
  <c r="Q133" i="33"/>
  <c r="AC127" i="33"/>
  <c r="AE171" i="33" s="1"/>
  <c r="J126" i="33"/>
  <c r="L170" i="33" s="1"/>
  <c r="T125" i="33"/>
  <c r="V169" i="33" s="1"/>
  <c r="Z124" i="33"/>
  <c r="B124" i="33"/>
  <c r="X122" i="33"/>
  <c r="AC121" i="33"/>
  <c r="J121" i="33"/>
  <c r="X120" i="33"/>
  <c r="N119" i="33"/>
  <c r="U147" i="33"/>
  <c r="C164" i="33" s="1"/>
  <c r="Y141" i="33"/>
  <c r="J141" i="33"/>
  <c r="C139" i="33"/>
  <c r="P138" i="33"/>
  <c r="C136" i="33"/>
  <c r="L135" i="33"/>
  <c r="G134" i="33"/>
  <c r="P133" i="33"/>
  <c r="AE125" i="33"/>
  <c r="AA124" i="33"/>
  <c r="Y122" i="33"/>
  <c r="Y121" i="33"/>
  <c r="AA165" i="33" s="1"/>
  <c r="Y120" i="33"/>
  <c r="AB119" i="33"/>
  <c r="AD139" i="33"/>
  <c r="Y126" i="33"/>
  <c r="AA170" i="33" s="1"/>
  <c r="O119" i="33"/>
  <c r="J138" i="33"/>
  <c r="B136" i="33"/>
  <c r="G135" i="33"/>
  <c r="F134" i="33"/>
  <c r="O133" i="33"/>
  <c r="AE127" i="33"/>
  <c r="AG171" i="33" s="1"/>
  <c r="AB126" i="33"/>
  <c r="AD125" i="33"/>
  <c r="Y124" i="33"/>
  <c r="T122" i="33"/>
  <c r="V166" i="33" s="1"/>
  <c r="X121" i="33"/>
  <c r="Z165" i="33" s="1"/>
  <c r="S120" i="33"/>
  <c r="U119" i="33"/>
  <c r="U154" i="33"/>
  <c r="C171" i="33" s="1"/>
  <c r="X140" i="33"/>
  <c r="I138" i="33"/>
  <c r="F135" i="33"/>
  <c r="N133" i="33"/>
  <c r="AD127" i="33"/>
  <c r="AF171" i="33" s="1"/>
  <c r="AA126" i="33"/>
  <c r="AC170" i="33" s="1"/>
  <c r="V125" i="33"/>
  <c r="X169" i="33" s="1"/>
  <c r="W124" i="33"/>
  <c r="Y168" i="33" s="1"/>
  <c r="S122" i="33"/>
  <c r="U166" i="33" s="1"/>
  <c r="W121" i="33"/>
  <c r="R120" i="33"/>
  <c r="T119" i="33"/>
  <c r="T154" i="33"/>
  <c r="T147" i="33"/>
  <c r="T140" i="33"/>
  <c r="AE139" i="33"/>
  <c r="L133" i="33"/>
  <c r="AB127" i="33"/>
  <c r="AD171" i="33" s="1"/>
  <c r="Z126" i="33"/>
  <c r="U125" i="33"/>
  <c r="W169" i="33" s="1"/>
  <c r="V124" i="33"/>
  <c r="X168" i="33" s="1"/>
  <c r="N122" i="33"/>
  <c r="L121" i="33"/>
  <c r="N165" i="33" s="1"/>
  <c r="Q120" i="33"/>
  <c r="S164" i="33" s="1"/>
  <c r="P119" i="33"/>
  <c r="S140" i="33"/>
  <c r="AB136" i="33"/>
  <c r="AE134" i="33"/>
  <c r="AE142" i="33" s="1"/>
  <c r="K133" i="33"/>
  <c r="K142" i="33" s="1"/>
  <c r="AA127" i="33"/>
  <c r="AC171" i="33" s="1"/>
  <c r="N125" i="33"/>
  <c r="P169" i="33" s="1"/>
  <c r="U124" i="33"/>
  <c r="W168" i="33" s="1"/>
  <c r="M122" i="33"/>
  <c r="O166" i="33" s="1"/>
  <c r="K121" i="33"/>
  <c r="N120" i="33"/>
  <c r="E140" i="33"/>
  <c r="J139" i="33"/>
  <c r="AD138" i="33"/>
  <c r="J136" i="33"/>
  <c r="K134" i="33"/>
  <c r="O127" i="33"/>
  <c r="Q171" i="33" s="1"/>
  <c r="I126" i="33"/>
  <c r="K170" i="33" s="1"/>
  <c r="C124" i="33"/>
  <c r="D119" i="33"/>
  <c r="R140" i="33"/>
  <c r="AC139" i="33"/>
  <c r="AA136" i="33"/>
  <c r="Z134" i="33"/>
  <c r="J133" i="33"/>
  <c r="Z127" i="33"/>
  <c r="X126" i="33"/>
  <c r="Z170" i="33" s="1"/>
  <c r="M125" i="33"/>
  <c r="T124" i="33"/>
  <c r="V168" i="33" s="1"/>
  <c r="L122" i="33"/>
  <c r="N166" i="33" s="1"/>
  <c r="I121" i="33"/>
  <c r="K165" i="33" s="1"/>
  <c r="M120" i="33"/>
  <c r="O164" i="33" s="1"/>
  <c r="G119" i="33"/>
  <c r="AD141" i="33"/>
  <c r="Q140" i="33"/>
  <c r="T139" i="33"/>
  <c r="V136" i="33"/>
  <c r="AE135" i="33"/>
  <c r="V134" i="33"/>
  <c r="Q127" i="33"/>
  <c r="S171" i="33" s="1"/>
  <c r="L126" i="33"/>
  <c r="N170" i="33" s="1"/>
  <c r="I125" i="33"/>
  <c r="K169" i="33" s="1"/>
  <c r="K124" i="33"/>
  <c r="M168" i="33" s="1"/>
  <c r="H122" i="33"/>
  <c r="J166" i="33" s="1"/>
  <c r="H121" i="33"/>
  <c r="J165" i="33" s="1"/>
  <c r="L120" i="33"/>
  <c r="F119" i="33"/>
  <c r="AC141" i="33"/>
  <c r="P140" i="33"/>
  <c r="N139" i="33"/>
  <c r="AE138" i="33"/>
  <c r="U136" i="33"/>
  <c r="AD135" i="33"/>
  <c r="M134" i="33"/>
  <c r="P127" i="33"/>
  <c r="R171" i="33" s="1"/>
  <c r="K126" i="33"/>
  <c r="M170" i="33" s="1"/>
  <c r="H125" i="33"/>
  <c r="J169" i="33" s="1"/>
  <c r="G124" i="33"/>
  <c r="D122" i="33"/>
  <c r="E121" i="33"/>
  <c r="B120" i="33"/>
  <c r="E119" i="33"/>
  <c r="X141" i="33"/>
  <c r="AC135" i="33"/>
  <c r="G125" i="33"/>
  <c r="Z120" i="33"/>
  <c r="AB164" i="33" s="1"/>
  <c r="AB123" i="33"/>
  <c r="AD167" i="33" s="1"/>
  <c r="R133" i="33"/>
  <c r="Q137" i="33"/>
  <c r="AZ23" i="33"/>
  <c r="BF154" i="33" s="1"/>
  <c r="BC20" i="33"/>
  <c r="AQ154" i="33" s="1"/>
  <c r="BB20" i="33"/>
  <c r="AP154" i="33" s="1"/>
  <c r="BB16" i="33"/>
  <c r="AV133" i="33" s="1"/>
  <c r="BA21" i="33"/>
  <c r="AU154" i="33" s="1"/>
  <c r="BA18" i="33"/>
  <c r="BG133" i="33" s="1"/>
  <c r="BB15" i="33"/>
  <c r="AP133" i="33" s="1"/>
  <c r="AZ21" i="33"/>
  <c r="AT154" i="33" s="1"/>
  <c r="AZ18" i="33"/>
  <c r="BF133" i="33" s="1"/>
  <c r="BA15" i="33"/>
  <c r="AO133" i="33" s="1"/>
  <c r="BC19" i="33"/>
  <c r="AK154" i="33" s="1"/>
  <c r="AZ15" i="33"/>
  <c r="AN133" i="33" s="1"/>
  <c r="BC22" i="33"/>
  <c r="BC154" i="33" s="1"/>
  <c r="BB19" i="33"/>
  <c r="AJ154" i="33" s="1"/>
  <c r="BC16" i="33"/>
  <c r="AW133" i="33" s="1"/>
  <c r="BA23" i="33"/>
  <c r="BG154" i="33" s="1"/>
  <c r="BA20" i="33"/>
  <c r="AO154" i="33" s="1"/>
  <c r="BA22" i="33"/>
  <c r="BA154" i="33" s="1"/>
  <c r="BC15" i="33"/>
  <c r="AQ133" i="33" s="1"/>
  <c r="BB22" i="33"/>
  <c r="BB154" i="33" s="1"/>
  <c r="AZ20" i="33"/>
  <c r="AN154" i="33" s="1"/>
  <c r="BC17" i="33"/>
  <c r="BC133" i="33" s="1"/>
  <c r="AZ19" i="33"/>
  <c r="AH154" i="33" s="1"/>
  <c r="AZ17" i="33"/>
  <c r="AZ133" i="33" s="1"/>
  <c r="BA14" i="33"/>
  <c r="AI133" i="33" s="1"/>
  <c r="BC21" i="33"/>
  <c r="AW154" i="33" s="1"/>
  <c r="BC18" i="33"/>
  <c r="BI133" i="33" s="1"/>
  <c r="AZ14" i="33"/>
  <c r="AH133" i="33" s="1"/>
  <c r="BB21" i="33"/>
  <c r="AV154" i="33" s="1"/>
  <c r="BB18" i="33"/>
  <c r="BH133" i="33" s="1"/>
  <c r="BB17" i="33"/>
  <c r="BB133" i="33" s="1"/>
  <c r="BA17" i="33"/>
  <c r="BA133" i="33" s="1"/>
  <c r="BA16" i="33"/>
  <c r="AU133" i="33" s="1"/>
  <c r="AZ16" i="33"/>
  <c r="AT133" i="33" s="1"/>
  <c r="AX19" i="33"/>
  <c r="AK156" i="33" s="1"/>
  <c r="F125" i="33"/>
  <c r="H169" i="33" s="1"/>
  <c r="AC119" i="33"/>
  <c r="AD119" i="33"/>
  <c r="K153" i="33"/>
  <c r="H146" i="33"/>
  <c r="Q152" i="33"/>
  <c r="N150" i="33"/>
  <c r="E146" i="33"/>
  <c r="E148" i="33" s="1"/>
  <c r="N152" i="33"/>
  <c r="B146" i="33"/>
  <c r="K152" i="33"/>
  <c r="Q149" i="33"/>
  <c r="Q154" i="33" s="1"/>
  <c r="N151" i="33"/>
  <c r="Q151" i="33"/>
  <c r="B149" i="33"/>
  <c r="K151" i="33"/>
  <c r="B151" i="33"/>
  <c r="AE119" i="33"/>
  <c r="AA123" i="33"/>
  <c r="AC167" i="33" s="1"/>
  <c r="T137" i="33"/>
  <c r="AC123" i="33"/>
  <c r="AE167" i="33" s="1"/>
  <c r="K123" i="33"/>
  <c r="M167" i="33" s="1"/>
  <c r="S137" i="33"/>
  <c r="AE137" i="33"/>
  <c r="T123" i="33"/>
  <c r="V167" i="33" s="1"/>
  <c r="X137" i="33"/>
  <c r="R123" i="33"/>
  <c r="Y137" i="33"/>
  <c r="S123" i="33"/>
  <c r="K137" i="33"/>
  <c r="H123" i="33"/>
  <c r="J137" i="33"/>
  <c r="W123" i="33"/>
  <c r="I123" i="33"/>
  <c r="I137" i="33"/>
  <c r="V123" i="33"/>
  <c r="X167" i="33" s="1"/>
  <c r="H137" i="33"/>
  <c r="U123" i="33"/>
  <c r="G137" i="33"/>
  <c r="J123" i="33"/>
  <c r="D123" i="33"/>
  <c r="G123" i="33"/>
  <c r="I167" i="33" s="1"/>
  <c r="F123" i="33"/>
  <c r="E123" i="33"/>
  <c r="G167" i="33" s="1"/>
  <c r="AA133" i="33"/>
  <c r="R137" i="33"/>
  <c r="AV14" i="33"/>
  <c r="AI135" i="33" s="1"/>
  <c r="AX14" i="33"/>
  <c r="AK135" i="33" s="1"/>
  <c r="AW14" i="33"/>
  <c r="AJ135" i="33" s="1"/>
  <c r="AU14" i="33"/>
  <c r="AH135" i="33" s="1"/>
  <c r="BD14" i="33"/>
  <c r="AL133" i="33" s="1"/>
  <c r="AV18" i="33"/>
  <c r="BG135" i="33" s="1"/>
  <c r="AY18" i="33"/>
  <c r="BJ135" i="33" s="1"/>
  <c r="AX18" i="33"/>
  <c r="BI135" i="33" s="1"/>
  <c r="AW18" i="33"/>
  <c r="BH135" i="33" s="1"/>
  <c r="AU18" i="33"/>
  <c r="BF135" i="33" s="1"/>
  <c r="BG151" i="33"/>
  <c r="AY15" i="33"/>
  <c r="AR135" i="33" s="1"/>
  <c r="AX15" i="33"/>
  <c r="AQ135" i="33" s="1"/>
  <c r="BD15" i="33"/>
  <c r="AR133" i="33" s="1"/>
  <c r="AU15" i="33"/>
  <c r="AN135" i="33" s="1"/>
  <c r="AY23" i="33"/>
  <c r="BJ156" i="33" s="1"/>
  <c r="AW23" i="33"/>
  <c r="BH156" i="33" s="1"/>
  <c r="AV23" i="33"/>
  <c r="BG156" i="33" s="1"/>
  <c r="AU23" i="33"/>
  <c r="BF156" i="33" s="1"/>
  <c r="AX23" i="33"/>
  <c r="BI156" i="33" s="1"/>
  <c r="AY14" i="33"/>
  <c r="AL135" i="33" s="1"/>
  <c r="BD19" i="33"/>
  <c r="AL154" i="33" s="1"/>
  <c r="BA151" i="33"/>
  <c r="T152" i="33"/>
  <c r="BD18" i="33"/>
  <c r="BJ133" i="33" s="1"/>
  <c r="AU19" i="33"/>
  <c r="AH156" i="33" s="1"/>
  <c r="AU22" i="33"/>
  <c r="AZ156" i="33" s="1"/>
  <c r="AO130" i="33"/>
  <c r="AW17" i="33"/>
  <c r="BB135" i="33" s="1"/>
  <c r="AV17" i="33"/>
  <c r="BA135" i="33" s="1"/>
  <c r="AU17" i="33"/>
  <c r="AZ135" i="33" s="1"/>
  <c r="AI151" i="33"/>
  <c r="AU130" i="33"/>
  <c r="AY19" i="33"/>
  <c r="AL156" i="33" s="1"/>
  <c r="AW22" i="33"/>
  <c r="BB156" i="33" s="1"/>
  <c r="AV22" i="33"/>
  <c r="BA156" i="33" s="1"/>
  <c r="BD22" i="33"/>
  <c r="BD154" i="33" s="1"/>
  <c r="I119" i="33"/>
  <c r="Y119" i="33"/>
  <c r="G120" i="33"/>
  <c r="U120" i="33"/>
  <c r="B121" i="33"/>
  <c r="P121" i="33"/>
  <c r="P122" i="33"/>
  <c r="R166" i="33" s="1"/>
  <c r="AE122" i="33"/>
  <c r="O123" i="33"/>
  <c r="Q167" i="33" s="1"/>
  <c r="AD123" i="33"/>
  <c r="N124" i="33"/>
  <c r="P168" i="33" s="1"/>
  <c r="Q125" i="33"/>
  <c r="T126" i="33"/>
  <c r="V170" i="33" s="1"/>
  <c r="C127" i="33"/>
  <c r="E171" i="33" s="1"/>
  <c r="S127" i="33"/>
  <c r="D133" i="33"/>
  <c r="W133" i="33"/>
  <c r="S134" i="33"/>
  <c r="C135" i="33"/>
  <c r="S135" i="33"/>
  <c r="O136" i="33"/>
  <c r="B137" i="33"/>
  <c r="U137" i="33"/>
  <c r="W138" i="33"/>
  <c r="Q139" i="33"/>
  <c r="H140" i="33"/>
  <c r="AD140" i="33"/>
  <c r="Q141" i="33"/>
  <c r="T148" i="33"/>
  <c r="AU20" i="33"/>
  <c r="AN156" i="33" s="1"/>
  <c r="J119" i="33"/>
  <c r="Z119" i="33"/>
  <c r="H120" i="33"/>
  <c r="J164" i="33" s="1"/>
  <c r="V120" i="33"/>
  <c r="X164" i="33" s="1"/>
  <c r="C121" i="33"/>
  <c r="E165" i="33" s="1"/>
  <c r="Q121" i="33"/>
  <c r="S165" i="33" s="1"/>
  <c r="B122" i="33"/>
  <c r="Q122" i="33"/>
  <c r="S166" i="33" s="1"/>
  <c r="P123" i="33"/>
  <c r="AE123" i="33"/>
  <c r="O124" i="33"/>
  <c r="R125" i="33"/>
  <c r="U126" i="33"/>
  <c r="W170" i="33" s="1"/>
  <c r="D127" i="33"/>
  <c r="F171" i="33" s="1"/>
  <c r="T127" i="33"/>
  <c r="V171" i="33" s="1"/>
  <c r="E133" i="33"/>
  <c r="X133" i="33"/>
  <c r="T134" i="33"/>
  <c r="D135" i="33"/>
  <c r="U135" i="33"/>
  <c r="P136" i="33"/>
  <c r="E137" i="33"/>
  <c r="V137" i="33"/>
  <c r="D138" i="33"/>
  <c r="X138" i="33"/>
  <c r="R139" i="33"/>
  <c r="N140" i="33"/>
  <c r="AE140" i="33"/>
  <c r="R141" i="33"/>
  <c r="U148" i="33"/>
  <c r="C165" i="33" s="1"/>
  <c r="T153" i="33"/>
  <c r="U150" i="33"/>
  <c r="C167" i="33" s="1"/>
  <c r="T150" i="33"/>
  <c r="U146" i="33"/>
  <c r="AA141" i="33"/>
  <c r="O141" i="33"/>
  <c r="C141" i="33"/>
  <c r="W140" i="33"/>
  <c r="K140" i="33"/>
  <c r="Y139" i="33"/>
  <c r="M139" i="33"/>
  <c r="AA138" i="33"/>
  <c r="O138" i="33"/>
  <c r="C138" i="33"/>
  <c r="AB137" i="33"/>
  <c r="P137" i="33"/>
  <c r="D137" i="33"/>
  <c r="T146" i="33"/>
  <c r="Z141" i="33"/>
  <c r="N141" i="33"/>
  <c r="B141" i="33"/>
  <c r="V140" i="33"/>
  <c r="J140" i="33"/>
  <c r="X139" i="33"/>
  <c r="L139" i="33"/>
  <c r="Z138" i="33"/>
  <c r="N138" i="33"/>
  <c r="B138" i="33"/>
  <c r="AA137" i="33"/>
  <c r="O137" i="33"/>
  <c r="C137" i="33"/>
  <c r="W136" i="33"/>
  <c r="K136" i="33"/>
  <c r="T135" i="33"/>
  <c r="H135" i="33"/>
  <c r="AB134" i="33"/>
  <c r="P134" i="33"/>
  <c r="D134" i="33"/>
  <c r="Y133" i="33"/>
  <c r="M133" i="33"/>
  <c r="U127" i="33"/>
  <c r="I127" i="33"/>
  <c r="AD126" i="33"/>
  <c r="AF170" i="33" s="1"/>
  <c r="R126" i="33"/>
  <c r="F126" i="33"/>
  <c r="AA125" i="33"/>
  <c r="AC169" i="33" s="1"/>
  <c r="O125" i="33"/>
  <c r="Q169" i="33" s="1"/>
  <c r="C125" i="33"/>
  <c r="X124" i="33"/>
  <c r="Z168" i="33" s="1"/>
  <c r="L124" i="33"/>
  <c r="N168" i="33" s="1"/>
  <c r="W141" i="33"/>
  <c r="I141" i="33"/>
  <c r="AA140" i="33"/>
  <c r="M140" i="33"/>
  <c r="W139" i="33"/>
  <c r="I139" i="33"/>
  <c r="U138" i="33"/>
  <c r="G138" i="33"/>
  <c r="AD137" i="33"/>
  <c r="N137" i="33"/>
  <c r="S136" i="33"/>
  <c r="F136" i="33"/>
  <c r="X135" i="33"/>
  <c r="K135" i="33"/>
  <c r="AD134" i="33"/>
  <c r="Q134" i="33"/>
  <c r="C134" i="33"/>
  <c r="U133" i="33"/>
  <c r="H133" i="33"/>
  <c r="Y127" i="33"/>
  <c r="L127" i="33"/>
  <c r="N171" i="33" s="1"/>
  <c r="S126" i="33"/>
  <c r="U170" i="33" s="1"/>
  <c r="E126" i="33"/>
  <c r="G170" i="33" s="1"/>
  <c r="Y125" i="33"/>
  <c r="AA169" i="33" s="1"/>
  <c r="L125" i="33"/>
  <c r="S124" i="33"/>
  <c r="F124" i="33"/>
  <c r="Z123" i="33"/>
  <c r="N123" i="33"/>
  <c r="B123" i="33"/>
  <c r="W122" i="33"/>
  <c r="Y166" i="33" s="1"/>
  <c r="K122" i="33"/>
  <c r="M166" i="33" s="1"/>
  <c r="T121" i="33"/>
  <c r="V165" i="33" s="1"/>
  <c r="V141" i="33"/>
  <c r="H141" i="33"/>
  <c r="Z140" i="33"/>
  <c r="L140" i="33"/>
  <c r="V139" i="33"/>
  <c r="H139" i="33"/>
  <c r="T138" i="33"/>
  <c r="F138" i="33"/>
  <c r="AC137" i="33"/>
  <c r="M137" i="33"/>
  <c r="AE136" i="33"/>
  <c r="R136" i="33"/>
  <c r="E136" i="33"/>
  <c r="W135" i="33"/>
  <c r="J135" i="33"/>
  <c r="AC134" i="33"/>
  <c r="O134" i="33"/>
  <c r="B134" i="33"/>
  <c r="T133" i="33"/>
  <c r="G133" i="33"/>
  <c r="X127" i="33"/>
  <c r="Z171" i="33" s="1"/>
  <c r="K127" i="33"/>
  <c r="M171" i="33" s="1"/>
  <c r="AE126" i="33"/>
  <c r="AG170" i="33" s="1"/>
  <c r="Q126" i="33"/>
  <c r="S170" i="33" s="1"/>
  <c r="D126" i="33"/>
  <c r="F170" i="33" s="1"/>
  <c r="X125" i="33"/>
  <c r="Z169" i="33" s="1"/>
  <c r="K125" i="33"/>
  <c r="M169" i="33" s="1"/>
  <c r="AE124" i="33"/>
  <c r="R124" i="33"/>
  <c r="E124" i="33"/>
  <c r="Y123" i="33"/>
  <c r="M123" i="33"/>
  <c r="V122" i="33"/>
  <c r="X166" i="33" s="1"/>
  <c r="J122" i="33"/>
  <c r="L166" i="33" s="1"/>
  <c r="AE121" i="33"/>
  <c r="AG165" i="33" s="1"/>
  <c r="S121" i="33"/>
  <c r="U165" i="33" s="1"/>
  <c r="G121" i="33"/>
  <c r="I165" i="33" s="1"/>
  <c r="AB120" i="33"/>
  <c r="AD164" i="33" s="1"/>
  <c r="P120" i="33"/>
  <c r="R164" i="33" s="1"/>
  <c r="D120" i="33"/>
  <c r="X119" i="33"/>
  <c r="L119" i="33"/>
  <c r="U151" i="33"/>
  <c r="C168" i="33" s="1"/>
  <c r="U141" i="33"/>
  <c r="G141" i="33"/>
  <c r="Y140" i="33"/>
  <c r="I140" i="33"/>
  <c r="U139" i="33"/>
  <c r="G139" i="33"/>
  <c r="S138" i="33"/>
  <c r="E138" i="33"/>
  <c r="Z137" i="33"/>
  <c r="L137" i="33"/>
  <c r="AD136" i="33"/>
  <c r="Q136" i="33"/>
  <c r="D136" i="33"/>
  <c r="V135" i="33"/>
  <c r="I135" i="33"/>
  <c r="AA134" i="33"/>
  <c r="N134" i="33"/>
  <c r="S133" i="33"/>
  <c r="F133" i="33"/>
  <c r="W127" i="33"/>
  <c r="Y171" i="33" s="1"/>
  <c r="J127" i="33"/>
  <c r="AC126" i="33"/>
  <c r="P126" i="33"/>
  <c r="R170" i="33" s="1"/>
  <c r="C126" i="33"/>
  <c r="W125" i="33"/>
  <c r="Y169" i="33" s="1"/>
  <c r="J125" i="33"/>
  <c r="L169" i="33" s="1"/>
  <c r="AD124" i="33"/>
  <c r="AF168" i="33" s="1"/>
  <c r="Q124" i="33"/>
  <c r="S168" i="33" s="1"/>
  <c r="D124" i="33"/>
  <c r="F168" i="33" s="1"/>
  <c r="X123" i="33"/>
  <c r="Z167" i="33" s="1"/>
  <c r="L123" i="33"/>
  <c r="N167" i="33" s="1"/>
  <c r="U122" i="33"/>
  <c r="W166" i="33" s="1"/>
  <c r="I122" i="33"/>
  <c r="K166" i="33" s="1"/>
  <c r="AD121" i="33"/>
  <c r="R121" i="33"/>
  <c r="T165" i="33" s="1"/>
  <c r="F121" i="33"/>
  <c r="AA120" i="33"/>
  <c r="O120" i="33"/>
  <c r="Q164" i="33" s="1"/>
  <c r="C120" i="33"/>
  <c r="E164" i="33" s="1"/>
  <c r="W119" i="33"/>
  <c r="K119" i="33"/>
  <c r="M119" i="33"/>
  <c r="AA119" i="33"/>
  <c r="I120" i="33"/>
  <c r="K164" i="33" s="1"/>
  <c r="W120" i="33"/>
  <c r="D121" i="33"/>
  <c r="U121" i="33"/>
  <c r="C122" i="33"/>
  <c r="E166" i="33" s="1"/>
  <c r="R122" i="33"/>
  <c r="Q123" i="33"/>
  <c r="P124" i="33"/>
  <c r="B125" i="33"/>
  <c r="S125" i="33"/>
  <c r="U169" i="33" s="1"/>
  <c r="B126" i="33"/>
  <c r="V126" i="33"/>
  <c r="X170" i="33" s="1"/>
  <c r="E127" i="33"/>
  <c r="G171" i="33" s="1"/>
  <c r="V127" i="33"/>
  <c r="I133" i="33"/>
  <c r="Z133" i="33"/>
  <c r="E134" i="33"/>
  <c r="U134" i="33"/>
  <c r="E135" i="33"/>
  <c r="Y135" i="33"/>
  <c r="T136" i="33"/>
  <c r="F137" i="33"/>
  <c r="W137" i="33"/>
  <c r="H138" i="33"/>
  <c r="Y138" i="33"/>
  <c r="B139" i="33"/>
  <c r="S139" i="33"/>
  <c r="O140" i="33"/>
  <c r="S141" i="33"/>
  <c r="U152" i="33"/>
  <c r="C169" i="33" s="1"/>
  <c r="Q153" i="33"/>
  <c r="N149" i="33"/>
  <c r="B148" i="33"/>
  <c r="N153" i="33"/>
  <c r="Q150" i="33"/>
  <c r="K149" i="33"/>
  <c r="K154" i="33" s="1"/>
  <c r="B147" i="33"/>
  <c r="E147" i="33"/>
  <c r="B150" i="33"/>
  <c r="H147" i="33"/>
  <c r="K150" i="33"/>
  <c r="X125" i="16"/>
  <c r="W137" i="16"/>
  <c r="U141" i="16"/>
  <c r="E147" i="16"/>
  <c r="B147" i="16"/>
  <c r="Q153" i="16"/>
  <c r="AU18" i="16"/>
  <c r="BF135" i="16" s="1"/>
  <c r="BD18" i="16"/>
  <c r="BJ133" i="16" s="1"/>
  <c r="AY18" i="16"/>
  <c r="BJ135" i="16" s="1"/>
  <c r="AX18" i="16"/>
  <c r="BI135" i="16" s="1"/>
  <c r="AW18" i="16"/>
  <c r="BH135" i="16" s="1"/>
  <c r="T120" i="16"/>
  <c r="V164" i="16" s="1"/>
  <c r="Q122" i="16"/>
  <c r="V141" i="16"/>
  <c r="N149" i="16"/>
  <c r="U120" i="16"/>
  <c r="W164" i="16" s="1"/>
  <c r="K126" i="16"/>
  <c r="M170" i="16" s="1"/>
  <c r="AA134" i="16"/>
  <c r="O139" i="16"/>
  <c r="Q149" i="16"/>
  <c r="Q154" i="16" s="1"/>
  <c r="AW22" i="16"/>
  <c r="BB156" i="16" s="1"/>
  <c r="AU22" i="16"/>
  <c r="AZ156" i="16" s="1"/>
  <c r="BD22" i="16"/>
  <c r="BD154" i="16" s="1"/>
  <c r="AX22" i="16"/>
  <c r="BC156" i="16" s="1"/>
  <c r="D121" i="16"/>
  <c r="W123" i="16"/>
  <c r="Y167" i="16" s="1"/>
  <c r="Y135" i="16"/>
  <c r="AY22" i="16"/>
  <c r="BD156" i="16" s="1"/>
  <c r="E121" i="16"/>
  <c r="Y123" i="16"/>
  <c r="C127" i="16"/>
  <c r="Z135" i="16"/>
  <c r="Q152" i="16"/>
  <c r="K153" i="16"/>
  <c r="BB16" i="16"/>
  <c r="AV133" i="16" s="1"/>
  <c r="BA16" i="16"/>
  <c r="AU133" i="16" s="1"/>
  <c r="BC20" i="16"/>
  <c r="AQ154" i="16" s="1"/>
  <c r="BA18" i="16"/>
  <c r="BG133" i="16" s="1"/>
  <c r="AZ16" i="16"/>
  <c r="AT133" i="16" s="1"/>
  <c r="BA22" i="16"/>
  <c r="BA154" i="16" s="1"/>
  <c r="BB20" i="16"/>
  <c r="AP154" i="16" s="1"/>
  <c r="BC15" i="16"/>
  <c r="AQ133" i="16" s="1"/>
  <c r="AZ22" i="16"/>
  <c r="AZ154" i="16" s="1"/>
  <c r="BA20" i="16"/>
  <c r="AO154" i="16" s="1"/>
  <c r="BB15" i="16"/>
  <c r="AP133" i="16" s="1"/>
  <c r="K119" i="16"/>
  <c r="Y121" i="16"/>
  <c r="AA165" i="16" s="1"/>
  <c r="I124" i="16"/>
  <c r="K168" i="16" s="1"/>
  <c r="Y127" i="16"/>
  <c r="B120" i="16"/>
  <c r="N122" i="16"/>
  <c r="P166" i="16" s="1"/>
  <c r="U125" i="16"/>
  <c r="AD133" i="16"/>
  <c r="V137" i="16"/>
  <c r="H134" i="16"/>
  <c r="D141" i="16"/>
  <c r="I140" i="16"/>
  <c r="AB139" i="16"/>
  <c r="M138" i="16"/>
  <c r="E137" i="16"/>
  <c r="I136" i="16"/>
  <c r="I135" i="16"/>
  <c r="M134" i="16"/>
  <c r="N133" i="16"/>
  <c r="J127" i="16"/>
  <c r="V126" i="16"/>
  <c r="AD125" i="16"/>
  <c r="AF169" i="16" s="1"/>
  <c r="F125" i="16"/>
  <c r="H169" i="16" s="1"/>
  <c r="T124" i="16"/>
  <c r="AD123" i="16"/>
  <c r="AF167" i="16" s="1"/>
  <c r="K123" i="16"/>
  <c r="V122" i="16"/>
  <c r="X166" i="16" s="1"/>
  <c r="M121" i="16"/>
  <c r="AB120" i="16"/>
  <c r="F120" i="16"/>
  <c r="P119" i="16"/>
  <c r="AA141" i="16"/>
  <c r="AE140" i="16"/>
  <c r="D140" i="16"/>
  <c r="AA139" i="16"/>
  <c r="L138" i="16"/>
  <c r="D137" i="16"/>
  <c r="H136" i="16"/>
  <c r="G135" i="16"/>
  <c r="L134" i="16"/>
  <c r="L133" i="16"/>
  <c r="H127" i="16"/>
  <c r="T126" i="16"/>
  <c r="V170" i="16" s="1"/>
  <c r="AC125" i="16"/>
  <c r="E125" i="16"/>
  <c r="S124" i="16"/>
  <c r="AB123" i="16"/>
  <c r="AD167" i="16" s="1"/>
  <c r="J123" i="16"/>
  <c r="T122" i="16"/>
  <c r="V166" i="16" s="1"/>
  <c r="AE121" i="16"/>
  <c r="AG165" i="16" s="1"/>
  <c r="L121" i="16"/>
  <c r="N165" i="16" s="1"/>
  <c r="Y120" i="16"/>
  <c r="E120" i="16"/>
  <c r="O119" i="16"/>
  <c r="Y141" i="16"/>
  <c r="AD140" i="16"/>
  <c r="C140" i="16"/>
  <c r="Z139" i="16"/>
  <c r="K138" i="16"/>
  <c r="AD137" i="16"/>
  <c r="B137" i="16"/>
  <c r="E136" i="16"/>
  <c r="F135" i="16"/>
  <c r="K133" i="16"/>
  <c r="AC127" i="16"/>
  <c r="G127" i="16"/>
  <c r="I171" i="16" s="1"/>
  <c r="O126" i="16"/>
  <c r="Q170" i="16" s="1"/>
  <c r="AB125" i="16"/>
  <c r="AD169" i="16" s="1"/>
  <c r="D125" i="16"/>
  <c r="R124" i="16"/>
  <c r="AA123" i="16"/>
  <c r="AC167" i="16" s="1"/>
  <c r="G123" i="16"/>
  <c r="S122" i="16"/>
  <c r="AD121" i="16"/>
  <c r="K121" i="16"/>
  <c r="M165" i="16" s="1"/>
  <c r="V120" i="16"/>
  <c r="D120" i="16"/>
  <c r="M119" i="16"/>
  <c r="T149" i="16"/>
  <c r="X141" i="16"/>
  <c r="AC140" i="16"/>
  <c r="B140" i="16"/>
  <c r="Y139" i="16"/>
  <c r="H138" i="16"/>
  <c r="AC137" i="16"/>
  <c r="D136" i="16"/>
  <c r="D135" i="16"/>
  <c r="G134" i="16"/>
  <c r="J133" i="16"/>
  <c r="Z127" i="16"/>
  <c r="E127" i="16"/>
  <c r="N126" i="16"/>
  <c r="P170" i="16" s="1"/>
  <c r="Z125" i="16"/>
  <c r="B125" i="16"/>
  <c r="O124" i="16"/>
  <c r="Q168" i="16" s="1"/>
  <c r="Z123" i="16"/>
  <c r="C123" i="16"/>
  <c r="S120" i="16"/>
  <c r="P122" i="16"/>
  <c r="R166" i="16" s="1"/>
  <c r="B123" i="16"/>
  <c r="L126" i="16"/>
  <c r="C135" i="16"/>
  <c r="P139" i="16"/>
  <c r="J119" i="16"/>
  <c r="H121" i="16"/>
  <c r="X127" i="16"/>
  <c r="F138" i="16"/>
  <c r="U152" i="16"/>
  <c r="C169" i="16" s="1"/>
  <c r="AV19" i="16"/>
  <c r="AI156" i="16" s="1"/>
  <c r="AY19" i="16"/>
  <c r="AL156" i="16" s="1"/>
  <c r="AX19" i="16"/>
  <c r="AK156" i="16" s="1"/>
  <c r="AW19" i="16"/>
  <c r="AJ156" i="16" s="1"/>
  <c r="AU19" i="16"/>
  <c r="AH156" i="16" s="1"/>
  <c r="L119" i="16"/>
  <c r="AB121" i="16"/>
  <c r="J124" i="16"/>
  <c r="L168" i="16" s="1"/>
  <c r="H133" i="16"/>
  <c r="AB119" i="16"/>
  <c r="AC121" i="16"/>
  <c r="AE165" i="16" s="1"/>
  <c r="I133" i="16"/>
  <c r="X136" i="16"/>
  <c r="E146" i="16"/>
  <c r="E148" i="16" s="1"/>
  <c r="BD16" i="16"/>
  <c r="AX133" i="16" s="1"/>
  <c r="AX16" i="16"/>
  <c r="AW135" i="16" s="1"/>
  <c r="AC119" i="16"/>
  <c r="AU130" i="16"/>
  <c r="AB133" i="16"/>
  <c r="AA140" i="16"/>
  <c r="AY21" i="16"/>
  <c r="AX156" i="16" s="1"/>
  <c r="AX21" i="16"/>
  <c r="AW156" i="16" s="1"/>
  <c r="N153" i="16"/>
  <c r="Q150" i="16"/>
  <c r="K149" i="16"/>
  <c r="N150" i="16"/>
  <c r="B146" i="16"/>
  <c r="B152" i="16" s="1"/>
  <c r="K150" i="16"/>
  <c r="Q151" i="16"/>
  <c r="N151" i="16"/>
  <c r="K151" i="16"/>
  <c r="H146" i="16"/>
  <c r="N152" i="16"/>
  <c r="AV14" i="16"/>
  <c r="AI135" i="16" s="1"/>
  <c r="AV15" i="16"/>
  <c r="AO135" i="16" s="1"/>
  <c r="AW15" i="16"/>
  <c r="AP135" i="16" s="1"/>
  <c r="BD15" i="16"/>
  <c r="AR133" i="16" s="1"/>
  <c r="AO130" i="16"/>
  <c r="H147" i="16"/>
  <c r="B150" i="16"/>
  <c r="T153" i="16"/>
  <c r="T146" i="16"/>
  <c r="Z141" i="16"/>
  <c r="N141" i="16"/>
  <c r="B141" i="16"/>
  <c r="V140" i="16"/>
  <c r="J140" i="16"/>
  <c r="X139" i="16"/>
  <c r="L139" i="16"/>
  <c r="Z138" i="16"/>
  <c r="N138" i="16"/>
  <c r="B138" i="16"/>
  <c r="AA137" i="16"/>
  <c r="O137" i="16"/>
  <c r="C137" i="16"/>
  <c r="W136" i="16"/>
  <c r="K136" i="16"/>
  <c r="T135" i="16"/>
  <c r="H135" i="16"/>
  <c r="AB134" i="16"/>
  <c r="P134" i="16"/>
  <c r="D134" i="16"/>
  <c r="Y133" i="16"/>
  <c r="Y142" i="16" s="1"/>
  <c r="M133" i="16"/>
  <c r="U127" i="16"/>
  <c r="I127" i="16"/>
  <c r="K171" i="16" s="1"/>
  <c r="AD126" i="16"/>
  <c r="R126" i="16"/>
  <c r="T170" i="16" s="1"/>
  <c r="F126" i="16"/>
  <c r="AA125" i="16"/>
  <c r="O125" i="16"/>
  <c r="Q169" i="16" s="1"/>
  <c r="C125" i="16"/>
  <c r="X124" i="16"/>
  <c r="L124" i="16"/>
  <c r="N168" i="16" s="1"/>
  <c r="U151" i="16"/>
  <c r="C168" i="16" s="1"/>
  <c r="U147" i="16"/>
  <c r="C164" i="16" s="1"/>
  <c r="AE141" i="16"/>
  <c r="R141" i="16"/>
  <c r="E141" i="16"/>
  <c r="X140" i="16"/>
  <c r="K140" i="16"/>
  <c r="W139" i="16"/>
  <c r="J139" i="16"/>
  <c r="W138" i="16"/>
  <c r="J138" i="16"/>
  <c r="U137" i="16"/>
  <c r="H137" i="16"/>
  <c r="AA136" i="16"/>
  <c r="N136" i="16"/>
  <c r="AE135" i="16"/>
  <c r="R135" i="16"/>
  <c r="E135" i="16"/>
  <c r="X134" i="16"/>
  <c r="K134" i="16"/>
  <c r="AC133" i="16"/>
  <c r="P133" i="16"/>
  <c r="C133" i="16"/>
  <c r="S127" i="16"/>
  <c r="U171" i="16" s="1"/>
  <c r="F127" i="16"/>
  <c r="H171" i="16" s="1"/>
  <c r="Z126" i="16"/>
  <c r="M126" i="16"/>
  <c r="T125" i="16"/>
  <c r="V169" i="16" s="1"/>
  <c r="G125" i="16"/>
  <c r="I169" i="16" s="1"/>
  <c r="AA124" i="16"/>
  <c r="N124" i="16"/>
  <c r="U123" i="16"/>
  <c r="I123" i="16"/>
  <c r="AD122" i="16"/>
  <c r="R122" i="16"/>
  <c r="F122" i="16"/>
  <c r="H166" i="16" s="1"/>
  <c r="AA121" i="16"/>
  <c r="AC165" i="16" s="1"/>
  <c r="O121" i="16"/>
  <c r="C121" i="16"/>
  <c r="X120" i="16"/>
  <c r="Z164" i="16" s="1"/>
  <c r="L120" i="16"/>
  <c r="N164" i="16" s="1"/>
  <c r="T119" i="16"/>
  <c r="H119" i="16"/>
  <c r="T152" i="16"/>
  <c r="T151" i="16"/>
  <c r="U148" i="16"/>
  <c r="C165" i="16" s="1"/>
  <c r="T141" i="16"/>
  <c r="F141" i="16"/>
  <c r="W140" i="16"/>
  <c r="H140" i="16"/>
  <c r="T139" i="16"/>
  <c r="F139" i="16"/>
  <c r="R138" i="16"/>
  <c r="D138" i="16"/>
  <c r="AB137" i="16"/>
  <c r="M137" i="16"/>
  <c r="AE136" i="16"/>
  <c r="Q136" i="16"/>
  <c r="C136" i="16"/>
  <c r="AD135" i="16"/>
  <c r="P135" i="16"/>
  <c r="B135" i="16"/>
  <c r="T134" i="16"/>
  <c r="F134" i="16"/>
  <c r="T133" i="16"/>
  <c r="F133" i="16"/>
  <c r="AD127" i="16"/>
  <c r="AF171" i="16" s="1"/>
  <c r="P127" i="16"/>
  <c r="R171" i="16" s="1"/>
  <c r="B127" i="16"/>
  <c r="U126" i="16"/>
  <c r="G126" i="16"/>
  <c r="Y125" i="16"/>
  <c r="AA169" i="16" s="1"/>
  <c r="K125" i="16"/>
  <c r="M169" i="16" s="1"/>
  <c r="AD124" i="16"/>
  <c r="P124" i="16"/>
  <c r="B124" i="16"/>
  <c r="V123" i="16"/>
  <c r="X167" i="16" s="1"/>
  <c r="H123" i="16"/>
  <c r="AB122" i="16"/>
  <c r="O122" i="16"/>
  <c r="B122" i="16"/>
  <c r="V121" i="16"/>
  <c r="I121" i="16"/>
  <c r="K165" i="16" s="1"/>
  <c r="AC120" i="16"/>
  <c r="AE164" i="16" s="1"/>
  <c r="P120" i="16"/>
  <c r="R164" i="16" s="1"/>
  <c r="C120" i="16"/>
  <c r="V119" i="16"/>
  <c r="I119" i="16"/>
  <c r="T148" i="16"/>
  <c r="S141" i="16"/>
  <c r="U140" i="16"/>
  <c r="G140" i="16"/>
  <c r="S139" i="16"/>
  <c r="E139" i="16"/>
  <c r="AE138" i="16"/>
  <c r="Q138" i="16"/>
  <c r="C138" i="16"/>
  <c r="Z137" i="16"/>
  <c r="L137" i="16"/>
  <c r="AD136" i="16"/>
  <c r="P136" i="16"/>
  <c r="B136" i="16"/>
  <c r="AC135" i="16"/>
  <c r="O135" i="16"/>
  <c r="S134" i="16"/>
  <c r="E134" i="16"/>
  <c r="U146" i="16"/>
  <c r="Q141" i="16"/>
  <c r="C141" i="16"/>
  <c r="T140" i="16"/>
  <c r="F140" i="16"/>
  <c r="R139" i="16"/>
  <c r="D139" i="16"/>
  <c r="AD138" i="16"/>
  <c r="P138" i="16"/>
  <c r="Y137" i="16"/>
  <c r="K137" i="16"/>
  <c r="AC136" i="16"/>
  <c r="O136" i="16"/>
  <c r="AB135" i="16"/>
  <c r="N135" i="16"/>
  <c r="R134" i="16"/>
  <c r="C134" i="16"/>
  <c r="R133" i="16"/>
  <c r="D133" i="16"/>
  <c r="AB127" i="16"/>
  <c r="AD171" i="16" s="1"/>
  <c r="N127" i="16"/>
  <c r="S126" i="16"/>
  <c r="U170" i="16" s="1"/>
  <c r="D126" i="16"/>
  <c r="F170" i="16" s="1"/>
  <c r="W125" i="16"/>
  <c r="I125" i="16"/>
  <c r="AB124" i="16"/>
  <c r="M124" i="16"/>
  <c r="O168" i="16" s="1"/>
  <c r="S123" i="16"/>
  <c r="F123" i="16"/>
  <c r="Z122" i="16"/>
  <c r="AB166" i="16" s="1"/>
  <c r="M122" i="16"/>
  <c r="O166" i="16" s="1"/>
  <c r="T121" i="16"/>
  <c r="V165" i="16" s="1"/>
  <c r="G121" i="16"/>
  <c r="AA120" i="16"/>
  <c r="AC164" i="16" s="1"/>
  <c r="N120" i="16"/>
  <c r="P164" i="16" s="1"/>
  <c r="S119" i="16"/>
  <c r="F119" i="16"/>
  <c r="U153" i="16"/>
  <c r="C170" i="16" s="1"/>
  <c r="U149" i="16"/>
  <c r="C166" i="16" s="1"/>
  <c r="AD141" i="16"/>
  <c r="P141" i="16"/>
  <c r="S140" i="16"/>
  <c r="E140" i="16"/>
  <c r="AE139" i="16"/>
  <c r="Q139" i="16"/>
  <c r="C139" i="16"/>
  <c r="AC138" i="16"/>
  <c r="O138" i="16"/>
  <c r="X137" i="16"/>
  <c r="J137" i="16"/>
  <c r="AB136" i="16"/>
  <c r="M136" i="16"/>
  <c r="AA135" i="16"/>
  <c r="M135" i="16"/>
  <c r="AE134" i="16"/>
  <c r="Q134" i="16"/>
  <c r="B134" i="16"/>
  <c r="AE133" i="16"/>
  <c r="Q133" i="16"/>
  <c r="B133" i="16"/>
  <c r="AA127" i="16"/>
  <c r="M127" i="16"/>
  <c r="O171" i="16" s="1"/>
  <c r="Q126" i="16"/>
  <c r="S170" i="16" s="1"/>
  <c r="C126" i="16"/>
  <c r="E170" i="16" s="1"/>
  <c r="V125" i="16"/>
  <c r="H125" i="16"/>
  <c r="Z124" i="16"/>
  <c r="K124" i="16"/>
  <c r="AE123" i="16"/>
  <c r="R123" i="16"/>
  <c r="E123" i="16"/>
  <c r="Y122" i="16"/>
  <c r="L122" i="16"/>
  <c r="S121" i="16"/>
  <c r="U165" i="16" s="1"/>
  <c r="F121" i="16"/>
  <c r="H165" i="16" s="1"/>
  <c r="Z120" i="16"/>
  <c r="M120" i="16"/>
  <c r="AE119" i="16"/>
  <c r="R119" i="16"/>
  <c r="E119" i="16"/>
  <c r="U154" i="16"/>
  <c r="C171" i="16" s="1"/>
  <c r="AC141" i="16"/>
  <c r="J141" i="16"/>
  <c r="Y140" i="16"/>
  <c r="V139" i="16"/>
  <c r="T138" i="16"/>
  <c r="R137" i="16"/>
  <c r="Z136" i="16"/>
  <c r="G136" i="16"/>
  <c r="V135" i="16"/>
  <c r="AD134" i="16"/>
  <c r="J134" i="16"/>
  <c r="X133" i="16"/>
  <c r="G133" i="16"/>
  <c r="AE127" i="16"/>
  <c r="AG171" i="16" s="1"/>
  <c r="K127" i="16"/>
  <c r="Y126" i="16"/>
  <c r="AA170" i="16" s="1"/>
  <c r="H126" i="16"/>
  <c r="J170" i="16" s="1"/>
  <c r="S125" i="16"/>
  <c r="U169" i="16" s="1"/>
  <c r="Q124" i="16"/>
  <c r="AC123" i="16"/>
  <c r="M123" i="16"/>
  <c r="AC122" i="16"/>
  <c r="AE166" i="16" s="1"/>
  <c r="J122" i="16"/>
  <c r="L166" i="16" s="1"/>
  <c r="Z121" i="16"/>
  <c r="J121" i="16"/>
  <c r="L165" i="16" s="1"/>
  <c r="W120" i="16"/>
  <c r="G120" i="16"/>
  <c r="I164" i="16" s="1"/>
  <c r="W119" i="16"/>
  <c r="C119" i="16"/>
  <c r="T154" i="16"/>
  <c r="AB141" i="16"/>
  <c r="I141" i="16"/>
  <c r="R140" i="16"/>
  <c r="U139" i="16"/>
  <c r="S138" i="16"/>
  <c r="Q137" i="16"/>
  <c r="Y136" i="16"/>
  <c r="F136" i="16"/>
  <c r="U135" i="16"/>
  <c r="AC134" i="16"/>
  <c r="I134" i="16"/>
  <c r="W141" i="16"/>
  <c r="N140" i="16"/>
  <c r="M139" i="16"/>
  <c r="I138" i="16"/>
  <c r="AE137" i="16"/>
  <c r="G137" i="16"/>
  <c r="T136" i="16"/>
  <c r="K135" i="16"/>
  <c r="W134" i="16"/>
  <c r="O133" i="16"/>
  <c r="W127" i="16"/>
  <c r="D127" i="16"/>
  <c r="F171" i="16" s="1"/>
  <c r="P126" i="16"/>
  <c r="R170" i="16" s="1"/>
  <c r="AE125" i="16"/>
  <c r="M125" i="16"/>
  <c r="O169" i="16" s="1"/>
  <c r="Y124" i="16"/>
  <c r="AA168" i="16" s="1"/>
  <c r="G124" i="16"/>
  <c r="I168" i="16" s="1"/>
  <c r="X123" i="16"/>
  <c r="Z167" i="16" s="1"/>
  <c r="D123" i="16"/>
  <c r="U122" i="16"/>
  <c r="W166" i="16" s="1"/>
  <c r="D122" i="16"/>
  <c r="F166" i="16" s="1"/>
  <c r="R121" i="16"/>
  <c r="R120" i="16"/>
  <c r="T164" i="16" s="1"/>
  <c r="AD119" i="16"/>
  <c r="N119" i="16"/>
  <c r="AW14" i="16"/>
  <c r="AJ135" i="16" s="1"/>
  <c r="AY17" i="16"/>
  <c r="BD135" i="16" s="1"/>
  <c r="BD17" i="16"/>
  <c r="BD133" i="16" s="1"/>
  <c r="AU21" i="16"/>
  <c r="AT156" i="16" s="1"/>
  <c r="Q119" i="16"/>
  <c r="H120" i="16"/>
  <c r="AD120" i="16"/>
  <c r="AF164" i="16" s="1"/>
  <c r="N121" i="16"/>
  <c r="C122" i="16"/>
  <c r="W122" i="16"/>
  <c r="L123" i="16"/>
  <c r="N167" i="16" s="1"/>
  <c r="U124" i="16"/>
  <c r="W168" i="16" s="1"/>
  <c r="J125" i="16"/>
  <c r="W126" i="16"/>
  <c r="L127" i="16"/>
  <c r="S133" i="16"/>
  <c r="N134" i="16"/>
  <c r="J135" i="16"/>
  <c r="J136" i="16"/>
  <c r="F137" i="16"/>
  <c r="U138" i="16"/>
  <c r="B139" i="16"/>
  <c r="AC139" i="16"/>
  <c r="L140" i="16"/>
  <c r="G141" i="16"/>
  <c r="AI151" i="16"/>
  <c r="T147" i="16"/>
  <c r="T150" i="16"/>
  <c r="AY14" i="16"/>
  <c r="AL135" i="16" s="1"/>
  <c r="AV21" i="16"/>
  <c r="AU156" i="16" s="1"/>
  <c r="U119" i="16"/>
  <c r="I120" i="16"/>
  <c r="AE120" i="16"/>
  <c r="BG130" i="16"/>
  <c r="P121" i="16"/>
  <c r="E122" i="16"/>
  <c r="G166" i="16" s="1"/>
  <c r="X122" i="16"/>
  <c r="N123" i="16"/>
  <c r="C124" i="16"/>
  <c r="V124" i="16"/>
  <c r="X168" i="16" s="1"/>
  <c r="L125" i="16"/>
  <c r="N169" i="16" s="1"/>
  <c r="X126" i="16"/>
  <c r="O127" i="16"/>
  <c r="Q171" i="16" s="1"/>
  <c r="U133" i="16"/>
  <c r="U142" i="16" s="1"/>
  <c r="O134" i="16"/>
  <c r="L135" i="16"/>
  <c r="L136" i="16"/>
  <c r="I137" i="16"/>
  <c r="V138" i="16"/>
  <c r="G139" i="16"/>
  <c r="AD139" i="16"/>
  <c r="M140" i="16"/>
  <c r="H141" i="16"/>
  <c r="U150" i="16"/>
  <c r="C167" i="16" s="1"/>
  <c r="AZ14" i="16"/>
  <c r="AH133" i="16" s="1"/>
  <c r="AU17" i="16"/>
  <c r="AZ135" i="16" s="1"/>
  <c r="AY20" i="16"/>
  <c r="AR156" i="16" s="1"/>
  <c r="AW20" i="16"/>
  <c r="AP156" i="16" s="1"/>
  <c r="AV20" i="16"/>
  <c r="AO156" i="16" s="1"/>
  <c r="AW21" i="16"/>
  <c r="AV156" i="16" s="1"/>
  <c r="AZ23" i="16"/>
  <c r="BF154" i="16" s="1"/>
  <c r="X119" i="16"/>
  <c r="J120" i="16"/>
  <c r="Q121" i="16"/>
  <c r="S165" i="16" s="1"/>
  <c r="G122" i="16"/>
  <c r="I166" i="16" s="1"/>
  <c r="AA122" i="16"/>
  <c r="AC166" i="16" s="1"/>
  <c r="O123" i="16"/>
  <c r="Q167" i="16" s="1"/>
  <c r="D124" i="16"/>
  <c r="F168" i="16" s="1"/>
  <c r="W124" i="16"/>
  <c r="Y168" i="16" s="1"/>
  <c r="N125" i="16"/>
  <c r="P169" i="16" s="1"/>
  <c r="B126" i="16"/>
  <c r="AA126" i="16"/>
  <c r="AC170" i="16" s="1"/>
  <c r="Q127" i="16"/>
  <c r="V133" i="16"/>
  <c r="U134" i="16"/>
  <c r="Q135" i="16"/>
  <c r="R136" i="16"/>
  <c r="N137" i="16"/>
  <c r="X138" i="16"/>
  <c r="H139" i="16"/>
  <c r="O140" i="16"/>
  <c r="K141" i="16"/>
  <c r="B148" i="16"/>
  <c r="BA14" i="16"/>
  <c r="AI133" i="16" s="1"/>
  <c r="AV17" i="16"/>
  <c r="BA135" i="16" s="1"/>
  <c r="BA21" i="16"/>
  <c r="AU154" i="16" s="1"/>
  <c r="B119" i="16"/>
  <c r="Y119" i="16"/>
  <c r="K120" i="16"/>
  <c r="M164" i="16" s="1"/>
  <c r="U121" i="16"/>
  <c r="W165" i="16" s="1"/>
  <c r="H122" i="16"/>
  <c r="AE122" i="16"/>
  <c r="AG166" i="16" s="1"/>
  <c r="P123" i="16"/>
  <c r="E124" i="16"/>
  <c r="AC124" i="16"/>
  <c r="AE168" i="16" s="1"/>
  <c r="P125" i="16"/>
  <c r="R169" i="16" s="1"/>
  <c r="E126" i="16"/>
  <c r="AB126" i="16"/>
  <c r="AD170" i="16" s="1"/>
  <c r="R127" i="16"/>
  <c r="T171" i="16" s="1"/>
  <c r="W133" i="16"/>
  <c r="V134" i="16"/>
  <c r="S135" i="16"/>
  <c r="S136" i="16"/>
  <c r="P137" i="16"/>
  <c r="Y138" i="16"/>
  <c r="I139" i="16"/>
  <c r="P140" i="16"/>
  <c r="L141" i="16"/>
  <c r="BA151" i="16"/>
  <c r="B151" i="16"/>
  <c r="BB21" i="16"/>
  <c r="AV154" i="16" s="1"/>
  <c r="BB17" i="16"/>
  <c r="BB133" i="16" s="1"/>
  <c r="BC22" i="16"/>
  <c r="BC154" i="16" s="1"/>
  <c r="AZ21" i="16"/>
  <c r="AT154" i="16" s="1"/>
  <c r="BC18" i="16"/>
  <c r="BI133" i="16" s="1"/>
  <c r="AZ17" i="16"/>
  <c r="AZ133" i="16" s="1"/>
  <c r="BC14" i="16"/>
  <c r="AK133" i="16" s="1"/>
  <c r="BB22" i="16"/>
  <c r="BB154" i="16" s="1"/>
  <c r="BB18" i="16"/>
  <c r="BH133" i="16" s="1"/>
  <c r="BB14" i="16"/>
  <c r="AJ133" i="16" s="1"/>
  <c r="BC23" i="16"/>
  <c r="BI154" i="16" s="1"/>
  <c r="AZ20" i="16"/>
  <c r="AN154" i="16" s="1"/>
  <c r="AZ18" i="16"/>
  <c r="BF133" i="16" s="1"/>
  <c r="BC16" i="16"/>
  <c r="AW133" i="16" s="1"/>
  <c r="BA19" i="16"/>
  <c r="AI154" i="16" s="1"/>
  <c r="BD14" i="16"/>
  <c r="AL133" i="16" s="1"/>
  <c r="AU15" i="16"/>
  <c r="AN135" i="16" s="1"/>
  <c r="AW17" i="16"/>
  <c r="BB135" i="16" s="1"/>
  <c r="AZ19" i="16"/>
  <c r="AH154" i="16" s="1"/>
  <c r="BC21" i="16"/>
  <c r="AW154" i="16" s="1"/>
  <c r="BB23" i="16"/>
  <c r="BH154" i="16" s="1"/>
  <c r="D119" i="16"/>
  <c r="Z119" i="16"/>
  <c r="O120" i="16"/>
  <c r="Q164" i="16" s="1"/>
  <c r="W121" i="16"/>
  <c r="Y165" i="16" s="1"/>
  <c r="I122" i="16"/>
  <c r="K166" i="16" s="1"/>
  <c r="Q123" i="16"/>
  <c r="S167" i="16" s="1"/>
  <c r="F124" i="16"/>
  <c r="AE124" i="16"/>
  <c r="AG168" i="16" s="1"/>
  <c r="Q125" i="16"/>
  <c r="S169" i="16" s="1"/>
  <c r="I126" i="16"/>
  <c r="K170" i="16" s="1"/>
  <c r="AC126" i="16"/>
  <c r="AE170" i="16" s="1"/>
  <c r="T127" i="16"/>
  <c r="V171" i="16" s="1"/>
  <c r="Z133" i="16"/>
  <c r="Z142" i="16" s="1"/>
  <c r="Y134" i="16"/>
  <c r="W135" i="16"/>
  <c r="U136" i="16"/>
  <c r="S137" i="16"/>
  <c r="AA138" i="16"/>
  <c r="K139" i="16"/>
  <c r="Q140" i="16"/>
  <c r="M141" i="16"/>
  <c r="AX15" i="16"/>
  <c r="AQ135" i="16" s="1"/>
  <c r="AY16" i="16"/>
  <c r="AX135" i="16" s="1"/>
  <c r="AW16" i="16"/>
  <c r="AV135" i="16" s="1"/>
  <c r="AV16" i="16"/>
  <c r="AU135" i="16" s="1"/>
  <c r="AU16" i="16"/>
  <c r="AT135" i="16" s="1"/>
  <c r="AX17" i="16"/>
  <c r="BC135" i="16" s="1"/>
  <c r="BB19" i="16"/>
  <c r="AJ154" i="16" s="1"/>
  <c r="BD21" i="16"/>
  <c r="AX154" i="16" s="1"/>
  <c r="G119" i="16"/>
  <c r="AA119" i="16"/>
  <c r="Q120" i="16"/>
  <c r="B121" i="16"/>
  <c r="X121" i="16"/>
  <c r="K122" i="16"/>
  <c r="M166" i="16" s="1"/>
  <c r="T123" i="16"/>
  <c r="V167" i="16" s="1"/>
  <c r="H124" i="16"/>
  <c r="J168" i="16" s="1"/>
  <c r="R125" i="16"/>
  <c r="J126" i="16"/>
  <c r="AE126" i="16"/>
  <c r="AG170" i="16" s="1"/>
  <c r="V127" i="16"/>
  <c r="X171" i="16" s="1"/>
  <c r="E133" i="16"/>
  <c r="AA133" i="16"/>
  <c r="Z134" i="16"/>
  <c r="X135" i="16"/>
  <c r="V136" i="16"/>
  <c r="T137" i="16"/>
  <c r="E138" i="16"/>
  <c r="AB138" i="16"/>
  <c r="N139" i="16"/>
  <c r="Z140" i="16"/>
  <c r="O141" i="16"/>
  <c r="AO151" i="16"/>
  <c r="B149" i="16"/>
  <c r="K152" i="16"/>
  <c r="AI130" i="16"/>
  <c r="AV23" i="16"/>
  <c r="BG156" i="16" s="1"/>
  <c r="AX21" i="10"/>
  <c r="AW156" i="10" s="1"/>
  <c r="AW21" i="10"/>
  <c r="AV156" i="10" s="1"/>
  <c r="AU21" i="10"/>
  <c r="AT156" i="10" s="1"/>
  <c r="BD21" i="10"/>
  <c r="AX154" i="10" s="1"/>
  <c r="E146" i="10"/>
  <c r="B146" i="10"/>
  <c r="N149" i="10"/>
  <c r="AE141" i="10"/>
  <c r="X139" i="10"/>
  <c r="X138" i="10"/>
  <c r="W136" i="10"/>
  <c r="R133" i="10"/>
  <c r="S140" i="10"/>
  <c r="M126" i="10"/>
  <c r="F120" i="10"/>
  <c r="J127" i="10"/>
  <c r="L171" i="10" s="1"/>
  <c r="Y121" i="10"/>
  <c r="T122" i="10"/>
  <c r="V166" i="10" s="1"/>
  <c r="N123" i="10"/>
  <c r="P167" i="10" s="1"/>
  <c r="U154" i="10"/>
  <c r="C171" i="10" s="1"/>
  <c r="B150" i="10"/>
  <c r="E119" i="10"/>
  <c r="P125" i="10"/>
  <c r="L119" i="10"/>
  <c r="Z122" i="10"/>
  <c r="AB166" i="10" s="1"/>
  <c r="P126" i="10"/>
  <c r="X137" i="10"/>
  <c r="E137" i="10"/>
  <c r="AE137" i="10"/>
  <c r="G137" i="10"/>
  <c r="R123" i="10"/>
  <c r="T167" i="10" s="1"/>
  <c r="AA137" i="10"/>
  <c r="F137" i="10"/>
  <c r="P123" i="10"/>
  <c r="M123" i="10"/>
  <c r="T137" i="10"/>
  <c r="Q153" i="10"/>
  <c r="N152" i="10"/>
  <c r="AW15" i="10"/>
  <c r="AP135" i="10" s="1"/>
  <c r="J120" i="10"/>
  <c r="L164" i="10" s="1"/>
  <c r="AD122" i="10"/>
  <c r="W125" i="10"/>
  <c r="Y169" i="10" s="1"/>
  <c r="W127" i="10"/>
  <c r="Y171" i="10" s="1"/>
  <c r="AA133" i="10"/>
  <c r="AA142" i="10" s="1"/>
  <c r="J134" i="10"/>
  <c r="O135" i="10"/>
  <c r="AB136" i="10"/>
  <c r="G141" i="10"/>
  <c r="U146" i="10"/>
  <c r="K151" i="10"/>
  <c r="Q141" i="10"/>
  <c r="AC140" i="10"/>
  <c r="F140" i="10"/>
  <c r="AC139" i="10"/>
  <c r="G138" i="10"/>
  <c r="N136" i="10"/>
  <c r="AB135" i="10"/>
  <c r="AE133" i="10"/>
  <c r="K133" i="10"/>
  <c r="T136" i="10"/>
  <c r="K135" i="10"/>
  <c r="W134" i="10"/>
  <c r="N133" i="10"/>
  <c r="O127" i="10"/>
  <c r="Q171" i="10" s="1"/>
  <c r="AA126" i="10"/>
  <c r="F126" i="10"/>
  <c r="H170" i="10" s="1"/>
  <c r="R125" i="10"/>
  <c r="T169" i="10" s="1"/>
  <c r="AB124" i="10"/>
  <c r="AD168" i="10" s="1"/>
  <c r="H124" i="10"/>
  <c r="L122" i="10"/>
  <c r="AA121" i="10"/>
  <c r="G121" i="10"/>
  <c r="U120" i="10"/>
  <c r="W164" i="10" s="1"/>
  <c r="N119" i="10"/>
  <c r="I139" i="10"/>
  <c r="H135" i="10"/>
  <c r="O136" i="10"/>
  <c r="AC135" i="10"/>
  <c r="I135" i="10"/>
  <c r="S134" i="10"/>
  <c r="M133" i="10"/>
  <c r="M127" i="10"/>
  <c r="Z126" i="10"/>
  <c r="B126" i="10"/>
  <c r="Q125" i="10"/>
  <c r="Z124" i="10"/>
  <c r="G124" i="10"/>
  <c r="AE122" i="10"/>
  <c r="J122" i="10"/>
  <c r="Z121" i="10"/>
  <c r="E121" i="10"/>
  <c r="T120" i="10"/>
  <c r="V164" i="10" s="1"/>
  <c r="AE119" i="10"/>
  <c r="M119" i="10"/>
  <c r="Z138" i="10"/>
  <c r="R134" i="10"/>
  <c r="I125" i="10"/>
  <c r="V124" i="10"/>
  <c r="Y122" i="10"/>
  <c r="F122" i="10"/>
  <c r="H166" i="10" s="1"/>
  <c r="T121" i="10"/>
  <c r="M120" i="10"/>
  <c r="AA119" i="10"/>
  <c r="F119" i="10"/>
  <c r="L141" i="10"/>
  <c r="Y140" i="10"/>
  <c r="B140" i="10"/>
  <c r="Y139" i="10"/>
  <c r="C139" i="10"/>
  <c r="V138" i="10"/>
  <c r="AC136" i="10"/>
  <c r="AX15" i="10"/>
  <c r="AQ135" i="10" s="1"/>
  <c r="BA18" i="10"/>
  <c r="BG133" i="10" s="1"/>
  <c r="BB21" i="10"/>
  <c r="AV154" i="10" s="1"/>
  <c r="R119" i="10"/>
  <c r="L120" i="10"/>
  <c r="N164" i="10" s="1"/>
  <c r="L121" i="10"/>
  <c r="D122" i="10"/>
  <c r="AB123" i="10"/>
  <c r="Y124" i="10"/>
  <c r="Y125" i="10"/>
  <c r="AA169" i="10" s="1"/>
  <c r="Y126" i="10"/>
  <c r="AA170" i="10" s="1"/>
  <c r="Y127" i="10"/>
  <c r="AC133" i="10"/>
  <c r="K134" i="10"/>
  <c r="T135" i="10"/>
  <c r="D137" i="10"/>
  <c r="I141" i="10"/>
  <c r="N151" i="10"/>
  <c r="BA21" i="10"/>
  <c r="AU154" i="10" s="1"/>
  <c r="BA17" i="10"/>
  <c r="BA133" i="10" s="1"/>
  <c r="AZ21" i="10"/>
  <c r="AT154" i="10" s="1"/>
  <c r="BC18" i="10"/>
  <c r="BI133" i="10" s="1"/>
  <c r="AZ17" i="10"/>
  <c r="AZ133" i="10" s="1"/>
  <c r="BC14" i="10"/>
  <c r="AK133" i="10" s="1"/>
  <c r="BC22" i="10"/>
  <c r="BC154" i="10" s="1"/>
  <c r="BB18" i="10"/>
  <c r="BH133" i="10" s="1"/>
  <c r="BB14" i="10"/>
  <c r="AJ133" i="10" s="1"/>
  <c r="AZ22" i="10"/>
  <c r="AZ154" i="10" s="1"/>
  <c r="BB19" i="10"/>
  <c r="AJ154" i="10" s="1"/>
  <c r="BB15" i="10"/>
  <c r="AP133" i="10" s="1"/>
  <c r="BA22" i="10"/>
  <c r="BA154" i="10" s="1"/>
  <c r="BA20" i="10"/>
  <c r="AO154" i="10" s="1"/>
  <c r="AZ16" i="10"/>
  <c r="AT133" i="10" s="1"/>
  <c r="AZ20" i="10"/>
  <c r="AN154" i="10" s="1"/>
  <c r="BC21" i="10"/>
  <c r="AW154" i="10" s="1"/>
  <c r="BA19" i="10"/>
  <c r="AI154" i="10" s="1"/>
  <c r="BB17" i="10"/>
  <c r="BB133" i="10" s="1"/>
  <c r="AZ15" i="10"/>
  <c r="AN133" i="10" s="1"/>
  <c r="AY15" i="10"/>
  <c r="AR135" i="10" s="1"/>
  <c r="AW19" i="10"/>
  <c r="AJ156" i="10" s="1"/>
  <c r="AX20" i="10"/>
  <c r="AQ156" i="10" s="1"/>
  <c r="AW20" i="10"/>
  <c r="AP156" i="10" s="1"/>
  <c r="AV20" i="10"/>
  <c r="AO156" i="10" s="1"/>
  <c r="AY20" i="10"/>
  <c r="AR156" i="10" s="1"/>
  <c r="S119" i="10"/>
  <c r="R120" i="10"/>
  <c r="T164" i="10" s="1"/>
  <c r="M121" i="10"/>
  <c r="E122" i="10"/>
  <c r="G166" i="10" s="1"/>
  <c r="B123" i="10"/>
  <c r="AC123" i="10"/>
  <c r="AD125" i="10"/>
  <c r="AD126" i="10"/>
  <c r="AF170" i="10" s="1"/>
  <c r="Z127" i="10"/>
  <c r="L134" i="10"/>
  <c r="U135" i="10"/>
  <c r="J137" i="10"/>
  <c r="F138" i="10"/>
  <c r="J141" i="10"/>
  <c r="U147" i="10"/>
  <c r="C164" i="10" s="1"/>
  <c r="Q151" i="10"/>
  <c r="G120" i="10"/>
  <c r="I164" i="10" s="1"/>
  <c r="AC121" i="10"/>
  <c r="V122" i="10"/>
  <c r="O123" i="10"/>
  <c r="Q167" i="10" s="1"/>
  <c r="O124" i="10"/>
  <c r="Q168" i="10" s="1"/>
  <c r="N126" i="10"/>
  <c r="L127" i="10"/>
  <c r="N171" i="10" s="1"/>
  <c r="W133" i="10"/>
  <c r="D134" i="10"/>
  <c r="X136" i="10"/>
  <c r="AB139" i="10"/>
  <c r="T140" i="10"/>
  <c r="X141" i="10"/>
  <c r="J119" i="10"/>
  <c r="H120" i="10"/>
  <c r="W122" i="10"/>
  <c r="Y166" i="10" s="1"/>
  <c r="X123" i="10"/>
  <c r="Z167" i="10" s="1"/>
  <c r="T124" i="10"/>
  <c r="T125" i="10"/>
  <c r="O126" i="10"/>
  <c r="Q170" i="10" s="1"/>
  <c r="U127" i="10"/>
  <c r="W171" i="10" s="1"/>
  <c r="Y133" i="10"/>
  <c r="E134" i="10"/>
  <c r="F135" i="10"/>
  <c r="Y136" i="10"/>
  <c r="AB140" i="10"/>
  <c r="BA14" i="10"/>
  <c r="AI133" i="10" s="1"/>
  <c r="AX16" i="10"/>
  <c r="AW135" i="10" s="1"/>
  <c r="AW16" i="10"/>
  <c r="AV135" i="10" s="1"/>
  <c r="AV16" i="10"/>
  <c r="AU135" i="10" s="1"/>
  <c r="AY16" i="10"/>
  <c r="AX135" i="10" s="1"/>
  <c r="AU16" i="10"/>
  <c r="AT135" i="10" s="1"/>
  <c r="AY23" i="10"/>
  <c r="BJ156" i="10" s="1"/>
  <c r="AV23" i="10"/>
  <c r="BG156" i="10" s="1"/>
  <c r="AU23" i="10"/>
  <c r="BF156" i="10" s="1"/>
  <c r="BD23" i="10"/>
  <c r="BJ154" i="10" s="1"/>
  <c r="I120" i="10"/>
  <c r="K164" i="10" s="1"/>
  <c r="B121" i="10"/>
  <c r="Z123" i="10"/>
  <c r="U124" i="10"/>
  <c r="W168" i="10" s="1"/>
  <c r="U125" i="10"/>
  <c r="W169" i="10" s="1"/>
  <c r="V127" i="10"/>
  <c r="Z133" i="10"/>
  <c r="I134" i="10"/>
  <c r="N135" i="10"/>
  <c r="Z136" i="10"/>
  <c r="C141" i="10"/>
  <c r="AZ18" i="10"/>
  <c r="BF133" i="10" s="1"/>
  <c r="BD22" i="10"/>
  <c r="BD154" i="10" s="1"/>
  <c r="AY22" i="10"/>
  <c r="BD156" i="10" s="1"/>
  <c r="AX22" i="10"/>
  <c r="BC156" i="10" s="1"/>
  <c r="P119" i="10"/>
  <c r="C121" i="10"/>
  <c r="E165" i="10" s="1"/>
  <c r="AA123" i="10"/>
  <c r="X124" i="10"/>
  <c r="Z168" i="10" s="1"/>
  <c r="U126" i="10"/>
  <c r="W170" i="10" s="1"/>
  <c r="BA15" i="10"/>
  <c r="AO133" i="10" s="1"/>
  <c r="AW22" i="10"/>
  <c r="BB156" i="10" s="1"/>
  <c r="X119" i="10"/>
  <c r="S120" i="10"/>
  <c r="N121" i="10"/>
  <c r="P165" i="10" s="1"/>
  <c r="G122" i="10"/>
  <c r="C123" i="10"/>
  <c r="E167" i="10" s="1"/>
  <c r="AD123" i="10"/>
  <c r="AF167" i="10" s="1"/>
  <c r="C125" i="10"/>
  <c r="E169" i="10" s="1"/>
  <c r="AE125" i="10"/>
  <c r="AA127" i="10"/>
  <c r="N134" i="10"/>
  <c r="V135" i="10"/>
  <c r="F136" i="10"/>
  <c r="K137" i="10"/>
  <c r="K138" i="10"/>
  <c r="H139" i="10"/>
  <c r="K141" i="10"/>
  <c r="T151" i="10"/>
  <c r="BC15" i="10"/>
  <c r="AQ133" i="10" s="1"/>
  <c r="BA16" i="10"/>
  <c r="AU133" i="10" s="1"/>
  <c r="AW23" i="10"/>
  <c r="BH156" i="10" s="1"/>
  <c r="Y119" i="10"/>
  <c r="W120" i="10"/>
  <c r="Y164" i="10" s="1"/>
  <c r="H122" i="10"/>
  <c r="E123" i="10"/>
  <c r="D125" i="10"/>
  <c r="AD127" i="10"/>
  <c r="C133" i="10"/>
  <c r="Y134" i="10"/>
  <c r="X135" i="10"/>
  <c r="G136" i="10"/>
  <c r="Q137" i="10"/>
  <c r="O138" i="10"/>
  <c r="O139" i="10"/>
  <c r="E140" i="10"/>
  <c r="P141" i="10"/>
  <c r="U148" i="10"/>
  <c r="C165" i="10" s="1"/>
  <c r="BB16" i="10"/>
  <c r="AV133" i="10" s="1"/>
  <c r="AZ19" i="10"/>
  <c r="AH154" i="10" s="1"/>
  <c r="AX23" i="10"/>
  <c r="BI156" i="10" s="1"/>
  <c r="Z119" i="10"/>
  <c r="Y120" i="10"/>
  <c r="AA164" i="10" s="1"/>
  <c r="AO130" i="10"/>
  <c r="P121" i="10"/>
  <c r="R165" i="10" s="1"/>
  <c r="Q122" i="10"/>
  <c r="F123" i="10"/>
  <c r="H167" i="10" s="1"/>
  <c r="F124" i="10"/>
  <c r="H168" i="10" s="1"/>
  <c r="E125" i="10"/>
  <c r="B127" i="10"/>
  <c r="D133" i="10"/>
  <c r="Z134" i="10"/>
  <c r="Z135" i="10"/>
  <c r="H136" i="10"/>
  <c r="R137" i="10"/>
  <c r="P138" i="10"/>
  <c r="Q139" i="10"/>
  <c r="O140" i="10"/>
  <c r="AA141" i="10"/>
  <c r="O121" i="10"/>
  <c r="Q165" i="10" s="1"/>
  <c r="BD14" i="10"/>
  <c r="AL133" i="10" s="1"/>
  <c r="AY14" i="10"/>
  <c r="AL135" i="10" s="1"/>
  <c r="AW14" i="10"/>
  <c r="AJ135" i="10" s="1"/>
  <c r="AV14" i="10"/>
  <c r="AI135" i="10" s="1"/>
  <c r="BC16" i="10"/>
  <c r="AW133" i="10" s="1"/>
  <c r="BC19" i="10"/>
  <c r="AK154" i="10" s="1"/>
  <c r="AZ23" i="10"/>
  <c r="BF154" i="10" s="1"/>
  <c r="AB119" i="10"/>
  <c r="Z120" i="10"/>
  <c r="AB164" i="10" s="1"/>
  <c r="S121" i="10"/>
  <c r="R122" i="10"/>
  <c r="J123" i="10"/>
  <c r="L167" i="10" s="1"/>
  <c r="J124" i="10"/>
  <c r="F125" i="10"/>
  <c r="K126" i="10"/>
  <c r="F127" i="10"/>
  <c r="J133" i="10"/>
  <c r="AB134" i="10"/>
  <c r="I136" i="10"/>
  <c r="S137" i="10"/>
  <c r="T138" i="10"/>
  <c r="R139" i="10"/>
  <c r="P140" i="10"/>
  <c r="AB141" i="10"/>
  <c r="BD16" i="10"/>
  <c r="AX133" i="10" s="1"/>
  <c r="AU20" i="10"/>
  <c r="AN156" i="10" s="1"/>
  <c r="BA23" i="10"/>
  <c r="BG154" i="10" s="1"/>
  <c r="B119" i="10"/>
  <c r="AC119" i="10"/>
  <c r="AE120" i="10"/>
  <c r="BG130" i="10"/>
  <c r="X121" i="10"/>
  <c r="Z165" i="10" s="1"/>
  <c r="S122" i="10"/>
  <c r="U166" i="10" s="1"/>
  <c r="K123" i="10"/>
  <c r="L124" i="10"/>
  <c r="G125" i="10"/>
  <c r="I169" i="10" s="1"/>
  <c r="L126" i="10"/>
  <c r="G127" i="10"/>
  <c r="I171" i="10" s="1"/>
  <c r="Q133" i="10"/>
  <c r="AD134" i="10"/>
  <c r="L136" i="10"/>
  <c r="V137" i="10"/>
  <c r="U138" i="10"/>
  <c r="V139" i="10"/>
  <c r="Q140" i="10"/>
  <c r="AC141" i="10"/>
  <c r="BG151" i="10"/>
  <c r="BD18" i="10"/>
  <c r="BJ133" i="10" s="1"/>
  <c r="AY18" i="10"/>
  <c r="BJ135" i="10" s="1"/>
  <c r="T126" i="10"/>
  <c r="I127" i="10"/>
  <c r="AC127" i="10"/>
  <c r="AE171" i="10" s="1"/>
  <c r="I133" i="10"/>
  <c r="AB133" i="10"/>
  <c r="M134" i="10"/>
  <c r="E135" i="10"/>
  <c r="Y135" i="10"/>
  <c r="K136" i="10"/>
  <c r="C137" i="10"/>
  <c r="U137" i="10"/>
  <c r="B138" i="10"/>
  <c r="W138" i="10"/>
  <c r="D139" i="10"/>
  <c r="Z139" i="10"/>
  <c r="C140" i="10"/>
  <c r="Z140" i="10"/>
  <c r="N141" i="10"/>
  <c r="B147" i="10"/>
  <c r="AU15" i="10"/>
  <c r="AN135" i="10" s="1"/>
  <c r="AV18" i="10"/>
  <c r="BG135" i="10" s="1"/>
  <c r="AY21" i="10"/>
  <c r="AX156" i="10" s="1"/>
  <c r="AV21" i="10"/>
  <c r="AU156" i="10" s="1"/>
  <c r="H138" i="10"/>
  <c r="AC138" i="10"/>
  <c r="J139" i="10"/>
  <c r="L169" i="10" s="1"/>
  <c r="AE139" i="10"/>
  <c r="K140" i="10"/>
  <c r="AD140" i="10"/>
  <c r="V141" i="10"/>
  <c r="U153" i="10"/>
  <c r="C170" i="10" s="1"/>
  <c r="K153" i="10"/>
  <c r="N150" i="10"/>
  <c r="B149" i="10"/>
  <c r="H146" i="10"/>
  <c r="K152" i="10"/>
  <c r="Q149" i="10"/>
  <c r="B148" i="10"/>
  <c r="N153" i="10"/>
  <c r="B151" i="10"/>
  <c r="K149" i="10"/>
  <c r="H147" i="10"/>
  <c r="Q152" i="10"/>
  <c r="E147" i="10"/>
  <c r="K150" i="10"/>
  <c r="AY17" i="10"/>
  <c r="BD135" i="10" s="1"/>
  <c r="AV17" i="10"/>
  <c r="BA135" i="10" s="1"/>
  <c r="I138" i="10"/>
  <c r="AD138" i="10"/>
  <c r="L139" i="10"/>
  <c r="L140" i="10"/>
  <c r="AE140" i="10"/>
  <c r="Q150" i="10"/>
  <c r="T153" i="10"/>
  <c r="U151" i="10"/>
  <c r="C168" i="10" s="1"/>
  <c r="Y141" i="10"/>
  <c r="M141" i="10"/>
  <c r="U140" i="10"/>
  <c r="I140" i="10"/>
  <c r="W139" i="10"/>
  <c r="K139" i="10"/>
  <c r="Y138" i="10"/>
  <c r="M138" i="10"/>
  <c r="Z137" i="10"/>
  <c r="N137" i="10"/>
  <c r="B137" i="10"/>
  <c r="V136" i="10"/>
  <c r="J136" i="10"/>
  <c r="AE135" i="10"/>
  <c r="S135" i="10"/>
  <c r="G135" i="10"/>
  <c r="AA134" i="10"/>
  <c r="O134" i="10"/>
  <c r="C134" i="10"/>
  <c r="X133" i="10"/>
  <c r="L133" i="10"/>
  <c r="L142" i="10" s="1"/>
  <c r="T127" i="10"/>
  <c r="H127" i="10"/>
  <c r="J171" i="10" s="1"/>
  <c r="AC126" i="10"/>
  <c r="AE170" i="10" s="1"/>
  <c r="Q126" i="10"/>
  <c r="S170" i="10" s="1"/>
  <c r="E126" i="10"/>
  <c r="Z125" i="10"/>
  <c r="N125" i="10"/>
  <c r="B125" i="10"/>
  <c r="W124" i="10"/>
  <c r="Y168" i="10" s="1"/>
  <c r="K124" i="10"/>
  <c r="T123" i="10"/>
  <c r="V167" i="10" s="1"/>
  <c r="T154" i="10"/>
  <c r="U149" i="10"/>
  <c r="C166" i="10" s="1"/>
  <c r="W141" i="10"/>
  <c r="T149" i="10"/>
  <c r="T146" i="10"/>
  <c r="U141" i="10"/>
  <c r="H141" i="10"/>
  <c r="AA140" i="10"/>
  <c r="N140" i="10"/>
  <c r="AA139" i="10"/>
  <c r="N139" i="10"/>
  <c r="AA138" i="10"/>
  <c r="N138" i="10"/>
  <c r="P168" i="10" s="1"/>
  <c r="Y137" i="10"/>
  <c r="L137" i="10"/>
  <c r="AE136" i="10"/>
  <c r="R136" i="10"/>
  <c r="E136" i="10"/>
  <c r="W135" i="10"/>
  <c r="J135" i="10"/>
  <c r="AC134" i="10"/>
  <c r="P134" i="10"/>
  <c r="B134" i="10"/>
  <c r="T133" i="10"/>
  <c r="G133" i="10"/>
  <c r="X127" i="10"/>
  <c r="K127" i="10"/>
  <c r="M171" i="10" s="1"/>
  <c r="AE126" i="10"/>
  <c r="AG170" i="10" s="1"/>
  <c r="R126" i="10"/>
  <c r="T170" i="10" s="1"/>
  <c r="D126" i="10"/>
  <c r="X125" i="10"/>
  <c r="K125" i="10"/>
  <c r="AE124" i="10"/>
  <c r="R124" i="10"/>
  <c r="T168" i="10" s="1"/>
  <c r="E124" i="10"/>
  <c r="Y123" i="10"/>
  <c r="AA167" i="10" s="1"/>
  <c r="L123" i="10"/>
  <c r="N167" i="10" s="1"/>
  <c r="U122" i="10"/>
  <c r="I122" i="10"/>
  <c r="K166" i="10" s="1"/>
  <c r="AD121" i="10"/>
  <c r="AF165" i="10" s="1"/>
  <c r="R121" i="10"/>
  <c r="T165" i="10" s="1"/>
  <c r="F121" i="10"/>
  <c r="AA120" i="10"/>
  <c r="O120" i="10"/>
  <c r="C120" i="10"/>
  <c r="E164" i="10" s="1"/>
  <c r="W119" i="10"/>
  <c r="K119" i="10"/>
  <c r="U152" i="10"/>
  <c r="C169" i="10" s="1"/>
  <c r="T147" i="10"/>
  <c r="T141" i="10"/>
  <c r="F141" i="10"/>
  <c r="X140" i="10"/>
  <c r="J140" i="10"/>
  <c r="U139" i="10"/>
  <c r="G139" i="10"/>
  <c r="S138" i="10"/>
  <c r="E138" i="10"/>
  <c r="AD137" i="10"/>
  <c r="P137" i="10"/>
  <c r="S136" i="10"/>
  <c r="D136" i="10"/>
  <c r="R135" i="10"/>
  <c r="D135" i="10"/>
  <c r="V134" i="10"/>
  <c r="H134" i="10"/>
  <c r="V133" i="10"/>
  <c r="H133" i="10"/>
  <c r="S127" i="10"/>
  <c r="E127" i="10"/>
  <c r="G171" i="10" s="1"/>
  <c r="X126" i="10"/>
  <c r="J126" i="10"/>
  <c r="AC125" i="10"/>
  <c r="AE169" i="10" s="1"/>
  <c r="O125" i="10"/>
  <c r="Q169" i="10" s="1"/>
  <c r="S124" i="10"/>
  <c r="U168" i="10" s="1"/>
  <c r="D124" i="10"/>
  <c r="F168" i="10" s="1"/>
  <c r="W123" i="10"/>
  <c r="Y167" i="10" s="1"/>
  <c r="I123" i="10"/>
  <c r="K167" i="10" s="1"/>
  <c r="AC122" i="10"/>
  <c r="P122" i="10"/>
  <c r="C122" i="10"/>
  <c r="W121" i="10"/>
  <c r="Y165" i="10" s="1"/>
  <c r="J121" i="10"/>
  <c r="L165" i="10" s="1"/>
  <c r="AD120" i="10"/>
  <c r="Q120" i="10"/>
  <c r="D120" i="10"/>
  <c r="F164" i="10" s="1"/>
  <c r="V119" i="10"/>
  <c r="I119" i="10"/>
  <c r="T152" i="10"/>
  <c r="S141" i="10"/>
  <c r="E141" i="10"/>
  <c r="W140" i="10"/>
  <c r="H140" i="10"/>
  <c r="T139" i="10"/>
  <c r="F139" i="10"/>
  <c r="R138" i="10"/>
  <c r="D138" i="10"/>
  <c r="AC137" i="10"/>
  <c r="O137" i="10"/>
  <c r="Q136" i="10"/>
  <c r="C136" i="10"/>
  <c r="Q135" i="10"/>
  <c r="C135" i="10"/>
  <c r="U134" i="10"/>
  <c r="G134" i="10"/>
  <c r="U133" i="10"/>
  <c r="F133" i="10"/>
  <c r="R127" i="10"/>
  <c r="D127" i="10"/>
  <c r="F171" i="10" s="1"/>
  <c r="W126" i="10"/>
  <c r="Y170" i="10" s="1"/>
  <c r="I126" i="10"/>
  <c r="K170" i="10" s="1"/>
  <c r="AB125" i="10"/>
  <c r="AD169" i="10" s="1"/>
  <c r="M125" i="10"/>
  <c r="O169" i="10" s="1"/>
  <c r="Q124" i="10"/>
  <c r="S168" i="10" s="1"/>
  <c r="C124" i="10"/>
  <c r="V123" i="10"/>
  <c r="H123" i="10"/>
  <c r="AB122" i="10"/>
  <c r="AD166" i="10" s="1"/>
  <c r="O122" i="10"/>
  <c r="Q166" i="10" s="1"/>
  <c r="B122" i="10"/>
  <c r="V121" i="10"/>
  <c r="X165" i="10" s="1"/>
  <c r="I121" i="10"/>
  <c r="AC120" i="10"/>
  <c r="AE164" i="10" s="1"/>
  <c r="P120" i="10"/>
  <c r="R164" i="10" s="1"/>
  <c r="B120" i="10"/>
  <c r="U119" i="10"/>
  <c r="H119" i="10"/>
  <c r="U150" i="10"/>
  <c r="C167" i="10" s="1"/>
  <c r="R141" i="10"/>
  <c r="D141" i="10"/>
  <c r="V140" i="10"/>
  <c r="G140" i="10"/>
  <c r="S139" i="10"/>
  <c r="E139" i="10"/>
  <c r="AE138" i="10"/>
  <c r="Q138" i="10"/>
  <c r="C138" i="10"/>
  <c r="AB137" i="10"/>
  <c r="M137" i="10"/>
  <c r="AD136" i="10"/>
  <c r="P136" i="10"/>
  <c r="B136" i="10"/>
  <c r="AD135" i="10"/>
  <c r="P135" i="10"/>
  <c r="B135" i="10"/>
  <c r="T134" i="10"/>
  <c r="F134" i="10"/>
  <c r="S133" i="10"/>
  <c r="E133" i="10"/>
  <c r="E142" i="10" s="1"/>
  <c r="AE127" i="10"/>
  <c r="AG171" i="10" s="1"/>
  <c r="Q127" i="10"/>
  <c r="C127" i="10"/>
  <c r="E171" i="10" s="1"/>
  <c r="V126" i="10"/>
  <c r="H126" i="10"/>
  <c r="AA125" i="10"/>
  <c r="AC169" i="10" s="1"/>
  <c r="L125" i="10"/>
  <c r="N169" i="10" s="1"/>
  <c r="AD124" i="10"/>
  <c r="AF168" i="10" s="1"/>
  <c r="P124" i="10"/>
  <c r="B124" i="10"/>
  <c r="U123" i="10"/>
  <c r="W167" i="10" s="1"/>
  <c r="G123" i="10"/>
  <c r="I167" i="10" s="1"/>
  <c r="AA122" i="10"/>
  <c r="AC166" i="10" s="1"/>
  <c r="N122" i="10"/>
  <c r="U121" i="10"/>
  <c r="W165" i="10" s="1"/>
  <c r="H121" i="10"/>
  <c r="AB120" i="10"/>
  <c r="AD164" i="10" s="1"/>
  <c r="N120" i="10"/>
  <c r="P164" i="10" s="1"/>
  <c r="T119" i="10"/>
  <c r="G119" i="10"/>
  <c r="AD141" i="10"/>
  <c r="O141" i="10"/>
  <c r="R140" i="10"/>
  <c r="D140" i="10"/>
  <c r="AD139" i="10"/>
  <c r="P139" i="10"/>
  <c r="B139" i="10"/>
  <c r="AB138" i="10"/>
  <c r="L138" i="10"/>
  <c r="W137" i="10"/>
  <c r="I137" i="10"/>
  <c r="AA136" i="10"/>
  <c r="M136" i="10"/>
  <c r="AA135" i="10"/>
  <c r="M135" i="10"/>
  <c r="AE134" i="10"/>
  <c r="Q134" i="10"/>
  <c r="AD133" i="10"/>
  <c r="P133" i="10"/>
  <c r="B133" i="10"/>
  <c r="AB127" i="10"/>
  <c r="AD171" i="10" s="1"/>
  <c r="N127" i="10"/>
  <c r="S126" i="10"/>
  <c r="U170" i="10" s="1"/>
  <c r="C126" i="10"/>
  <c r="V125" i="10"/>
  <c r="H125" i="10"/>
  <c r="AA124" i="10"/>
  <c r="AC168" i="10" s="1"/>
  <c r="M124" i="10"/>
  <c r="O168" i="10" s="1"/>
  <c r="AE123" i="10"/>
  <c r="AG167" i="10" s="1"/>
  <c r="Q123" i="10"/>
  <c r="D123" i="10"/>
  <c r="X122" i="10"/>
  <c r="K122" i="10"/>
  <c r="M166" i="10" s="1"/>
  <c r="AE121" i="10"/>
  <c r="AG165" i="10" s="1"/>
  <c r="Q121" i="10"/>
  <c r="D121" i="10"/>
  <c r="X120" i="10"/>
  <c r="Z164" i="10" s="1"/>
  <c r="K120" i="10"/>
  <c r="M164" i="10" s="1"/>
  <c r="AD119" i="10"/>
  <c r="Q119" i="10"/>
  <c r="D119" i="10"/>
  <c r="AX18" i="10"/>
  <c r="BI135" i="10" s="1"/>
  <c r="O119" i="10"/>
  <c r="E120" i="10"/>
  <c r="G164" i="10" s="1"/>
  <c r="V120" i="10"/>
  <c r="K121" i="10"/>
  <c r="M165" i="10" s="1"/>
  <c r="AB121" i="10"/>
  <c r="AD165" i="10" s="1"/>
  <c r="M122" i="10"/>
  <c r="S123" i="10"/>
  <c r="I124" i="10"/>
  <c r="K168" i="10" s="1"/>
  <c r="AC124" i="10"/>
  <c r="AE168" i="10" s="1"/>
  <c r="S125" i="10"/>
  <c r="U169" i="10" s="1"/>
  <c r="G126" i="10"/>
  <c r="I170" i="10" s="1"/>
  <c r="AB126" i="10"/>
  <c r="AD170" i="10" s="1"/>
  <c r="P127" i="10"/>
  <c r="R171" i="10" s="1"/>
  <c r="O133" i="10"/>
  <c r="X134" i="10"/>
  <c r="L135" i="10"/>
  <c r="U136" i="10"/>
  <c r="H137" i="10"/>
  <c r="J138" i="10"/>
  <c r="M139" i="10"/>
  <c r="M140" i="10"/>
  <c r="B141" i="10"/>
  <c r="Z141" i="10"/>
  <c r="AO151" i="10"/>
  <c r="T148" i="10"/>
  <c r="T150" i="10"/>
  <c r="AV22" i="10"/>
  <c r="BA156" i="10" s="1"/>
  <c r="BD16" i="8"/>
  <c r="AX133" i="8" s="1"/>
  <c r="AW16" i="8"/>
  <c r="AV135" i="8" s="1"/>
  <c r="AU16" i="8"/>
  <c r="AT135" i="8" s="1"/>
  <c r="AX16" i="8"/>
  <c r="AW135" i="8" s="1"/>
  <c r="AY19" i="8"/>
  <c r="AL156" i="8" s="1"/>
  <c r="AX19" i="8"/>
  <c r="AK156" i="8" s="1"/>
  <c r="AU19" i="8"/>
  <c r="AH156" i="8" s="1"/>
  <c r="BD19" i="8"/>
  <c r="AL154" i="8" s="1"/>
  <c r="AW19" i="8"/>
  <c r="AJ156" i="8" s="1"/>
  <c r="AV19" i="8"/>
  <c r="AI156" i="8" s="1"/>
  <c r="O164" i="8"/>
  <c r="U170" i="8"/>
  <c r="W163" i="8"/>
  <c r="I127" i="8"/>
  <c r="B136" i="8"/>
  <c r="B140" i="8"/>
  <c r="E123" i="8"/>
  <c r="G167" i="8" s="1"/>
  <c r="L134" i="8"/>
  <c r="S133" i="8"/>
  <c r="L141" i="8"/>
  <c r="AY14" i="8"/>
  <c r="AL135" i="8" s="1"/>
  <c r="AY21" i="8"/>
  <c r="AX156" i="8" s="1"/>
  <c r="AY23" i="8"/>
  <c r="BJ156" i="8" s="1"/>
  <c r="G119" i="8"/>
  <c r="Z119" i="8"/>
  <c r="Q120" i="8"/>
  <c r="H121" i="8"/>
  <c r="J165" i="8" s="1"/>
  <c r="Q122" i="8"/>
  <c r="S166" i="8" s="1"/>
  <c r="G123" i="8"/>
  <c r="I167" i="8" s="1"/>
  <c r="S124" i="8"/>
  <c r="K125" i="8"/>
  <c r="X126" i="8"/>
  <c r="Q127" i="8"/>
  <c r="S171" i="8" s="1"/>
  <c r="T133" i="8"/>
  <c r="P134" i="8"/>
  <c r="K135" i="8"/>
  <c r="M136" i="8"/>
  <c r="L138" i="8"/>
  <c r="Z139" i="8"/>
  <c r="P140" i="8"/>
  <c r="P141" i="8"/>
  <c r="AZ14" i="8"/>
  <c r="AH133" i="8" s="1"/>
  <c r="BB16" i="8"/>
  <c r="AV133" i="8" s="1"/>
  <c r="BC18" i="8"/>
  <c r="BI133" i="8" s="1"/>
  <c r="AZ21" i="8"/>
  <c r="AT154" i="8" s="1"/>
  <c r="AZ23" i="8"/>
  <c r="BF154" i="8" s="1"/>
  <c r="H119" i="8"/>
  <c r="R120" i="8"/>
  <c r="I121" i="8"/>
  <c r="K165" i="8" s="1"/>
  <c r="S122" i="8"/>
  <c r="H123" i="8"/>
  <c r="U124" i="8"/>
  <c r="L125" i="8"/>
  <c r="D126" i="8"/>
  <c r="Y126" i="8"/>
  <c r="R127" i="8"/>
  <c r="U133" i="8"/>
  <c r="W134" i="8"/>
  <c r="L135" i="8"/>
  <c r="N136" i="8"/>
  <c r="F137" i="8"/>
  <c r="O138" i="8"/>
  <c r="Q168" i="8" s="1"/>
  <c r="AA139" i="8"/>
  <c r="AC169" i="8" s="1"/>
  <c r="Q140" i="8"/>
  <c r="R141" i="8"/>
  <c r="U148" i="8"/>
  <c r="C165" i="8" s="1"/>
  <c r="BA14" i="8"/>
  <c r="AI133" i="8" s="1"/>
  <c r="BC16" i="8"/>
  <c r="AW133" i="8" s="1"/>
  <c r="BA21" i="8"/>
  <c r="AU154" i="8" s="1"/>
  <c r="I119" i="8"/>
  <c r="U120" i="8"/>
  <c r="BA130" i="8"/>
  <c r="K121" i="8"/>
  <c r="M165" i="8" s="1"/>
  <c r="X122" i="8"/>
  <c r="I123" i="8"/>
  <c r="B124" i="8"/>
  <c r="AB124" i="8"/>
  <c r="AD168" i="8" s="1"/>
  <c r="M125" i="8"/>
  <c r="F126" i="8"/>
  <c r="AA126" i="8"/>
  <c r="S127" i="8"/>
  <c r="C133" i="8"/>
  <c r="V133" i="8"/>
  <c r="X134" i="8"/>
  <c r="P135" i="8"/>
  <c r="O136" i="8"/>
  <c r="K137" i="8"/>
  <c r="W138" i="8"/>
  <c r="B139" i="8"/>
  <c r="AC139" i="8"/>
  <c r="R140" i="8"/>
  <c r="AC141" i="8"/>
  <c r="X121" i="8"/>
  <c r="Z165" i="8" s="1"/>
  <c r="W123" i="8"/>
  <c r="Y167" i="8" s="1"/>
  <c r="T126" i="8"/>
  <c r="Q133" i="8"/>
  <c r="AD136" i="8"/>
  <c r="U126" i="8"/>
  <c r="N120" i="8"/>
  <c r="N122" i="8"/>
  <c r="P124" i="8"/>
  <c r="R168" i="8" s="1"/>
  <c r="D125" i="8"/>
  <c r="H135" i="8"/>
  <c r="Q149" i="8"/>
  <c r="Q153" i="8"/>
  <c r="N149" i="8"/>
  <c r="B148" i="8"/>
  <c r="N153" i="8"/>
  <c r="Q150" i="8"/>
  <c r="K149" i="8"/>
  <c r="K153" i="8"/>
  <c r="N150" i="8"/>
  <c r="B149" i="8"/>
  <c r="H146" i="8"/>
  <c r="E146" i="8"/>
  <c r="B146" i="8"/>
  <c r="N152" i="8"/>
  <c r="K152" i="8"/>
  <c r="Q151" i="8"/>
  <c r="H147" i="8"/>
  <c r="K151" i="8"/>
  <c r="B147" i="8"/>
  <c r="AW14" i="8"/>
  <c r="AJ135" i="8" s="1"/>
  <c r="O120" i="8"/>
  <c r="Q164" i="8" s="1"/>
  <c r="Y121" i="8"/>
  <c r="X123" i="8"/>
  <c r="I125" i="8"/>
  <c r="AD125" i="8"/>
  <c r="I135" i="8"/>
  <c r="C136" i="8"/>
  <c r="AE136" i="8"/>
  <c r="J138" i="8"/>
  <c r="C140" i="8"/>
  <c r="K141" i="8"/>
  <c r="B150" i="8"/>
  <c r="AX14" i="8"/>
  <c r="AK135" i="8" s="1"/>
  <c r="AY22" i="8"/>
  <c r="BD156" i="8" s="1"/>
  <c r="AX22" i="8"/>
  <c r="BC156" i="8" s="1"/>
  <c r="AW22" i="8"/>
  <c r="BB156" i="8" s="1"/>
  <c r="F119" i="8"/>
  <c r="P120" i="8"/>
  <c r="R164" i="8" s="1"/>
  <c r="AA121" i="8"/>
  <c r="AC165" i="8" s="1"/>
  <c r="F123" i="8"/>
  <c r="Z123" i="8"/>
  <c r="AB167" i="8" s="1"/>
  <c r="W126" i="8"/>
  <c r="Y170" i="8" s="1"/>
  <c r="P127" i="8"/>
  <c r="M134" i="8"/>
  <c r="AC137" i="8"/>
  <c r="Y139" i="8"/>
  <c r="BC14" i="8"/>
  <c r="AK133" i="8" s="1"/>
  <c r="BD20" i="8"/>
  <c r="AR154" i="8" s="1"/>
  <c r="AY20" i="8"/>
  <c r="AR156" i="8" s="1"/>
  <c r="BB21" i="8"/>
  <c r="AV154" i="8" s="1"/>
  <c r="B120" i="8"/>
  <c r="Z120" i="8"/>
  <c r="L121" i="8"/>
  <c r="N165" i="8" s="1"/>
  <c r="B122" i="8"/>
  <c r="Z122" i="8"/>
  <c r="J123" i="8"/>
  <c r="C124" i="8"/>
  <c r="AC124" i="8"/>
  <c r="AE168" i="8" s="1"/>
  <c r="O125" i="8"/>
  <c r="G126" i="8"/>
  <c r="U127" i="8"/>
  <c r="D133" i="8"/>
  <c r="AA133" i="8"/>
  <c r="Y134" i="8"/>
  <c r="V135" i="8"/>
  <c r="P136" i="8"/>
  <c r="L137" i="8"/>
  <c r="X138" i="8"/>
  <c r="C139" i="8"/>
  <c r="S140" i="8"/>
  <c r="AD141" i="8"/>
  <c r="B151" i="8"/>
  <c r="AU15" i="8"/>
  <c r="AN135" i="8" s="1"/>
  <c r="AV17" i="8"/>
  <c r="BA135" i="8" s="1"/>
  <c r="BD21" i="8"/>
  <c r="AX154" i="8" s="1"/>
  <c r="AU22" i="8"/>
  <c r="AZ156" i="8" s="1"/>
  <c r="K119" i="8"/>
  <c r="C120" i="8"/>
  <c r="E164" i="8" s="1"/>
  <c r="AA120" i="8"/>
  <c r="N121" i="8"/>
  <c r="C122" i="8"/>
  <c r="AA122" i="8"/>
  <c r="AC166" i="8" s="1"/>
  <c r="L123" i="8"/>
  <c r="D124" i="8"/>
  <c r="AD124" i="8"/>
  <c r="R125" i="8"/>
  <c r="H126" i="8"/>
  <c r="J170" i="8" s="1"/>
  <c r="W127" i="8"/>
  <c r="E133" i="8"/>
  <c r="Z134" i="8"/>
  <c r="W135" i="8"/>
  <c r="Y165" i="8" s="1"/>
  <c r="Q136" i="8"/>
  <c r="M137" i="8"/>
  <c r="Z138" i="8"/>
  <c r="D139" i="8"/>
  <c r="T140" i="8"/>
  <c r="AE141" i="8"/>
  <c r="BG151" i="8"/>
  <c r="N151" i="8"/>
  <c r="AY16" i="8"/>
  <c r="AX135" i="8" s="1"/>
  <c r="AV16" i="8"/>
  <c r="AU135" i="8" s="1"/>
  <c r="AX17" i="8"/>
  <c r="BC135" i="8" s="1"/>
  <c r="AU20" i="8"/>
  <c r="AN156" i="8" s="1"/>
  <c r="AV22" i="8"/>
  <c r="BA156" i="8" s="1"/>
  <c r="M119" i="8"/>
  <c r="D120" i="8"/>
  <c r="F164" i="8" s="1"/>
  <c r="AB120" i="8"/>
  <c r="S121" i="8"/>
  <c r="D122" i="8"/>
  <c r="AB122" i="8"/>
  <c r="R123" i="8"/>
  <c r="T167" i="8" s="1"/>
  <c r="E124" i="8"/>
  <c r="AE124" i="8"/>
  <c r="AG168" i="8" s="1"/>
  <c r="W125" i="8"/>
  <c r="Y169" i="8" s="1"/>
  <c r="J126" i="8"/>
  <c r="C127" i="8"/>
  <c r="E171" i="8" s="1"/>
  <c r="AC127" i="8"/>
  <c r="AE171" i="8" s="1"/>
  <c r="F133" i="8"/>
  <c r="AB134" i="8"/>
  <c r="X135" i="8"/>
  <c r="R136" i="8"/>
  <c r="O137" i="8"/>
  <c r="AA138" i="8"/>
  <c r="H139" i="8"/>
  <c r="AA140" i="8"/>
  <c r="Q152" i="8"/>
  <c r="V119" i="8"/>
  <c r="AB125" i="8"/>
  <c r="AA137" i="8"/>
  <c r="U139" i="8"/>
  <c r="W119" i="8"/>
  <c r="O122" i="8"/>
  <c r="Q166" i="8" s="1"/>
  <c r="N127" i="8"/>
  <c r="AB137" i="8"/>
  <c r="X119" i="8"/>
  <c r="P122" i="8"/>
  <c r="J125" i="8"/>
  <c r="L169" i="8" s="1"/>
  <c r="E136" i="8"/>
  <c r="E140" i="8"/>
  <c r="BC23" i="8"/>
  <c r="BI154" i="8" s="1"/>
  <c r="AZ22" i="8"/>
  <c r="AZ154" i="8" s="1"/>
  <c r="BC19" i="8"/>
  <c r="AK154" i="8" s="1"/>
  <c r="AZ18" i="8"/>
  <c r="BF133" i="8" s="1"/>
  <c r="AZ19" i="8"/>
  <c r="AH154" i="8" s="1"/>
  <c r="BA16" i="8"/>
  <c r="AU133" i="8" s="1"/>
  <c r="BB23" i="8"/>
  <c r="BH154" i="8" s="1"/>
  <c r="BC20" i="8"/>
  <c r="AQ154" i="8" s="1"/>
  <c r="AZ16" i="8"/>
  <c r="AT133" i="8" s="1"/>
  <c r="BA23" i="8"/>
  <c r="BG154" i="8" s="1"/>
  <c r="BB20" i="8"/>
  <c r="AP154" i="8" s="1"/>
  <c r="BC17" i="8"/>
  <c r="BC133" i="8" s="1"/>
  <c r="BC21" i="8"/>
  <c r="AW154" i="8" s="1"/>
  <c r="AZ17" i="8"/>
  <c r="AZ133" i="8" s="1"/>
  <c r="BB14" i="8"/>
  <c r="AJ133" i="8" s="1"/>
  <c r="AV18" i="8"/>
  <c r="BG135" i="8" s="1"/>
  <c r="AU18" i="8"/>
  <c r="BF135" i="8" s="1"/>
  <c r="BD18" i="8"/>
  <c r="BJ133" i="8" s="1"/>
  <c r="BA19" i="8"/>
  <c r="AI154" i="8" s="1"/>
  <c r="AZ15" i="8"/>
  <c r="AN133" i="8" s="1"/>
  <c r="AY17" i="8"/>
  <c r="BD135" i="8" s="1"/>
  <c r="AV20" i="8"/>
  <c r="AO156" i="8" s="1"/>
  <c r="BA22" i="8"/>
  <c r="BA154" i="8" s="1"/>
  <c r="S119" i="8"/>
  <c r="E120" i="8"/>
  <c r="AC120" i="8"/>
  <c r="T121" i="8"/>
  <c r="V165" i="8" s="1"/>
  <c r="F122" i="8"/>
  <c r="AC122" i="8"/>
  <c r="AE166" i="8" s="1"/>
  <c r="S123" i="8"/>
  <c r="G124" i="8"/>
  <c r="I168" i="8" s="1"/>
  <c r="X125" i="8"/>
  <c r="Z169" i="8" s="1"/>
  <c r="K126" i="8"/>
  <c r="D127" i="8"/>
  <c r="F171" i="8" s="1"/>
  <c r="AD127" i="8"/>
  <c r="AF171" i="8" s="1"/>
  <c r="G133" i="8"/>
  <c r="F134" i="8"/>
  <c r="AC134" i="8"/>
  <c r="Y135" i="8"/>
  <c r="T136" i="8"/>
  <c r="P137" i="8"/>
  <c r="AB138" i="8"/>
  <c r="I139" i="8"/>
  <c r="AC140" i="8"/>
  <c r="T152" i="8"/>
  <c r="K134" i="8"/>
  <c r="I138" i="8"/>
  <c r="F121" i="8"/>
  <c r="H165" i="8" s="1"/>
  <c r="Q124" i="8"/>
  <c r="R133" i="8"/>
  <c r="T153" i="8"/>
  <c r="U150" i="8"/>
  <c r="C167" i="8" s="1"/>
  <c r="T150" i="8"/>
  <c r="U146" i="8"/>
  <c r="AA141" i="8"/>
  <c r="O141" i="8"/>
  <c r="C141" i="8"/>
  <c r="W140" i="8"/>
  <c r="K140" i="8"/>
  <c r="T146" i="8"/>
  <c r="Z141" i="8"/>
  <c r="N141" i="8"/>
  <c r="B141" i="8"/>
  <c r="V140" i="8"/>
  <c r="J140" i="8"/>
  <c r="X139" i="8"/>
  <c r="U151" i="8"/>
  <c r="C168" i="8" s="1"/>
  <c r="Y141" i="8"/>
  <c r="M141" i="8"/>
  <c r="U140" i="8"/>
  <c r="I140" i="8"/>
  <c r="W139" i="8"/>
  <c r="K139" i="8"/>
  <c r="Y138" i="8"/>
  <c r="M138" i="8"/>
  <c r="Z137" i="8"/>
  <c r="N137" i="8"/>
  <c r="B137" i="8"/>
  <c r="V136" i="8"/>
  <c r="J136" i="8"/>
  <c r="AE135" i="8"/>
  <c r="S135" i="8"/>
  <c r="G135" i="8"/>
  <c r="AA134" i="8"/>
  <c r="O134" i="8"/>
  <c r="C134" i="8"/>
  <c r="X133" i="8"/>
  <c r="L133" i="8"/>
  <c r="T127" i="8"/>
  <c r="H127" i="8"/>
  <c r="J171" i="8" s="1"/>
  <c r="AC126" i="8"/>
  <c r="Q126" i="8"/>
  <c r="S170" i="8" s="1"/>
  <c r="E126" i="8"/>
  <c r="G170" i="8" s="1"/>
  <c r="Z125" i="8"/>
  <c r="AB169" i="8" s="1"/>
  <c r="N125" i="8"/>
  <c r="P169" i="8" s="1"/>
  <c r="B125" i="8"/>
  <c r="W124" i="8"/>
  <c r="Y168" i="8" s="1"/>
  <c r="K124" i="8"/>
  <c r="T123" i="8"/>
  <c r="V167" i="8" s="1"/>
  <c r="U154" i="8"/>
  <c r="C171" i="8" s="1"/>
  <c r="T148" i="8"/>
  <c r="X141" i="8"/>
  <c r="I141" i="8"/>
  <c r="Z140" i="8"/>
  <c r="H140" i="8"/>
  <c r="T139" i="8"/>
  <c r="G139" i="8"/>
  <c r="T138" i="8"/>
  <c r="G138" i="8"/>
  <c r="T154" i="8"/>
  <c r="W141" i="8"/>
  <c r="H141" i="8"/>
  <c r="Y140" i="8"/>
  <c r="G140" i="8"/>
  <c r="S139" i="8"/>
  <c r="F139" i="8"/>
  <c r="S138" i="8"/>
  <c r="F138" i="8"/>
  <c r="AE137" i="8"/>
  <c r="R137" i="8"/>
  <c r="E137" i="8"/>
  <c r="X136" i="8"/>
  <c r="K136" i="8"/>
  <c r="AB135" i="8"/>
  <c r="O135" i="8"/>
  <c r="B135" i="8"/>
  <c r="U134" i="8"/>
  <c r="H134" i="8"/>
  <c r="Z133" i="8"/>
  <c r="T151" i="8"/>
  <c r="V141" i="8"/>
  <c r="G141" i="8"/>
  <c r="X140" i="8"/>
  <c r="F140" i="8"/>
  <c r="R139" i="8"/>
  <c r="E139" i="8"/>
  <c r="AE138" i="8"/>
  <c r="R138" i="8"/>
  <c r="E138" i="8"/>
  <c r="AD137" i="8"/>
  <c r="Q137" i="8"/>
  <c r="D137" i="8"/>
  <c r="W136" i="8"/>
  <c r="I136" i="8"/>
  <c r="AA135" i="8"/>
  <c r="N135" i="8"/>
  <c r="T134" i="8"/>
  <c r="G134" i="8"/>
  <c r="Y133" i="8"/>
  <c r="K133" i="8"/>
  <c r="AB127" i="8"/>
  <c r="AD171" i="8" s="1"/>
  <c r="O127" i="8"/>
  <c r="Q171" i="8" s="1"/>
  <c r="B127" i="8"/>
  <c r="V126" i="8"/>
  <c r="X170" i="8" s="1"/>
  <c r="I126" i="8"/>
  <c r="K170" i="8" s="1"/>
  <c r="AC125" i="8"/>
  <c r="AE169" i="8" s="1"/>
  <c r="P125" i="8"/>
  <c r="R169" i="8" s="1"/>
  <c r="C125" i="8"/>
  <c r="E169" i="8" s="1"/>
  <c r="V124" i="8"/>
  <c r="I124" i="8"/>
  <c r="AC123" i="8"/>
  <c r="P123" i="8"/>
  <c r="R167" i="8" s="1"/>
  <c r="D123" i="8"/>
  <c r="Y122" i="8"/>
  <c r="AA166" i="8" s="1"/>
  <c r="M122" i="8"/>
  <c r="V121" i="8"/>
  <c r="X165" i="8" s="1"/>
  <c r="J121" i="8"/>
  <c r="L165" i="8" s="1"/>
  <c r="AE120" i="8"/>
  <c r="S120" i="8"/>
  <c r="G120" i="8"/>
  <c r="I164" i="8" s="1"/>
  <c r="AA119" i="8"/>
  <c r="O119" i="8"/>
  <c r="C119" i="8"/>
  <c r="AB141" i="8"/>
  <c r="D141" i="8"/>
  <c r="O140" i="8"/>
  <c r="P139" i="8"/>
  <c r="V138" i="8"/>
  <c r="C138" i="8"/>
  <c r="Y137" i="8"/>
  <c r="J137" i="8"/>
  <c r="AA136" i="8"/>
  <c r="L136" i="8"/>
  <c r="N166" i="8" s="1"/>
  <c r="U135" i="8"/>
  <c r="E135" i="8"/>
  <c r="V134" i="8"/>
  <c r="E134" i="8"/>
  <c r="AE133" i="8"/>
  <c r="P133" i="8"/>
  <c r="B133" i="8"/>
  <c r="AA127" i="8"/>
  <c r="AC171" i="8" s="1"/>
  <c r="M127" i="8"/>
  <c r="O171" i="8" s="1"/>
  <c r="R126" i="8"/>
  <c r="T170" i="8" s="1"/>
  <c r="C126" i="8"/>
  <c r="V125" i="8"/>
  <c r="X169" i="8" s="1"/>
  <c r="H125" i="8"/>
  <c r="J169" i="8" s="1"/>
  <c r="AA124" i="8"/>
  <c r="M124" i="8"/>
  <c r="AE123" i="8"/>
  <c r="Q123" i="8"/>
  <c r="S167" i="8" s="1"/>
  <c r="C123" i="8"/>
  <c r="W122" i="8"/>
  <c r="J122" i="8"/>
  <c r="L166" i="8" s="1"/>
  <c r="AE121" i="8"/>
  <c r="AG165" i="8" s="1"/>
  <c r="R121" i="8"/>
  <c r="T165" i="8" s="1"/>
  <c r="E121" i="8"/>
  <c r="G165" i="8" s="1"/>
  <c r="Y120" i="8"/>
  <c r="AA164" i="8" s="1"/>
  <c r="L120" i="8"/>
  <c r="N164" i="8" s="1"/>
  <c r="AE119" i="8"/>
  <c r="R119" i="8"/>
  <c r="E119" i="8"/>
  <c r="U147" i="8"/>
  <c r="C164" i="8" s="1"/>
  <c r="U141" i="8"/>
  <c r="N140" i="8"/>
  <c r="O139" i="8"/>
  <c r="U138" i="8"/>
  <c r="B138" i="8"/>
  <c r="X137" i="8"/>
  <c r="I137" i="8"/>
  <c r="Z136" i="8"/>
  <c r="H136" i="8"/>
  <c r="T135" i="8"/>
  <c r="D135" i="8"/>
  <c r="S134" i="8"/>
  <c r="D134" i="8"/>
  <c r="AD133" i="8"/>
  <c r="O133" i="8"/>
  <c r="O142" i="8" s="1"/>
  <c r="Z127" i="8"/>
  <c r="AB171" i="8" s="1"/>
  <c r="L127" i="8"/>
  <c r="N171" i="8" s="1"/>
  <c r="AE126" i="8"/>
  <c r="AG170" i="8" s="1"/>
  <c r="P126" i="8"/>
  <c r="R170" i="8" s="1"/>
  <c r="B126" i="8"/>
  <c r="U125" i="8"/>
  <c r="G125" i="8"/>
  <c r="Z124" i="8"/>
  <c r="L124" i="8"/>
  <c r="N168" i="8" s="1"/>
  <c r="AD123" i="8"/>
  <c r="O123" i="8"/>
  <c r="Q167" i="8" s="1"/>
  <c r="B123" i="8"/>
  <c r="V122" i="8"/>
  <c r="X166" i="8" s="1"/>
  <c r="I122" i="8"/>
  <c r="K166" i="8" s="1"/>
  <c r="AD121" i="8"/>
  <c r="Q121" i="8"/>
  <c r="D121" i="8"/>
  <c r="X120" i="8"/>
  <c r="K120" i="8"/>
  <c r="AD119" i="8"/>
  <c r="Q119" i="8"/>
  <c r="D119" i="8"/>
  <c r="T147" i="8"/>
  <c r="T141" i="8"/>
  <c r="AE140" i="8"/>
  <c r="M140" i="8"/>
  <c r="AE139" i="8"/>
  <c r="N139" i="8"/>
  <c r="Q138" i="8"/>
  <c r="W137" i="8"/>
  <c r="H137" i="8"/>
  <c r="Y136" i="8"/>
  <c r="G136" i="8"/>
  <c r="R135" i="8"/>
  <c r="C135" i="8"/>
  <c r="R134" i="8"/>
  <c r="B134" i="8"/>
  <c r="AC133" i="8"/>
  <c r="N133" i="8"/>
  <c r="Y127" i="8"/>
  <c r="K127" i="8"/>
  <c r="M171" i="8" s="1"/>
  <c r="AD126" i="8"/>
  <c r="O126" i="8"/>
  <c r="T125" i="8"/>
  <c r="F125" i="8"/>
  <c r="H169" i="8" s="1"/>
  <c r="Y124" i="8"/>
  <c r="J124" i="8"/>
  <c r="L168" i="8" s="1"/>
  <c r="AB123" i="8"/>
  <c r="AD167" i="8" s="1"/>
  <c r="N123" i="8"/>
  <c r="P167" i="8" s="1"/>
  <c r="U122" i="8"/>
  <c r="H122" i="8"/>
  <c r="J166" i="8" s="1"/>
  <c r="AC121" i="8"/>
  <c r="AE165" i="8" s="1"/>
  <c r="P121" i="8"/>
  <c r="C121" i="8"/>
  <c r="W120" i="8"/>
  <c r="J120" i="8"/>
  <c r="L164" i="8" s="1"/>
  <c r="AC119" i="8"/>
  <c r="P119" i="8"/>
  <c r="B119" i="8"/>
  <c r="U149" i="8"/>
  <c r="C166" i="8" s="1"/>
  <c r="S141" i="8"/>
  <c r="AD140" i="8"/>
  <c r="L140" i="8"/>
  <c r="AD139" i="8"/>
  <c r="M139" i="8"/>
  <c r="P138" i="8"/>
  <c r="V137" i="8"/>
  <c r="X167" i="8" s="1"/>
  <c r="G137" i="8"/>
  <c r="U136" i="8"/>
  <c r="F136" i="8"/>
  <c r="Q135" i="8"/>
  <c r="Q134" i="8"/>
  <c r="AB133" i="8"/>
  <c r="M133" i="8"/>
  <c r="X127" i="8"/>
  <c r="Z171" i="8" s="1"/>
  <c r="J127" i="8"/>
  <c r="L171" i="8" s="1"/>
  <c r="AB126" i="8"/>
  <c r="N126" i="8"/>
  <c r="S125" i="8"/>
  <c r="E125" i="8"/>
  <c r="G169" i="8" s="1"/>
  <c r="X124" i="8"/>
  <c r="Z168" i="8" s="1"/>
  <c r="H124" i="8"/>
  <c r="J168" i="8" s="1"/>
  <c r="AA123" i="8"/>
  <c r="AC167" i="8" s="1"/>
  <c r="M123" i="8"/>
  <c r="O167" i="8" s="1"/>
  <c r="T122" i="8"/>
  <c r="V166" i="8" s="1"/>
  <c r="G122" i="8"/>
  <c r="AB121" i="8"/>
  <c r="AD165" i="8" s="1"/>
  <c r="O121" i="8"/>
  <c r="Q165" i="8" s="1"/>
  <c r="B121" i="8"/>
  <c r="V120" i="8"/>
  <c r="X164" i="8" s="1"/>
  <c r="I120" i="8"/>
  <c r="AB119" i="8"/>
  <c r="N119" i="8"/>
  <c r="Q141" i="8"/>
  <c r="AB140" i="8"/>
  <c r="D140" i="8"/>
  <c r="AB139" i="8"/>
  <c r="J139" i="8"/>
  <c r="AD138" i="8"/>
  <c r="N138" i="8"/>
  <c r="T137" i="8"/>
  <c r="C137" i="8"/>
  <c r="S136" i="8"/>
  <c r="D136" i="8"/>
  <c r="AD135" i="8"/>
  <c r="M135" i="8"/>
  <c r="AD134" i="8"/>
  <c r="N134" i="8"/>
  <c r="W133" i="8"/>
  <c r="I133" i="8"/>
  <c r="V127" i="8"/>
  <c r="G127" i="8"/>
  <c r="I171" i="8" s="1"/>
  <c r="Z126" i="8"/>
  <c r="L126" i="8"/>
  <c r="AE125" i="8"/>
  <c r="Q125" i="8"/>
  <c r="S169" i="8" s="1"/>
  <c r="T124" i="8"/>
  <c r="V168" i="8" s="1"/>
  <c r="F124" i="8"/>
  <c r="Y123" i="8"/>
  <c r="AA167" i="8" s="1"/>
  <c r="K123" i="8"/>
  <c r="M167" i="8" s="1"/>
  <c r="AE122" i="8"/>
  <c r="AG166" i="8" s="1"/>
  <c r="R122" i="8"/>
  <c r="T166" i="8" s="1"/>
  <c r="E122" i="8"/>
  <c r="Z121" i="8"/>
  <c r="M121" i="8"/>
  <c r="O165" i="8" s="1"/>
  <c r="T120" i="8"/>
  <c r="F120" i="8"/>
  <c r="H164" i="8" s="1"/>
  <c r="Y119" i="8"/>
  <c r="L119" i="8"/>
  <c r="AX15" i="8"/>
  <c r="AQ135" i="8" s="1"/>
  <c r="AW15" i="8"/>
  <c r="AP135" i="8" s="1"/>
  <c r="AV15" i="8"/>
  <c r="AO135" i="8" s="1"/>
  <c r="G121" i="8"/>
  <c r="R124" i="8"/>
  <c r="T168" i="8" s="1"/>
  <c r="J135" i="8"/>
  <c r="J142" i="8" s="1"/>
  <c r="K138" i="8"/>
  <c r="E147" i="8"/>
  <c r="J119" i="8"/>
  <c r="BA15" i="8"/>
  <c r="AO133" i="8" s="1"/>
  <c r="BA17" i="8"/>
  <c r="BA133" i="8" s="1"/>
  <c r="AW20" i="8"/>
  <c r="AP156" i="8" s="1"/>
  <c r="BB22" i="8"/>
  <c r="BB154" i="8" s="1"/>
  <c r="BD23" i="8"/>
  <c r="BJ154" i="8" s="1"/>
  <c r="AX23" i="8"/>
  <c r="BI156" i="8" s="1"/>
  <c r="T119" i="8"/>
  <c r="H120" i="8"/>
  <c r="AD120" i="8"/>
  <c r="U121" i="8"/>
  <c r="W165" i="8" s="1"/>
  <c r="K122" i="8"/>
  <c r="AD122" i="8"/>
  <c r="U123" i="8"/>
  <c r="W167" i="8" s="1"/>
  <c r="N124" i="8"/>
  <c r="Y125" i="8"/>
  <c r="AA169" i="8" s="1"/>
  <c r="M126" i="8"/>
  <c r="E127" i="8"/>
  <c r="G171" i="8" s="1"/>
  <c r="AE127" i="8"/>
  <c r="AG171" i="8" s="1"/>
  <c r="H133" i="8"/>
  <c r="I134" i="8"/>
  <c r="AE134" i="8"/>
  <c r="Z135" i="8"/>
  <c r="AB136" i="8"/>
  <c r="S137" i="8"/>
  <c r="D138" i="8"/>
  <c r="AC138" i="8"/>
  <c r="L139" i="8"/>
  <c r="E141" i="8"/>
  <c r="T149" i="8"/>
  <c r="U152" i="8"/>
  <c r="C169" i="8" s="1"/>
  <c r="AW21" i="8"/>
  <c r="AV156" i="8" s="1"/>
  <c r="AI151" i="8"/>
  <c r="AW17" i="8"/>
  <c r="BB135" i="8" s="1"/>
  <c r="BA151" i="8"/>
  <c r="BD17" i="26"/>
  <c r="BD133" i="26" s="1"/>
  <c r="AW17" i="26"/>
  <c r="BB135" i="26" s="1"/>
  <c r="AV17" i="26"/>
  <c r="BA135" i="26" s="1"/>
  <c r="AX17" i="26"/>
  <c r="BC135" i="26" s="1"/>
  <c r="Q171" i="26"/>
  <c r="T153" i="26"/>
  <c r="T150" i="26"/>
  <c r="U146" i="26"/>
  <c r="AA141" i="26"/>
  <c r="O141" i="26"/>
  <c r="C141" i="26"/>
  <c r="W140" i="26"/>
  <c r="K140" i="26"/>
  <c r="Y139" i="26"/>
  <c r="M139" i="26"/>
  <c r="O169" i="26" s="1"/>
  <c r="AA138" i="26"/>
  <c r="O138" i="26"/>
  <c r="C138" i="26"/>
  <c r="AG138" i="26" s="1"/>
  <c r="AB137" i="26"/>
  <c r="P137" i="26"/>
  <c r="D137" i="26"/>
  <c r="X136" i="26"/>
  <c r="L136" i="26"/>
  <c r="U135" i="26"/>
  <c r="I135" i="26"/>
  <c r="AC134" i="26"/>
  <c r="Q134" i="26"/>
  <c r="E134" i="26"/>
  <c r="Z133" i="26"/>
  <c r="AB163" i="26" s="1"/>
  <c r="N133" i="26"/>
  <c r="B133" i="26"/>
  <c r="V127" i="26"/>
  <c r="X171" i="26" s="1"/>
  <c r="J127" i="26"/>
  <c r="AE126" i="26"/>
  <c r="S126" i="26"/>
  <c r="G126" i="26"/>
  <c r="AB125" i="26"/>
  <c r="AD169" i="26" s="1"/>
  <c r="P125" i="26"/>
  <c r="D125" i="26"/>
  <c r="F169" i="26" s="1"/>
  <c r="Y124" i="26"/>
  <c r="M124" i="26"/>
  <c r="O168" i="26" s="1"/>
  <c r="U141" i="26"/>
  <c r="H141" i="26"/>
  <c r="AA140" i="26"/>
  <c r="N140" i="26"/>
  <c r="AA139" i="26"/>
  <c r="N139" i="26"/>
  <c r="Z138" i="26"/>
  <c r="M138" i="26"/>
  <c r="X137" i="26"/>
  <c r="K137" i="26"/>
  <c r="AD136" i="26"/>
  <c r="Q136" i="26"/>
  <c r="D136" i="26"/>
  <c r="V135" i="26"/>
  <c r="H135" i="26"/>
  <c r="AA134" i="26"/>
  <c r="N134" i="26"/>
  <c r="S133" i="26"/>
  <c r="F133" i="26"/>
  <c r="T127" i="26"/>
  <c r="G127" i="26"/>
  <c r="AA126" i="26"/>
  <c r="N126" i="26"/>
  <c r="P170" i="26" s="1"/>
  <c r="U125" i="26"/>
  <c r="W169" i="26" s="1"/>
  <c r="H125" i="26"/>
  <c r="J169" i="26" s="1"/>
  <c r="AB124" i="26"/>
  <c r="AD168" i="26" s="1"/>
  <c r="O124" i="26"/>
  <c r="Q168" i="26" s="1"/>
  <c r="B124" i="26"/>
  <c r="W123" i="26"/>
  <c r="K123" i="26"/>
  <c r="T122" i="26"/>
  <c r="V166" i="26" s="1"/>
  <c r="H122" i="26"/>
  <c r="AC121" i="26"/>
  <c r="Q121" i="26"/>
  <c r="E121" i="26"/>
  <c r="G165" i="26" s="1"/>
  <c r="Z120" i="26"/>
  <c r="AB164" i="26" s="1"/>
  <c r="N120" i="26"/>
  <c r="P164" i="26" s="1"/>
  <c r="B120" i="26"/>
  <c r="V119" i="26"/>
  <c r="J119" i="26"/>
  <c r="T151" i="26"/>
  <c r="W141" i="26"/>
  <c r="I141" i="26"/>
  <c r="Z140" i="26"/>
  <c r="L140" i="26"/>
  <c r="W139" i="26"/>
  <c r="I139" i="26"/>
  <c r="U138" i="26"/>
  <c r="G138" i="26"/>
  <c r="AE137" i="26"/>
  <c r="Q137" i="26"/>
  <c r="B137" i="26"/>
  <c r="T136" i="26"/>
  <c r="F136" i="26"/>
  <c r="S135" i="26"/>
  <c r="E135" i="26"/>
  <c r="W134" i="26"/>
  <c r="I134" i="26"/>
  <c r="W133" i="26"/>
  <c r="I133" i="26"/>
  <c r="R127" i="26"/>
  <c r="T171" i="26" s="1"/>
  <c r="D127" i="26"/>
  <c r="W126" i="26"/>
  <c r="Y170" i="26" s="1"/>
  <c r="I126" i="26"/>
  <c r="AC125" i="26"/>
  <c r="N125" i="26"/>
  <c r="P169" i="26" s="1"/>
  <c r="S124" i="26"/>
  <c r="E124" i="26"/>
  <c r="G168" i="26" s="1"/>
  <c r="Y123" i="26"/>
  <c r="L123" i="26"/>
  <c r="AE122" i="26"/>
  <c r="R122" i="26"/>
  <c r="T166" i="26" s="1"/>
  <c r="E122" i="26"/>
  <c r="G166" i="26" s="1"/>
  <c r="Y121" i="26"/>
  <c r="AA165" i="26" s="1"/>
  <c r="L121" i="26"/>
  <c r="N165" i="26" s="1"/>
  <c r="S120" i="26"/>
  <c r="F120" i="26"/>
  <c r="Y119" i="26"/>
  <c r="L119" i="26"/>
  <c r="T154" i="26"/>
  <c r="T149" i="26"/>
  <c r="AE141" i="26"/>
  <c r="Q141" i="26"/>
  <c r="B141" i="26"/>
  <c r="T140" i="26"/>
  <c r="F140" i="26"/>
  <c r="R139" i="26"/>
  <c r="D139" i="26"/>
  <c r="AD138" i="26"/>
  <c r="P138" i="26"/>
  <c r="Y137" i="26"/>
  <c r="J137" i="26"/>
  <c r="AB136" i="26"/>
  <c r="N136" i="26"/>
  <c r="AB135" i="26"/>
  <c r="N135" i="26"/>
  <c r="R134" i="26"/>
  <c r="C134" i="26"/>
  <c r="AF134" i="26" s="1"/>
  <c r="AE133" i="26"/>
  <c r="AE142" i="26" s="1"/>
  <c r="Q133" i="26"/>
  <c r="C133" i="26"/>
  <c r="AA127" i="26"/>
  <c r="AC171" i="26" s="1"/>
  <c r="M127" i="26"/>
  <c r="Q126" i="26"/>
  <c r="S170" i="26" s="1"/>
  <c r="C126" i="26"/>
  <c r="W125" i="26"/>
  <c r="Y169" i="26" s="1"/>
  <c r="I125" i="26"/>
  <c r="K169" i="26" s="1"/>
  <c r="AA124" i="26"/>
  <c r="AC168" i="26" s="1"/>
  <c r="L124" i="26"/>
  <c r="N168" i="26" s="1"/>
  <c r="S123" i="26"/>
  <c r="U167" i="26" s="1"/>
  <c r="F123" i="26"/>
  <c r="H167" i="26" s="1"/>
  <c r="Z122" i="26"/>
  <c r="M122" i="26"/>
  <c r="T121" i="26"/>
  <c r="G121" i="26"/>
  <c r="I165" i="26" s="1"/>
  <c r="AA120" i="26"/>
  <c r="AC164" i="26" s="1"/>
  <c r="M120" i="26"/>
  <c r="S119" i="26"/>
  <c r="F119" i="26"/>
  <c r="AC141" i="26"/>
  <c r="L141" i="26"/>
  <c r="AB140" i="26"/>
  <c r="I140" i="26"/>
  <c r="Q139" i="26"/>
  <c r="X138" i="26"/>
  <c r="H138" i="26"/>
  <c r="AD137" i="26"/>
  <c r="M137" i="26"/>
  <c r="AA136" i="26"/>
  <c r="J136" i="26"/>
  <c r="P135" i="26"/>
  <c r="AE134" i="26"/>
  <c r="M134" i="26"/>
  <c r="T133" i="26"/>
  <c r="Q127" i="26"/>
  <c r="S171" i="26" s="1"/>
  <c r="P126" i="26"/>
  <c r="Q125" i="26"/>
  <c r="P124" i="26"/>
  <c r="R168" i="26" s="1"/>
  <c r="AE123" i="26"/>
  <c r="P123" i="26"/>
  <c r="Q122" i="26"/>
  <c r="B122" i="26"/>
  <c r="S121" i="26"/>
  <c r="U165" i="26" s="1"/>
  <c r="C121" i="26"/>
  <c r="E165" i="26" s="1"/>
  <c r="U120" i="26"/>
  <c r="W164" i="26" s="1"/>
  <c r="E120" i="26"/>
  <c r="G164" i="26" s="1"/>
  <c r="U119" i="26"/>
  <c r="E119" i="26"/>
  <c r="U154" i="26"/>
  <c r="C171" i="26" s="1"/>
  <c r="AB141" i="26"/>
  <c r="K141" i="26"/>
  <c r="Y140" i="26"/>
  <c r="H140" i="26"/>
  <c r="P139" i="26"/>
  <c r="W138" i="26"/>
  <c r="F138" i="26"/>
  <c r="AC137" i="26"/>
  <c r="L137" i="26"/>
  <c r="Z136" i="26"/>
  <c r="I136" i="26"/>
  <c r="AE135" i="26"/>
  <c r="O135" i="26"/>
  <c r="AD134" i="26"/>
  <c r="L134" i="26"/>
  <c r="R133" i="26"/>
  <c r="P127" i="26"/>
  <c r="O126" i="26"/>
  <c r="Q170" i="26" s="1"/>
  <c r="O125" i="26"/>
  <c r="Q169" i="26" s="1"/>
  <c r="AE124" i="26"/>
  <c r="AG168" i="26" s="1"/>
  <c r="N124" i="26"/>
  <c r="P168" i="26" s="1"/>
  <c r="AD123" i="26"/>
  <c r="AF167" i="26" s="1"/>
  <c r="O123" i="26"/>
  <c r="P122" i="26"/>
  <c r="R121" i="26"/>
  <c r="T165" i="26" s="1"/>
  <c r="B121" i="26"/>
  <c r="T120" i="26"/>
  <c r="D120" i="26"/>
  <c r="T119" i="26"/>
  <c r="D119" i="26"/>
  <c r="V141" i="26"/>
  <c r="E141" i="26"/>
  <c r="S140" i="26"/>
  <c r="C140" i="26"/>
  <c r="AB139" i="26"/>
  <c r="J139" i="26"/>
  <c r="R138" i="26"/>
  <c r="V137" i="26"/>
  <c r="F137" i="26"/>
  <c r="U136" i="26"/>
  <c r="C136" i="26"/>
  <c r="Z135" i="26"/>
  <c r="J135" i="26"/>
  <c r="X134" i="26"/>
  <c r="G134" i="26"/>
  <c r="AC133" i="26"/>
  <c r="AC142" i="26" s="1"/>
  <c r="L133" i="26"/>
  <c r="AB127" i="26"/>
  <c r="K127" i="26"/>
  <c r="Z126" i="26"/>
  <c r="J126" i="26"/>
  <c r="Z125" i="26"/>
  <c r="AB169" i="26" s="1"/>
  <c r="J125" i="26"/>
  <c r="L169" i="26" s="1"/>
  <c r="X124" i="26"/>
  <c r="Z168" i="26" s="1"/>
  <c r="H124" i="26"/>
  <c r="J168" i="26" s="1"/>
  <c r="Z123" i="26"/>
  <c r="AB167" i="26" s="1"/>
  <c r="I123" i="26"/>
  <c r="AA122" i="26"/>
  <c r="AC166" i="26" s="1"/>
  <c r="K122" i="26"/>
  <c r="AB121" i="26"/>
  <c r="M121" i="26"/>
  <c r="AD120" i="26"/>
  <c r="AF164" i="26" s="1"/>
  <c r="O120" i="26"/>
  <c r="AD119" i="26"/>
  <c r="O119" i="26"/>
  <c r="J141" i="26"/>
  <c r="R140" i="26"/>
  <c r="S139" i="26"/>
  <c r="S138" i="26"/>
  <c r="O137" i="26"/>
  <c r="W136" i="26"/>
  <c r="L135" i="26"/>
  <c r="U134" i="26"/>
  <c r="J133" i="26"/>
  <c r="AE127" i="26"/>
  <c r="I127" i="26"/>
  <c r="K171" i="26" s="1"/>
  <c r="V126" i="26"/>
  <c r="K125" i="26"/>
  <c r="M169" i="26" s="1"/>
  <c r="U124" i="26"/>
  <c r="W168" i="26" s="1"/>
  <c r="J123" i="26"/>
  <c r="L167" i="26" s="1"/>
  <c r="X122" i="26"/>
  <c r="Z166" i="26" s="1"/>
  <c r="D122" i="26"/>
  <c r="F166" i="26" s="1"/>
  <c r="P121" i="26"/>
  <c r="AC120" i="26"/>
  <c r="I120" i="26"/>
  <c r="R119" i="26"/>
  <c r="G141" i="26"/>
  <c r="Q140" i="26"/>
  <c r="O139" i="26"/>
  <c r="Q138" i="26"/>
  <c r="N137" i="26"/>
  <c r="V136" i="26"/>
  <c r="K135" i="26"/>
  <c r="T134" i="26"/>
  <c r="AD133" i="26"/>
  <c r="H133" i="26"/>
  <c r="AD127" i="26"/>
  <c r="H127" i="26"/>
  <c r="U126" i="26"/>
  <c r="W170" i="26" s="1"/>
  <c r="AE125" i="26"/>
  <c r="AG169" i="26" s="1"/>
  <c r="G125" i="26"/>
  <c r="T124" i="26"/>
  <c r="AC123" i="26"/>
  <c r="H123" i="26"/>
  <c r="J167" i="26" s="1"/>
  <c r="W122" i="26"/>
  <c r="Y166" i="26" s="1"/>
  <c r="C122" i="26"/>
  <c r="E166" i="26" s="1"/>
  <c r="O121" i="26"/>
  <c r="Q165" i="26" s="1"/>
  <c r="AB120" i="26"/>
  <c r="H120" i="26"/>
  <c r="Q119" i="26"/>
  <c r="U148" i="26"/>
  <c r="C165" i="26" s="1"/>
  <c r="T146" i="26"/>
  <c r="AD141" i="26"/>
  <c r="F141" i="26"/>
  <c r="P140" i="26"/>
  <c r="L139" i="26"/>
  <c r="N138" i="26"/>
  <c r="I137" i="26"/>
  <c r="S136" i="26"/>
  <c r="AD135" i="26"/>
  <c r="G135" i="26"/>
  <c r="S134" i="26"/>
  <c r="AB133" i="26"/>
  <c r="G133" i="26"/>
  <c r="AC127" i="26"/>
  <c r="F127" i="26"/>
  <c r="H171" i="26" s="1"/>
  <c r="T126" i="26"/>
  <c r="AD125" i="26"/>
  <c r="F125" i="26"/>
  <c r="H169" i="26" s="1"/>
  <c r="R124" i="26"/>
  <c r="T168" i="26" s="1"/>
  <c r="AB123" i="26"/>
  <c r="G123" i="26"/>
  <c r="V122" i="26"/>
  <c r="N121" i="26"/>
  <c r="Y120" i="26"/>
  <c r="G120" i="26"/>
  <c r="P119" i="26"/>
  <c r="U153" i="26"/>
  <c r="C170" i="26" s="1"/>
  <c r="U150" i="26"/>
  <c r="C167" i="26" s="1"/>
  <c r="T148" i="26"/>
  <c r="Z141" i="26"/>
  <c r="D141" i="26"/>
  <c r="O140" i="26"/>
  <c r="K139" i="26"/>
  <c r="L138" i="26"/>
  <c r="H137" i="26"/>
  <c r="R136" i="26"/>
  <c r="AC135" i="26"/>
  <c r="F135" i="26"/>
  <c r="P134" i="26"/>
  <c r="AA133" i="26"/>
  <c r="E133" i="26"/>
  <c r="E142" i="26" s="1"/>
  <c r="Z127" i="26"/>
  <c r="AB171" i="26" s="1"/>
  <c r="E127" i="26"/>
  <c r="G171" i="26" s="1"/>
  <c r="R126" i="26"/>
  <c r="AA125" i="26"/>
  <c r="AC169" i="26" s="1"/>
  <c r="E125" i="26"/>
  <c r="Q124" i="26"/>
  <c r="AA123" i="26"/>
  <c r="AC167" i="26" s="1"/>
  <c r="E123" i="26"/>
  <c r="G167" i="26" s="1"/>
  <c r="U122" i="26"/>
  <c r="W166" i="26" s="1"/>
  <c r="K121" i="26"/>
  <c r="X120" i="26"/>
  <c r="C120" i="26"/>
  <c r="N119" i="26"/>
  <c r="U152" i="26"/>
  <c r="C169" i="26" s="1"/>
  <c r="Y141" i="26"/>
  <c r="M140" i="26"/>
  <c r="AE139" i="26"/>
  <c r="H139" i="26"/>
  <c r="K138" i="26"/>
  <c r="G137" i="26"/>
  <c r="P136" i="26"/>
  <c r="AA135" i="26"/>
  <c r="D135" i="26"/>
  <c r="O134" i="26"/>
  <c r="O142" i="26" s="1"/>
  <c r="Y133" i="26"/>
  <c r="Y142" i="26" s="1"/>
  <c r="D133" i="26"/>
  <c r="D142" i="26" s="1"/>
  <c r="Y127" i="26"/>
  <c r="AA171" i="26" s="1"/>
  <c r="C127" i="26"/>
  <c r="E171" i="26" s="1"/>
  <c r="M126" i="26"/>
  <c r="O170" i="26" s="1"/>
  <c r="Y125" i="26"/>
  <c r="AA169" i="26" s="1"/>
  <c r="C125" i="26"/>
  <c r="K124" i="26"/>
  <c r="X123" i="26"/>
  <c r="Z167" i="26" s="1"/>
  <c r="D123" i="26"/>
  <c r="F167" i="26" s="1"/>
  <c r="S122" i="26"/>
  <c r="U166" i="26" s="1"/>
  <c r="AE121" i="26"/>
  <c r="AG165" i="26" s="1"/>
  <c r="J121" i="26"/>
  <c r="L165" i="26" s="1"/>
  <c r="W120" i="26"/>
  <c r="Y164" i="26" s="1"/>
  <c r="M119" i="26"/>
  <c r="AB119" i="26"/>
  <c r="U147" i="26"/>
  <c r="C164" i="26" s="1"/>
  <c r="R141" i="26"/>
  <c r="AC140" i="26"/>
  <c r="D140" i="26"/>
  <c r="X139" i="26"/>
  <c r="C139" i="26"/>
  <c r="AB138" i="26"/>
  <c r="D138" i="26"/>
  <c r="U137" i="26"/>
  <c r="H136" i="26"/>
  <c r="T135" i="26"/>
  <c r="AB134" i="26"/>
  <c r="F134" i="26"/>
  <c r="P133" i="26"/>
  <c r="S127" i="26"/>
  <c r="AC126" i="26"/>
  <c r="F126" i="26"/>
  <c r="S125" i="26"/>
  <c r="AC124" i="26"/>
  <c r="AE168" i="26" s="1"/>
  <c r="F124" i="26"/>
  <c r="H168" i="26" s="1"/>
  <c r="R123" i="26"/>
  <c r="T167" i="26" s="1"/>
  <c r="AD122" i="26"/>
  <c r="AF166" i="26" s="1"/>
  <c r="J122" i="26"/>
  <c r="X121" i="26"/>
  <c r="D121" i="26"/>
  <c r="P120" i="26"/>
  <c r="AA119" i="26"/>
  <c r="G119" i="26"/>
  <c r="T152" i="26"/>
  <c r="X141" i="26"/>
  <c r="J140" i="26"/>
  <c r="AD139" i="26"/>
  <c r="G139" i="26"/>
  <c r="J138" i="26"/>
  <c r="AA137" i="26"/>
  <c r="E137" i="26"/>
  <c r="O136" i="26"/>
  <c r="Y135" i="26"/>
  <c r="C135" i="26"/>
  <c r="K134" i="26"/>
  <c r="X133" i="26"/>
  <c r="X127" i="26"/>
  <c r="B127" i="26"/>
  <c r="L126" i="26"/>
  <c r="N170" i="26" s="1"/>
  <c r="X125" i="26"/>
  <c r="Z169" i="26" s="1"/>
  <c r="B125" i="26"/>
  <c r="J124" i="26"/>
  <c r="V123" i="26"/>
  <c r="C123" i="26"/>
  <c r="O122" i="26"/>
  <c r="Q166" i="26" s="1"/>
  <c r="AD121" i="26"/>
  <c r="AF165" i="26" s="1"/>
  <c r="I121" i="26"/>
  <c r="V120" i="26"/>
  <c r="X164" i="26" s="1"/>
  <c r="AE119" i="26"/>
  <c r="K119" i="26"/>
  <c r="T141" i="26"/>
  <c r="AE140" i="26"/>
  <c r="G140" i="26"/>
  <c r="AC139" i="26"/>
  <c r="F139" i="26"/>
  <c r="AE138" i="26"/>
  <c r="I138" i="26"/>
  <c r="Z137" i="26"/>
  <c r="C137" i="26"/>
  <c r="M136" i="26"/>
  <c r="X135" i="26"/>
  <c r="B135" i="26"/>
  <c r="J134" i="26"/>
  <c r="V133" i="26"/>
  <c r="V142" i="26" s="1"/>
  <c r="W127" i="26"/>
  <c r="Y171" i="26" s="1"/>
  <c r="K126" i="26"/>
  <c r="V125" i="26"/>
  <c r="I124" i="26"/>
  <c r="U123" i="26"/>
  <c r="B123" i="26"/>
  <c r="N122" i="26"/>
  <c r="AA121" i="26"/>
  <c r="H121" i="26"/>
  <c r="R120" i="26"/>
  <c r="AC119" i="26"/>
  <c r="I119" i="26"/>
  <c r="S141" i="26"/>
  <c r="AD140" i="26"/>
  <c r="E140" i="26"/>
  <c r="Z139" i="26"/>
  <c r="E139" i="26"/>
  <c r="AC138" i="26"/>
  <c r="E138" i="26"/>
  <c r="W137" i="26"/>
  <c r="K136" i="26"/>
  <c r="W135" i="26"/>
  <c r="H134" i="26"/>
  <c r="U133" i="26"/>
  <c r="U142" i="26" s="1"/>
  <c r="U127" i="26"/>
  <c r="W171" i="26" s="1"/>
  <c r="AD126" i="26"/>
  <c r="AF170" i="26" s="1"/>
  <c r="H126" i="26"/>
  <c r="T125" i="26"/>
  <c r="V169" i="26" s="1"/>
  <c r="AD124" i="26"/>
  <c r="AF168" i="26" s="1"/>
  <c r="G124" i="26"/>
  <c r="T123" i="26"/>
  <c r="V167" i="26" s="1"/>
  <c r="L122" i="26"/>
  <c r="N166" i="26" s="1"/>
  <c r="Z121" i="26"/>
  <c r="AB165" i="26" s="1"/>
  <c r="F121" i="26"/>
  <c r="H165" i="26" s="1"/>
  <c r="Q120" i="26"/>
  <c r="S164" i="26" s="1"/>
  <c r="H119" i="26"/>
  <c r="AY19" i="26"/>
  <c r="AL156" i="26" s="1"/>
  <c r="AX19" i="26"/>
  <c r="AK156" i="26" s="1"/>
  <c r="M123" i="26"/>
  <c r="R125" i="26"/>
  <c r="D134" i="26"/>
  <c r="G136" i="26"/>
  <c r="I166" i="26" s="1"/>
  <c r="U139" i="26"/>
  <c r="M141" i="26"/>
  <c r="BB21" i="26"/>
  <c r="AV154" i="26" s="1"/>
  <c r="BC23" i="26"/>
  <c r="BI154" i="26" s="1"/>
  <c r="AZ21" i="26"/>
  <c r="AT154" i="26" s="1"/>
  <c r="BC16" i="26"/>
  <c r="AW133" i="26" s="1"/>
  <c r="BC14" i="26"/>
  <c r="AK133" i="26" s="1"/>
  <c r="B151" i="26"/>
  <c r="BB16" i="26"/>
  <c r="AV133" i="26" s="1"/>
  <c r="BA18" i="26"/>
  <c r="BG133" i="26" s="1"/>
  <c r="U121" i="26"/>
  <c r="W165" i="26" s="1"/>
  <c r="N123" i="26"/>
  <c r="V134" i="26"/>
  <c r="Y136" i="26"/>
  <c r="T138" i="26"/>
  <c r="V139" i="26"/>
  <c r="N141" i="26"/>
  <c r="N153" i="26"/>
  <c r="BB18" i="26"/>
  <c r="BH133" i="26" s="1"/>
  <c r="AV19" i="26"/>
  <c r="AI156" i="26" s="1"/>
  <c r="AW21" i="26"/>
  <c r="AV156" i="26" s="1"/>
  <c r="AW23" i="26"/>
  <c r="BH156" i="26" s="1"/>
  <c r="B119" i="26"/>
  <c r="V121" i="26"/>
  <c r="Q123" i="26"/>
  <c r="B126" i="26"/>
  <c r="Y134" i="26"/>
  <c r="AC136" i="26"/>
  <c r="V138" i="26"/>
  <c r="X168" i="26" s="1"/>
  <c r="P141" i="26"/>
  <c r="U151" i="26"/>
  <c r="C168" i="26" s="1"/>
  <c r="AV23" i="26"/>
  <c r="BG156" i="26" s="1"/>
  <c r="C119" i="26"/>
  <c r="W121" i="26"/>
  <c r="D126" i="26"/>
  <c r="F170" i="26" s="1"/>
  <c r="Z134" i="26"/>
  <c r="AE136" i="26"/>
  <c r="Y138" i="26"/>
  <c r="T147" i="26"/>
  <c r="BB23" i="26"/>
  <c r="BH154" i="26" s="1"/>
  <c r="W119" i="26"/>
  <c r="C124" i="26"/>
  <c r="E126" i="26"/>
  <c r="G170" i="26" s="1"/>
  <c r="K133" i="26"/>
  <c r="M135" i="26"/>
  <c r="R137" i="26"/>
  <c r="AI151" i="26"/>
  <c r="X119" i="26"/>
  <c r="F122" i="26"/>
  <c r="H166" i="26" s="1"/>
  <c r="D124" i="26"/>
  <c r="X126" i="26"/>
  <c r="Z170" i="26" s="1"/>
  <c r="M133" i="26"/>
  <c r="M142" i="26" s="1"/>
  <c r="Q135" i="26"/>
  <c r="S137" i="26"/>
  <c r="AA170" i="26"/>
  <c r="J120" i="26"/>
  <c r="I122" i="26"/>
  <c r="K166" i="26" s="1"/>
  <c r="W124" i="26"/>
  <c r="Y168" i="26" s="1"/>
  <c r="AB126" i="26"/>
  <c r="K154" i="26"/>
  <c r="K120" i="26"/>
  <c r="M164" i="26" s="1"/>
  <c r="Y122" i="26"/>
  <c r="Z124" i="26"/>
  <c r="AB168" i="26" s="1"/>
  <c r="B140" i="26"/>
  <c r="U149" i="26"/>
  <c r="C166" i="26" s="1"/>
  <c r="AU20" i="26"/>
  <c r="AN156" i="26" s="1"/>
  <c r="AV20" i="26"/>
  <c r="AO156" i="26" s="1"/>
  <c r="BD20" i="26"/>
  <c r="AR154" i="26" s="1"/>
  <c r="AY20" i="26"/>
  <c r="AR156" i="26" s="1"/>
  <c r="AX20" i="26"/>
  <c r="AQ156" i="26" s="1"/>
  <c r="AW20" i="26"/>
  <c r="AP156" i="26" s="1"/>
  <c r="L120" i="26"/>
  <c r="N164" i="26" s="1"/>
  <c r="BA130" i="26"/>
  <c r="AB122" i="26"/>
  <c r="AD166" i="26" s="1"/>
  <c r="L127" i="26"/>
  <c r="U140" i="26"/>
  <c r="AX14" i="26"/>
  <c r="AK135" i="26" s="1"/>
  <c r="AY15" i="26"/>
  <c r="AR135" i="26" s="1"/>
  <c r="AU15" i="26"/>
  <c r="AN135" i="26" s="1"/>
  <c r="AX15" i="26"/>
  <c r="AQ135" i="26" s="1"/>
  <c r="AV15" i="26"/>
  <c r="AO135" i="26" s="1"/>
  <c r="AU22" i="26"/>
  <c r="AZ156" i="26" s="1"/>
  <c r="AY22" i="26"/>
  <c r="BD156" i="26" s="1"/>
  <c r="AX22" i="26"/>
  <c r="BC156" i="26" s="1"/>
  <c r="BD22" i="26"/>
  <c r="BD154" i="26" s="1"/>
  <c r="AW22" i="26"/>
  <c r="BB156" i="26" s="1"/>
  <c r="AV22" i="26"/>
  <c r="BA156" i="26" s="1"/>
  <c r="AE120" i="26"/>
  <c r="AC122" i="26"/>
  <c r="L125" i="26"/>
  <c r="N127" i="26"/>
  <c r="B136" i="26"/>
  <c r="B139" i="26"/>
  <c r="V140" i="26"/>
  <c r="BG151" i="26"/>
  <c r="N152" i="26"/>
  <c r="AV14" i="26"/>
  <c r="AI135" i="26" s="1"/>
  <c r="AV16" i="26"/>
  <c r="AU135" i="26" s="1"/>
  <c r="AU16" i="26"/>
  <c r="AT135" i="26" s="1"/>
  <c r="BD16" i="26"/>
  <c r="AX133" i="26" s="1"/>
  <c r="AZ19" i="26"/>
  <c r="AH154" i="26" s="1"/>
  <c r="Q152" i="26"/>
  <c r="BA17" i="26"/>
  <c r="BA133" i="26" s="1"/>
  <c r="AX21" i="26"/>
  <c r="AW156" i="26" s="1"/>
  <c r="AO151" i="26"/>
  <c r="B150" i="26"/>
  <c r="BD18" i="26"/>
  <c r="BJ133" i="26" s="1"/>
  <c r="AY18" i="26"/>
  <c r="BJ135" i="26" s="1"/>
  <c r="BA20" i="26"/>
  <c r="AO154" i="26" s="1"/>
  <c r="BC18" i="26"/>
  <c r="BI133" i="26" s="1"/>
  <c r="AZ14" i="26"/>
  <c r="AH133" i="26" s="1"/>
  <c r="AZ23" i="26"/>
  <c r="BF154" i="26" s="1"/>
  <c r="BA21" i="26"/>
  <c r="AU154" i="26" s="1"/>
  <c r="BC19" i="26"/>
  <c r="AK154" i="26" s="1"/>
  <c r="AZ15" i="26"/>
  <c r="AN133" i="26" s="1"/>
  <c r="BB17" i="26"/>
  <c r="BB133" i="26" s="1"/>
  <c r="BB19" i="26"/>
  <c r="AJ154" i="26" s="1"/>
  <c r="AZ22" i="26"/>
  <c r="AZ154" i="26" s="1"/>
  <c r="Q150" i="26"/>
  <c r="BA15" i="26"/>
  <c r="AO133" i="26" s="1"/>
  <c r="AU18" i="26"/>
  <c r="BF135" i="26" s="1"/>
  <c r="BA22" i="26"/>
  <c r="BA154" i="26" s="1"/>
  <c r="BB15" i="26"/>
  <c r="AP133" i="26" s="1"/>
  <c r="AV18" i="26"/>
  <c r="BG135" i="26" s="1"/>
  <c r="BC22" i="26"/>
  <c r="BC154" i="26" s="1"/>
  <c r="AU14" i="26"/>
  <c r="AH135" i="26" s="1"/>
  <c r="BC15" i="26"/>
  <c r="AQ133" i="26" s="1"/>
  <c r="AW16" i="26"/>
  <c r="AV135" i="26" s="1"/>
  <c r="AY17" i="26"/>
  <c r="BD135" i="26" s="1"/>
  <c r="AU17" i="26"/>
  <c r="AZ135" i="26" s="1"/>
  <c r="AW18" i="26"/>
  <c r="BH135" i="26" s="1"/>
  <c r="BC20" i="26"/>
  <c r="AQ154" i="26" s="1"/>
  <c r="AW14" i="26"/>
  <c r="AJ135" i="26" s="1"/>
  <c r="AW15" i="26"/>
  <c r="AP135" i="26" s="1"/>
  <c r="BD15" i="26"/>
  <c r="AR133" i="26" s="1"/>
  <c r="AX16" i="26"/>
  <c r="AW135" i="26" s="1"/>
  <c r="AX18" i="26"/>
  <c r="BI135" i="26" s="1"/>
  <c r="AU21" i="26"/>
  <c r="AT156" i="26" s="1"/>
  <c r="Q153" i="26"/>
  <c r="N149" i="26"/>
  <c r="B148" i="26"/>
  <c r="Q149" i="26"/>
  <c r="H146" i="26"/>
  <c r="H148" i="26" s="1"/>
  <c r="K153" i="26"/>
  <c r="B147" i="26"/>
  <c r="K152" i="26"/>
  <c r="E146" i="26"/>
  <c r="AW19" i="26"/>
  <c r="AJ156" i="26" s="1"/>
  <c r="BD19" i="26"/>
  <c r="AL154" i="26" s="1"/>
  <c r="BG130" i="26"/>
  <c r="B146" i="26"/>
  <c r="N151" i="26"/>
  <c r="AX23" i="26"/>
  <c r="BI156" i="26" s="1"/>
  <c r="AY23" i="26"/>
  <c r="BJ156" i="26" s="1"/>
  <c r="BD23" i="26"/>
  <c r="BJ154" i="26" s="1"/>
  <c r="K150" i="26"/>
  <c r="BC21" i="26"/>
  <c r="AW154" i="26" s="1"/>
  <c r="AZ20" i="26"/>
  <c r="AN154" i="26" s="1"/>
  <c r="BC17" i="26"/>
  <c r="BC133" i="26" s="1"/>
  <c r="AZ16" i="26"/>
  <c r="AT133" i="26" s="1"/>
  <c r="BB22" i="26"/>
  <c r="BB154" i="26" s="1"/>
  <c r="BA14" i="26"/>
  <c r="AI133" i="26" s="1"/>
  <c r="AZ17" i="26"/>
  <c r="AZ133" i="26" s="1"/>
  <c r="AU19" i="26"/>
  <c r="AH156" i="26" s="1"/>
  <c r="BB20" i="26"/>
  <c r="AP154" i="26" s="1"/>
  <c r="AI130" i="26"/>
  <c r="E147" i="26"/>
  <c r="N150" i="26"/>
  <c r="T153" i="31"/>
  <c r="T146" i="31"/>
  <c r="Z141" i="31"/>
  <c r="N141" i="31"/>
  <c r="B141" i="31"/>
  <c r="V140" i="31"/>
  <c r="J140" i="31"/>
  <c r="X139" i="31"/>
  <c r="L139" i="31"/>
  <c r="Z138" i="31"/>
  <c r="N138" i="31"/>
  <c r="B138" i="31"/>
  <c r="AA137" i="31"/>
  <c r="O137" i="31"/>
  <c r="C137" i="31"/>
  <c r="W136" i="31"/>
  <c r="K136" i="31"/>
  <c r="T135" i="31"/>
  <c r="H135" i="31"/>
  <c r="AB134" i="31"/>
  <c r="P134" i="31"/>
  <c r="D134" i="31"/>
  <c r="Y133" i="31"/>
  <c r="M133" i="31"/>
  <c r="M142" i="31" s="1"/>
  <c r="U127" i="31"/>
  <c r="I127" i="31"/>
  <c r="AD126" i="31"/>
  <c r="R126" i="31"/>
  <c r="F126" i="31"/>
  <c r="AA125" i="31"/>
  <c r="O125" i="31"/>
  <c r="Q169" i="31" s="1"/>
  <c r="C125" i="31"/>
  <c r="E169" i="31" s="1"/>
  <c r="X124" i="31"/>
  <c r="L124" i="31"/>
  <c r="N168" i="31" s="1"/>
  <c r="U152" i="31"/>
  <c r="C169" i="31" s="1"/>
  <c r="AB141" i="31"/>
  <c r="O141" i="31"/>
  <c r="T140" i="31"/>
  <c r="G140" i="31"/>
  <c r="T139" i="31"/>
  <c r="G139" i="31"/>
  <c r="T138" i="31"/>
  <c r="G138" i="31"/>
  <c r="AE137" i="31"/>
  <c r="R137" i="31"/>
  <c r="E137" i="31"/>
  <c r="X136" i="31"/>
  <c r="J136" i="31"/>
  <c r="AB135" i="31"/>
  <c r="O135" i="31"/>
  <c r="B135" i="31"/>
  <c r="U134" i="31"/>
  <c r="H134" i="31"/>
  <c r="Z133" i="31"/>
  <c r="L133" i="31"/>
  <c r="AC127" i="31"/>
  <c r="P127" i="31"/>
  <c r="C127" i="31"/>
  <c r="E171" i="31" s="1"/>
  <c r="W126" i="31"/>
  <c r="Y170" i="31" s="1"/>
  <c r="J126" i="31"/>
  <c r="L170" i="31" s="1"/>
  <c r="AD125" i="31"/>
  <c r="Q125" i="31"/>
  <c r="D125" i="31"/>
  <c r="W124" i="31"/>
  <c r="J124" i="31"/>
  <c r="AD123" i="31"/>
  <c r="R123" i="31"/>
  <c r="F123" i="31"/>
  <c r="H167" i="31" s="1"/>
  <c r="AA122" i="31"/>
  <c r="O122" i="31"/>
  <c r="Q166" i="31" s="1"/>
  <c r="C122" i="31"/>
  <c r="E166" i="31" s="1"/>
  <c r="X121" i="31"/>
  <c r="Z165" i="31" s="1"/>
  <c r="L121" i="31"/>
  <c r="U120" i="31"/>
  <c r="W164" i="31" s="1"/>
  <c r="I120" i="31"/>
  <c r="AC119" i="31"/>
  <c r="T152" i="31"/>
  <c r="U148" i="31"/>
  <c r="C165" i="31" s="1"/>
  <c r="AA141" i="31"/>
  <c r="M141" i="31"/>
  <c r="S140" i="31"/>
  <c r="F140" i="31"/>
  <c r="S139" i="31"/>
  <c r="F139" i="31"/>
  <c r="S138" i="31"/>
  <c r="F138" i="31"/>
  <c r="AD137" i="31"/>
  <c r="Q137" i="31"/>
  <c r="D137" i="31"/>
  <c r="V136" i="31"/>
  <c r="I136" i="31"/>
  <c r="AA135" i="31"/>
  <c r="N135" i="31"/>
  <c r="T134" i="31"/>
  <c r="G134" i="31"/>
  <c r="X133" i="31"/>
  <c r="K133" i="31"/>
  <c r="AB127" i="31"/>
  <c r="O127" i="31"/>
  <c r="Q171" i="31" s="1"/>
  <c r="B127" i="31"/>
  <c r="V126" i="31"/>
  <c r="X170" i="31" s="1"/>
  <c r="I126" i="31"/>
  <c r="AC125" i="31"/>
  <c r="P125" i="31"/>
  <c r="B125" i="31"/>
  <c r="V124" i="31"/>
  <c r="I124" i="31"/>
  <c r="K168" i="31" s="1"/>
  <c r="AC123" i="31"/>
  <c r="AE167" i="31" s="1"/>
  <c r="Q123" i="31"/>
  <c r="S167" i="31" s="1"/>
  <c r="E123" i="31"/>
  <c r="Z122" i="31"/>
  <c r="N122" i="31"/>
  <c r="B122" i="31"/>
  <c r="W121" i="31"/>
  <c r="K121" i="31"/>
  <c r="M165" i="31" s="1"/>
  <c r="T120" i="31"/>
  <c r="H120" i="31"/>
  <c r="J164" i="31" s="1"/>
  <c r="T148" i="31"/>
  <c r="Y141" i="31"/>
  <c r="L141" i="31"/>
  <c r="AE140" i="31"/>
  <c r="R140" i="31"/>
  <c r="E140" i="31"/>
  <c r="AE139" i="31"/>
  <c r="R139" i="31"/>
  <c r="E139" i="31"/>
  <c r="AE138" i="31"/>
  <c r="R138" i="31"/>
  <c r="E138" i="31"/>
  <c r="AC137" i="31"/>
  <c r="P137" i="31"/>
  <c r="B137" i="31"/>
  <c r="U136" i="31"/>
  <c r="H136" i="31"/>
  <c r="Z135" i="31"/>
  <c r="M135" i="31"/>
  <c r="S134" i="31"/>
  <c r="F134" i="31"/>
  <c r="W133" i="31"/>
  <c r="J133" i="31"/>
  <c r="AA127" i="31"/>
  <c r="AC171" i="31" s="1"/>
  <c r="N127" i="31"/>
  <c r="P171" i="31" s="1"/>
  <c r="U126" i="31"/>
  <c r="W170" i="31" s="1"/>
  <c r="H126" i="31"/>
  <c r="J170" i="31" s="1"/>
  <c r="AB125" i="31"/>
  <c r="N125" i="31"/>
  <c r="U124" i="31"/>
  <c r="W168" i="31" s="1"/>
  <c r="H124" i="31"/>
  <c r="AB123" i="31"/>
  <c r="P123" i="31"/>
  <c r="D123" i="31"/>
  <c r="F167" i="31" s="1"/>
  <c r="Y122" i="31"/>
  <c r="AA166" i="31" s="1"/>
  <c r="M122" i="31"/>
  <c r="O166" i="31" s="1"/>
  <c r="V121" i="31"/>
  <c r="X165" i="31" s="1"/>
  <c r="J121" i="31"/>
  <c r="L165" i="31" s="1"/>
  <c r="AE120" i="31"/>
  <c r="AG164" i="31" s="1"/>
  <c r="S120" i="31"/>
  <c r="G120" i="31"/>
  <c r="AA119" i="31"/>
  <c r="O119" i="31"/>
  <c r="C119" i="31"/>
  <c r="T149" i="31"/>
  <c r="S141" i="31"/>
  <c r="C141" i="31"/>
  <c r="O140" i="31"/>
  <c r="U139" i="31"/>
  <c r="B139" i="31"/>
  <c r="X138" i="31"/>
  <c r="H138" i="31"/>
  <c r="Y137" i="31"/>
  <c r="I137" i="31"/>
  <c r="Y136" i="31"/>
  <c r="E136" i="31"/>
  <c r="AC135" i="31"/>
  <c r="J135" i="31"/>
  <c r="Y134" i="31"/>
  <c r="I134" i="31"/>
  <c r="AD133" i="31"/>
  <c r="N133" i="31"/>
  <c r="N142" i="31" s="1"/>
  <c r="AE127" i="31"/>
  <c r="AG171" i="31" s="1"/>
  <c r="L127" i="31"/>
  <c r="AC126" i="31"/>
  <c r="M126" i="31"/>
  <c r="Z125" i="31"/>
  <c r="J125" i="31"/>
  <c r="L169" i="31" s="1"/>
  <c r="AB124" i="31"/>
  <c r="K124" i="31"/>
  <c r="Y123" i="31"/>
  <c r="AA167" i="31" s="1"/>
  <c r="J123" i="31"/>
  <c r="L167" i="31" s="1"/>
  <c r="AB122" i="31"/>
  <c r="AD166" i="31" s="1"/>
  <c r="J122" i="31"/>
  <c r="AC121" i="31"/>
  <c r="AE165" i="31" s="1"/>
  <c r="N121" i="31"/>
  <c r="AC120" i="31"/>
  <c r="N120" i="31"/>
  <c r="AE119" i="31"/>
  <c r="Q119" i="31"/>
  <c r="D119" i="31"/>
  <c r="R141" i="31"/>
  <c r="AD140" i="31"/>
  <c r="N140" i="31"/>
  <c r="Q139" i="31"/>
  <c r="W138" i="31"/>
  <c r="D138" i="31"/>
  <c r="X137" i="31"/>
  <c r="H137" i="31"/>
  <c r="T136" i="31"/>
  <c r="D136" i="31"/>
  <c r="Y135" i="31"/>
  <c r="I135" i="31"/>
  <c r="X134" i="31"/>
  <c r="E134" i="31"/>
  <c r="AC133" i="31"/>
  <c r="I133" i="31"/>
  <c r="I142" i="31" s="1"/>
  <c r="AD127" i="31"/>
  <c r="AF171" i="31" s="1"/>
  <c r="K127" i="31"/>
  <c r="M171" i="31" s="1"/>
  <c r="AB126" i="31"/>
  <c r="L126" i="31"/>
  <c r="Y125" i="31"/>
  <c r="I125" i="31"/>
  <c r="AA124" i="31"/>
  <c r="G124" i="31"/>
  <c r="X123" i="31"/>
  <c r="Z167" i="31" s="1"/>
  <c r="I123" i="31"/>
  <c r="K167" i="31" s="1"/>
  <c r="X122" i="31"/>
  <c r="I122" i="31"/>
  <c r="K166" i="31" s="1"/>
  <c r="AB121" i="31"/>
  <c r="AD165" i="31" s="1"/>
  <c r="M121" i="31"/>
  <c r="O165" i="31" s="1"/>
  <c r="AB120" i="31"/>
  <c r="M120" i="31"/>
  <c r="AD119" i="31"/>
  <c r="P119" i="31"/>
  <c r="B119" i="31"/>
  <c r="U147" i="31"/>
  <c r="C164" i="31" s="1"/>
  <c r="Q141" i="31"/>
  <c r="AC140" i="31"/>
  <c r="M140" i="31"/>
  <c r="P139" i="31"/>
  <c r="V138" i="31"/>
  <c r="C138" i="31"/>
  <c r="W137" i="31"/>
  <c r="G137" i="31"/>
  <c r="S136" i="31"/>
  <c r="C136" i="31"/>
  <c r="X135" i="31"/>
  <c r="G135" i="31"/>
  <c r="W134" i="31"/>
  <c r="C134" i="31"/>
  <c r="AB133" i="31"/>
  <c r="H133" i="31"/>
  <c r="H142" i="31" s="1"/>
  <c r="Z127" i="31"/>
  <c r="AB171" i="31" s="1"/>
  <c r="J127" i="31"/>
  <c r="L171" i="31" s="1"/>
  <c r="AA126" i="31"/>
  <c r="K126" i="31"/>
  <c r="X125" i="31"/>
  <c r="H125" i="31"/>
  <c r="Z124" i="31"/>
  <c r="F124" i="31"/>
  <c r="H168" i="31" s="1"/>
  <c r="W123" i="31"/>
  <c r="Y167" i="31" s="1"/>
  <c r="H123" i="31"/>
  <c r="J167" i="31" s="1"/>
  <c r="W122" i="31"/>
  <c r="Y166" i="31" s="1"/>
  <c r="H122" i="31"/>
  <c r="J166" i="31" s="1"/>
  <c r="AA121" i="31"/>
  <c r="AC165" i="31" s="1"/>
  <c r="I121" i="31"/>
  <c r="K165" i="31" s="1"/>
  <c r="AA120" i="31"/>
  <c r="L120" i="31"/>
  <c r="AB119" i="31"/>
  <c r="N119" i="31"/>
  <c r="T150" i="31"/>
  <c r="AD141" i="31"/>
  <c r="J141" i="31"/>
  <c r="Z140" i="31"/>
  <c r="I140" i="31"/>
  <c r="AC139" i="31"/>
  <c r="M139" i="31"/>
  <c r="P138" i="31"/>
  <c r="T137" i="31"/>
  <c r="P136" i="31"/>
  <c r="U135" i="31"/>
  <c r="D135" i="31"/>
  <c r="Q134" i="31"/>
  <c r="U133" i="31"/>
  <c r="E133" i="31"/>
  <c r="W127" i="31"/>
  <c r="F127" i="31"/>
  <c r="H171" i="31" s="1"/>
  <c r="X126" i="31"/>
  <c r="Z170" i="31" s="1"/>
  <c r="D126" i="31"/>
  <c r="U125" i="31"/>
  <c r="W169" i="31" s="1"/>
  <c r="E125" i="31"/>
  <c r="S124" i="31"/>
  <c r="U168" i="31" s="1"/>
  <c r="C124" i="31"/>
  <c r="T123" i="31"/>
  <c r="B123" i="31"/>
  <c r="T122" i="31"/>
  <c r="V166" i="31" s="1"/>
  <c r="E122" i="31"/>
  <c r="G166" i="31" s="1"/>
  <c r="U121" i="31"/>
  <c r="W165" i="31" s="1"/>
  <c r="F121" i="31"/>
  <c r="X120" i="31"/>
  <c r="Z164" i="31" s="1"/>
  <c r="F120" i="31"/>
  <c r="H164" i="31" s="1"/>
  <c r="X119" i="31"/>
  <c r="K119" i="31"/>
  <c r="H141" i="31"/>
  <c r="P140" i="31"/>
  <c r="I139" i="31"/>
  <c r="AB138" i="31"/>
  <c r="M137" i="31"/>
  <c r="R136" i="31"/>
  <c r="W135" i="31"/>
  <c r="AD134" i="31"/>
  <c r="B134" i="31"/>
  <c r="G133" i="31"/>
  <c r="G142" i="31" s="1"/>
  <c r="X127" i="31"/>
  <c r="Z171" i="31" s="1"/>
  <c r="E126" i="31"/>
  <c r="M125" i="31"/>
  <c r="T124" i="31"/>
  <c r="V168" i="31" s="1"/>
  <c r="AE123" i="31"/>
  <c r="C123" i="31"/>
  <c r="E167" i="31" s="1"/>
  <c r="P122" i="31"/>
  <c r="R166" i="31" s="1"/>
  <c r="Y121" i="31"/>
  <c r="AA165" i="31" s="1"/>
  <c r="B121" i="31"/>
  <c r="J120" i="31"/>
  <c r="T119" i="31"/>
  <c r="U151" i="31"/>
  <c r="C168" i="31" s="1"/>
  <c r="U146" i="31"/>
  <c r="G141" i="31"/>
  <c r="L140" i="31"/>
  <c r="AD139" i="31"/>
  <c r="H139" i="31"/>
  <c r="AA138" i="31"/>
  <c r="L137" i="31"/>
  <c r="Q136" i="31"/>
  <c r="V135" i="31"/>
  <c r="AC134" i="31"/>
  <c r="F133" i="31"/>
  <c r="V127" i="31"/>
  <c r="X171" i="31" s="1"/>
  <c r="C126" i="31"/>
  <c r="E170" i="31" s="1"/>
  <c r="L125" i="31"/>
  <c r="R124" i="31"/>
  <c r="AA123" i="31"/>
  <c r="AC167" i="31" s="1"/>
  <c r="L122" i="31"/>
  <c r="T121" i="31"/>
  <c r="V165" i="31" s="1"/>
  <c r="E120" i="31"/>
  <c r="S119" i="31"/>
  <c r="F125" i="31"/>
  <c r="AB140" i="31"/>
  <c r="R134" i="31"/>
  <c r="S123" i="31"/>
  <c r="U167" i="31" s="1"/>
  <c r="T151" i="31"/>
  <c r="AE141" i="31"/>
  <c r="F141" i="31"/>
  <c r="K140" i="31"/>
  <c r="AB139" i="31"/>
  <c r="D139" i="31"/>
  <c r="Y138" i="31"/>
  <c r="K137" i="31"/>
  <c r="O136" i="31"/>
  <c r="S135" i="31"/>
  <c r="AA134" i="31"/>
  <c r="D133" i="31"/>
  <c r="T127" i="31"/>
  <c r="AE126" i="31"/>
  <c r="AG170" i="31" s="1"/>
  <c r="B126" i="31"/>
  <c r="K125" i="31"/>
  <c r="M169" i="31" s="1"/>
  <c r="Q124" i="31"/>
  <c r="Z123" i="31"/>
  <c r="AB167" i="31" s="1"/>
  <c r="K122" i="31"/>
  <c r="S121" i="31"/>
  <c r="AD120" i="31"/>
  <c r="D120" i="31"/>
  <c r="R119" i="31"/>
  <c r="AC141" i="31"/>
  <c r="E141" i="31"/>
  <c r="H140" i="31"/>
  <c r="AA139" i="31"/>
  <c r="C139" i="31"/>
  <c r="U138" i="31"/>
  <c r="J137" i="31"/>
  <c r="N136" i="31"/>
  <c r="R135" i="31"/>
  <c r="Z134" i="31"/>
  <c r="AE133" i="31"/>
  <c r="C133" i="31"/>
  <c r="S127" i="31"/>
  <c r="U171" i="31" s="1"/>
  <c r="Z126" i="31"/>
  <c r="AB170" i="31" s="1"/>
  <c r="G125" i="31"/>
  <c r="P124" i="31"/>
  <c r="V123" i="31"/>
  <c r="G122" i="31"/>
  <c r="R121" i="31"/>
  <c r="Z120" i="31"/>
  <c r="C120" i="31"/>
  <c r="M119" i="31"/>
  <c r="X141" i="31"/>
  <c r="D141" i="31"/>
  <c r="D140" i="31"/>
  <c r="Z139" i="31"/>
  <c r="Q138" i="31"/>
  <c r="F137" i="31"/>
  <c r="M136" i="31"/>
  <c r="Q135" i="31"/>
  <c r="V134" i="31"/>
  <c r="AA133" i="31"/>
  <c r="B133" i="31"/>
  <c r="R127" i="31"/>
  <c r="T171" i="31" s="1"/>
  <c r="Y126" i="31"/>
  <c r="O124" i="31"/>
  <c r="U123" i="31"/>
  <c r="W167" i="31" s="1"/>
  <c r="AE122" i="31"/>
  <c r="AG166" i="31" s="1"/>
  <c r="F122" i="31"/>
  <c r="Q121" i="31"/>
  <c r="S165" i="31" s="1"/>
  <c r="Y120" i="31"/>
  <c r="B120" i="31"/>
  <c r="L119" i="31"/>
  <c r="U154" i="31"/>
  <c r="C171" i="31" s="1"/>
  <c r="U150" i="31"/>
  <c r="C167" i="31" s="1"/>
  <c r="W141" i="31"/>
  <c r="C140" i="31"/>
  <c r="Y139" i="31"/>
  <c r="O138" i="31"/>
  <c r="L136" i="31"/>
  <c r="P135" i="31"/>
  <c r="V133" i="31"/>
  <c r="Q127" i="31"/>
  <c r="T126" i="31"/>
  <c r="N124" i="31"/>
  <c r="AD122" i="31"/>
  <c r="D122" i="31"/>
  <c r="F166" i="31" s="1"/>
  <c r="P121" i="31"/>
  <c r="R165" i="31" s="1"/>
  <c r="W120" i="31"/>
  <c r="Y164" i="31" s="1"/>
  <c r="J119" i="31"/>
  <c r="P120" i="31"/>
  <c r="R164" i="31" s="1"/>
  <c r="AE125" i="31"/>
  <c r="AG169" i="31" s="1"/>
  <c r="AD135" i="31"/>
  <c r="T147" i="31"/>
  <c r="AZ19" i="31"/>
  <c r="AH154" i="31" s="1"/>
  <c r="BD23" i="31"/>
  <c r="BJ154" i="31" s="1"/>
  <c r="Q120" i="31"/>
  <c r="S164" i="31" s="1"/>
  <c r="K123" i="31"/>
  <c r="AC124" i="31"/>
  <c r="AE168" i="31" s="1"/>
  <c r="M127" i="31"/>
  <c r="O171" i="31" s="1"/>
  <c r="P133" i="31"/>
  <c r="K134" i="31"/>
  <c r="AE135" i="31"/>
  <c r="AA136" i="31"/>
  <c r="I141" i="31"/>
  <c r="BB14" i="31"/>
  <c r="AJ133" i="31" s="1"/>
  <c r="AW15" i="31"/>
  <c r="AP135" i="31" s="1"/>
  <c r="BA19" i="31"/>
  <c r="AI154" i="31" s="1"/>
  <c r="AX20" i="31"/>
  <c r="AQ156" i="31" s="1"/>
  <c r="BD20" i="31"/>
  <c r="AR154" i="31" s="1"/>
  <c r="AY20" i="31"/>
  <c r="AR156" i="31" s="1"/>
  <c r="AW20" i="31"/>
  <c r="AP156" i="31" s="1"/>
  <c r="AV20" i="31"/>
  <c r="AO156" i="31" s="1"/>
  <c r="H119" i="31"/>
  <c r="R120" i="31"/>
  <c r="T164" i="31" s="1"/>
  <c r="L123" i="31"/>
  <c r="N167" i="31" s="1"/>
  <c r="AD124" i="31"/>
  <c r="G126" i="31"/>
  <c r="I170" i="31" s="1"/>
  <c r="Y127" i="31"/>
  <c r="Q133" i="31"/>
  <c r="L134" i="31"/>
  <c r="AB136" i="31"/>
  <c r="K141" i="31"/>
  <c r="B148" i="31"/>
  <c r="BC23" i="31"/>
  <c r="BI154" i="31" s="1"/>
  <c r="AZ22" i="31"/>
  <c r="AZ154" i="31" s="1"/>
  <c r="BC19" i="31"/>
  <c r="AK154" i="31" s="1"/>
  <c r="AZ18" i="31"/>
  <c r="BF133" i="31" s="1"/>
  <c r="BC15" i="31"/>
  <c r="AQ133" i="31" s="1"/>
  <c r="AZ14" i="31"/>
  <c r="AH133" i="31" s="1"/>
  <c r="BB23" i="31"/>
  <c r="BH154" i="31" s="1"/>
  <c r="BC20" i="31"/>
  <c r="AQ154" i="31" s="1"/>
  <c r="AZ16" i="31"/>
  <c r="AT133" i="31" s="1"/>
  <c r="BA23" i="31"/>
  <c r="BG154" i="31" s="1"/>
  <c r="BB20" i="31"/>
  <c r="AP154" i="31" s="1"/>
  <c r="BC17" i="31"/>
  <c r="BC133" i="31" s="1"/>
  <c r="AZ23" i="31"/>
  <c r="BF154" i="31" s="1"/>
  <c r="BA20" i="31"/>
  <c r="AO154" i="31" s="1"/>
  <c r="BB17" i="31"/>
  <c r="BB133" i="31" s="1"/>
  <c r="BC14" i="31"/>
  <c r="AK133" i="31" s="1"/>
  <c r="BB21" i="31"/>
  <c r="AV154" i="31" s="1"/>
  <c r="BC18" i="31"/>
  <c r="BI133" i="31" s="1"/>
  <c r="BA18" i="31"/>
  <c r="BG133" i="31" s="1"/>
  <c r="BC22" i="31"/>
  <c r="BC154" i="31" s="1"/>
  <c r="AZ20" i="31"/>
  <c r="AN154" i="31" s="1"/>
  <c r="BB15" i="31"/>
  <c r="AP133" i="31" s="1"/>
  <c r="BB22" i="31"/>
  <c r="BB154" i="31" s="1"/>
  <c r="BA15" i="31"/>
  <c r="AO133" i="31" s="1"/>
  <c r="BA22" i="31"/>
  <c r="BA154" i="31" s="1"/>
  <c r="AZ15" i="31"/>
  <c r="AN133" i="31" s="1"/>
  <c r="BA17" i="31"/>
  <c r="BA133" i="31" s="1"/>
  <c r="BA16" i="31"/>
  <c r="AU133" i="31" s="1"/>
  <c r="BB19" i="31"/>
  <c r="AJ154" i="31" s="1"/>
  <c r="I119" i="31"/>
  <c r="V120" i="31"/>
  <c r="M123" i="31"/>
  <c r="AE124" i="31"/>
  <c r="N126" i="31"/>
  <c r="R133" i="31"/>
  <c r="M134" i="31"/>
  <c r="AC136" i="31"/>
  <c r="P141" i="31"/>
  <c r="T154" i="31"/>
  <c r="BB16" i="31"/>
  <c r="AV133" i="31" s="1"/>
  <c r="BD17" i="31"/>
  <c r="BD133" i="31" s="1"/>
  <c r="AY17" i="31"/>
  <c r="BD135" i="31" s="1"/>
  <c r="BD19" i="31"/>
  <c r="AL154" i="31" s="1"/>
  <c r="AU20" i="31"/>
  <c r="AN156" i="31" s="1"/>
  <c r="AV21" i="31"/>
  <c r="AU156" i="31" s="1"/>
  <c r="U119" i="31"/>
  <c r="N123" i="31"/>
  <c r="O126" i="31"/>
  <c r="S133" i="31"/>
  <c r="N134" i="31"/>
  <c r="AD136" i="31"/>
  <c r="T141" i="31"/>
  <c r="BG151" i="31"/>
  <c r="U149" i="31"/>
  <c r="C166" i="31" s="1"/>
  <c r="BC16" i="31"/>
  <c r="AW133" i="31" s="1"/>
  <c r="AX21" i="31"/>
  <c r="AW156" i="31" s="1"/>
  <c r="AX22" i="31"/>
  <c r="BC156" i="31" s="1"/>
  <c r="AW22" i="31"/>
  <c r="BB156" i="31" s="1"/>
  <c r="AV22" i="31"/>
  <c r="BA156" i="31" s="1"/>
  <c r="BD22" i="31"/>
  <c r="BD154" i="31" s="1"/>
  <c r="AY22" i="31"/>
  <c r="BD156" i="31" s="1"/>
  <c r="V119" i="31"/>
  <c r="C121" i="31"/>
  <c r="E165" i="31" s="1"/>
  <c r="Q122" i="31"/>
  <c r="S166" i="31" s="1"/>
  <c r="O123" i="31"/>
  <c r="Q167" i="31" s="1"/>
  <c r="P126" i="31"/>
  <c r="R170" i="31" s="1"/>
  <c r="T133" i="31"/>
  <c r="O134" i="31"/>
  <c r="AE136" i="31"/>
  <c r="I138" i="31"/>
  <c r="U141" i="31"/>
  <c r="G163" i="31"/>
  <c r="W125" i="31"/>
  <c r="Y169" i="31" s="1"/>
  <c r="AB137" i="31"/>
  <c r="Y140" i="31"/>
  <c r="R122" i="31"/>
  <c r="J139" i="31"/>
  <c r="S126" i="31"/>
  <c r="K139" i="31"/>
  <c r="Z119" i="31"/>
  <c r="B124" i="31"/>
  <c r="U137" i="31"/>
  <c r="N139" i="31"/>
  <c r="U140" i="31"/>
  <c r="K150" i="31"/>
  <c r="AV15" i="31"/>
  <c r="AO135" i="31" s="1"/>
  <c r="AU15" i="31"/>
  <c r="AN135" i="31" s="1"/>
  <c r="BD15" i="31"/>
  <c r="AR133" i="31" s="1"/>
  <c r="AY15" i="31"/>
  <c r="AR135" i="31" s="1"/>
  <c r="AZ17" i="31"/>
  <c r="AZ133" i="31" s="1"/>
  <c r="BC21" i="31"/>
  <c r="AW154" i="31" s="1"/>
  <c r="H121" i="31"/>
  <c r="V122" i="31"/>
  <c r="X166" i="31" s="1"/>
  <c r="D124" i="31"/>
  <c r="T125" i="31"/>
  <c r="V169" i="31" s="1"/>
  <c r="D127" i="31"/>
  <c r="F135" i="31"/>
  <c r="B136" i="31"/>
  <c r="V137" i="31"/>
  <c r="M138" i="31"/>
  <c r="O139" i="31"/>
  <c r="W140" i="31"/>
  <c r="N150" i="31"/>
  <c r="AW21" i="31"/>
  <c r="AV156" i="31" s="1"/>
  <c r="AU21" i="31"/>
  <c r="AT156" i="31" s="1"/>
  <c r="AX23" i="31"/>
  <c r="BI156" i="31" s="1"/>
  <c r="O120" i="31"/>
  <c r="Q164" i="31" s="1"/>
  <c r="Z121" i="31"/>
  <c r="AB165" i="31" s="1"/>
  <c r="M124" i="31"/>
  <c r="O168" i="31" s="1"/>
  <c r="G127" i="31"/>
  <c r="I171" i="31" s="1"/>
  <c r="L135" i="31"/>
  <c r="G136" i="31"/>
  <c r="AD138" i="31"/>
  <c r="W139" i="31"/>
  <c r="AY23" i="31"/>
  <c r="BJ156" i="31" s="1"/>
  <c r="F119" i="31"/>
  <c r="AD121" i="31"/>
  <c r="AF165" i="31" s="1"/>
  <c r="G123" i="31"/>
  <c r="I167" i="31" s="1"/>
  <c r="Y124" i="31"/>
  <c r="AA168" i="31" s="1"/>
  <c r="H127" i="31"/>
  <c r="J171" i="31" s="1"/>
  <c r="O133" i="31"/>
  <c r="J134" i="31"/>
  <c r="Z136" i="31"/>
  <c r="AA140" i="31"/>
  <c r="U153" i="31"/>
  <c r="C170" i="31" s="1"/>
  <c r="G119" i="31"/>
  <c r="AE121" i="31"/>
  <c r="W119" i="31"/>
  <c r="AI130" i="31"/>
  <c r="D121" i="31"/>
  <c r="F165" i="31" s="1"/>
  <c r="Q126" i="31"/>
  <c r="AE134" i="31"/>
  <c r="N137" i="31"/>
  <c r="J138" i="31"/>
  <c r="B140" i="31"/>
  <c r="V141" i="31"/>
  <c r="AZ21" i="31"/>
  <c r="AT154" i="31" s="1"/>
  <c r="Y119" i="31"/>
  <c r="E121" i="31"/>
  <c r="S122" i="31"/>
  <c r="U166" i="31" s="1"/>
  <c r="R125" i="31"/>
  <c r="T169" i="31" s="1"/>
  <c r="C135" i="31"/>
  <c r="S137" i="31"/>
  <c r="K138" i="31"/>
  <c r="Q140" i="31"/>
  <c r="BA21" i="31"/>
  <c r="AU154" i="31" s="1"/>
  <c r="G121" i="31"/>
  <c r="I165" i="31" s="1"/>
  <c r="U122" i="31"/>
  <c r="W166" i="31" s="1"/>
  <c r="S125" i="31"/>
  <c r="E135" i="31"/>
  <c r="L138" i="31"/>
  <c r="N153" i="31"/>
  <c r="Q150" i="31"/>
  <c r="K149" i="31"/>
  <c r="K153" i="31"/>
  <c r="N151" i="31"/>
  <c r="E147" i="31"/>
  <c r="K151" i="31"/>
  <c r="B147" i="31"/>
  <c r="Q152" i="31"/>
  <c r="B151" i="31"/>
  <c r="Q151" i="31"/>
  <c r="Q149" i="31"/>
  <c r="N149" i="31"/>
  <c r="Q153" i="31"/>
  <c r="N152" i="31"/>
  <c r="B149" i="31"/>
  <c r="H146" i="31"/>
  <c r="H148" i="31" s="1"/>
  <c r="E146" i="31"/>
  <c r="E148" i="31" s="1"/>
  <c r="B146" i="31"/>
  <c r="AY16" i="31"/>
  <c r="AX135" i="31" s="1"/>
  <c r="AX16" i="31"/>
  <c r="AW135" i="31" s="1"/>
  <c r="AU16" i="31"/>
  <c r="AT135" i="31" s="1"/>
  <c r="AW16" i="31"/>
  <c r="AV135" i="31" s="1"/>
  <c r="AV16" i="31"/>
  <c r="AU135" i="31" s="1"/>
  <c r="BB18" i="31"/>
  <c r="BH133" i="31" s="1"/>
  <c r="BD21" i="31"/>
  <c r="AX154" i="31" s="1"/>
  <c r="AU22" i="31"/>
  <c r="AZ156" i="31" s="1"/>
  <c r="K120" i="31"/>
  <c r="O121" i="31"/>
  <c r="Q165" i="31" s="1"/>
  <c r="AC122" i="31"/>
  <c r="AE166" i="31" s="1"/>
  <c r="E124" i="31"/>
  <c r="G168" i="31" s="1"/>
  <c r="V125" i="31"/>
  <c r="X169" i="31" s="1"/>
  <c r="E127" i="31"/>
  <c r="K135" i="31"/>
  <c r="F136" i="31"/>
  <c r="Z137" i="31"/>
  <c r="AC138" i="31"/>
  <c r="V139" i="31"/>
  <c r="X140" i="31"/>
  <c r="BD14" i="31"/>
  <c r="AL133" i="31" s="1"/>
  <c r="AW18" i="31"/>
  <c r="BH135" i="31" s="1"/>
  <c r="AY19" i="31"/>
  <c r="AL156" i="31" s="1"/>
  <c r="AX19" i="31"/>
  <c r="AK156" i="31" s="1"/>
  <c r="AW19" i="31"/>
  <c r="AJ156" i="31" s="1"/>
  <c r="AX18" i="31"/>
  <c r="BI135" i="31" s="1"/>
  <c r="AW23" i="31"/>
  <c r="BH156" i="31" s="1"/>
  <c r="AU130" i="31"/>
  <c r="AU23" i="31"/>
  <c r="BF156" i="31" s="1"/>
  <c r="AY14" i="31"/>
  <c r="AL135" i="31" s="1"/>
  <c r="BA130" i="31"/>
  <c r="AU151" i="31"/>
  <c r="AW17" i="31"/>
  <c r="BB135" i="31" s="1"/>
  <c r="BA151" i="31"/>
  <c r="V121" i="9"/>
  <c r="AB120" i="9"/>
  <c r="AC119" i="9"/>
  <c r="B119" i="9"/>
  <c r="C140" i="9"/>
  <c r="U153" i="9"/>
  <c r="C170" i="9" s="1"/>
  <c r="R141" i="9"/>
  <c r="M140" i="9"/>
  <c r="AD139" i="9"/>
  <c r="I138" i="9"/>
  <c r="O137" i="9"/>
  <c r="M136" i="9"/>
  <c r="AD135" i="9"/>
  <c r="Z134" i="9"/>
  <c r="M133" i="9"/>
  <c r="B124" i="9"/>
  <c r="G123" i="9"/>
  <c r="I167" i="9" s="1"/>
  <c r="N122" i="9"/>
  <c r="P166" i="9" s="1"/>
  <c r="P121" i="9"/>
  <c r="R165" i="9" s="1"/>
  <c r="V120" i="9"/>
  <c r="U119" i="9"/>
  <c r="T151" i="9"/>
  <c r="U148" i="9"/>
  <c r="C165" i="9" s="1"/>
  <c r="Q141" i="9"/>
  <c r="H140" i="9"/>
  <c r="AC139" i="9"/>
  <c r="H138" i="9"/>
  <c r="J137" i="9"/>
  <c r="H136" i="9"/>
  <c r="AB135" i="9"/>
  <c r="Y134" i="9"/>
  <c r="K133" i="9"/>
  <c r="D123" i="9"/>
  <c r="J122" i="9"/>
  <c r="L166" i="9" s="1"/>
  <c r="O121" i="9"/>
  <c r="P120" i="9"/>
  <c r="T119" i="9"/>
  <c r="E141" i="9"/>
  <c r="S139" i="9"/>
  <c r="G137" i="9"/>
  <c r="V135" i="9"/>
  <c r="AB127" i="9"/>
  <c r="AB126" i="9"/>
  <c r="AD170" i="9" s="1"/>
  <c r="W125" i="9"/>
  <c r="AD123" i="9"/>
  <c r="B123" i="9"/>
  <c r="G122" i="9"/>
  <c r="L120" i="9"/>
  <c r="P119" i="9"/>
  <c r="D141" i="9"/>
  <c r="Q139" i="9"/>
  <c r="AE138" i="9"/>
  <c r="F137" i="9"/>
  <c r="Q135" i="9"/>
  <c r="Q134" i="9"/>
  <c r="AA127" i="9"/>
  <c r="AA126" i="9"/>
  <c r="V125" i="9"/>
  <c r="Y124" i="9"/>
  <c r="AC123" i="9"/>
  <c r="AE167" i="9" s="1"/>
  <c r="B122" i="9"/>
  <c r="H121" i="9"/>
  <c r="J120" i="9"/>
  <c r="O119" i="9"/>
  <c r="O139" i="9"/>
  <c r="AC138" i="9"/>
  <c r="E137" i="9"/>
  <c r="N135" i="9"/>
  <c r="K134" i="9"/>
  <c r="AE133" i="9"/>
  <c r="Y127" i="9"/>
  <c r="AA171" i="9" s="1"/>
  <c r="S126" i="9"/>
  <c r="T125" i="9"/>
  <c r="X124" i="9"/>
  <c r="Z168" i="9" s="1"/>
  <c r="AA123" i="9"/>
  <c r="AC167" i="9" s="1"/>
  <c r="AB122" i="9"/>
  <c r="C121" i="9"/>
  <c r="E165" i="9" s="1"/>
  <c r="I120" i="9"/>
  <c r="K164" i="9" s="1"/>
  <c r="H119" i="9"/>
  <c r="P141" i="9"/>
  <c r="E140" i="9"/>
  <c r="AB139" i="9"/>
  <c r="I137" i="9"/>
  <c r="C136" i="9"/>
  <c r="AA135" i="9"/>
  <c r="T134" i="9"/>
  <c r="B133" i="9"/>
  <c r="AD126" i="9"/>
  <c r="AB125" i="9"/>
  <c r="AD169" i="9" s="1"/>
  <c r="AD124" i="9"/>
  <c r="AF168" i="9" s="1"/>
  <c r="H122" i="9"/>
  <c r="J166" i="9" s="1"/>
  <c r="M121" i="9"/>
  <c r="N120" i="9"/>
  <c r="Q119" i="9"/>
  <c r="D140" i="9"/>
  <c r="R134" i="9"/>
  <c r="AB124" i="9"/>
  <c r="I121" i="9"/>
  <c r="K165" i="9" s="1"/>
  <c r="AV22" i="9"/>
  <c r="BA156" i="9" s="1"/>
  <c r="AU22" i="9"/>
  <c r="AZ156" i="9" s="1"/>
  <c r="BD22" i="9"/>
  <c r="BD154" i="9" s="1"/>
  <c r="AY22" i="9"/>
  <c r="BD156" i="9" s="1"/>
  <c r="AX22" i="9"/>
  <c r="BC156" i="9" s="1"/>
  <c r="AW22" i="9"/>
  <c r="BB156" i="9" s="1"/>
  <c r="AB121" i="9"/>
  <c r="N124" i="9"/>
  <c r="O127" i="9"/>
  <c r="M135" i="9"/>
  <c r="J139" i="9"/>
  <c r="X141" i="9"/>
  <c r="AC121" i="9"/>
  <c r="AE165" i="9" s="1"/>
  <c r="P124" i="9"/>
  <c r="Q127" i="9"/>
  <c r="S171" i="9" s="1"/>
  <c r="M139" i="9"/>
  <c r="AE121" i="9"/>
  <c r="AG165" i="9" s="1"/>
  <c r="V124" i="9"/>
  <c r="W127" i="9"/>
  <c r="R138" i="9"/>
  <c r="C119" i="9"/>
  <c r="V138" i="9"/>
  <c r="K151" i="9"/>
  <c r="H147" i="9"/>
  <c r="B151" i="9"/>
  <c r="E147" i="9"/>
  <c r="E146" i="9"/>
  <c r="E148" i="9" s="1"/>
  <c r="AV20" i="9"/>
  <c r="AO156" i="9" s="1"/>
  <c r="E119" i="9"/>
  <c r="W122" i="9"/>
  <c r="H125" i="9"/>
  <c r="U133" i="9"/>
  <c r="X136" i="9"/>
  <c r="AB138" i="9"/>
  <c r="G119" i="9"/>
  <c r="AO130" i="9"/>
  <c r="Y122" i="9"/>
  <c r="AA166" i="9" s="1"/>
  <c r="R125" i="9"/>
  <c r="Z136" i="9"/>
  <c r="AA122" i="9"/>
  <c r="AC166" i="9" s="1"/>
  <c r="S125" i="9"/>
  <c r="U169" i="9" s="1"/>
  <c r="AD133" i="9"/>
  <c r="AA136" i="9"/>
  <c r="BA151" i="9"/>
  <c r="B146" i="9"/>
  <c r="Z133" i="9"/>
  <c r="B120" i="9"/>
  <c r="AB137" i="9"/>
  <c r="G120" i="9"/>
  <c r="I164" i="9" s="1"/>
  <c r="P123" i="9"/>
  <c r="BA130" i="9"/>
  <c r="M126" i="9"/>
  <c r="O170" i="9" s="1"/>
  <c r="D134" i="9"/>
  <c r="AB140" i="9"/>
  <c r="AC120" i="9"/>
  <c r="U123" i="9"/>
  <c r="N126" i="9"/>
  <c r="P170" i="9" s="1"/>
  <c r="G134" i="9"/>
  <c r="AC140" i="9"/>
  <c r="Q153" i="9"/>
  <c r="N153" i="9"/>
  <c r="K153" i="9"/>
  <c r="N150" i="9"/>
  <c r="B149" i="9"/>
  <c r="H146" i="9"/>
  <c r="H148" i="9" s="1"/>
  <c r="K152" i="9"/>
  <c r="Q149" i="9"/>
  <c r="B148" i="9"/>
  <c r="Q150" i="9"/>
  <c r="B147" i="9"/>
  <c r="Q152" i="9"/>
  <c r="K150" i="9"/>
  <c r="B150" i="9"/>
  <c r="N151" i="9"/>
  <c r="AV16" i="9"/>
  <c r="AU135" i="9" s="1"/>
  <c r="AU16" i="9"/>
  <c r="AT135" i="9" s="1"/>
  <c r="BD16" i="9"/>
  <c r="AX133" i="9" s="1"/>
  <c r="BC17" i="9"/>
  <c r="BC133" i="9" s="1"/>
  <c r="C123" i="9"/>
  <c r="Q151" i="9"/>
  <c r="BD15" i="9"/>
  <c r="AR133" i="9" s="1"/>
  <c r="AY15" i="9"/>
  <c r="AR135" i="9" s="1"/>
  <c r="AU15" i="9"/>
  <c r="AN135" i="9" s="1"/>
  <c r="AW18" i="9"/>
  <c r="BH135" i="9" s="1"/>
  <c r="AU18" i="9"/>
  <c r="BF135" i="9" s="1"/>
  <c r="BD21" i="9"/>
  <c r="AX154" i="9" s="1"/>
  <c r="AW21" i="9"/>
  <c r="AV156" i="9" s="1"/>
  <c r="AV21" i="9"/>
  <c r="AU156" i="9" s="1"/>
  <c r="BA22" i="9"/>
  <c r="BA154" i="9" s="1"/>
  <c r="BA20" i="9"/>
  <c r="AO154" i="9" s="1"/>
  <c r="BA15" i="9"/>
  <c r="AO133" i="9" s="1"/>
  <c r="BA19" i="9"/>
  <c r="AI154" i="9" s="1"/>
  <c r="BA23" i="9"/>
  <c r="BG154" i="9" s="1"/>
  <c r="AZ16" i="9"/>
  <c r="AT133" i="9" s="1"/>
  <c r="BB17" i="9"/>
  <c r="BB133" i="9" s="1"/>
  <c r="AY21" i="9"/>
  <c r="AX156" i="9" s="1"/>
  <c r="AY23" i="9"/>
  <c r="BJ156" i="9" s="1"/>
  <c r="AX23" i="9"/>
  <c r="BI156" i="9" s="1"/>
  <c r="AW23" i="9"/>
  <c r="BH156" i="9" s="1"/>
  <c r="AV23" i="9"/>
  <c r="BG156" i="9" s="1"/>
  <c r="BD23" i="9"/>
  <c r="BJ154" i="9" s="1"/>
  <c r="AZ18" i="9"/>
  <c r="BF133" i="9" s="1"/>
  <c r="BC14" i="9"/>
  <c r="AK133" i="9" s="1"/>
  <c r="AV15" i="9"/>
  <c r="AO135" i="9" s="1"/>
  <c r="BA18" i="9"/>
  <c r="BG133" i="9" s="1"/>
  <c r="V137" i="9"/>
  <c r="X167" i="9" s="1"/>
  <c r="R123" i="9"/>
  <c r="U137" i="9"/>
  <c r="Q123" i="9"/>
  <c r="S167" i="9" s="1"/>
  <c r="T137" i="9"/>
  <c r="M137" i="9"/>
  <c r="AE123" i="9"/>
  <c r="AG167" i="9" s="1"/>
  <c r="M123" i="9"/>
  <c r="O167" i="9" s="1"/>
  <c r="AC137" i="9"/>
  <c r="H137" i="9"/>
  <c r="AB123" i="9"/>
  <c r="E123" i="9"/>
  <c r="AW15" i="9"/>
  <c r="AP135" i="9" s="1"/>
  <c r="BC22" i="9"/>
  <c r="BC154" i="9" s="1"/>
  <c r="AA119" i="9"/>
  <c r="W120" i="9"/>
  <c r="S121" i="9"/>
  <c r="O122" i="9"/>
  <c r="H123" i="9"/>
  <c r="J167" i="9" s="1"/>
  <c r="I124" i="9"/>
  <c r="K168" i="9" s="1"/>
  <c r="D125" i="9"/>
  <c r="C126" i="9"/>
  <c r="D127" i="9"/>
  <c r="N133" i="9"/>
  <c r="AD134" i="9"/>
  <c r="N136" i="9"/>
  <c r="S137" i="9"/>
  <c r="J138" i="9"/>
  <c r="P140" i="9"/>
  <c r="R170" i="9" s="1"/>
  <c r="N152" i="9"/>
  <c r="X119" i="9"/>
  <c r="J119" i="9"/>
  <c r="W121" i="9"/>
  <c r="J121" i="9"/>
  <c r="AD120" i="9"/>
  <c r="AF164" i="9" s="1"/>
  <c r="Q120" i="9"/>
  <c r="D120" i="9"/>
  <c r="V119" i="9"/>
  <c r="I119" i="9"/>
  <c r="O141" i="9"/>
  <c r="V140" i="9"/>
  <c r="B140" i="9"/>
  <c r="Z139" i="9"/>
  <c r="C139" i="9"/>
  <c r="Z138" i="9"/>
  <c r="D138" i="9"/>
  <c r="L136" i="9"/>
  <c r="Z135" i="9"/>
  <c r="C135" i="9"/>
  <c r="N134" i="9"/>
  <c r="AC133" i="9"/>
  <c r="F133" i="9"/>
  <c r="M127" i="9"/>
  <c r="W126" i="9"/>
  <c r="Y170" i="9" s="1"/>
  <c r="B126" i="9"/>
  <c r="M125" i="9"/>
  <c r="O169" i="9" s="1"/>
  <c r="AA124" i="9"/>
  <c r="H124" i="9"/>
  <c r="L122" i="9"/>
  <c r="N166" i="9" s="1"/>
  <c r="AA121" i="9"/>
  <c r="AC165" i="9" s="1"/>
  <c r="E121" i="9"/>
  <c r="U120" i="9"/>
  <c r="AE119" i="9"/>
  <c r="N119" i="9"/>
  <c r="U147" i="9"/>
  <c r="C164" i="9" s="1"/>
  <c r="N141" i="9"/>
  <c r="S140" i="9"/>
  <c r="Y139" i="9"/>
  <c r="B139" i="9"/>
  <c r="X138" i="9"/>
  <c r="C138" i="9"/>
  <c r="AD136" i="9"/>
  <c r="K136" i="9"/>
  <c r="Y135" i="9"/>
  <c r="B135" i="9"/>
  <c r="M134" i="9"/>
  <c r="AB133" i="9"/>
  <c r="E133" i="9"/>
  <c r="AE127" i="9"/>
  <c r="AG171" i="9" s="1"/>
  <c r="L127" i="9"/>
  <c r="V126" i="9"/>
  <c r="L125" i="9"/>
  <c r="N169" i="9" s="1"/>
  <c r="Z124" i="9"/>
  <c r="AB168" i="9" s="1"/>
  <c r="C124" i="9"/>
  <c r="E168" i="9" s="1"/>
  <c r="K122" i="9"/>
  <c r="M166" i="9" s="1"/>
  <c r="Z121" i="9"/>
  <c r="D121" i="9"/>
  <c r="F165" i="9" s="1"/>
  <c r="T120" i="9"/>
  <c r="V164" i="9" s="1"/>
  <c r="AD119" i="9"/>
  <c r="M119" i="9"/>
  <c r="T147" i="9"/>
  <c r="L141" i="9"/>
  <c r="R140" i="9"/>
  <c r="T139" i="9"/>
  <c r="W138" i="9"/>
  <c r="AB136" i="9"/>
  <c r="I136" i="9"/>
  <c r="X135" i="9"/>
  <c r="L134" i="9"/>
  <c r="AA133" i="9"/>
  <c r="AA142" i="9" s="1"/>
  <c r="C133" i="9"/>
  <c r="AC127" i="9"/>
  <c r="J127" i="9"/>
  <c r="L171" i="9" s="1"/>
  <c r="T126" i="9"/>
  <c r="V170" i="9" s="1"/>
  <c r="I125" i="9"/>
  <c r="AD141" i="9"/>
  <c r="B141" i="9"/>
  <c r="O140" i="9"/>
  <c r="P139" i="9"/>
  <c r="Q138" i="9"/>
  <c r="Y136" i="9"/>
  <c r="B136" i="9"/>
  <c r="P135" i="9"/>
  <c r="AB134" i="9"/>
  <c r="F134" i="9"/>
  <c r="S133" i="9"/>
  <c r="Z127" i="9"/>
  <c r="C127" i="9"/>
  <c r="O126" i="9"/>
  <c r="AA125" i="9"/>
  <c r="F125" i="9"/>
  <c r="H169" i="9" s="1"/>
  <c r="Q124" i="9"/>
  <c r="S168" i="9" s="1"/>
  <c r="X122" i="9"/>
  <c r="Z166" i="9" s="1"/>
  <c r="F122" i="9"/>
  <c r="H166" i="9" s="1"/>
  <c r="Q121" i="9"/>
  <c r="K120" i="9"/>
  <c r="M164" i="9" s="1"/>
  <c r="Z119" i="9"/>
  <c r="D119" i="9"/>
  <c r="T141" i="9"/>
  <c r="AD140" i="9"/>
  <c r="G140" i="9"/>
  <c r="AE139" i="9"/>
  <c r="L139" i="9"/>
  <c r="K138" i="9"/>
  <c r="Q136" i="9"/>
  <c r="L135" i="9"/>
  <c r="U134" i="9"/>
  <c r="O133" i="9"/>
  <c r="R127" i="9"/>
  <c r="I126" i="9"/>
  <c r="K170" i="9" s="1"/>
  <c r="U125" i="9"/>
  <c r="M124" i="9"/>
  <c r="O168" i="9" s="1"/>
  <c r="T122" i="9"/>
  <c r="N121" i="9"/>
  <c r="P165" i="9" s="1"/>
  <c r="Y120" i="9"/>
  <c r="H120" i="9"/>
  <c r="R119" i="9"/>
  <c r="AX15" i="9"/>
  <c r="AQ135" i="9" s="1"/>
  <c r="AY17" i="9"/>
  <c r="BD135" i="9" s="1"/>
  <c r="AX17" i="9"/>
  <c r="BC135" i="9" s="1"/>
  <c r="AU17" i="9"/>
  <c r="AZ135" i="9" s="1"/>
  <c r="BD17" i="9"/>
  <c r="BD133" i="9" s="1"/>
  <c r="AW17" i="9"/>
  <c r="BB135" i="9" s="1"/>
  <c r="AZ19" i="9"/>
  <c r="AH154" i="9" s="1"/>
  <c r="AX21" i="9"/>
  <c r="AW156" i="9" s="1"/>
  <c r="AU23" i="9"/>
  <c r="BF156" i="9" s="1"/>
  <c r="AB119" i="9"/>
  <c r="X120" i="9"/>
  <c r="U121" i="9"/>
  <c r="S122" i="9"/>
  <c r="N123" i="9"/>
  <c r="J124" i="9"/>
  <c r="E125" i="9"/>
  <c r="G169" i="9" s="1"/>
  <c r="F126" i="9"/>
  <c r="H170" i="9" s="1"/>
  <c r="I127" i="9"/>
  <c r="P133" i="9"/>
  <c r="AE134" i="9"/>
  <c r="P136" i="9"/>
  <c r="W137" i="9"/>
  <c r="L138" i="9"/>
  <c r="Q140" i="9"/>
  <c r="AC141" i="9"/>
  <c r="K149" i="9"/>
  <c r="BB22" i="9"/>
  <c r="BB154" i="9" s="1"/>
  <c r="BB15" i="9"/>
  <c r="AP133" i="9" s="1"/>
  <c r="AW16" i="9"/>
  <c r="AV135" i="9" s="1"/>
  <c r="BB19" i="9"/>
  <c r="AJ154" i="9" s="1"/>
  <c r="AZ23" i="9"/>
  <c r="BF154" i="9" s="1"/>
  <c r="V122" i="9"/>
  <c r="X166" i="9" s="1"/>
  <c r="O123" i="9"/>
  <c r="Q167" i="9" s="1"/>
  <c r="L124" i="9"/>
  <c r="N168" i="9" s="1"/>
  <c r="G125" i="9"/>
  <c r="I169" i="9" s="1"/>
  <c r="H126" i="9"/>
  <c r="J170" i="9" s="1"/>
  <c r="N127" i="9"/>
  <c r="P171" i="9" s="1"/>
  <c r="Q133" i="9"/>
  <c r="H135" i="9"/>
  <c r="W136" i="9"/>
  <c r="X137" i="9"/>
  <c r="O138" i="9"/>
  <c r="E139" i="9"/>
  <c r="W140" i="9"/>
  <c r="AE141" i="9"/>
  <c r="N149" i="9"/>
  <c r="AX14" i="9"/>
  <c r="AK135" i="9" s="1"/>
  <c r="AY20" i="9"/>
  <c r="AR156" i="9" s="1"/>
  <c r="AX20" i="9"/>
  <c r="AQ156" i="9" s="1"/>
  <c r="AW20" i="9"/>
  <c r="AP156" i="9" s="1"/>
  <c r="BA21" i="9"/>
  <c r="AU154" i="9" s="1"/>
  <c r="BB18" i="9"/>
  <c r="BH133" i="9" s="1"/>
  <c r="BC15" i="9"/>
  <c r="AQ133" i="9" s="1"/>
  <c r="AZ14" i="9"/>
  <c r="AH133" i="9" s="1"/>
  <c r="AZ20" i="9"/>
  <c r="AN154" i="9" s="1"/>
  <c r="AZ22" i="9"/>
  <c r="AZ154" i="9" s="1"/>
  <c r="AW14" i="9"/>
  <c r="AJ135" i="9" s="1"/>
  <c r="U151" i="9"/>
  <c r="C168" i="9" s="1"/>
  <c r="Y141" i="9"/>
  <c r="M141" i="9"/>
  <c r="U140" i="9"/>
  <c r="I140" i="9"/>
  <c r="W139" i="9"/>
  <c r="K139" i="9"/>
  <c r="Y138" i="9"/>
  <c r="M138" i="9"/>
  <c r="Z137" i="9"/>
  <c r="N137" i="9"/>
  <c r="B137" i="9"/>
  <c r="V136" i="9"/>
  <c r="J136" i="9"/>
  <c r="AE135" i="9"/>
  <c r="S135" i="9"/>
  <c r="G135" i="9"/>
  <c r="AA134" i="9"/>
  <c r="O134" i="9"/>
  <c r="C134" i="9"/>
  <c r="X133" i="9"/>
  <c r="L133" i="9"/>
  <c r="T127" i="9"/>
  <c r="V171" i="9" s="1"/>
  <c r="H127" i="9"/>
  <c r="J171" i="9" s="1"/>
  <c r="AC126" i="9"/>
  <c r="AE170" i="9" s="1"/>
  <c r="Q126" i="9"/>
  <c r="E126" i="9"/>
  <c r="G170" i="9" s="1"/>
  <c r="Z125" i="9"/>
  <c r="N125" i="9"/>
  <c r="B125" i="9"/>
  <c r="W124" i="9"/>
  <c r="Y168" i="9" s="1"/>
  <c r="K124" i="9"/>
  <c r="M168" i="9" s="1"/>
  <c r="T123" i="9"/>
  <c r="U154" i="9"/>
  <c r="C171" i="9" s="1"/>
  <c r="U149" i="9"/>
  <c r="C166" i="9" s="1"/>
  <c r="W141" i="9"/>
  <c r="J141" i="9"/>
  <c r="T154" i="9"/>
  <c r="T149" i="9"/>
  <c r="U146" i="9"/>
  <c r="V141" i="9"/>
  <c r="I141" i="9"/>
  <c r="T146" i="9"/>
  <c r="U141" i="9"/>
  <c r="H141" i="9"/>
  <c r="AA140" i="9"/>
  <c r="N140" i="9"/>
  <c r="AA139" i="9"/>
  <c r="N139" i="9"/>
  <c r="AA138" i="9"/>
  <c r="N138" i="9"/>
  <c r="Y137" i="9"/>
  <c r="L137" i="9"/>
  <c r="AE136" i="9"/>
  <c r="R136" i="9"/>
  <c r="E136" i="9"/>
  <c r="W135" i="9"/>
  <c r="J135" i="9"/>
  <c r="AC134" i="9"/>
  <c r="P134" i="9"/>
  <c r="B134" i="9"/>
  <c r="T133" i="9"/>
  <c r="G133" i="9"/>
  <c r="X127" i="9"/>
  <c r="Z171" i="9" s="1"/>
  <c r="K127" i="9"/>
  <c r="AE126" i="9"/>
  <c r="AG170" i="9" s="1"/>
  <c r="R126" i="9"/>
  <c r="T170" i="9" s="1"/>
  <c r="D126" i="9"/>
  <c r="F170" i="9" s="1"/>
  <c r="X125" i="9"/>
  <c r="K125" i="9"/>
  <c r="AE124" i="9"/>
  <c r="AG168" i="9" s="1"/>
  <c r="R124" i="9"/>
  <c r="T168" i="9" s="1"/>
  <c r="E124" i="9"/>
  <c r="Y123" i="9"/>
  <c r="L123" i="9"/>
  <c r="N167" i="9" s="1"/>
  <c r="U122" i="9"/>
  <c r="W166" i="9" s="1"/>
  <c r="I122" i="9"/>
  <c r="K166" i="9" s="1"/>
  <c r="AD121" i="9"/>
  <c r="AF165" i="9" s="1"/>
  <c r="R121" i="9"/>
  <c r="T165" i="9" s="1"/>
  <c r="F121" i="9"/>
  <c r="H165" i="9" s="1"/>
  <c r="AA120" i="9"/>
  <c r="O120" i="9"/>
  <c r="C120" i="9"/>
  <c r="W119" i="9"/>
  <c r="K119" i="9"/>
  <c r="AZ15" i="9"/>
  <c r="AN133" i="9" s="1"/>
  <c r="AY19" i="9"/>
  <c r="AL156" i="9" s="1"/>
  <c r="BC19" i="9"/>
  <c r="AK154" i="9" s="1"/>
  <c r="F119" i="9"/>
  <c r="S119" i="9"/>
  <c r="M120" i="9"/>
  <c r="O164" i="9" s="1"/>
  <c r="Z120" i="9"/>
  <c r="AB164" i="9" s="1"/>
  <c r="G121" i="9"/>
  <c r="T121" i="9"/>
  <c r="V165" i="9" s="1"/>
  <c r="M122" i="9"/>
  <c r="O166" i="9" s="1"/>
  <c r="Z122" i="9"/>
  <c r="F123" i="9"/>
  <c r="S123" i="9"/>
  <c r="O124" i="9"/>
  <c r="Q168" i="9" s="1"/>
  <c r="AC124" i="9"/>
  <c r="J125" i="9"/>
  <c r="L169" i="9" s="1"/>
  <c r="Y125" i="9"/>
  <c r="G126" i="9"/>
  <c r="I170" i="9" s="1"/>
  <c r="U126" i="9"/>
  <c r="W170" i="9" s="1"/>
  <c r="B127" i="9"/>
  <c r="P127" i="9"/>
  <c r="R171" i="9" s="1"/>
  <c r="AD127" i="9"/>
  <c r="AF171" i="9" s="1"/>
  <c r="D133" i="9"/>
  <c r="R133" i="9"/>
  <c r="E134" i="9"/>
  <c r="S134" i="9"/>
  <c r="O135" i="9"/>
  <c r="AC135" i="9"/>
  <c r="O136" i="9"/>
  <c r="AC136" i="9"/>
  <c r="K137" i="9"/>
  <c r="AA137" i="9"/>
  <c r="B138" i="9"/>
  <c r="P138" i="9"/>
  <c r="AD138" i="9"/>
  <c r="D139" i="9"/>
  <c r="R139" i="9"/>
  <c r="F140" i="9"/>
  <c r="T140" i="9"/>
  <c r="C141" i="9"/>
  <c r="S141" i="9"/>
  <c r="T148" i="9"/>
  <c r="C122" i="9"/>
  <c r="E166" i="9" s="1"/>
  <c r="P122" i="9"/>
  <c r="AC122" i="9"/>
  <c r="I123" i="9"/>
  <c r="W123" i="9"/>
  <c r="Y167" i="9" s="1"/>
  <c r="D124" i="9"/>
  <c r="F168" i="9" s="1"/>
  <c r="S124" i="9"/>
  <c r="O125" i="9"/>
  <c r="Q169" i="9" s="1"/>
  <c r="AC125" i="9"/>
  <c r="AE169" i="9" s="1"/>
  <c r="J126" i="9"/>
  <c r="L170" i="9" s="1"/>
  <c r="X126" i="9"/>
  <c r="Z170" i="9" s="1"/>
  <c r="E127" i="9"/>
  <c r="G171" i="9" s="1"/>
  <c r="S127" i="9"/>
  <c r="U171" i="9" s="1"/>
  <c r="H133" i="9"/>
  <c r="V133" i="9"/>
  <c r="H134" i="9"/>
  <c r="V134" i="9"/>
  <c r="D135" i="9"/>
  <c r="R135" i="9"/>
  <c r="D136" i="9"/>
  <c r="S136" i="9"/>
  <c r="P137" i="9"/>
  <c r="AD137" i="9"/>
  <c r="E138" i="9"/>
  <c r="S138" i="9"/>
  <c r="G139" i="9"/>
  <c r="U139" i="9"/>
  <c r="J140" i="9"/>
  <c r="X140" i="9"/>
  <c r="F141" i="9"/>
  <c r="Z141" i="9"/>
  <c r="T150" i="9"/>
  <c r="BB20" i="9"/>
  <c r="AP154" i="9" s="1"/>
  <c r="BB16" i="9"/>
  <c r="AV133" i="9" s="1"/>
  <c r="BA14" i="9"/>
  <c r="AI133" i="9" s="1"/>
  <c r="AV18" i="9"/>
  <c r="BG135" i="9" s="1"/>
  <c r="BC18" i="9"/>
  <c r="BI133" i="9" s="1"/>
  <c r="BB21" i="9"/>
  <c r="AV154" i="9" s="1"/>
  <c r="E120" i="9"/>
  <c r="G164" i="9" s="1"/>
  <c r="R120" i="9"/>
  <c r="T164" i="9" s="1"/>
  <c r="AE120" i="9"/>
  <c r="AG164" i="9" s="1"/>
  <c r="K121" i="9"/>
  <c r="M165" i="9" s="1"/>
  <c r="X121" i="9"/>
  <c r="Z165" i="9" s="1"/>
  <c r="D122" i="9"/>
  <c r="Q122" i="9"/>
  <c r="S166" i="9" s="1"/>
  <c r="AD122" i="9"/>
  <c r="J123" i="9"/>
  <c r="L167" i="9" s="1"/>
  <c r="X123" i="9"/>
  <c r="F124" i="9"/>
  <c r="H168" i="9" s="1"/>
  <c r="T124" i="9"/>
  <c r="P125" i="9"/>
  <c r="R169" i="9" s="1"/>
  <c r="AD125" i="9"/>
  <c r="AF169" i="9" s="1"/>
  <c r="K126" i="9"/>
  <c r="Y126" i="9"/>
  <c r="F127" i="9"/>
  <c r="U127" i="9"/>
  <c r="I133" i="9"/>
  <c r="W133" i="9"/>
  <c r="I134" i="9"/>
  <c r="W134" i="9"/>
  <c r="E135" i="9"/>
  <c r="T135" i="9"/>
  <c r="F136" i="9"/>
  <c r="T136" i="9"/>
  <c r="C137" i="9"/>
  <c r="Q137" i="9"/>
  <c r="AE137" i="9"/>
  <c r="F138" i="9"/>
  <c r="T138" i="9"/>
  <c r="H139" i="9"/>
  <c r="V139" i="9"/>
  <c r="K140" i="9"/>
  <c r="Y140" i="9"/>
  <c r="G141" i="9"/>
  <c r="AA141" i="9"/>
  <c r="U150" i="9"/>
  <c r="C167" i="9" s="1"/>
  <c r="T152" i="9"/>
  <c r="BB14" i="9"/>
  <c r="AJ133" i="9" s="1"/>
  <c r="AZ17" i="9"/>
  <c r="AZ133" i="9" s="1"/>
  <c r="BD18" i="9"/>
  <c r="BJ133" i="9" s="1"/>
  <c r="AU19" i="9"/>
  <c r="AH156" i="9" s="1"/>
  <c r="BC21" i="9"/>
  <c r="AW154" i="9" s="1"/>
  <c r="L119" i="9"/>
  <c r="Y119" i="9"/>
  <c r="F120" i="9"/>
  <c r="H164" i="9" s="1"/>
  <c r="S120" i="9"/>
  <c r="L121" i="9"/>
  <c r="Y121" i="9"/>
  <c r="AA165" i="9" s="1"/>
  <c r="E122" i="9"/>
  <c r="R122" i="9"/>
  <c r="AE122" i="9"/>
  <c r="K123" i="9"/>
  <c r="Z123" i="9"/>
  <c r="AB167" i="9" s="1"/>
  <c r="G124" i="9"/>
  <c r="U124" i="9"/>
  <c r="W168" i="9" s="1"/>
  <c r="C125" i="9"/>
  <c r="Q125" i="9"/>
  <c r="S169" i="9" s="1"/>
  <c r="AE125" i="9"/>
  <c r="L126" i="9"/>
  <c r="Z126" i="9"/>
  <c r="G127" i="9"/>
  <c r="I171" i="9" s="1"/>
  <c r="V127" i="9"/>
  <c r="X171" i="9" s="1"/>
  <c r="J133" i="9"/>
  <c r="Y133" i="9"/>
  <c r="J134" i="9"/>
  <c r="X134" i="9"/>
  <c r="F135" i="9"/>
  <c r="U135" i="9"/>
  <c r="G136" i="9"/>
  <c r="U136" i="9"/>
  <c r="D137" i="9"/>
  <c r="R137" i="9"/>
  <c r="G138" i="9"/>
  <c r="U138" i="9"/>
  <c r="I139" i="9"/>
  <c r="X139" i="9"/>
  <c r="L140" i="9"/>
  <c r="Z140" i="9"/>
  <c r="K141" i="9"/>
  <c r="AB141" i="9"/>
  <c r="AO151" i="9"/>
  <c r="U152" i="9"/>
  <c r="C169" i="9" s="1"/>
  <c r="T153" i="9"/>
  <c r="BD22" i="30"/>
  <c r="BD154" i="30" s="1"/>
  <c r="AY22" i="30"/>
  <c r="BD156" i="30" s="1"/>
  <c r="AX22" i="30"/>
  <c r="BC156" i="30" s="1"/>
  <c r="AW22" i="30"/>
  <c r="BB156" i="30" s="1"/>
  <c r="AV22" i="30"/>
  <c r="BA156" i="30" s="1"/>
  <c r="AU22" i="30"/>
  <c r="AZ156" i="30" s="1"/>
  <c r="U166" i="30"/>
  <c r="F170" i="30"/>
  <c r="S138" i="30"/>
  <c r="Q153" i="30"/>
  <c r="N149" i="30"/>
  <c r="N154" i="30" s="1"/>
  <c r="B148" i="30"/>
  <c r="Q151" i="30"/>
  <c r="B150" i="30"/>
  <c r="B149" i="30"/>
  <c r="Q150" i="30"/>
  <c r="N153" i="30"/>
  <c r="B147" i="30"/>
  <c r="K153" i="30"/>
  <c r="N150" i="30"/>
  <c r="Q149" i="30"/>
  <c r="N151" i="30"/>
  <c r="K149" i="30"/>
  <c r="K154" i="30" s="1"/>
  <c r="K151" i="30"/>
  <c r="K150" i="30"/>
  <c r="B146" i="30"/>
  <c r="Q152" i="30"/>
  <c r="K152" i="30"/>
  <c r="B151" i="30"/>
  <c r="H147" i="30"/>
  <c r="N152" i="30"/>
  <c r="E147" i="30"/>
  <c r="H146" i="30"/>
  <c r="E146" i="30"/>
  <c r="F120" i="30"/>
  <c r="H164" i="30" s="1"/>
  <c r="J168" i="30"/>
  <c r="AC141" i="30"/>
  <c r="J141" i="30"/>
  <c r="U140" i="30"/>
  <c r="T139" i="30"/>
  <c r="B139" i="30"/>
  <c r="AB138" i="30"/>
  <c r="D138" i="30"/>
  <c r="B137" i="30"/>
  <c r="J136" i="30"/>
  <c r="AB135" i="30"/>
  <c r="F135" i="30"/>
  <c r="T148" i="30"/>
  <c r="AB141" i="30"/>
  <c r="AA140" i="30"/>
  <c r="D139" i="30"/>
  <c r="R138" i="30"/>
  <c r="V137" i="30"/>
  <c r="X167" i="30" s="1"/>
  <c r="S136" i="30"/>
  <c r="B135" i="30"/>
  <c r="B134" i="30"/>
  <c r="AD133" i="30"/>
  <c r="C126" i="30"/>
  <c r="B125" i="30"/>
  <c r="F124" i="30"/>
  <c r="H168" i="30" s="1"/>
  <c r="O123" i="30"/>
  <c r="Q167" i="30" s="1"/>
  <c r="R122" i="30"/>
  <c r="T166" i="30" s="1"/>
  <c r="AC121" i="30"/>
  <c r="AB120" i="30"/>
  <c r="E120" i="30"/>
  <c r="B119" i="30"/>
  <c r="Y141" i="30"/>
  <c r="T140" i="30"/>
  <c r="L138" i="30"/>
  <c r="I136" i="30"/>
  <c r="Y133" i="30"/>
  <c r="AB127" i="30"/>
  <c r="AC126" i="30"/>
  <c r="D124" i="30"/>
  <c r="F168" i="30" s="1"/>
  <c r="J123" i="30"/>
  <c r="N122" i="30"/>
  <c r="S121" i="30"/>
  <c r="Z120" i="30"/>
  <c r="AA119" i="30"/>
  <c r="X141" i="30"/>
  <c r="P140" i="30"/>
  <c r="K138" i="30"/>
  <c r="Q137" i="30"/>
  <c r="H136" i="30"/>
  <c r="AE134" i="30"/>
  <c r="AE142" i="30" s="1"/>
  <c r="X133" i="30"/>
  <c r="X142" i="30" s="1"/>
  <c r="T127" i="30"/>
  <c r="Y126" i="30"/>
  <c r="AB124" i="30"/>
  <c r="C124" i="30"/>
  <c r="F123" i="30"/>
  <c r="M122" i="30"/>
  <c r="Y120" i="30"/>
  <c r="Z119" i="30"/>
  <c r="W141" i="30"/>
  <c r="Z139" i="30"/>
  <c r="B138" i="30"/>
  <c r="L137" i="30"/>
  <c r="G136" i="30"/>
  <c r="U134" i="30"/>
  <c r="Q133" i="30"/>
  <c r="S127" i="30"/>
  <c r="U171" i="30" s="1"/>
  <c r="W125" i="30"/>
  <c r="Y169" i="30" s="1"/>
  <c r="AA124" i="30"/>
  <c r="E123" i="30"/>
  <c r="P121" i="30"/>
  <c r="R165" i="30" s="1"/>
  <c r="X120" i="30"/>
  <c r="I120" i="30"/>
  <c r="T149" i="30"/>
  <c r="G141" i="30"/>
  <c r="P139" i="30"/>
  <c r="AB136" i="30"/>
  <c r="M135" i="30"/>
  <c r="H133" i="30"/>
  <c r="G127" i="30"/>
  <c r="N125" i="30"/>
  <c r="L124" i="30"/>
  <c r="N168" i="30" s="1"/>
  <c r="W123" i="30"/>
  <c r="Y167" i="30" s="1"/>
  <c r="F121" i="30"/>
  <c r="H165" i="30" s="1"/>
  <c r="N119" i="30"/>
  <c r="U154" i="30"/>
  <c r="C171" i="30" s="1"/>
  <c r="F141" i="30"/>
  <c r="K139" i="30"/>
  <c r="Z137" i="30"/>
  <c r="L135" i="30"/>
  <c r="M134" i="30"/>
  <c r="F127" i="30"/>
  <c r="Z141" i="30"/>
  <c r="Z140" i="30"/>
  <c r="Q138" i="30"/>
  <c r="S137" i="30"/>
  <c r="R136" i="30"/>
  <c r="AA133" i="30"/>
  <c r="AE127" i="30"/>
  <c r="AG171" i="30" s="1"/>
  <c r="B126" i="30"/>
  <c r="E124" i="30"/>
  <c r="K123" i="30"/>
  <c r="O122" i="30"/>
  <c r="W121" i="30"/>
  <c r="Y165" i="30" s="1"/>
  <c r="AA120" i="30"/>
  <c r="R121" i="30"/>
  <c r="T165" i="30" s="1"/>
  <c r="O140" i="30"/>
  <c r="AA135" i="30"/>
  <c r="V126" i="30"/>
  <c r="L122" i="30"/>
  <c r="X119" i="30"/>
  <c r="Z138" i="30"/>
  <c r="Y122" i="30"/>
  <c r="Y136" i="30"/>
  <c r="G133" i="30"/>
  <c r="M141" i="30"/>
  <c r="N140" i="30"/>
  <c r="X139" i="30"/>
  <c r="F137" i="30"/>
  <c r="F136" i="30"/>
  <c r="W135" i="30"/>
  <c r="T134" i="30"/>
  <c r="M133" i="30"/>
  <c r="M142" i="30" s="1"/>
  <c r="O127" i="30"/>
  <c r="U126" i="30"/>
  <c r="V125" i="30"/>
  <c r="X169" i="30" s="1"/>
  <c r="Z124" i="30"/>
  <c r="AB168" i="30" s="1"/>
  <c r="C122" i="30"/>
  <c r="E166" i="30" s="1"/>
  <c r="O121" i="30"/>
  <c r="U120" i="30"/>
  <c r="W164" i="30" s="1"/>
  <c r="W119" i="30"/>
  <c r="L141" i="30"/>
  <c r="M140" i="30"/>
  <c r="S139" i="30"/>
  <c r="E137" i="30"/>
  <c r="E136" i="30"/>
  <c r="V135" i="30"/>
  <c r="R134" i="30"/>
  <c r="K133" i="30"/>
  <c r="N127" i="30"/>
  <c r="P171" i="30" s="1"/>
  <c r="T126" i="30"/>
  <c r="V170" i="30" s="1"/>
  <c r="T125" i="30"/>
  <c r="V169" i="30" s="1"/>
  <c r="V124" i="30"/>
  <c r="X168" i="30" s="1"/>
  <c r="AA123" i="30"/>
  <c r="B122" i="30"/>
  <c r="I121" i="30"/>
  <c r="K165" i="30" s="1"/>
  <c r="N120" i="30"/>
  <c r="P164" i="30" s="1"/>
  <c r="Q119" i="30"/>
  <c r="I141" i="30"/>
  <c r="F140" i="30"/>
  <c r="R139" i="30"/>
  <c r="AE138" i="30"/>
  <c r="T135" i="30"/>
  <c r="P134" i="30"/>
  <c r="J133" i="30"/>
  <c r="M127" i="30"/>
  <c r="R126" i="30"/>
  <c r="S125" i="30"/>
  <c r="U169" i="30" s="1"/>
  <c r="U124" i="30"/>
  <c r="Y123" i="30"/>
  <c r="AA167" i="30" s="1"/>
  <c r="H121" i="30"/>
  <c r="M120" i="30"/>
  <c r="P119" i="30"/>
  <c r="U149" i="30"/>
  <c r="C166" i="30" s="1"/>
  <c r="H141" i="30"/>
  <c r="E140" i="30"/>
  <c r="G170" i="30" s="1"/>
  <c r="Q139" i="30"/>
  <c r="AD138" i="30"/>
  <c r="AC136" i="30"/>
  <c r="S135" i="30"/>
  <c r="O134" i="30"/>
  <c r="I133" i="30"/>
  <c r="L127" i="30"/>
  <c r="N126" i="30"/>
  <c r="P170" i="30" s="1"/>
  <c r="O125" i="30"/>
  <c r="Q124" i="30"/>
  <c r="X123" i="30"/>
  <c r="Z167" i="30" s="1"/>
  <c r="AE122" i="30"/>
  <c r="AG166" i="30" s="1"/>
  <c r="G121" i="30"/>
  <c r="I165" i="30" s="1"/>
  <c r="O119" i="30"/>
  <c r="N134" i="30"/>
  <c r="H126" i="30"/>
  <c r="J170" i="30" s="1"/>
  <c r="H120" i="30"/>
  <c r="J164" i="30" s="1"/>
  <c r="T138" i="30"/>
  <c r="AD121" i="30"/>
  <c r="I125" i="30"/>
  <c r="K169" i="30" s="1"/>
  <c r="E139" i="30"/>
  <c r="AE121" i="30"/>
  <c r="J125" i="30"/>
  <c r="AU23" i="30"/>
  <c r="BF156" i="30" s="1"/>
  <c r="BD23" i="30"/>
  <c r="BJ154" i="30" s="1"/>
  <c r="W137" i="30"/>
  <c r="AU15" i="30"/>
  <c r="AN135" i="30" s="1"/>
  <c r="BC22" i="30"/>
  <c r="BC154" i="30" s="1"/>
  <c r="AZ21" i="30"/>
  <c r="AT154" i="30" s="1"/>
  <c r="BC18" i="30"/>
  <c r="BI133" i="30" s="1"/>
  <c r="AZ17" i="30"/>
  <c r="AZ133" i="30" s="1"/>
  <c r="BC14" i="30"/>
  <c r="AK133" i="30" s="1"/>
  <c r="AZ22" i="30"/>
  <c r="AZ154" i="30" s="1"/>
  <c r="BA19" i="30"/>
  <c r="AI154" i="30" s="1"/>
  <c r="BB16" i="30"/>
  <c r="AV133" i="30" s="1"/>
  <c r="AZ19" i="30"/>
  <c r="AH154" i="30" s="1"/>
  <c r="BA16" i="30"/>
  <c r="AU133" i="30" s="1"/>
  <c r="BC20" i="30"/>
  <c r="AQ154" i="30" s="1"/>
  <c r="AZ16" i="30"/>
  <c r="AT133" i="30" s="1"/>
  <c r="BA22" i="30"/>
  <c r="BA154" i="30" s="1"/>
  <c r="AZ18" i="30"/>
  <c r="BF133" i="30" s="1"/>
  <c r="BC17" i="30"/>
  <c r="BC133" i="30" s="1"/>
  <c r="BB23" i="30"/>
  <c r="BH154" i="30" s="1"/>
  <c r="BB21" i="30"/>
  <c r="AV154" i="30" s="1"/>
  <c r="BB19" i="30"/>
  <c r="AJ154" i="30" s="1"/>
  <c r="BA15" i="30"/>
  <c r="AO133" i="30" s="1"/>
  <c r="AY15" i="30"/>
  <c r="AR135" i="30" s="1"/>
  <c r="AU19" i="30"/>
  <c r="AH156" i="30" s="1"/>
  <c r="BC21" i="30"/>
  <c r="AW154" i="30" s="1"/>
  <c r="AY14" i="30"/>
  <c r="AL135" i="30" s="1"/>
  <c r="AX14" i="30"/>
  <c r="AK135" i="30" s="1"/>
  <c r="AW14" i="30"/>
  <c r="AJ135" i="30" s="1"/>
  <c r="AZ15" i="30"/>
  <c r="AN133" i="30" s="1"/>
  <c r="AV19" i="30"/>
  <c r="AI156" i="30" s="1"/>
  <c r="BA130" i="30"/>
  <c r="AB123" i="30"/>
  <c r="AO151" i="30"/>
  <c r="AX23" i="30"/>
  <c r="BI156" i="30" s="1"/>
  <c r="AW18" i="30"/>
  <c r="BH135" i="30" s="1"/>
  <c r="AV18" i="30"/>
  <c r="BG135" i="30" s="1"/>
  <c r="AU18" i="30"/>
  <c r="BF135" i="30" s="1"/>
  <c r="AY18" i="30"/>
  <c r="BJ135" i="30" s="1"/>
  <c r="AX18" i="30"/>
  <c r="BI135" i="30" s="1"/>
  <c r="BD19" i="30"/>
  <c r="AL154" i="30" s="1"/>
  <c r="AY23" i="30"/>
  <c r="BJ156" i="30" s="1"/>
  <c r="AW16" i="30"/>
  <c r="AV135" i="30" s="1"/>
  <c r="AX16" i="30"/>
  <c r="AW135" i="30" s="1"/>
  <c r="AV16" i="30"/>
  <c r="AU135" i="30" s="1"/>
  <c r="AU16" i="30"/>
  <c r="AT135" i="30" s="1"/>
  <c r="AW19" i="30"/>
  <c r="AJ156" i="30" s="1"/>
  <c r="AV23" i="30"/>
  <c r="BG156" i="30" s="1"/>
  <c r="AY16" i="30"/>
  <c r="AX135" i="30" s="1"/>
  <c r="AW23" i="30"/>
  <c r="BH156" i="30" s="1"/>
  <c r="BC16" i="30"/>
  <c r="AW133" i="30" s="1"/>
  <c r="BC19" i="30"/>
  <c r="AK154" i="30" s="1"/>
  <c r="R137" i="30"/>
  <c r="AU14" i="30"/>
  <c r="AH135" i="30" s="1"/>
  <c r="AY20" i="30"/>
  <c r="AR156" i="30" s="1"/>
  <c r="AZ20" i="30"/>
  <c r="AN154" i="30" s="1"/>
  <c r="AZ23" i="30"/>
  <c r="BF154" i="30" s="1"/>
  <c r="BG151" i="30"/>
  <c r="BD20" i="30"/>
  <c r="AR154" i="30" s="1"/>
  <c r="C119" i="30"/>
  <c r="Y119" i="30"/>
  <c r="L120" i="30"/>
  <c r="N164" i="30" s="1"/>
  <c r="AC120" i="30"/>
  <c r="Q121" i="30"/>
  <c r="T122" i="30"/>
  <c r="V166" i="30" s="1"/>
  <c r="I123" i="30"/>
  <c r="K167" i="30" s="1"/>
  <c r="Z123" i="30"/>
  <c r="AB167" i="30" s="1"/>
  <c r="I124" i="30"/>
  <c r="U125" i="30"/>
  <c r="F126" i="30"/>
  <c r="H170" i="30" s="1"/>
  <c r="AD126" i="30"/>
  <c r="R127" i="30"/>
  <c r="L133" i="30"/>
  <c r="S134" i="30"/>
  <c r="G135" i="30"/>
  <c r="AC135" i="30"/>
  <c r="K136" i="30"/>
  <c r="C137" i="30"/>
  <c r="X137" i="30"/>
  <c r="E138" i="30"/>
  <c r="AC138" i="30"/>
  <c r="C139" i="30"/>
  <c r="U139" i="30"/>
  <c r="Y140" i="30"/>
  <c r="T153" i="30"/>
  <c r="T150" i="30"/>
  <c r="U146" i="30"/>
  <c r="AA141" i="30"/>
  <c r="O141" i="30"/>
  <c r="C141" i="30"/>
  <c r="W140" i="30"/>
  <c r="K140" i="30"/>
  <c r="Y139" i="30"/>
  <c r="M139" i="30"/>
  <c r="AA138" i="30"/>
  <c r="O138" i="30"/>
  <c r="C138" i="30"/>
  <c r="AB137" i="30"/>
  <c r="P137" i="30"/>
  <c r="D137" i="30"/>
  <c r="X136" i="30"/>
  <c r="Z166" i="30" s="1"/>
  <c r="L136" i="30"/>
  <c r="U135" i="30"/>
  <c r="I135" i="30"/>
  <c r="AC134" i="30"/>
  <c r="Q134" i="30"/>
  <c r="E134" i="30"/>
  <c r="Z133" i="30"/>
  <c r="N133" i="30"/>
  <c r="B133" i="30"/>
  <c r="V127" i="30"/>
  <c r="J127" i="30"/>
  <c r="AE126" i="30"/>
  <c r="AG170" i="30" s="1"/>
  <c r="S126" i="30"/>
  <c r="U170" i="30" s="1"/>
  <c r="G126" i="30"/>
  <c r="AB125" i="30"/>
  <c r="P125" i="30"/>
  <c r="R169" i="30" s="1"/>
  <c r="D125" i="30"/>
  <c r="F169" i="30" s="1"/>
  <c r="Y124" i="30"/>
  <c r="M124" i="30"/>
  <c r="T154" i="30"/>
  <c r="T152" i="30"/>
  <c r="U150" i="30"/>
  <c r="C167" i="30" s="1"/>
  <c r="U147" i="30"/>
  <c r="C164" i="30" s="1"/>
  <c r="AE141" i="30"/>
  <c r="R141" i="30"/>
  <c r="E141" i="30"/>
  <c r="X140" i="30"/>
  <c r="J140" i="30"/>
  <c r="W139" i="30"/>
  <c r="J139" i="30"/>
  <c r="W138" i="30"/>
  <c r="J138" i="30"/>
  <c r="U137" i="30"/>
  <c r="W167" i="30" s="1"/>
  <c r="H137" i="30"/>
  <c r="AA136" i="30"/>
  <c r="N136" i="30"/>
  <c r="AE135" i="30"/>
  <c r="R135" i="30"/>
  <c r="E135" i="30"/>
  <c r="X134" i="30"/>
  <c r="K134" i="30"/>
  <c r="AC133" i="30"/>
  <c r="P133" i="30"/>
  <c r="C133" i="30"/>
  <c r="AD127" i="30"/>
  <c r="Q127" i="30"/>
  <c r="D127" i="30"/>
  <c r="X126" i="30"/>
  <c r="Z170" i="30" s="1"/>
  <c r="K126" i="30"/>
  <c r="M170" i="30" s="1"/>
  <c r="AE125" i="30"/>
  <c r="R125" i="30"/>
  <c r="E125" i="30"/>
  <c r="X124" i="30"/>
  <c r="K124" i="30"/>
  <c r="T123" i="30"/>
  <c r="H123" i="30"/>
  <c r="J167" i="30" s="1"/>
  <c r="AC122" i="30"/>
  <c r="AE166" i="30" s="1"/>
  <c r="Q122" i="30"/>
  <c r="E122" i="30"/>
  <c r="G166" i="30" s="1"/>
  <c r="Z121" i="30"/>
  <c r="AB165" i="30" s="1"/>
  <c r="N121" i="30"/>
  <c r="P165" i="30" s="1"/>
  <c r="B121" i="30"/>
  <c r="W120" i="30"/>
  <c r="K120" i="30"/>
  <c r="AE119" i="30"/>
  <c r="S119" i="30"/>
  <c r="G119" i="30"/>
  <c r="T147" i="30"/>
  <c r="AD141" i="30"/>
  <c r="Q141" i="30"/>
  <c r="D141" i="30"/>
  <c r="V140" i="30"/>
  <c r="I140" i="30"/>
  <c r="V139" i="30"/>
  <c r="I139" i="30"/>
  <c r="V138" i="30"/>
  <c r="I138" i="30"/>
  <c r="T137" i="30"/>
  <c r="G137" i="30"/>
  <c r="Z136" i="30"/>
  <c r="M136" i="30"/>
  <c r="AD135" i="30"/>
  <c r="Q135" i="30"/>
  <c r="D135" i="30"/>
  <c r="W134" i="30"/>
  <c r="J134" i="30"/>
  <c r="AB133" i="30"/>
  <c r="O133" i="30"/>
  <c r="AC127" i="30"/>
  <c r="P127" i="30"/>
  <c r="C127" i="30"/>
  <c r="W126" i="30"/>
  <c r="Y170" i="30" s="1"/>
  <c r="J126" i="30"/>
  <c r="L170" i="30" s="1"/>
  <c r="AD125" i="30"/>
  <c r="Q125" i="30"/>
  <c r="C125" i="30"/>
  <c r="E169" i="30" s="1"/>
  <c r="W124" i="30"/>
  <c r="Y168" i="30" s="1"/>
  <c r="J124" i="30"/>
  <c r="AE123" i="30"/>
  <c r="S123" i="30"/>
  <c r="U167" i="30" s="1"/>
  <c r="G123" i="30"/>
  <c r="I167" i="30" s="1"/>
  <c r="AB122" i="30"/>
  <c r="AD166" i="30" s="1"/>
  <c r="P122" i="30"/>
  <c r="D122" i="30"/>
  <c r="F166" i="30" s="1"/>
  <c r="Y121" i="30"/>
  <c r="AA165" i="30" s="1"/>
  <c r="M121" i="30"/>
  <c r="V120" i="30"/>
  <c r="J120" i="30"/>
  <c r="L164" i="30" s="1"/>
  <c r="AD119" i="30"/>
  <c r="R119" i="30"/>
  <c r="F119" i="30"/>
  <c r="U153" i="30"/>
  <c r="C170" i="30" s="1"/>
  <c r="T151" i="30"/>
  <c r="U148" i="30"/>
  <c r="C165" i="30" s="1"/>
  <c r="T141" i="30"/>
  <c r="B141" i="30"/>
  <c r="S140" i="30"/>
  <c r="D140" i="30"/>
  <c r="AD139" i="30"/>
  <c r="O139" i="30"/>
  <c r="Y138" i="30"/>
  <c r="H138" i="30"/>
  <c r="AE137" i="30"/>
  <c r="O137" i="30"/>
  <c r="Q136" i="30"/>
  <c r="B136" i="30"/>
  <c r="Z135" i="30"/>
  <c r="K135" i="30"/>
  <c r="AA134" i="30"/>
  <c r="L134" i="30"/>
  <c r="U133" i="30"/>
  <c r="F133" i="30"/>
  <c r="Z127" i="30"/>
  <c r="AB171" i="30" s="1"/>
  <c r="K127" i="30"/>
  <c r="M171" i="30" s="1"/>
  <c r="AB126" i="30"/>
  <c r="M126" i="30"/>
  <c r="AC125" i="30"/>
  <c r="AE169" i="30" s="1"/>
  <c r="M125" i="30"/>
  <c r="O169" i="30" s="1"/>
  <c r="AE124" i="30"/>
  <c r="P124" i="30"/>
  <c r="R168" i="30" s="1"/>
  <c r="R123" i="30"/>
  <c r="T167" i="30" s="1"/>
  <c r="D123" i="30"/>
  <c r="W122" i="30"/>
  <c r="Y166" i="30" s="1"/>
  <c r="I122" i="30"/>
  <c r="K166" i="30" s="1"/>
  <c r="AB121" i="30"/>
  <c r="AD165" i="30" s="1"/>
  <c r="L121" i="30"/>
  <c r="R120" i="30"/>
  <c r="D120" i="30"/>
  <c r="F164" i="30" s="1"/>
  <c r="V119" i="30"/>
  <c r="H119" i="30"/>
  <c r="S141" i="30"/>
  <c r="R140" i="30"/>
  <c r="C140" i="30"/>
  <c r="AC139" i="30"/>
  <c r="N139" i="30"/>
  <c r="X138" i="30"/>
  <c r="G138" i="30"/>
  <c r="I168" i="30" s="1"/>
  <c r="AD137" i="30"/>
  <c r="N137" i="30"/>
  <c r="AE136" i="30"/>
  <c r="P136" i="30"/>
  <c r="Y135" i="30"/>
  <c r="J135" i="30"/>
  <c r="Z134" i="30"/>
  <c r="I134" i="30"/>
  <c r="T133" i="30"/>
  <c r="E133" i="30"/>
  <c r="Y127" i="30"/>
  <c r="AA171" i="30" s="1"/>
  <c r="I127" i="30"/>
  <c r="K171" i="30" s="1"/>
  <c r="AA126" i="30"/>
  <c r="L126" i="30"/>
  <c r="AA125" i="30"/>
  <c r="L125" i="30"/>
  <c r="AD124" i="30"/>
  <c r="AF168" i="30" s="1"/>
  <c r="O124" i="30"/>
  <c r="Q168" i="30" s="1"/>
  <c r="Q123" i="30"/>
  <c r="S167" i="30" s="1"/>
  <c r="C123" i="30"/>
  <c r="V122" i="30"/>
  <c r="H122" i="30"/>
  <c r="J166" i="30" s="1"/>
  <c r="AA121" i="30"/>
  <c r="AC165" i="30" s="1"/>
  <c r="K121" i="30"/>
  <c r="M165" i="30" s="1"/>
  <c r="AE120" i="30"/>
  <c r="Q120" i="30"/>
  <c r="C120" i="30"/>
  <c r="U119" i="30"/>
  <c r="E119" i="30"/>
  <c r="U152" i="30"/>
  <c r="C169" i="30" s="1"/>
  <c r="P141" i="30"/>
  <c r="Q140" i="30"/>
  <c r="B140" i="30"/>
  <c r="AB139" i="30"/>
  <c r="L139" i="30"/>
  <c r="U138" i="30"/>
  <c r="F138" i="30"/>
  <c r="AC137" i="30"/>
  <c r="M137" i="30"/>
  <c r="AD136" i="30"/>
  <c r="O136" i="30"/>
  <c r="X135" i="30"/>
  <c r="H135" i="30"/>
  <c r="Y134" i="30"/>
  <c r="H134" i="30"/>
  <c r="S133" i="30"/>
  <c r="D133" i="30"/>
  <c r="D142" i="30" s="1"/>
  <c r="X127" i="30"/>
  <c r="Z171" i="30" s="1"/>
  <c r="H127" i="30"/>
  <c r="J171" i="30" s="1"/>
  <c r="Z126" i="30"/>
  <c r="I126" i="30"/>
  <c r="Z125" i="30"/>
  <c r="K125" i="30"/>
  <c r="M169" i="30" s="1"/>
  <c r="AC124" i="30"/>
  <c r="AE168" i="30" s="1"/>
  <c r="N124" i="30"/>
  <c r="AD123" i="30"/>
  <c r="AF167" i="30" s="1"/>
  <c r="P123" i="30"/>
  <c r="R167" i="30" s="1"/>
  <c r="B123" i="30"/>
  <c r="U122" i="30"/>
  <c r="W166" i="30" s="1"/>
  <c r="G122" i="30"/>
  <c r="I166" i="30" s="1"/>
  <c r="X121" i="30"/>
  <c r="J121" i="30"/>
  <c r="AD120" i="30"/>
  <c r="P120" i="30"/>
  <c r="B120" i="30"/>
  <c r="T119" i="30"/>
  <c r="D119" i="30"/>
  <c r="BD17" i="30"/>
  <c r="BD133" i="30" s="1"/>
  <c r="AY19" i="30"/>
  <c r="AL156" i="30" s="1"/>
  <c r="AV20" i="30"/>
  <c r="AO156" i="30" s="1"/>
  <c r="AV21" i="30"/>
  <c r="AU156" i="30" s="1"/>
  <c r="AU21" i="30"/>
  <c r="AT156" i="30" s="1"/>
  <c r="K119" i="30"/>
  <c r="AB119" i="30"/>
  <c r="O120" i="30"/>
  <c r="C121" i="30"/>
  <c r="E165" i="30" s="1"/>
  <c r="T121" i="30"/>
  <c r="V165" i="30" s="1"/>
  <c r="F122" i="30"/>
  <c r="H166" i="30" s="1"/>
  <c r="Z122" i="30"/>
  <c r="AB166" i="30" s="1"/>
  <c r="L123" i="30"/>
  <c r="AC123" i="30"/>
  <c r="AE167" i="30" s="1"/>
  <c r="R124" i="30"/>
  <c r="T168" i="30" s="1"/>
  <c r="F125" i="30"/>
  <c r="X125" i="30"/>
  <c r="Z169" i="30" s="1"/>
  <c r="O126" i="30"/>
  <c r="U127" i="30"/>
  <c r="R133" i="30"/>
  <c r="C134" i="30"/>
  <c r="V134" i="30"/>
  <c r="N135" i="30"/>
  <c r="T136" i="30"/>
  <c r="I137" i="30"/>
  <c r="AA137" i="30"/>
  <c r="M138" i="30"/>
  <c r="F139" i="30"/>
  <c r="AA139" i="30"/>
  <c r="G140" i="30"/>
  <c r="AB140" i="30"/>
  <c r="N141" i="30"/>
  <c r="T146" i="30"/>
  <c r="AX15" i="30"/>
  <c r="AQ135" i="30" s="1"/>
  <c r="AW15" i="30"/>
  <c r="AP135" i="30" s="1"/>
  <c r="AV15" i="30"/>
  <c r="AO135" i="30" s="1"/>
  <c r="AX20" i="30"/>
  <c r="AQ156" i="30" s="1"/>
  <c r="L119" i="30"/>
  <c r="AC119" i="30"/>
  <c r="S120" i="30"/>
  <c r="U164" i="30" s="1"/>
  <c r="AI130" i="30"/>
  <c r="D121" i="30"/>
  <c r="U121" i="30"/>
  <c r="J122" i="30"/>
  <c r="AA122" i="30"/>
  <c r="M123" i="30"/>
  <c r="O167" i="30" s="1"/>
  <c r="S124" i="30"/>
  <c r="G125" i="30"/>
  <c r="Y125" i="30"/>
  <c r="AA169" i="30" s="1"/>
  <c r="P126" i="30"/>
  <c r="B127" i="30"/>
  <c r="W127" i="30"/>
  <c r="Y171" i="30" s="1"/>
  <c r="V133" i="30"/>
  <c r="V142" i="30" s="1"/>
  <c r="D134" i="30"/>
  <c r="AB134" i="30"/>
  <c r="O135" i="30"/>
  <c r="C136" i="30"/>
  <c r="U136" i="30"/>
  <c r="J137" i="30"/>
  <c r="N138" i="30"/>
  <c r="G139" i="30"/>
  <c r="AE139" i="30"/>
  <c r="H140" i="30"/>
  <c r="AC140" i="30"/>
  <c r="U141" i="30"/>
  <c r="M119" i="30"/>
  <c r="T120" i="30"/>
  <c r="E121" i="30"/>
  <c r="G165" i="30" s="1"/>
  <c r="V121" i="30"/>
  <c r="X165" i="30" s="1"/>
  <c r="K122" i="30"/>
  <c r="AD122" i="30"/>
  <c r="N123" i="30"/>
  <c r="P167" i="30" s="1"/>
  <c r="B124" i="30"/>
  <c r="T124" i="30"/>
  <c r="V168" i="30" s="1"/>
  <c r="H125" i="30"/>
  <c r="Q126" i="30"/>
  <c r="S170" i="30" s="1"/>
  <c r="E127" i="30"/>
  <c r="G171" i="30" s="1"/>
  <c r="AA127" i="30"/>
  <c r="W133" i="30"/>
  <c r="F134" i="30"/>
  <c r="AD134" i="30"/>
  <c r="P135" i="30"/>
  <c r="D136" i="30"/>
  <c r="V136" i="30"/>
  <c r="K137" i="30"/>
  <c r="P138" i="30"/>
  <c r="H139" i="30"/>
  <c r="L140" i="30"/>
  <c r="AD140" i="30"/>
  <c r="V141" i="30"/>
  <c r="BA151" i="30"/>
  <c r="U151" i="30"/>
  <c r="C168" i="30" s="1"/>
  <c r="AW20" i="30"/>
  <c r="AP156" i="30" s="1"/>
  <c r="AU151" i="30"/>
  <c r="BG130" i="30"/>
  <c r="AI151" i="30"/>
  <c r="AB119" i="29"/>
  <c r="G125" i="29"/>
  <c r="AX22" i="29"/>
  <c r="BC156" i="29" s="1"/>
  <c r="Z122" i="29"/>
  <c r="Z134" i="29"/>
  <c r="AZ16" i="29"/>
  <c r="AT133" i="29" s="1"/>
  <c r="BB14" i="29"/>
  <c r="AJ133" i="29" s="1"/>
  <c r="BB23" i="29"/>
  <c r="BH154" i="29" s="1"/>
  <c r="BB21" i="29"/>
  <c r="AV154" i="29" s="1"/>
  <c r="AZ14" i="29"/>
  <c r="AH133" i="29" s="1"/>
  <c r="BA20" i="29"/>
  <c r="AO154" i="29" s="1"/>
  <c r="BC22" i="29"/>
  <c r="BC154" i="29" s="1"/>
  <c r="BC19" i="29"/>
  <c r="AK154" i="29" s="1"/>
  <c r="BB22" i="29"/>
  <c r="BB154" i="29" s="1"/>
  <c r="BB19" i="29"/>
  <c r="AJ154" i="29" s="1"/>
  <c r="BC14" i="29"/>
  <c r="AK133" i="29" s="1"/>
  <c r="BA22" i="29"/>
  <c r="BA154" i="29" s="1"/>
  <c r="AZ19" i="29"/>
  <c r="AH154" i="29" s="1"/>
  <c r="BC17" i="29"/>
  <c r="BC133" i="29" s="1"/>
  <c r="AX20" i="29"/>
  <c r="AQ156" i="29" s="1"/>
  <c r="AW20" i="29"/>
  <c r="AP156" i="29" s="1"/>
  <c r="AV20" i="29"/>
  <c r="AO156" i="29" s="1"/>
  <c r="AU20" i="29"/>
  <c r="AN156" i="29" s="1"/>
  <c r="AY20" i="29"/>
  <c r="AR156" i="29" s="1"/>
  <c r="F119" i="29"/>
  <c r="AD119" i="29"/>
  <c r="AE121" i="29"/>
  <c r="M125" i="29"/>
  <c r="J126" i="29"/>
  <c r="L170" i="29" s="1"/>
  <c r="Y127" i="29"/>
  <c r="E133" i="29"/>
  <c r="AA134" i="29"/>
  <c r="AE136" i="29"/>
  <c r="M138" i="29"/>
  <c r="D139" i="29"/>
  <c r="B141" i="29"/>
  <c r="Q153" i="29"/>
  <c r="N149" i="29"/>
  <c r="B148" i="29"/>
  <c r="Q150" i="29"/>
  <c r="B149" i="29"/>
  <c r="B146" i="29"/>
  <c r="B152" i="29" s="1"/>
  <c r="N150" i="29"/>
  <c r="K153" i="29"/>
  <c r="Q151" i="29"/>
  <c r="Q154" i="29" s="1"/>
  <c r="K152" i="29"/>
  <c r="K149" i="29"/>
  <c r="B150" i="29"/>
  <c r="Q152" i="29"/>
  <c r="N152" i="29"/>
  <c r="H147" i="29"/>
  <c r="E147" i="29"/>
  <c r="E148" i="29" s="1"/>
  <c r="B147" i="29"/>
  <c r="AV14" i="29"/>
  <c r="AI135" i="29" s="1"/>
  <c r="AZ18" i="29"/>
  <c r="BF133" i="29" s="1"/>
  <c r="BD19" i="29"/>
  <c r="AL154" i="29" s="1"/>
  <c r="H119" i="29"/>
  <c r="E121" i="29"/>
  <c r="G165" i="29" s="1"/>
  <c r="B123" i="29"/>
  <c r="B124" i="29"/>
  <c r="N125" i="29"/>
  <c r="P169" i="29" s="1"/>
  <c r="Z126" i="29"/>
  <c r="Z127" i="29"/>
  <c r="AB171" i="29" s="1"/>
  <c r="F133" i="29"/>
  <c r="Z138" i="29"/>
  <c r="E139" i="29"/>
  <c r="D141" i="29"/>
  <c r="H146" i="29"/>
  <c r="H148" i="29" s="1"/>
  <c r="T150" i="29"/>
  <c r="U146" i="29"/>
  <c r="AA141" i="29"/>
  <c r="O141" i="29"/>
  <c r="C141" i="29"/>
  <c r="W140" i="29"/>
  <c r="K140" i="29"/>
  <c r="Y139" i="29"/>
  <c r="M139" i="29"/>
  <c r="AA138" i="29"/>
  <c r="O138" i="29"/>
  <c r="C138" i="29"/>
  <c r="AB137" i="29"/>
  <c r="P137" i="29"/>
  <c r="D137" i="29"/>
  <c r="X136" i="29"/>
  <c r="L136" i="29"/>
  <c r="U135" i="29"/>
  <c r="I135" i="29"/>
  <c r="AC134" i="29"/>
  <c r="Q134" i="29"/>
  <c r="E134" i="29"/>
  <c r="Z133" i="29"/>
  <c r="N133" i="29"/>
  <c r="B133" i="29"/>
  <c r="V127" i="29"/>
  <c r="X171" i="29" s="1"/>
  <c r="J127" i="29"/>
  <c r="AE126" i="29"/>
  <c r="S126" i="29"/>
  <c r="G126" i="29"/>
  <c r="AB125" i="29"/>
  <c r="P125" i="29"/>
  <c r="D125" i="29"/>
  <c r="Y124" i="29"/>
  <c r="AA168" i="29" s="1"/>
  <c r="M124" i="29"/>
  <c r="U153" i="29"/>
  <c r="C170" i="29" s="1"/>
  <c r="S141" i="29"/>
  <c r="F141" i="29"/>
  <c r="Y140" i="29"/>
  <c r="L140" i="29"/>
  <c r="X139" i="29"/>
  <c r="K139" i="29"/>
  <c r="X138" i="29"/>
  <c r="K138" i="29"/>
  <c r="V137" i="29"/>
  <c r="I137" i="29"/>
  <c r="AB136" i="29"/>
  <c r="O136" i="29"/>
  <c r="B136" i="29"/>
  <c r="S135" i="29"/>
  <c r="F135" i="29"/>
  <c r="Y134" i="29"/>
  <c r="L134" i="29"/>
  <c r="AD133" i="29"/>
  <c r="Q133" i="29"/>
  <c r="D133" i="29"/>
  <c r="AE127" i="29"/>
  <c r="AG171" i="29" s="1"/>
  <c r="R127" i="29"/>
  <c r="T171" i="29" s="1"/>
  <c r="E127" i="29"/>
  <c r="Y126" i="29"/>
  <c r="AA170" i="29" s="1"/>
  <c r="L126" i="29"/>
  <c r="N170" i="29" s="1"/>
  <c r="S125" i="29"/>
  <c r="U169" i="29" s="1"/>
  <c r="F125" i="29"/>
  <c r="Z124" i="29"/>
  <c r="L124" i="29"/>
  <c r="U123" i="29"/>
  <c r="I123" i="29"/>
  <c r="AD122" i="29"/>
  <c r="R122" i="29"/>
  <c r="F122" i="29"/>
  <c r="H166" i="29" s="1"/>
  <c r="AA121" i="29"/>
  <c r="O121" i="29"/>
  <c r="Q165" i="29" s="1"/>
  <c r="C121" i="29"/>
  <c r="E165" i="29" s="1"/>
  <c r="T153" i="29"/>
  <c r="U147" i="29"/>
  <c r="C164" i="29" s="1"/>
  <c r="AE141" i="29"/>
  <c r="R141" i="29"/>
  <c r="E141" i="29"/>
  <c r="X140" i="29"/>
  <c r="J140" i="29"/>
  <c r="W139" i="29"/>
  <c r="J139" i="29"/>
  <c r="W138" i="29"/>
  <c r="J138" i="29"/>
  <c r="U137" i="29"/>
  <c r="H137" i="29"/>
  <c r="AA136" i="29"/>
  <c r="N136" i="29"/>
  <c r="AE135" i="29"/>
  <c r="R135" i="29"/>
  <c r="E135" i="29"/>
  <c r="X134" i="29"/>
  <c r="K134" i="29"/>
  <c r="AC133" i="29"/>
  <c r="P133" i="29"/>
  <c r="C133" i="29"/>
  <c r="AD127" i="29"/>
  <c r="AF171" i="29" s="1"/>
  <c r="Q127" i="29"/>
  <c r="S171" i="29" s="1"/>
  <c r="D127" i="29"/>
  <c r="F171" i="29" s="1"/>
  <c r="X126" i="29"/>
  <c r="K126" i="29"/>
  <c r="AE125" i="29"/>
  <c r="R125" i="29"/>
  <c r="T169" i="29" s="1"/>
  <c r="E125" i="29"/>
  <c r="X124" i="29"/>
  <c r="Z168" i="29" s="1"/>
  <c r="K124" i="29"/>
  <c r="M168" i="29" s="1"/>
  <c r="T123" i="29"/>
  <c r="H123" i="29"/>
  <c r="AC122" i="29"/>
  <c r="AE166" i="29" s="1"/>
  <c r="Q122" i="29"/>
  <c r="E122" i="29"/>
  <c r="Z121" i="29"/>
  <c r="N121" i="29"/>
  <c r="P165" i="29" s="1"/>
  <c r="B121" i="29"/>
  <c r="W120" i="29"/>
  <c r="K120" i="29"/>
  <c r="AE119" i="29"/>
  <c r="S119" i="29"/>
  <c r="G119" i="29"/>
  <c r="T148" i="29"/>
  <c r="T146" i="29"/>
  <c r="AB141" i="29"/>
  <c r="L141" i="29"/>
  <c r="AC140" i="29"/>
  <c r="N140" i="29"/>
  <c r="V139" i="29"/>
  <c r="G139" i="29"/>
  <c r="R138" i="29"/>
  <c r="B138" i="29"/>
  <c r="Z137" i="29"/>
  <c r="K137" i="29"/>
  <c r="Z136" i="29"/>
  <c r="J136" i="29"/>
  <c r="V135" i="29"/>
  <c r="D135" i="29"/>
  <c r="U134" i="29"/>
  <c r="F134" i="29"/>
  <c r="O133" i="29"/>
  <c r="T127" i="29"/>
  <c r="C127" i="29"/>
  <c r="U126" i="29"/>
  <c r="W170" i="29" s="1"/>
  <c r="E126" i="29"/>
  <c r="G170" i="29" s="1"/>
  <c r="W125" i="29"/>
  <c r="H125" i="29"/>
  <c r="W124" i="29"/>
  <c r="Y168" i="29" s="1"/>
  <c r="H124" i="29"/>
  <c r="J168" i="29" s="1"/>
  <c r="AA123" i="29"/>
  <c r="M123" i="29"/>
  <c r="P122" i="29"/>
  <c r="B122" i="29"/>
  <c r="U121" i="29"/>
  <c r="W165" i="29" s="1"/>
  <c r="G121" i="29"/>
  <c r="Z120" i="29"/>
  <c r="AB164" i="29" s="1"/>
  <c r="M120" i="29"/>
  <c r="O164" i="29" s="1"/>
  <c r="R119" i="29"/>
  <c r="E119" i="29"/>
  <c r="T154" i="29"/>
  <c r="T147" i="29"/>
  <c r="V141" i="29"/>
  <c r="G141" i="29"/>
  <c r="U140" i="29"/>
  <c r="F140" i="29"/>
  <c r="Q139" i="29"/>
  <c r="B139" i="29"/>
  <c r="AB138" i="29"/>
  <c r="L138" i="29"/>
  <c r="S137" i="29"/>
  <c r="C137" i="29"/>
  <c r="T136" i="29"/>
  <c r="E136" i="29"/>
  <c r="AC135" i="29"/>
  <c r="N135" i="29"/>
  <c r="AE134" i="29"/>
  <c r="O134" i="29"/>
  <c r="X133" i="29"/>
  <c r="I133" i="29"/>
  <c r="AB127" i="29"/>
  <c r="M127" i="29"/>
  <c r="O171" i="29" s="1"/>
  <c r="AD126" i="29"/>
  <c r="O126" i="29"/>
  <c r="O125" i="29"/>
  <c r="Q169" i="29" s="1"/>
  <c r="R124" i="29"/>
  <c r="T168" i="29" s="1"/>
  <c r="C124" i="29"/>
  <c r="V123" i="29"/>
  <c r="F123" i="29"/>
  <c r="Y122" i="29"/>
  <c r="K122" i="29"/>
  <c r="M166" i="29" s="1"/>
  <c r="AD121" i="29"/>
  <c r="P121" i="29"/>
  <c r="R165" i="29" s="1"/>
  <c r="T120" i="29"/>
  <c r="V164" i="29" s="1"/>
  <c r="G120" i="29"/>
  <c r="Z119" i="29"/>
  <c r="M119" i="29"/>
  <c r="P141" i="29"/>
  <c r="AD140" i="29"/>
  <c r="I140" i="29"/>
  <c r="P139" i="29"/>
  <c r="T138" i="29"/>
  <c r="X137" i="29"/>
  <c r="E137" i="29"/>
  <c r="R136" i="29"/>
  <c r="Q135" i="29"/>
  <c r="M134" i="29"/>
  <c r="L133" i="29"/>
  <c r="W127" i="29"/>
  <c r="Y171" i="29" s="1"/>
  <c r="B127" i="29"/>
  <c r="Q126" i="29"/>
  <c r="AD125" i="29"/>
  <c r="L125" i="29"/>
  <c r="AB124" i="29"/>
  <c r="G124" i="29"/>
  <c r="X123" i="29"/>
  <c r="E123" i="29"/>
  <c r="G167" i="29" s="1"/>
  <c r="V122" i="29"/>
  <c r="X166" i="29" s="1"/>
  <c r="D122" i="29"/>
  <c r="T121" i="29"/>
  <c r="V165" i="29" s="1"/>
  <c r="D121" i="29"/>
  <c r="F165" i="29" s="1"/>
  <c r="S120" i="29"/>
  <c r="U164" i="29" s="1"/>
  <c r="D120" i="29"/>
  <c r="U119" i="29"/>
  <c r="D119" i="29"/>
  <c r="U154" i="29"/>
  <c r="C171" i="29" s="1"/>
  <c r="N141" i="29"/>
  <c r="AB140" i="29"/>
  <c r="H140" i="29"/>
  <c r="O139" i="29"/>
  <c r="S138" i="29"/>
  <c r="W137" i="29"/>
  <c r="B137" i="29"/>
  <c r="Q136" i="29"/>
  <c r="P135" i="29"/>
  <c r="AD134" i="29"/>
  <c r="J134" i="29"/>
  <c r="AE133" i="29"/>
  <c r="K133" i="29"/>
  <c r="U127" i="29"/>
  <c r="P126" i="29"/>
  <c r="AC125" i="29"/>
  <c r="AE169" i="29" s="1"/>
  <c r="K125" i="29"/>
  <c r="M169" i="29" s="1"/>
  <c r="AA124" i="29"/>
  <c r="F124" i="29"/>
  <c r="H168" i="29" s="1"/>
  <c r="W123" i="29"/>
  <c r="Y167" i="29" s="1"/>
  <c r="D123" i="29"/>
  <c r="F167" i="29" s="1"/>
  <c r="U122" i="29"/>
  <c r="C122" i="29"/>
  <c r="S121" i="29"/>
  <c r="R120" i="29"/>
  <c r="C120" i="29"/>
  <c r="T119" i="29"/>
  <c r="C119" i="29"/>
  <c r="U151" i="29"/>
  <c r="C168" i="29" s="1"/>
  <c r="M141" i="29"/>
  <c r="AA140" i="29"/>
  <c r="G140" i="29"/>
  <c r="AE139" i="29"/>
  <c r="N139" i="29"/>
  <c r="Q138" i="29"/>
  <c r="T137" i="29"/>
  <c r="P136" i="29"/>
  <c r="O135" i="29"/>
  <c r="AB134" i="29"/>
  <c r="I134" i="29"/>
  <c r="AB133" i="29"/>
  <c r="J133" i="29"/>
  <c r="S127" i="29"/>
  <c r="U171" i="29" s="1"/>
  <c r="N126" i="29"/>
  <c r="P170" i="29" s="1"/>
  <c r="AA125" i="29"/>
  <c r="J125" i="29"/>
  <c r="V124" i="29"/>
  <c r="E124" i="29"/>
  <c r="S123" i="29"/>
  <c r="U167" i="29" s="1"/>
  <c r="C123" i="29"/>
  <c r="T122" i="29"/>
  <c r="R121" i="29"/>
  <c r="T165" i="29" s="1"/>
  <c r="Q120" i="29"/>
  <c r="B120" i="29"/>
  <c r="Q119" i="29"/>
  <c r="B119" i="29"/>
  <c r="T152" i="29"/>
  <c r="X141" i="29"/>
  <c r="D140" i="29"/>
  <c r="AA139" i="29"/>
  <c r="C139" i="29"/>
  <c r="Y138" i="29"/>
  <c r="R137" i="29"/>
  <c r="AC136" i="29"/>
  <c r="D136" i="29"/>
  <c r="J135" i="29"/>
  <c r="R134" i="29"/>
  <c r="V133" i="29"/>
  <c r="V142" i="29" s="1"/>
  <c r="L127" i="29"/>
  <c r="N171" i="29" s="1"/>
  <c r="W126" i="29"/>
  <c r="Y170" i="29" s="1"/>
  <c r="C125" i="29"/>
  <c r="O124" i="29"/>
  <c r="Q168" i="29" s="1"/>
  <c r="Y123" i="29"/>
  <c r="J122" i="29"/>
  <c r="W121" i="29"/>
  <c r="Y165" i="29" s="1"/>
  <c r="AE120" i="29"/>
  <c r="AG164" i="29" s="1"/>
  <c r="L120" i="29"/>
  <c r="X119" i="29"/>
  <c r="V119" i="29"/>
  <c r="U149" i="29"/>
  <c r="C166" i="29" s="1"/>
  <c r="V140" i="29"/>
  <c r="N137" i="29"/>
  <c r="C135" i="29"/>
  <c r="H127" i="29"/>
  <c r="P123" i="29"/>
  <c r="H120" i="29"/>
  <c r="T149" i="29"/>
  <c r="T140" i="29"/>
  <c r="U136" i="29"/>
  <c r="G134" i="29"/>
  <c r="G127" i="29"/>
  <c r="I171" i="29" s="1"/>
  <c r="D124" i="29"/>
  <c r="F168" i="29" s="1"/>
  <c r="W141" i="29"/>
  <c r="AE140" i="29"/>
  <c r="C140" i="29"/>
  <c r="Z139" i="29"/>
  <c r="V138" i="29"/>
  <c r="Q137" i="29"/>
  <c r="Y136" i="29"/>
  <c r="C136" i="29"/>
  <c r="AD135" i="29"/>
  <c r="H135" i="29"/>
  <c r="P134" i="29"/>
  <c r="U133" i="29"/>
  <c r="U142" i="29" s="1"/>
  <c r="K127" i="29"/>
  <c r="M171" i="29" s="1"/>
  <c r="V126" i="29"/>
  <c r="Z125" i="29"/>
  <c r="AB169" i="29" s="1"/>
  <c r="B125" i="29"/>
  <c r="N124" i="29"/>
  <c r="P168" i="29" s="1"/>
  <c r="R123" i="29"/>
  <c r="AE122" i="29"/>
  <c r="AG166" i="29" s="1"/>
  <c r="I122" i="29"/>
  <c r="K166" i="29" s="1"/>
  <c r="V121" i="29"/>
  <c r="AD120" i="29"/>
  <c r="AF164" i="29" s="1"/>
  <c r="J120" i="29"/>
  <c r="L164" i="29" s="1"/>
  <c r="W119" i="29"/>
  <c r="U141" i="29"/>
  <c r="Z140" i="29"/>
  <c r="B140" i="29"/>
  <c r="U139" i="29"/>
  <c r="U138" i="29"/>
  <c r="O137" i="29"/>
  <c r="W136" i="29"/>
  <c r="AB135" i="29"/>
  <c r="G135" i="29"/>
  <c r="N134" i="29"/>
  <c r="T133" i="29"/>
  <c r="I127" i="29"/>
  <c r="K171" i="29" s="1"/>
  <c r="T126" i="29"/>
  <c r="Y125" i="29"/>
  <c r="AA169" i="29" s="1"/>
  <c r="J124" i="29"/>
  <c r="Q123" i="29"/>
  <c r="S167" i="29" s="1"/>
  <c r="AB122" i="29"/>
  <c r="AD166" i="29" s="1"/>
  <c r="H122" i="29"/>
  <c r="Q121" i="29"/>
  <c r="AC120" i="29"/>
  <c r="AE164" i="29" s="1"/>
  <c r="I120" i="29"/>
  <c r="T141" i="29"/>
  <c r="T139" i="29"/>
  <c r="P138" i="29"/>
  <c r="V136" i="29"/>
  <c r="AA135" i="29"/>
  <c r="H134" i="29"/>
  <c r="S133" i="29"/>
  <c r="R126" i="29"/>
  <c r="T170" i="29" s="1"/>
  <c r="X125" i="29"/>
  <c r="I124" i="29"/>
  <c r="AA122" i="29"/>
  <c r="AC166" i="29" s="1"/>
  <c r="G122" i="29"/>
  <c r="M121" i="29"/>
  <c r="O165" i="29" s="1"/>
  <c r="AB120" i="29"/>
  <c r="AD164" i="29" s="1"/>
  <c r="P119" i="29"/>
  <c r="T151" i="29"/>
  <c r="Q141" i="29"/>
  <c r="S139" i="29"/>
  <c r="N138" i="29"/>
  <c r="M137" i="29"/>
  <c r="Z135" i="29"/>
  <c r="B135" i="29"/>
  <c r="R133" i="29"/>
  <c r="AC127" i="29"/>
  <c r="M126" i="29"/>
  <c r="O170" i="29" s="1"/>
  <c r="V125" i="29"/>
  <c r="X169" i="29" s="1"/>
  <c r="AE124" i="29"/>
  <c r="AG168" i="29" s="1"/>
  <c r="O123" i="29"/>
  <c r="Q167" i="29" s="1"/>
  <c r="AW14" i="29"/>
  <c r="AJ135" i="29" s="1"/>
  <c r="BA18" i="29"/>
  <c r="BG133" i="29" s="1"/>
  <c r="BA23" i="29"/>
  <c r="BG154" i="29" s="1"/>
  <c r="I119" i="29"/>
  <c r="E120" i="29"/>
  <c r="F121" i="29"/>
  <c r="H165" i="29" s="1"/>
  <c r="G123" i="29"/>
  <c r="I167" i="29" s="1"/>
  <c r="P124" i="29"/>
  <c r="Q125" i="29"/>
  <c r="S169" i="29" s="1"/>
  <c r="AA126" i="29"/>
  <c r="AC170" i="29" s="1"/>
  <c r="AA127" i="29"/>
  <c r="AC171" i="29" s="1"/>
  <c r="G133" i="29"/>
  <c r="K135" i="29"/>
  <c r="F137" i="29"/>
  <c r="AC138" i="29"/>
  <c r="F139" i="29"/>
  <c r="H141" i="29"/>
  <c r="AX14" i="29"/>
  <c r="AK135" i="29" s="1"/>
  <c r="AZ15" i="29"/>
  <c r="AN133" i="29" s="1"/>
  <c r="BB18" i="29"/>
  <c r="BH133" i="29" s="1"/>
  <c r="AW19" i="29"/>
  <c r="AJ156" i="29" s="1"/>
  <c r="J119" i="29"/>
  <c r="F120" i="29"/>
  <c r="H164" i="29" s="1"/>
  <c r="H121" i="29"/>
  <c r="J123" i="29"/>
  <c r="Q124" i="29"/>
  <c r="S168" i="29" s="1"/>
  <c r="T125" i="29"/>
  <c r="AB126" i="29"/>
  <c r="AD170" i="29" s="1"/>
  <c r="H133" i="29"/>
  <c r="L135" i="29"/>
  <c r="G137" i="29"/>
  <c r="AD138" i="29"/>
  <c r="H139" i="29"/>
  <c r="I141" i="29"/>
  <c r="K150" i="29"/>
  <c r="AA119" i="29"/>
  <c r="X120" i="29"/>
  <c r="Z164" i="29" s="1"/>
  <c r="Y121" i="29"/>
  <c r="AA165" i="29" s="1"/>
  <c r="W122" i="29"/>
  <c r="AC123" i="29"/>
  <c r="AE167" i="29" s="1"/>
  <c r="F126" i="29"/>
  <c r="H170" i="29" s="1"/>
  <c r="O127" i="29"/>
  <c r="Q171" i="29" s="1"/>
  <c r="V134" i="29"/>
  <c r="M136" i="29"/>
  <c r="AD137" i="29"/>
  <c r="G138" i="29"/>
  <c r="AD139" i="29"/>
  <c r="R140" i="29"/>
  <c r="AD141" i="29"/>
  <c r="Y120" i="29"/>
  <c r="AA164" i="29" s="1"/>
  <c r="AB121" i="29"/>
  <c r="X122" i="29"/>
  <c r="Z166" i="29" s="1"/>
  <c r="H126" i="29"/>
  <c r="P127" i="29"/>
  <c r="W134" i="29"/>
  <c r="S136" i="29"/>
  <c r="AE137" i="29"/>
  <c r="H138" i="29"/>
  <c r="S140" i="29"/>
  <c r="U152" i="29"/>
  <c r="C169" i="29" s="1"/>
  <c r="AC119" i="29"/>
  <c r="AA120" i="29"/>
  <c r="AC121" i="29"/>
  <c r="AE165" i="29" s="1"/>
  <c r="I125" i="29"/>
  <c r="I126" i="29"/>
  <c r="K170" i="29" s="1"/>
  <c r="X127" i="29"/>
  <c r="Z171" i="29" s="1"/>
  <c r="I138" i="29"/>
  <c r="K119" i="29"/>
  <c r="N120" i="29"/>
  <c r="P164" i="29" s="1"/>
  <c r="L122" i="29"/>
  <c r="N166" i="29" s="1"/>
  <c r="K123" i="29"/>
  <c r="M167" i="29" s="1"/>
  <c r="S124" i="29"/>
  <c r="U168" i="29" s="1"/>
  <c r="AC126" i="29"/>
  <c r="AE170" i="29" s="1"/>
  <c r="M133" i="29"/>
  <c r="B134" i="29"/>
  <c r="M135" i="29"/>
  <c r="J137" i="29"/>
  <c r="AE138" i="29"/>
  <c r="I139" i="29"/>
  <c r="J141" i="29"/>
  <c r="U150" i="29"/>
  <c r="C167" i="29" s="1"/>
  <c r="AY19" i="29"/>
  <c r="AL156" i="29" s="1"/>
  <c r="BB20" i="29"/>
  <c r="AP154" i="29" s="1"/>
  <c r="L119" i="29"/>
  <c r="O120" i="29"/>
  <c r="Q164" i="29" s="1"/>
  <c r="J121" i="29"/>
  <c r="M122" i="29"/>
  <c r="O166" i="29" s="1"/>
  <c r="L123" i="29"/>
  <c r="T124" i="29"/>
  <c r="V168" i="29" s="1"/>
  <c r="W133" i="29"/>
  <c r="C134" i="29"/>
  <c r="T135" i="29"/>
  <c r="G136" i="29"/>
  <c r="L137" i="29"/>
  <c r="L139" i="29"/>
  <c r="M140" i="29"/>
  <c r="BC15" i="29"/>
  <c r="AQ133" i="29" s="1"/>
  <c r="BC20" i="29"/>
  <c r="AQ154" i="29" s="1"/>
  <c r="BD22" i="29"/>
  <c r="BD154" i="29" s="1"/>
  <c r="AU22" i="29"/>
  <c r="AZ156" i="29" s="1"/>
  <c r="AW22" i="29"/>
  <c r="BB156" i="29" s="1"/>
  <c r="AV22" i="29"/>
  <c r="BA156" i="29" s="1"/>
  <c r="N119" i="29"/>
  <c r="P120" i="29"/>
  <c r="K121" i="29"/>
  <c r="M165" i="29" s="1"/>
  <c r="N122" i="29"/>
  <c r="P166" i="29" s="1"/>
  <c r="N123" i="29"/>
  <c r="P167" i="29" s="1"/>
  <c r="U124" i="29"/>
  <c r="B126" i="29"/>
  <c r="Y133" i="29"/>
  <c r="D134" i="29"/>
  <c r="W135" i="29"/>
  <c r="H136" i="29"/>
  <c r="Y137" i="29"/>
  <c r="D138" i="29"/>
  <c r="R139" i="29"/>
  <c r="O140" i="29"/>
  <c r="Y141" i="29"/>
  <c r="U148" i="29"/>
  <c r="C165" i="29" s="1"/>
  <c r="AU16" i="29"/>
  <c r="AT135" i="29" s="1"/>
  <c r="BD20" i="29"/>
  <c r="AR154" i="29" s="1"/>
  <c r="AU21" i="29"/>
  <c r="AT156" i="29" s="1"/>
  <c r="O119" i="29"/>
  <c r="U120" i="29"/>
  <c r="W164" i="29" s="1"/>
  <c r="AO130" i="29"/>
  <c r="L121" i="29"/>
  <c r="N165" i="29" s="1"/>
  <c r="O122" i="29"/>
  <c r="Q166" i="29" s="1"/>
  <c r="Z123" i="29"/>
  <c r="AC124" i="29"/>
  <c r="AE168" i="29" s="1"/>
  <c r="C126" i="29"/>
  <c r="E170" i="29" s="1"/>
  <c r="F127" i="29"/>
  <c r="H171" i="29" s="1"/>
  <c r="AA133" i="29"/>
  <c r="S134" i="29"/>
  <c r="X135" i="29"/>
  <c r="I136" i="29"/>
  <c r="AA137" i="29"/>
  <c r="E138" i="29"/>
  <c r="AB139" i="29"/>
  <c r="P140" i="29"/>
  <c r="Z141" i="29"/>
  <c r="B151" i="29"/>
  <c r="AU15" i="29"/>
  <c r="AN135" i="29" s="1"/>
  <c r="AW15" i="29"/>
  <c r="AP135" i="29" s="1"/>
  <c r="AY15" i="29"/>
  <c r="AR135" i="29" s="1"/>
  <c r="AX15" i="29"/>
  <c r="AQ135" i="29" s="1"/>
  <c r="AV15" i="29"/>
  <c r="AO135" i="29" s="1"/>
  <c r="AD123" i="29"/>
  <c r="AE123" i="29"/>
  <c r="AD136" i="29"/>
  <c r="BA15" i="29"/>
  <c r="AO133" i="29" s="1"/>
  <c r="I121" i="29"/>
  <c r="K165" i="29" s="1"/>
  <c r="U125" i="29"/>
  <c r="W169" i="29" s="1"/>
  <c r="F136" i="29"/>
  <c r="BB15" i="29"/>
  <c r="AP133" i="29" s="1"/>
  <c r="AV16" i="29"/>
  <c r="AU135" i="29" s="1"/>
  <c r="AX17" i="29"/>
  <c r="BC135" i="29" s="1"/>
  <c r="AU17" i="29"/>
  <c r="AZ135" i="29" s="1"/>
  <c r="AW17" i="29"/>
  <c r="BB135" i="29" s="1"/>
  <c r="AV17" i="29"/>
  <c r="BA135" i="29" s="1"/>
  <c r="Y119" i="29"/>
  <c r="V120" i="29"/>
  <c r="X121" i="29"/>
  <c r="Z165" i="29" s="1"/>
  <c r="S122" i="29"/>
  <c r="U166" i="29" s="1"/>
  <c r="AB123" i="29"/>
  <c r="AD124" i="29"/>
  <c r="AF168" i="29" s="1"/>
  <c r="D126" i="29"/>
  <c r="F170" i="29" s="1"/>
  <c r="N127" i="29"/>
  <c r="P171" i="29" s="1"/>
  <c r="T134" i="29"/>
  <c r="Y135" i="29"/>
  <c r="K136" i="29"/>
  <c r="AC137" i="29"/>
  <c r="F138" i="29"/>
  <c r="AC139" i="29"/>
  <c r="Q140" i="29"/>
  <c r="AC141" i="29"/>
  <c r="K151" i="29"/>
  <c r="BG151" i="29"/>
  <c r="BD18" i="29"/>
  <c r="BJ133" i="29" s="1"/>
  <c r="AV18" i="29"/>
  <c r="BG135" i="29" s="1"/>
  <c r="AX18" i="29"/>
  <c r="BI135" i="29" s="1"/>
  <c r="AW18" i="29"/>
  <c r="BH135" i="29" s="1"/>
  <c r="AU18" i="29"/>
  <c r="BF135" i="29" s="1"/>
  <c r="BG130" i="29"/>
  <c r="AV23" i="29"/>
  <c r="BG156" i="29" s="1"/>
  <c r="AO151" i="29"/>
  <c r="AX16" i="29"/>
  <c r="AW135" i="29" s="1"/>
  <c r="AY16" i="29"/>
  <c r="AX135" i="29" s="1"/>
  <c r="AW16" i="29"/>
  <c r="AV135" i="29" s="1"/>
  <c r="AY17" i="29"/>
  <c r="BD135" i="29" s="1"/>
  <c r="BD17" i="29"/>
  <c r="BD133" i="29" s="1"/>
  <c r="BA21" i="29"/>
  <c r="AU154" i="29" s="1"/>
  <c r="BA17" i="29"/>
  <c r="BA133" i="29" s="1"/>
  <c r="AZ22" i="29"/>
  <c r="AZ154" i="29" s="1"/>
  <c r="BA19" i="29"/>
  <c r="AI154" i="29" s="1"/>
  <c r="BA16" i="29"/>
  <c r="AU133" i="29" s="1"/>
  <c r="AZ23" i="29"/>
  <c r="BF154" i="29" s="1"/>
  <c r="AZ20" i="29"/>
  <c r="AN154" i="29" s="1"/>
  <c r="BC18" i="29"/>
  <c r="BI133" i="29" s="1"/>
  <c r="BA14" i="29"/>
  <c r="AI133" i="29" s="1"/>
  <c r="AU19" i="29"/>
  <c r="AH156" i="29" s="1"/>
  <c r="AV19" i="29"/>
  <c r="AI156" i="29" s="1"/>
  <c r="BC21" i="29"/>
  <c r="AW154" i="29" s="1"/>
  <c r="BC23" i="29"/>
  <c r="BI154" i="29" s="1"/>
  <c r="BD14" i="29"/>
  <c r="AL133" i="29" s="1"/>
  <c r="AV21" i="29"/>
  <c r="AU156" i="29" s="1"/>
  <c r="BD21" i="29"/>
  <c r="AX154" i="29" s="1"/>
  <c r="AU23" i="29"/>
  <c r="BF156" i="29" s="1"/>
  <c r="BD23" i="29"/>
  <c r="BJ154" i="29" s="1"/>
  <c r="AI130" i="29"/>
  <c r="T153" i="25"/>
  <c r="U150" i="25"/>
  <c r="C167" i="25" s="1"/>
  <c r="U151" i="25"/>
  <c r="C168" i="25" s="1"/>
  <c r="Y141" i="25"/>
  <c r="M141" i="25"/>
  <c r="U140" i="25"/>
  <c r="I140" i="25"/>
  <c r="W139" i="25"/>
  <c r="K139" i="25"/>
  <c r="Y138" i="25"/>
  <c r="M138" i="25"/>
  <c r="Z137" i="25"/>
  <c r="N137" i="25"/>
  <c r="B137" i="25"/>
  <c r="V136" i="25"/>
  <c r="J136" i="25"/>
  <c r="AE135" i="25"/>
  <c r="S135" i="25"/>
  <c r="G135" i="25"/>
  <c r="AA134" i="25"/>
  <c r="O134" i="25"/>
  <c r="C134" i="25"/>
  <c r="X133" i="25"/>
  <c r="X142" i="25" s="1"/>
  <c r="L133" i="25"/>
  <c r="L142" i="25" s="1"/>
  <c r="T127" i="25"/>
  <c r="H127" i="25"/>
  <c r="AC126" i="25"/>
  <c r="Q126" i="25"/>
  <c r="E126" i="25"/>
  <c r="Z125" i="25"/>
  <c r="N125" i="25"/>
  <c r="P169" i="25" s="1"/>
  <c r="B125" i="25"/>
  <c r="W124" i="25"/>
  <c r="K124" i="25"/>
  <c r="M168" i="25" s="1"/>
  <c r="T123" i="25"/>
  <c r="V167" i="25" s="1"/>
  <c r="T146" i="25"/>
  <c r="U141" i="25"/>
  <c r="H141" i="25"/>
  <c r="AA140" i="25"/>
  <c r="N140" i="25"/>
  <c r="AA139" i="25"/>
  <c r="N139" i="25"/>
  <c r="AA138" i="25"/>
  <c r="N138" i="25"/>
  <c r="Y137" i="25"/>
  <c r="L137" i="25"/>
  <c r="AE136" i="25"/>
  <c r="R136" i="25"/>
  <c r="E136" i="25"/>
  <c r="W135" i="25"/>
  <c r="J135" i="25"/>
  <c r="AC134" i="25"/>
  <c r="P134" i="25"/>
  <c r="B134" i="25"/>
  <c r="T133" i="25"/>
  <c r="T142" i="25" s="1"/>
  <c r="G133" i="25"/>
  <c r="G142" i="25" s="1"/>
  <c r="X127" i="25"/>
  <c r="K127" i="25"/>
  <c r="AE126" i="25"/>
  <c r="AG170" i="25" s="1"/>
  <c r="R126" i="25"/>
  <c r="T170" i="25" s="1"/>
  <c r="D126" i="25"/>
  <c r="X125" i="25"/>
  <c r="K125" i="25"/>
  <c r="M169" i="25" s="1"/>
  <c r="AE124" i="25"/>
  <c r="AG168" i="25" s="1"/>
  <c r="R124" i="25"/>
  <c r="E124" i="25"/>
  <c r="Y123" i="25"/>
  <c r="AA167" i="25" s="1"/>
  <c r="L123" i="25"/>
  <c r="N167" i="25" s="1"/>
  <c r="U122" i="25"/>
  <c r="I122" i="25"/>
  <c r="AD121" i="25"/>
  <c r="AF165" i="25" s="1"/>
  <c r="R121" i="25"/>
  <c r="F121" i="25"/>
  <c r="AA120" i="25"/>
  <c r="O120" i="25"/>
  <c r="Q164" i="25" s="1"/>
  <c r="C120" i="25"/>
  <c r="W119" i="25"/>
  <c r="K119" i="25"/>
  <c r="T141" i="25"/>
  <c r="G141" i="25"/>
  <c r="Z140" i="25"/>
  <c r="M140" i="25"/>
  <c r="Z139" i="25"/>
  <c r="M139" i="25"/>
  <c r="Z138" i="25"/>
  <c r="L138" i="25"/>
  <c r="X137" i="25"/>
  <c r="K137" i="25"/>
  <c r="AD136" i="25"/>
  <c r="Q136" i="25"/>
  <c r="D136" i="25"/>
  <c r="V135" i="25"/>
  <c r="I135" i="25"/>
  <c r="AB134" i="25"/>
  <c r="N134" i="25"/>
  <c r="S133" i="25"/>
  <c r="S142" i="25" s="1"/>
  <c r="F133" i="25"/>
  <c r="W127" i="25"/>
  <c r="J127" i="25"/>
  <c r="AD126" i="25"/>
  <c r="P126" i="25"/>
  <c r="C126" i="25"/>
  <c r="W125" i="25"/>
  <c r="J125" i="25"/>
  <c r="L169" i="25" s="1"/>
  <c r="AD124" i="25"/>
  <c r="Q124" i="25"/>
  <c r="S168" i="25" s="1"/>
  <c r="D124" i="25"/>
  <c r="F168" i="25" s="1"/>
  <c r="X123" i="25"/>
  <c r="Z167" i="25" s="1"/>
  <c r="K123" i="25"/>
  <c r="T122" i="25"/>
  <c r="H122" i="25"/>
  <c r="AC121" i="25"/>
  <c r="Q121" i="25"/>
  <c r="E121" i="25"/>
  <c r="Z120" i="25"/>
  <c r="AB164" i="25" s="1"/>
  <c r="N120" i="25"/>
  <c r="B120" i="25"/>
  <c r="T150" i="25"/>
  <c r="S141" i="25"/>
  <c r="F141" i="25"/>
  <c r="Y140" i="25"/>
  <c r="L140" i="25"/>
  <c r="Y139" i="25"/>
  <c r="L139" i="25"/>
  <c r="X138" i="25"/>
  <c r="K138" i="25"/>
  <c r="W137" i="25"/>
  <c r="J137" i="25"/>
  <c r="AC136" i="25"/>
  <c r="P136" i="25"/>
  <c r="C136" i="25"/>
  <c r="U135" i="25"/>
  <c r="H135" i="25"/>
  <c r="Z134" i="25"/>
  <c r="M134" i="25"/>
  <c r="AE133" i="25"/>
  <c r="R133" i="25"/>
  <c r="E133" i="25"/>
  <c r="V127" i="25"/>
  <c r="X171" i="25" s="1"/>
  <c r="I127" i="25"/>
  <c r="AB126" i="25"/>
  <c r="O126" i="25"/>
  <c r="B126" i="25"/>
  <c r="V125" i="25"/>
  <c r="X169" i="25" s="1"/>
  <c r="I125" i="25"/>
  <c r="AC124" i="25"/>
  <c r="P124" i="25"/>
  <c r="C124" i="25"/>
  <c r="W123" i="25"/>
  <c r="J123" i="25"/>
  <c r="AE122" i="25"/>
  <c r="S122" i="25"/>
  <c r="U166" i="25" s="1"/>
  <c r="G122" i="25"/>
  <c r="AB121" i="25"/>
  <c r="P121" i="25"/>
  <c r="R165" i="25" s="1"/>
  <c r="D121" i="25"/>
  <c r="Y120" i="25"/>
  <c r="U147" i="25"/>
  <c r="C164" i="25" s="1"/>
  <c r="AE141" i="25"/>
  <c r="R141" i="25"/>
  <c r="E141" i="25"/>
  <c r="X140" i="25"/>
  <c r="K140" i="25"/>
  <c r="X139" i="25"/>
  <c r="J139" i="25"/>
  <c r="W138" i="25"/>
  <c r="J138" i="25"/>
  <c r="V137" i="25"/>
  <c r="I137" i="25"/>
  <c r="AB136" i="25"/>
  <c r="O136" i="25"/>
  <c r="B136" i="25"/>
  <c r="T135" i="25"/>
  <c r="F135" i="25"/>
  <c r="Y134" i="25"/>
  <c r="L134" i="25"/>
  <c r="AD133" i="25"/>
  <c r="Q133" i="25"/>
  <c r="D133" i="25"/>
  <c r="U127" i="25"/>
  <c r="W171" i="25" s="1"/>
  <c r="G127" i="25"/>
  <c r="AA126" i="25"/>
  <c r="AC170" i="25" s="1"/>
  <c r="N126" i="25"/>
  <c r="U125" i="25"/>
  <c r="H125" i="25"/>
  <c r="AB124" i="25"/>
  <c r="O124" i="25"/>
  <c r="Q168" i="25" s="1"/>
  <c r="B124" i="25"/>
  <c r="V123" i="25"/>
  <c r="I123" i="25"/>
  <c r="K167" i="25" s="1"/>
  <c r="AD122" i="25"/>
  <c r="AF166" i="25" s="1"/>
  <c r="R122" i="25"/>
  <c r="T166" i="25" s="1"/>
  <c r="F122" i="25"/>
  <c r="AA121" i="25"/>
  <c r="O121" i="25"/>
  <c r="C121" i="25"/>
  <c r="E165" i="25" s="1"/>
  <c r="X120" i="25"/>
  <c r="Z164" i="25" s="1"/>
  <c r="L120" i="25"/>
  <c r="T119" i="25"/>
  <c r="H119" i="25"/>
  <c r="N141" i="25"/>
  <c r="AB140" i="25"/>
  <c r="F140" i="25"/>
  <c r="O139" i="25"/>
  <c r="S138" i="25"/>
  <c r="B138" i="25"/>
  <c r="AA137" i="25"/>
  <c r="E137" i="25"/>
  <c r="S136" i="25"/>
  <c r="O135" i="25"/>
  <c r="AD134" i="25"/>
  <c r="H134" i="25"/>
  <c r="Z133" i="25"/>
  <c r="H133" i="25"/>
  <c r="P127" i="25"/>
  <c r="R171" i="25" s="1"/>
  <c r="J126" i="25"/>
  <c r="L170" i="25" s="1"/>
  <c r="AA125" i="25"/>
  <c r="AC169" i="25" s="1"/>
  <c r="E125" i="25"/>
  <c r="T124" i="25"/>
  <c r="AE123" i="25"/>
  <c r="N123" i="25"/>
  <c r="P167" i="25" s="1"/>
  <c r="AA122" i="25"/>
  <c r="K122" i="25"/>
  <c r="M166" i="25" s="1"/>
  <c r="X121" i="25"/>
  <c r="Z165" i="25" s="1"/>
  <c r="H121" i="25"/>
  <c r="J165" i="25" s="1"/>
  <c r="U120" i="25"/>
  <c r="W164" i="25" s="1"/>
  <c r="F120" i="25"/>
  <c r="V119" i="25"/>
  <c r="G119" i="25"/>
  <c r="AD141" i="25"/>
  <c r="L141" i="25"/>
  <c r="W140" i="25"/>
  <c r="E140" i="25"/>
  <c r="AE139" i="25"/>
  <c r="I139" i="25"/>
  <c r="R138" i="25"/>
  <c r="U137" i="25"/>
  <c r="D137" i="25"/>
  <c r="N136" i="25"/>
  <c r="N135" i="25"/>
  <c r="X134" i="25"/>
  <c r="G134" i="25"/>
  <c r="Y133" i="25"/>
  <c r="C133" i="25"/>
  <c r="O127" i="25"/>
  <c r="Z126" i="25"/>
  <c r="AB170" i="25" s="1"/>
  <c r="I126" i="25"/>
  <c r="K170" i="25" s="1"/>
  <c r="Y125" i="25"/>
  <c r="AA169" i="25" s="1"/>
  <c r="D125" i="25"/>
  <c r="S124" i="25"/>
  <c r="U168" i="25" s="1"/>
  <c r="AD123" i="25"/>
  <c r="AF167" i="25" s="1"/>
  <c r="M123" i="25"/>
  <c r="O167" i="25" s="1"/>
  <c r="Z122" i="25"/>
  <c r="J122" i="25"/>
  <c r="W121" i="25"/>
  <c r="Y165" i="25" s="1"/>
  <c r="G121" i="25"/>
  <c r="T120" i="25"/>
  <c r="V164" i="25" s="1"/>
  <c r="E120" i="25"/>
  <c r="U119" i="25"/>
  <c r="F119" i="25"/>
  <c r="U154" i="25"/>
  <c r="C171" i="25" s="1"/>
  <c r="AC141" i="25"/>
  <c r="K141" i="25"/>
  <c r="V140" i="25"/>
  <c r="D140" i="25"/>
  <c r="AD139" i="25"/>
  <c r="H139" i="25"/>
  <c r="Q138" i="25"/>
  <c r="T137" i="25"/>
  <c r="C137" i="25"/>
  <c r="M136" i="25"/>
  <c r="AD135" i="25"/>
  <c r="M135" i="25"/>
  <c r="W134" i="25"/>
  <c r="F134" i="25"/>
  <c r="W133" i="25"/>
  <c r="B133" i="25"/>
  <c r="AE127" i="25"/>
  <c r="AG171" i="25" s="1"/>
  <c r="N127" i="25"/>
  <c r="P171" i="25" s="1"/>
  <c r="Y126" i="25"/>
  <c r="AA170" i="25" s="1"/>
  <c r="H126" i="25"/>
  <c r="T125" i="25"/>
  <c r="C125" i="25"/>
  <c r="E169" i="25" s="1"/>
  <c r="N124" i="25"/>
  <c r="AC123" i="25"/>
  <c r="H123" i="25"/>
  <c r="J167" i="25" s="1"/>
  <c r="Y122" i="25"/>
  <c r="E122" i="25"/>
  <c r="G166" i="25" s="1"/>
  <c r="V121" i="25"/>
  <c r="B121" i="25"/>
  <c r="S120" i="25"/>
  <c r="D120" i="25"/>
  <c r="S119" i="25"/>
  <c r="E119" i="25"/>
  <c r="T154" i="25"/>
  <c r="T151" i="25"/>
  <c r="U149" i="25"/>
  <c r="C166" i="25" s="1"/>
  <c r="T147" i="25"/>
  <c r="AB141" i="25"/>
  <c r="U153" i="25"/>
  <c r="C170" i="25" s="1"/>
  <c r="Z141" i="25"/>
  <c r="D141" i="25"/>
  <c r="R140" i="25"/>
  <c r="V139" i="25"/>
  <c r="E139" i="25"/>
  <c r="AE138" i="25"/>
  <c r="I138" i="25"/>
  <c r="Q137" i="25"/>
  <c r="AA136" i="25"/>
  <c r="I136" i="25"/>
  <c r="AA135" i="25"/>
  <c r="E135" i="25"/>
  <c r="T134" i="25"/>
  <c r="P133" i="25"/>
  <c r="AB127" i="25"/>
  <c r="F127" i="25"/>
  <c r="V126" i="25"/>
  <c r="Q125" i="25"/>
  <c r="J124" i="25"/>
  <c r="Z123" i="25"/>
  <c r="E123" i="25"/>
  <c r="V122" i="25"/>
  <c r="X166" i="25" s="1"/>
  <c r="B122" i="25"/>
  <c r="S121" i="25"/>
  <c r="U165" i="25" s="1"/>
  <c r="P120" i="25"/>
  <c r="R164" i="25" s="1"/>
  <c r="AD119" i="25"/>
  <c r="P119" i="25"/>
  <c r="B119" i="25"/>
  <c r="AA141" i="25"/>
  <c r="AE140" i="25"/>
  <c r="B140" i="25"/>
  <c r="S139" i="25"/>
  <c r="O138" i="25"/>
  <c r="G137" i="25"/>
  <c r="H136" i="25"/>
  <c r="D135" i="25"/>
  <c r="J134" i="25"/>
  <c r="J133" i="25"/>
  <c r="L127" i="25"/>
  <c r="N171" i="25" s="1"/>
  <c r="M126" i="25"/>
  <c r="S125" i="25"/>
  <c r="Y124" i="25"/>
  <c r="AB123" i="25"/>
  <c r="B123" i="25"/>
  <c r="D122" i="25"/>
  <c r="L121" i="25"/>
  <c r="N165" i="25" s="1"/>
  <c r="R120" i="25"/>
  <c r="T164" i="25" s="1"/>
  <c r="AA119" i="25"/>
  <c r="D119" i="25"/>
  <c r="U152" i="25"/>
  <c r="C169" i="25" s="1"/>
  <c r="X141" i="25"/>
  <c r="AD140" i="25"/>
  <c r="R139" i="25"/>
  <c r="H138" i="25"/>
  <c r="F137" i="25"/>
  <c r="G136" i="25"/>
  <c r="C135" i="25"/>
  <c r="I134" i="25"/>
  <c r="I133" i="25"/>
  <c r="E127" i="25"/>
  <c r="G171" i="25" s="1"/>
  <c r="L126" i="25"/>
  <c r="N170" i="25" s="1"/>
  <c r="R125" i="25"/>
  <c r="X124" i="25"/>
  <c r="Z168" i="25" s="1"/>
  <c r="AA123" i="25"/>
  <c r="AC167" i="25" s="1"/>
  <c r="C122" i="25"/>
  <c r="K121" i="25"/>
  <c r="Q120" i="25"/>
  <c r="Z119" i="25"/>
  <c r="C119" i="25"/>
  <c r="T152" i="25"/>
  <c r="T149" i="25"/>
  <c r="W141" i="25"/>
  <c r="AC140" i="25"/>
  <c r="Q139" i="25"/>
  <c r="G138" i="25"/>
  <c r="AE137" i="25"/>
  <c r="F136" i="25"/>
  <c r="AC135" i="25"/>
  <c r="B135" i="25"/>
  <c r="E134" i="25"/>
  <c r="D127" i="25"/>
  <c r="F171" i="25" s="1"/>
  <c r="K126" i="25"/>
  <c r="M170" i="25" s="1"/>
  <c r="P125" i="25"/>
  <c r="R169" i="25" s="1"/>
  <c r="V124" i="25"/>
  <c r="X168" i="25" s="1"/>
  <c r="U123" i="25"/>
  <c r="AC122" i="25"/>
  <c r="AE166" i="25" s="1"/>
  <c r="J121" i="25"/>
  <c r="L165" i="25" s="1"/>
  <c r="M120" i="25"/>
  <c r="O164" i="25" s="1"/>
  <c r="Y119" i="25"/>
  <c r="V141" i="25"/>
  <c r="T140" i="25"/>
  <c r="P139" i="25"/>
  <c r="F138" i="25"/>
  <c r="AD137" i="25"/>
  <c r="AB135" i="25"/>
  <c r="D134" i="25"/>
  <c r="AC133" i="25"/>
  <c r="AD127" i="25"/>
  <c r="AF171" i="25" s="1"/>
  <c r="C127" i="25"/>
  <c r="G126" i="25"/>
  <c r="I170" i="25" s="1"/>
  <c r="O125" i="25"/>
  <c r="U124" i="25"/>
  <c r="S123" i="25"/>
  <c r="U167" i="25" s="1"/>
  <c r="AB122" i="25"/>
  <c r="AD166" i="25" s="1"/>
  <c r="I121" i="25"/>
  <c r="K165" i="25" s="1"/>
  <c r="K120" i="25"/>
  <c r="M164" i="25" s="1"/>
  <c r="X119" i="25"/>
  <c r="U146" i="25"/>
  <c r="Q141" i="25"/>
  <c r="S140" i="25"/>
  <c r="G139" i="25"/>
  <c r="E138" i="25"/>
  <c r="AC137" i="25"/>
  <c r="Z136" i="25"/>
  <c r="Z135" i="25"/>
  <c r="AB133" i="25"/>
  <c r="AC127" i="25"/>
  <c r="B127" i="25"/>
  <c r="F126" i="25"/>
  <c r="H170" i="25" s="1"/>
  <c r="M125" i="25"/>
  <c r="M124" i="25"/>
  <c r="R123" i="25"/>
  <c r="X122" i="25"/>
  <c r="J120" i="25"/>
  <c r="L164" i="25" s="1"/>
  <c r="R119" i="25"/>
  <c r="P141" i="25"/>
  <c r="Q140" i="25"/>
  <c r="F139" i="25"/>
  <c r="AD138" i="25"/>
  <c r="D138" i="25"/>
  <c r="AB137" i="25"/>
  <c r="Y136" i="25"/>
  <c r="Y135" i="25"/>
  <c r="AE134" i="25"/>
  <c r="AA133" i="25"/>
  <c r="AA127" i="25"/>
  <c r="AC171" i="25" s="1"/>
  <c r="L125" i="25"/>
  <c r="N169" i="25" s="1"/>
  <c r="L124" i="25"/>
  <c r="N168" i="25" s="1"/>
  <c r="Q123" i="25"/>
  <c r="W122" i="25"/>
  <c r="AE121" i="25"/>
  <c r="AG165" i="25" s="1"/>
  <c r="I120" i="25"/>
  <c r="K164" i="25" s="1"/>
  <c r="Q119" i="25"/>
  <c r="O141" i="25"/>
  <c r="P140" i="25"/>
  <c r="D139" i="25"/>
  <c r="AC138" i="25"/>
  <c r="C138" i="25"/>
  <c r="S137" i="25"/>
  <c r="X136" i="25"/>
  <c r="X135" i="25"/>
  <c r="V134" i="25"/>
  <c r="V133" i="25"/>
  <c r="Z127" i="25"/>
  <c r="AB171" i="25" s="1"/>
  <c r="G125" i="25"/>
  <c r="I169" i="25" s="1"/>
  <c r="I124" i="25"/>
  <c r="K168" i="25" s="1"/>
  <c r="P123" i="25"/>
  <c r="Q122" i="25"/>
  <c r="S166" i="25" s="1"/>
  <c r="Z121" i="25"/>
  <c r="AE120" i="25"/>
  <c r="AG164" i="25" s="1"/>
  <c r="H120" i="25"/>
  <c r="O119" i="25"/>
  <c r="J141" i="25"/>
  <c r="O140" i="25"/>
  <c r="C139" i="25"/>
  <c r="AB138" i="25"/>
  <c r="R137" i="25"/>
  <c r="W136" i="25"/>
  <c r="W120" i="25"/>
  <c r="M122" i="25"/>
  <c r="F124" i="25"/>
  <c r="H168" i="25" s="1"/>
  <c r="Y127" i="25"/>
  <c r="AA171" i="25" s="1"/>
  <c r="P137" i="25"/>
  <c r="BA14" i="25"/>
  <c r="AI133" i="25" s="1"/>
  <c r="AV18" i="25"/>
  <c r="BG135" i="25" s="1"/>
  <c r="AU18" i="25"/>
  <c r="BF135" i="25" s="1"/>
  <c r="AY18" i="25"/>
  <c r="BJ135" i="25" s="1"/>
  <c r="AX18" i="25"/>
  <c r="BI135" i="25" s="1"/>
  <c r="AW18" i="25"/>
  <c r="BH135" i="25" s="1"/>
  <c r="I119" i="25"/>
  <c r="AB120" i="25"/>
  <c r="N122" i="25"/>
  <c r="G124" i="25"/>
  <c r="I168" i="25" s="1"/>
  <c r="T148" i="25"/>
  <c r="BB14" i="25"/>
  <c r="AJ133" i="25" s="1"/>
  <c r="AX15" i="25"/>
  <c r="AQ135" i="25" s="1"/>
  <c r="AW21" i="25"/>
  <c r="AV156" i="25" s="1"/>
  <c r="AY21" i="25"/>
  <c r="AX156" i="25" s="1"/>
  <c r="AX21" i="25"/>
  <c r="AW156" i="25" s="1"/>
  <c r="J119" i="25"/>
  <c r="AC120" i="25"/>
  <c r="AE164" i="25" s="1"/>
  <c r="O122" i="25"/>
  <c r="Q166" i="25" s="1"/>
  <c r="H124" i="25"/>
  <c r="S126" i="25"/>
  <c r="U170" i="25" s="1"/>
  <c r="K134" i="25"/>
  <c r="U148" i="25"/>
  <c r="C165" i="25" s="1"/>
  <c r="AU17" i="25"/>
  <c r="AZ135" i="25" s="1"/>
  <c r="L119" i="25"/>
  <c r="AD120" i="25"/>
  <c r="AF164" i="25" s="1"/>
  <c r="P122" i="25"/>
  <c r="R166" i="25" s="1"/>
  <c r="Z124" i="25"/>
  <c r="AB168" i="25" s="1"/>
  <c r="T126" i="25"/>
  <c r="V170" i="25" s="1"/>
  <c r="Q134" i="25"/>
  <c r="C140" i="25"/>
  <c r="BB20" i="25"/>
  <c r="AP154" i="25" s="1"/>
  <c r="BB21" i="25"/>
  <c r="AV154" i="25" s="1"/>
  <c r="BB17" i="25"/>
  <c r="BB133" i="25" s="1"/>
  <c r="BB22" i="25"/>
  <c r="BB154" i="25" s="1"/>
  <c r="BA19" i="25"/>
  <c r="AI154" i="25" s="1"/>
  <c r="BA16" i="25"/>
  <c r="AU133" i="25" s="1"/>
  <c r="BA22" i="25"/>
  <c r="BA154" i="25" s="1"/>
  <c r="AZ19" i="25"/>
  <c r="AH154" i="25" s="1"/>
  <c r="AZ16" i="25"/>
  <c r="AT133" i="25" s="1"/>
  <c r="AZ22" i="25"/>
  <c r="AZ154" i="25" s="1"/>
  <c r="BC17" i="25"/>
  <c r="BC133" i="25" s="1"/>
  <c r="BC14" i="25"/>
  <c r="AK133" i="25" s="1"/>
  <c r="BB23" i="25"/>
  <c r="BH154" i="25" s="1"/>
  <c r="AZ20" i="25"/>
  <c r="AN154" i="25" s="1"/>
  <c r="BC18" i="25"/>
  <c r="BI133" i="25" s="1"/>
  <c r="AZ14" i="25"/>
  <c r="AH133" i="25" s="1"/>
  <c r="BC23" i="25"/>
  <c r="BI154" i="25" s="1"/>
  <c r="AZ21" i="25"/>
  <c r="AT154" i="25" s="1"/>
  <c r="BB18" i="25"/>
  <c r="BH133" i="25" s="1"/>
  <c r="BB16" i="25"/>
  <c r="AV133" i="25" s="1"/>
  <c r="BA23" i="25"/>
  <c r="BG154" i="25" s="1"/>
  <c r="BA18" i="25"/>
  <c r="BG133" i="25" s="1"/>
  <c r="AZ23" i="25"/>
  <c r="BF154" i="25" s="1"/>
  <c r="BC20" i="25"/>
  <c r="AQ154" i="25" s="1"/>
  <c r="AZ18" i="25"/>
  <c r="BF133" i="25" s="1"/>
  <c r="BC15" i="25"/>
  <c r="AQ133" i="25" s="1"/>
  <c r="BA20" i="25"/>
  <c r="AO154" i="25" s="1"/>
  <c r="BB15" i="25"/>
  <c r="AP133" i="25" s="1"/>
  <c r="BA15" i="25"/>
  <c r="AO133" i="25" s="1"/>
  <c r="BA17" i="25"/>
  <c r="BA133" i="25" s="1"/>
  <c r="AZ15" i="25"/>
  <c r="AN133" i="25" s="1"/>
  <c r="BC22" i="25"/>
  <c r="BC154" i="25" s="1"/>
  <c r="AZ17" i="25"/>
  <c r="AZ133" i="25" s="1"/>
  <c r="N152" i="25"/>
  <c r="K152" i="25"/>
  <c r="Q151" i="25"/>
  <c r="K151" i="25"/>
  <c r="AV17" i="25"/>
  <c r="BA135" i="25" s="1"/>
  <c r="M119" i="25"/>
  <c r="AA124" i="25"/>
  <c r="U126" i="25"/>
  <c r="W170" i="25" s="1"/>
  <c r="K133" i="25"/>
  <c r="R134" i="25"/>
  <c r="B139" i="25"/>
  <c r="G140" i="25"/>
  <c r="AW17" i="25"/>
  <c r="BB135" i="25" s="1"/>
  <c r="N119" i="25"/>
  <c r="M121" i="25"/>
  <c r="O165" i="25" s="1"/>
  <c r="C123" i="25"/>
  <c r="W126" i="25"/>
  <c r="Y170" i="25" s="1"/>
  <c r="M133" i="25"/>
  <c r="S134" i="25"/>
  <c r="K136" i="25"/>
  <c r="T139" i="25"/>
  <c r="H140" i="25"/>
  <c r="BD18" i="25"/>
  <c r="BJ133" i="25" s="1"/>
  <c r="AB119" i="25"/>
  <c r="N121" i="25"/>
  <c r="D123" i="25"/>
  <c r="F167" i="25" s="1"/>
  <c r="X126" i="25"/>
  <c r="Z170" i="25" s="1"/>
  <c r="N133" i="25"/>
  <c r="U134" i="25"/>
  <c r="L136" i="25"/>
  <c r="P138" i="25"/>
  <c r="U139" i="25"/>
  <c r="J140" i="25"/>
  <c r="B150" i="25"/>
  <c r="BB19" i="25"/>
  <c r="AJ154" i="25" s="1"/>
  <c r="AE119" i="25"/>
  <c r="G123" i="25"/>
  <c r="I167" i="25" s="1"/>
  <c r="AB125" i="25"/>
  <c r="AD169" i="25" s="1"/>
  <c r="M127" i="25"/>
  <c r="O171" i="25" s="1"/>
  <c r="U133" i="25"/>
  <c r="L135" i="25"/>
  <c r="U136" i="25"/>
  <c r="U138" i="25"/>
  <c r="AC139" i="25"/>
  <c r="B141" i="25"/>
  <c r="AY16" i="25"/>
  <c r="AX135" i="25" s="1"/>
  <c r="AX16" i="25"/>
  <c r="AW135" i="25" s="1"/>
  <c r="AU16" i="25"/>
  <c r="AT135" i="25" s="1"/>
  <c r="AW16" i="25"/>
  <c r="AV135" i="25" s="1"/>
  <c r="AV16" i="25"/>
  <c r="AU135" i="25" s="1"/>
  <c r="BC19" i="25"/>
  <c r="AK154" i="25" s="1"/>
  <c r="Y121" i="25"/>
  <c r="AA165" i="25" s="1"/>
  <c r="BA130" i="25"/>
  <c r="O123" i="25"/>
  <c r="Q167" i="25" s="1"/>
  <c r="AC125" i="25"/>
  <c r="AE169" i="25" s="1"/>
  <c r="Q127" i="25"/>
  <c r="S171" i="25" s="1"/>
  <c r="P135" i="25"/>
  <c r="H137" i="25"/>
  <c r="V138" i="25"/>
  <c r="C141" i="25"/>
  <c r="B151" i="25"/>
  <c r="T121" i="25"/>
  <c r="V165" i="25" s="1"/>
  <c r="F123" i="25"/>
  <c r="H167" i="25" s="1"/>
  <c r="O133" i="25"/>
  <c r="T136" i="25"/>
  <c r="AB139" i="25"/>
  <c r="K150" i="25"/>
  <c r="BD20" i="25"/>
  <c r="AR154" i="25" s="1"/>
  <c r="AX20" i="25"/>
  <c r="AQ156" i="25" s="1"/>
  <c r="AW20" i="25"/>
  <c r="AP156" i="25" s="1"/>
  <c r="AV20" i="25"/>
  <c r="AO156" i="25" s="1"/>
  <c r="U121" i="25"/>
  <c r="AW14" i="25"/>
  <c r="AJ135" i="25" s="1"/>
  <c r="AU20" i="25"/>
  <c r="AN156" i="25" s="1"/>
  <c r="BA21" i="25"/>
  <c r="AU154" i="25" s="1"/>
  <c r="AY23" i="25"/>
  <c r="BJ156" i="25" s="1"/>
  <c r="AV23" i="25"/>
  <c r="BG156" i="25" s="1"/>
  <c r="AX23" i="25"/>
  <c r="BI156" i="25" s="1"/>
  <c r="AW23" i="25"/>
  <c r="BH156" i="25" s="1"/>
  <c r="AU23" i="25"/>
  <c r="BF156" i="25" s="1"/>
  <c r="G120" i="25"/>
  <c r="I164" i="25" s="1"/>
  <c r="AD125" i="25"/>
  <c r="AF169" i="25" s="1"/>
  <c r="R127" i="25"/>
  <c r="T171" i="25" s="1"/>
  <c r="Q135" i="25"/>
  <c r="M137" i="25"/>
  <c r="I141" i="25"/>
  <c r="AC119" i="25"/>
  <c r="F125" i="25"/>
  <c r="K135" i="25"/>
  <c r="T138" i="25"/>
  <c r="N153" i="25"/>
  <c r="BC21" i="25"/>
  <c r="AW154" i="25" s="1"/>
  <c r="V120" i="25"/>
  <c r="AO130" i="25"/>
  <c r="L122" i="25"/>
  <c r="N166" i="25" s="1"/>
  <c r="AU130" i="25"/>
  <c r="AE125" i="25"/>
  <c r="AG169" i="25" s="1"/>
  <c r="S127" i="25"/>
  <c r="U171" i="25" s="1"/>
  <c r="R135" i="25"/>
  <c r="O137" i="25"/>
  <c r="H147" i="25"/>
  <c r="BD14" i="25"/>
  <c r="AL133" i="25" s="1"/>
  <c r="AY19" i="25"/>
  <c r="AL156" i="25" s="1"/>
  <c r="AV19" i="25"/>
  <c r="AI156" i="25" s="1"/>
  <c r="AX19" i="25"/>
  <c r="AK156" i="25" s="1"/>
  <c r="Q152" i="25"/>
  <c r="AV22" i="25"/>
  <c r="BA156" i="25" s="1"/>
  <c r="AW22" i="25"/>
  <c r="BB156" i="25" s="1"/>
  <c r="AU14" i="25"/>
  <c r="AH135" i="25" s="1"/>
  <c r="AV21" i="25"/>
  <c r="AU156" i="25" s="1"/>
  <c r="K153" i="25"/>
  <c r="N150" i="25"/>
  <c r="B149" i="25"/>
  <c r="H146" i="25"/>
  <c r="H148" i="25" s="1"/>
  <c r="Q149" i="25"/>
  <c r="B148" i="25"/>
  <c r="N149" i="25"/>
  <c r="E146" i="25"/>
  <c r="K149" i="25"/>
  <c r="B146" i="25"/>
  <c r="Q150" i="25"/>
  <c r="N151" i="25"/>
  <c r="E147" i="25"/>
  <c r="AV14" i="25"/>
  <c r="AI135" i="25" s="1"/>
  <c r="AV15" i="25"/>
  <c r="AO135" i="25" s="1"/>
  <c r="AW15" i="25"/>
  <c r="AP135" i="25" s="1"/>
  <c r="AU15" i="25"/>
  <c r="AN135" i="25" s="1"/>
  <c r="BD15" i="25"/>
  <c r="AR133" i="25" s="1"/>
  <c r="BD17" i="25"/>
  <c r="BD133" i="25" s="1"/>
  <c r="AY17" i="25"/>
  <c r="BD135" i="25" s="1"/>
  <c r="AI130" i="25"/>
  <c r="B147" i="25"/>
  <c r="Q153" i="25"/>
  <c r="BG151" i="25"/>
  <c r="AY20" i="25"/>
  <c r="AR156" i="25" s="1"/>
  <c r="AU21" i="25"/>
  <c r="AT156" i="25" s="1"/>
  <c r="E121" i="5"/>
  <c r="Q153" i="5"/>
  <c r="N149" i="5"/>
  <c r="B148" i="5"/>
  <c r="Q150" i="5"/>
  <c r="B149" i="5"/>
  <c r="B146" i="5"/>
  <c r="N150" i="5"/>
  <c r="N153" i="5"/>
  <c r="K153" i="5"/>
  <c r="Q151" i="5"/>
  <c r="N151" i="5"/>
  <c r="H146" i="5"/>
  <c r="K151" i="5"/>
  <c r="E146" i="5"/>
  <c r="K150" i="5"/>
  <c r="Q152" i="5"/>
  <c r="B150" i="5"/>
  <c r="E147" i="5"/>
  <c r="Q149" i="5"/>
  <c r="B147" i="5"/>
  <c r="AZ17" i="5"/>
  <c r="AZ133" i="5" s="1"/>
  <c r="AZ21" i="5"/>
  <c r="AT154" i="5" s="1"/>
  <c r="AB122" i="5"/>
  <c r="Q137" i="5"/>
  <c r="C122" i="5"/>
  <c r="AY14" i="5"/>
  <c r="AL135" i="5" s="1"/>
  <c r="AY16" i="5"/>
  <c r="AX135" i="5" s="1"/>
  <c r="AX16" i="5"/>
  <c r="AW135" i="5" s="1"/>
  <c r="AW16" i="5"/>
  <c r="AV135" i="5" s="1"/>
  <c r="BD16" i="5"/>
  <c r="AX133" i="5" s="1"/>
  <c r="AV16" i="5"/>
  <c r="AU135" i="5" s="1"/>
  <c r="BC21" i="5"/>
  <c r="AW154" i="5" s="1"/>
  <c r="R119" i="5"/>
  <c r="P120" i="5"/>
  <c r="R164" i="5" s="1"/>
  <c r="I121" i="5"/>
  <c r="D122" i="5"/>
  <c r="AE122" i="5"/>
  <c r="AE123" i="5"/>
  <c r="AG167" i="5" s="1"/>
  <c r="AC124" i="5"/>
  <c r="AD125" i="5"/>
  <c r="AC126" i="5"/>
  <c r="G133" i="5"/>
  <c r="W134" i="5"/>
  <c r="AB135" i="5"/>
  <c r="Q136" i="5"/>
  <c r="AC137" i="5"/>
  <c r="I138" i="5"/>
  <c r="U140" i="5"/>
  <c r="AU151" i="5"/>
  <c r="K149" i="5"/>
  <c r="S137" i="5"/>
  <c r="W123" i="5"/>
  <c r="E123" i="5"/>
  <c r="N137" i="5"/>
  <c r="AZ15" i="5"/>
  <c r="AN133" i="5" s="1"/>
  <c r="AZ18" i="5"/>
  <c r="BF133" i="5" s="1"/>
  <c r="S119" i="5"/>
  <c r="Q120" i="5"/>
  <c r="S164" i="5" s="1"/>
  <c r="J121" i="5"/>
  <c r="E122" i="5"/>
  <c r="AE124" i="5"/>
  <c r="AD126" i="5"/>
  <c r="H133" i="5"/>
  <c r="AD134" i="5"/>
  <c r="R136" i="5"/>
  <c r="AD137" i="5"/>
  <c r="L138" i="5"/>
  <c r="B139" i="5"/>
  <c r="M120" i="5"/>
  <c r="O164" i="5" s="1"/>
  <c r="W119" i="5"/>
  <c r="E119" i="5"/>
  <c r="Q141" i="5"/>
  <c r="V140" i="5"/>
  <c r="C140" i="5"/>
  <c r="AC139" i="5"/>
  <c r="C139" i="5"/>
  <c r="Y138" i="5"/>
  <c r="AE136" i="5"/>
  <c r="E136" i="5"/>
  <c r="N135" i="5"/>
  <c r="Z134" i="5"/>
  <c r="I133" i="5"/>
  <c r="I142" i="5" s="1"/>
  <c r="AA127" i="5"/>
  <c r="G127" i="5"/>
  <c r="O126" i="5"/>
  <c r="Z125" i="5"/>
  <c r="AB169" i="5" s="1"/>
  <c r="N124" i="5"/>
  <c r="P168" i="5" s="1"/>
  <c r="Q122" i="5"/>
  <c r="K121" i="5"/>
  <c r="AB120" i="5"/>
  <c r="F120" i="5"/>
  <c r="U119" i="5"/>
  <c r="H141" i="5"/>
  <c r="R140" i="5"/>
  <c r="R139" i="5"/>
  <c r="N138" i="5"/>
  <c r="T136" i="5"/>
  <c r="AC135" i="5"/>
  <c r="J135" i="5"/>
  <c r="O134" i="5"/>
  <c r="BA15" i="5"/>
  <c r="AO133" i="5" s="1"/>
  <c r="BA18" i="5"/>
  <c r="BG133" i="5" s="1"/>
  <c r="AZ19" i="5"/>
  <c r="AH154" i="5" s="1"/>
  <c r="AZ22" i="5"/>
  <c r="AZ154" i="5" s="1"/>
  <c r="X119" i="5"/>
  <c r="R120" i="5"/>
  <c r="T164" i="5" s="1"/>
  <c r="S121" i="5"/>
  <c r="K122" i="5"/>
  <c r="M166" i="5" s="1"/>
  <c r="D123" i="5"/>
  <c r="S133" i="5"/>
  <c r="AE134" i="5"/>
  <c r="S136" i="5"/>
  <c r="AE137" i="5"/>
  <c r="M138" i="5"/>
  <c r="L139" i="5"/>
  <c r="AI151" i="5"/>
  <c r="BB15" i="5"/>
  <c r="AP133" i="5" s="1"/>
  <c r="BA19" i="5"/>
  <c r="AI154" i="5" s="1"/>
  <c r="BA22" i="5"/>
  <c r="BA154" i="5" s="1"/>
  <c r="Y119" i="5"/>
  <c r="S120" i="5"/>
  <c r="AO130" i="5"/>
  <c r="T121" i="5"/>
  <c r="L122" i="5"/>
  <c r="H123" i="5"/>
  <c r="J167" i="5" s="1"/>
  <c r="B124" i="5"/>
  <c r="B126" i="5"/>
  <c r="T133" i="5"/>
  <c r="V136" i="5"/>
  <c r="U138" i="5"/>
  <c r="N139" i="5"/>
  <c r="B141" i="5"/>
  <c r="E120" i="5"/>
  <c r="K119" i="5"/>
  <c r="V123" i="5"/>
  <c r="X167" i="5" s="1"/>
  <c r="Z135" i="5"/>
  <c r="BD18" i="5"/>
  <c r="BJ133" i="5" s="1"/>
  <c r="AY18" i="5"/>
  <c r="BJ135" i="5" s="1"/>
  <c r="BC15" i="5"/>
  <c r="AQ133" i="5" s="1"/>
  <c r="U121" i="5"/>
  <c r="W165" i="5" s="1"/>
  <c r="C124" i="5"/>
  <c r="E168" i="5" s="1"/>
  <c r="U133" i="5"/>
  <c r="U142" i="5" s="1"/>
  <c r="V138" i="5"/>
  <c r="D141" i="5"/>
  <c r="AU16" i="5"/>
  <c r="AT135" i="5" s="1"/>
  <c r="BD17" i="5"/>
  <c r="BD133" i="5" s="1"/>
  <c r="AV17" i="5"/>
  <c r="BA135" i="5" s="1"/>
  <c r="AU17" i="5"/>
  <c r="AZ135" i="5" s="1"/>
  <c r="BC19" i="5"/>
  <c r="AK154" i="5" s="1"/>
  <c r="AE119" i="5"/>
  <c r="AA120" i="5"/>
  <c r="AC164" i="5" s="1"/>
  <c r="V121" i="5"/>
  <c r="X165" i="5" s="1"/>
  <c r="O122" i="5"/>
  <c r="Q166" i="5" s="1"/>
  <c r="K123" i="5"/>
  <c r="M167" i="5" s="1"/>
  <c r="E124" i="5"/>
  <c r="K125" i="5"/>
  <c r="I126" i="5"/>
  <c r="K170" i="5" s="1"/>
  <c r="L127" i="5"/>
  <c r="V133" i="5"/>
  <c r="H135" i="5"/>
  <c r="B137" i="5"/>
  <c r="AC138" i="5"/>
  <c r="P139" i="5"/>
  <c r="B140" i="5"/>
  <c r="G141" i="5"/>
  <c r="H147" i="5"/>
  <c r="AU20" i="5"/>
  <c r="AN156" i="5" s="1"/>
  <c r="W121" i="5"/>
  <c r="W133" i="5"/>
  <c r="F140" i="5"/>
  <c r="AV15" i="5"/>
  <c r="AO135" i="5" s="1"/>
  <c r="AU15" i="5"/>
  <c r="AN135" i="5" s="1"/>
  <c r="AX15" i="5"/>
  <c r="AQ135" i="5" s="1"/>
  <c r="AW15" i="5"/>
  <c r="AP135" i="5" s="1"/>
  <c r="AW17" i="5"/>
  <c r="BB135" i="5" s="1"/>
  <c r="G119" i="5"/>
  <c r="B120" i="5"/>
  <c r="X121" i="5"/>
  <c r="Z165" i="5" s="1"/>
  <c r="Y122" i="5"/>
  <c r="Q123" i="5"/>
  <c r="S167" i="5" s="1"/>
  <c r="Q124" i="5"/>
  <c r="M125" i="5"/>
  <c r="O169" i="5" s="1"/>
  <c r="N126" i="5"/>
  <c r="N127" i="5"/>
  <c r="X133" i="5"/>
  <c r="I134" i="5"/>
  <c r="M135" i="5"/>
  <c r="E137" i="5"/>
  <c r="AA139" i="5"/>
  <c r="G140" i="5"/>
  <c r="P141" i="5"/>
  <c r="U151" i="5"/>
  <c r="C168" i="5" s="1"/>
  <c r="K152" i="5"/>
  <c r="BB18" i="5"/>
  <c r="BH133" i="5" s="1"/>
  <c r="BC16" i="5"/>
  <c r="AW133" i="5" s="1"/>
  <c r="AZ14" i="5"/>
  <c r="AH133" i="5" s="1"/>
  <c r="BB22" i="5"/>
  <c r="BB154" i="5" s="1"/>
  <c r="AZ20" i="5"/>
  <c r="AN154" i="5" s="1"/>
  <c r="J119" i="5"/>
  <c r="AA122" i="5"/>
  <c r="AC166" i="5" s="1"/>
  <c r="T123" i="5"/>
  <c r="V167" i="5" s="1"/>
  <c r="S124" i="5"/>
  <c r="U168" i="5" s="1"/>
  <c r="O125" i="5"/>
  <c r="Z126" i="5"/>
  <c r="W127" i="5"/>
  <c r="M134" i="5"/>
  <c r="Y135" i="5"/>
  <c r="D136" i="5"/>
  <c r="M137" i="5"/>
  <c r="P140" i="5"/>
  <c r="W141" i="5"/>
  <c r="T154" i="5"/>
  <c r="AV14" i="5"/>
  <c r="AI135" i="5" s="1"/>
  <c r="N120" i="5"/>
  <c r="P164" i="5" s="1"/>
  <c r="F121" i="5"/>
  <c r="T124" i="5"/>
  <c r="T125" i="5"/>
  <c r="V169" i="5" s="1"/>
  <c r="AA126" i="5"/>
  <c r="Y127" i="5"/>
  <c r="N134" i="5"/>
  <c r="M136" i="5"/>
  <c r="G138" i="5"/>
  <c r="Q140" i="5"/>
  <c r="X141" i="5"/>
  <c r="U154" i="5"/>
  <c r="C171" i="5" s="1"/>
  <c r="AX14" i="5"/>
  <c r="AK135" i="5" s="1"/>
  <c r="AW18" i="5"/>
  <c r="BH135" i="5" s="1"/>
  <c r="BA21" i="5"/>
  <c r="AU154" i="5" s="1"/>
  <c r="L119" i="5"/>
  <c r="O120" i="5"/>
  <c r="Q164" i="5" s="1"/>
  <c r="G121" i="5"/>
  <c r="I165" i="5" s="1"/>
  <c r="AC122" i="5"/>
  <c r="AD123" i="5"/>
  <c r="AB124" i="5"/>
  <c r="AD168" i="5" s="1"/>
  <c r="Y125" i="5"/>
  <c r="AA169" i="5" s="1"/>
  <c r="AB126" i="5"/>
  <c r="Z127" i="5"/>
  <c r="AB171" i="5" s="1"/>
  <c r="E133" i="5"/>
  <c r="E142" i="5" s="1"/>
  <c r="R134" i="5"/>
  <c r="AA135" i="5"/>
  <c r="P136" i="5"/>
  <c r="R137" i="5"/>
  <c r="H138" i="5"/>
  <c r="T140" i="5"/>
  <c r="AD141" i="5"/>
  <c r="BB19" i="5"/>
  <c r="AJ154" i="5" s="1"/>
  <c r="BD20" i="5"/>
  <c r="AR154" i="5" s="1"/>
  <c r="AW20" i="5"/>
  <c r="AP156" i="5" s="1"/>
  <c r="BC22" i="5"/>
  <c r="BC154" i="5" s="1"/>
  <c r="AD119" i="5"/>
  <c r="Z120" i="5"/>
  <c r="M122" i="5"/>
  <c r="J123" i="5"/>
  <c r="J125" i="5"/>
  <c r="H126" i="5"/>
  <c r="J170" i="5" s="1"/>
  <c r="K127" i="5"/>
  <c r="AD136" i="5"/>
  <c r="O139" i="5"/>
  <c r="BA16" i="5"/>
  <c r="AU133" i="5" s="1"/>
  <c r="F119" i="5"/>
  <c r="AE120" i="5"/>
  <c r="AG164" i="5" s="1"/>
  <c r="P122" i="5"/>
  <c r="R166" i="5" s="1"/>
  <c r="L123" i="5"/>
  <c r="J124" i="5"/>
  <c r="L168" i="5" s="1"/>
  <c r="L125" i="5"/>
  <c r="M126" i="5"/>
  <c r="H134" i="5"/>
  <c r="L135" i="5"/>
  <c r="C137" i="5"/>
  <c r="AD138" i="5"/>
  <c r="Q139" i="5"/>
  <c r="N141" i="5"/>
  <c r="T147" i="5"/>
  <c r="B151" i="5"/>
  <c r="AX17" i="5"/>
  <c r="BC135" i="5" s="1"/>
  <c r="AX20" i="5"/>
  <c r="AQ156" i="5" s="1"/>
  <c r="I119" i="5"/>
  <c r="D120" i="5"/>
  <c r="AE121" i="5"/>
  <c r="AG165" i="5" s="1"/>
  <c r="Z122" i="5"/>
  <c r="R123" i="5"/>
  <c r="T167" i="5" s="1"/>
  <c r="R124" i="5"/>
  <c r="N125" i="5"/>
  <c r="P169" i="5" s="1"/>
  <c r="W126" i="5"/>
  <c r="Y170" i="5" s="1"/>
  <c r="O127" i="5"/>
  <c r="Q171" i="5" s="1"/>
  <c r="AA133" i="5"/>
  <c r="AA142" i="5" s="1"/>
  <c r="J134" i="5"/>
  <c r="X135" i="5"/>
  <c r="C136" i="5"/>
  <c r="F137" i="5"/>
  <c r="AB139" i="5"/>
  <c r="H140" i="5"/>
  <c r="V141" i="5"/>
  <c r="AO151" i="5"/>
  <c r="N152" i="5"/>
  <c r="T150" i="5"/>
  <c r="U146" i="5"/>
  <c r="AA141" i="5"/>
  <c r="O141" i="5"/>
  <c r="C141" i="5"/>
  <c r="W140" i="5"/>
  <c r="K140" i="5"/>
  <c r="Y139" i="5"/>
  <c r="M139" i="5"/>
  <c r="AA138" i="5"/>
  <c r="O138" i="5"/>
  <c r="C138" i="5"/>
  <c r="AB137" i="5"/>
  <c r="P137" i="5"/>
  <c r="D137" i="5"/>
  <c r="X136" i="5"/>
  <c r="L136" i="5"/>
  <c r="U135" i="5"/>
  <c r="I135" i="5"/>
  <c r="AC134" i="5"/>
  <c r="Q134" i="5"/>
  <c r="E134" i="5"/>
  <c r="Z133" i="5"/>
  <c r="N133" i="5"/>
  <c r="B133" i="5"/>
  <c r="V127" i="5"/>
  <c r="X171" i="5" s="1"/>
  <c r="J127" i="5"/>
  <c r="L171" i="5" s="1"/>
  <c r="AE126" i="5"/>
  <c r="S126" i="5"/>
  <c r="G126" i="5"/>
  <c r="AB125" i="5"/>
  <c r="P125" i="5"/>
  <c r="D125" i="5"/>
  <c r="Y124" i="5"/>
  <c r="AA168" i="5" s="1"/>
  <c r="M124" i="5"/>
  <c r="O168" i="5" s="1"/>
  <c r="U153" i="5"/>
  <c r="C170" i="5" s="1"/>
  <c r="S141" i="5"/>
  <c r="F141" i="5"/>
  <c r="Y140" i="5"/>
  <c r="L140" i="5"/>
  <c r="X139" i="5"/>
  <c r="K139" i="5"/>
  <c r="X138" i="5"/>
  <c r="K138" i="5"/>
  <c r="V137" i="5"/>
  <c r="I137" i="5"/>
  <c r="AB136" i="5"/>
  <c r="O136" i="5"/>
  <c r="B136" i="5"/>
  <c r="S135" i="5"/>
  <c r="F135" i="5"/>
  <c r="Y134" i="5"/>
  <c r="L134" i="5"/>
  <c r="AD133" i="5"/>
  <c r="Q133" i="5"/>
  <c r="D133" i="5"/>
  <c r="AE127" i="5"/>
  <c r="R127" i="5"/>
  <c r="T171" i="5" s="1"/>
  <c r="E127" i="5"/>
  <c r="G171" i="5" s="1"/>
  <c r="Y126" i="5"/>
  <c r="L126" i="5"/>
  <c r="N170" i="5" s="1"/>
  <c r="S125" i="5"/>
  <c r="U169" i="5" s="1"/>
  <c r="F125" i="5"/>
  <c r="H169" i="5" s="1"/>
  <c r="Z124" i="5"/>
  <c r="L124" i="5"/>
  <c r="U123" i="5"/>
  <c r="W167" i="5" s="1"/>
  <c r="I123" i="5"/>
  <c r="AD122" i="5"/>
  <c r="AF166" i="5" s="1"/>
  <c r="R122" i="5"/>
  <c r="F122" i="5"/>
  <c r="AA121" i="5"/>
  <c r="AC165" i="5" s="1"/>
  <c r="O121" i="5"/>
  <c r="Q165" i="5" s="1"/>
  <c r="C121" i="5"/>
  <c r="E165" i="5" s="1"/>
  <c r="X120" i="5"/>
  <c r="Z164" i="5" s="1"/>
  <c r="L120" i="5"/>
  <c r="N164" i="5" s="1"/>
  <c r="T119" i="5"/>
  <c r="H119" i="5"/>
  <c r="T153" i="5"/>
  <c r="U147" i="5"/>
  <c r="C164" i="5" s="1"/>
  <c r="AE141" i="5"/>
  <c r="R141" i="5"/>
  <c r="E141" i="5"/>
  <c r="X140" i="5"/>
  <c r="J140" i="5"/>
  <c r="W139" i="5"/>
  <c r="J139" i="5"/>
  <c r="W138" i="5"/>
  <c r="J138" i="5"/>
  <c r="U137" i="5"/>
  <c r="H137" i="5"/>
  <c r="AA136" i="5"/>
  <c r="N136" i="5"/>
  <c r="AE135" i="5"/>
  <c r="R135" i="5"/>
  <c r="E135" i="5"/>
  <c r="X134" i="5"/>
  <c r="K134" i="5"/>
  <c r="AC133" i="5"/>
  <c r="P133" i="5"/>
  <c r="P142" i="5" s="1"/>
  <c r="C133" i="5"/>
  <c r="AD127" i="5"/>
  <c r="Q127" i="5"/>
  <c r="S171" i="5" s="1"/>
  <c r="D127" i="5"/>
  <c r="F171" i="5" s="1"/>
  <c r="X126" i="5"/>
  <c r="K126" i="5"/>
  <c r="AE125" i="5"/>
  <c r="AG169" i="5" s="1"/>
  <c r="R125" i="5"/>
  <c r="T169" i="5" s="1"/>
  <c r="E125" i="5"/>
  <c r="G169" i="5" s="1"/>
  <c r="X124" i="5"/>
  <c r="Z168" i="5" s="1"/>
  <c r="K124" i="5"/>
  <c r="M168" i="5" s="1"/>
  <c r="T151" i="5"/>
  <c r="U148" i="5"/>
  <c r="C165" i="5" s="1"/>
  <c r="AC141" i="5"/>
  <c r="M141" i="5"/>
  <c r="O171" i="5" s="1"/>
  <c r="AD140" i="5"/>
  <c r="O140" i="5"/>
  <c r="Z139" i="5"/>
  <c r="H139" i="5"/>
  <c r="S138" i="5"/>
  <c r="D138" i="5"/>
  <c r="AA137" i="5"/>
  <c r="L137" i="5"/>
  <c r="AC136" i="5"/>
  <c r="K136" i="5"/>
  <c r="W135" i="5"/>
  <c r="G135" i="5"/>
  <c r="V134" i="5"/>
  <c r="G134" i="5"/>
  <c r="R133" i="5"/>
  <c r="U127" i="5"/>
  <c r="F127" i="5"/>
  <c r="V126" i="5"/>
  <c r="X170" i="5" s="1"/>
  <c r="F126" i="5"/>
  <c r="H170" i="5" s="1"/>
  <c r="X125" i="5"/>
  <c r="Z169" i="5" s="1"/>
  <c r="I125" i="5"/>
  <c r="K169" i="5" s="1"/>
  <c r="AA124" i="5"/>
  <c r="I124" i="5"/>
  <c r="K168" i="5" s="1"/>
  <c r="AC123" i="5"/>
  <c r="P123" i="5"/>
  <c r="C123" i="5"/>
  <c r="E167" i="5" s="1"/>
  <c r="W122" i="5"/>
  <c r="J122" i="5"/>
  <c r="AD121" i="5"/>
  <c r="AF165" i="5" s="1"/>
  <c r="Q121" i="5"/>
  <c r="D121" i="5"/>
  <c r="F165" i="5" s="1"/>
  <c r="W120" i="5"/>
  <c r="Y164" i="5" s="1"/>
  <c r="J120" i="5"/>
  <c r="L164" i="5" s="1"/>
  <c r="AC119" i="5"/>
  <c r="P119" i="5"/>
  <c r="C119" i="5"/>
  <c r="T148" i="5"/>
  <c r="T146" i="5"/>
  <c r="AB141" i="5"/>
  <c r="L141" i="5"/>
  <c r="AC140" i="5"/>
  <c r="N140" i="5"/>
  <c r="V139" i="5"/>
  <c r="G139" i="5"/>
  <c r="R138" i="5"/>
  <c r="B138" i="5"/>
  <c r="Z137" i="5"/>
  <c r="K137" i="5"/>
  <c r="Z136" i="5"/>
  <c r="J136" i="5"/>
  <c r="V135" i="5"/>
  <c r="D135" i="5"/>
  <c r="U134" i="5"/>
  <c r="F134" i="5"/>
  <c r="O133" i="5"/>
  <c r="O142" i="5" s="1"/>
  <c r="T127" i="5"/>
  <c r="V171" i="5" s="1"/>
  <c r="C127" i="5"/>
  <c r="E171" i="5" s="1"/>
  <c r="U126" i="5"/>
  <c r="W170" i="5" s="1"/>
  <c r="E126" i="5"/>
  <c r="W125" i="5"/>
  <c r="H125" i="5"/>
  <c r="W124" i="5"/>
  <c r="H124" i="5"/>
  <c r="AB123" i="5"/>
  <c r="O123" i="5"/>
  <c r="Q167" i="5" s="1"/>
  <c r="B123" i="5"/>
  <c r="V122" i="5"/>
  <c r="I122" i="5"/>
  <c r="K166" i="5" s="1"/>
  <c r="AC121" i="5"/>
  <c r="AE165" i="5" s="1"/>
  <c r="P121" i="5"/>
  <c r="B121" i="5"/>
  <c r="V120" i="5"/>
  <c r="I120" i="5"/>
  <c r="AB119" i="5"/>
  <c r="O119" i="5"/>
  <c r="B119" i="5"/>
  <c r="U152" i="5"/>
  <c r="C169" i="5" s="1"/>
  <c r="Z141" i="5"/>
  <c r="K141" i="5"/>
  <c r="AB140" i="5"/>
  <c r="M140" i="5"/>
  <c r="U139" i="5"/>
  <c r="F139" i="5"/>
  <c r="Q138" i="5"/>
  <c r="Y137" i="5"/>
  <c r="J137" i="5"/>
  <c r="Y136" i="5"/>
  <c r="I136" i="5"/>
  <c r="T135" i="5"/>
  <c r="C135" i="5"/>
  <c r="T134" i="5"/>
  <c r="D134" i="5"/>
  <c r="AE133" i="5"/>
  <c r="AE142" i="5" s="1"/>
  <c r="M133" i="5"/>
  <c r="S127" i="5"/>
  <c r="B127" i="5"/>
  <c r="T126" i="5"/>
  <c r="V170" i="5" s="1"/>
  <c r="D126" i="5"/>
  <c r="F170" i="5" s="1"/>
  <c r="V125" i="5"/>
  <c r="G125" i="5"/>
  <c r="V124" i="5"/>
  <c r="X168" i="5" s="1"/>
  <c r="G124" i="5"/>
  <c r="I168" i="5" s="1"/>
  <c r="AA123" i="5"/>
  <c r="AC167" i="5" s="1"/>
  <c r="N123" i="5"/>
  <c r="P167" i="5" s="1"/>
  <c r="U122" i="5"/>
  <c r="W166" i="5" s="1"/>
  <c r="H122" i="5"/>
  <c r="AB121" i="5"/>
  <c r="N121" i="5"/>
  <c r="U120" i="5"/>
  <c r="H120" i="5"/>
  <c r="J164" i="5" s="1"/>
  <c r="AA119" i="5"/>
  <c r="N119" i="5"/>
  <c r="T152" i="5"/>
  <c r="U149" i="5"/>
  <c r="C166" i="5" s="1"/>
  <c r="Y141" i="5"/>
  <c r="J141" i="5"/>
  <c r="AA140" i="5"/>
  <c r="I140" i="5"/>
  <c r="T139" i="5"/>
  <c r="E139" i="5"/>
  <c r="AE138" i="5"/>
  <c r="P138" i="5"/>
  <c r="X137" i="5"/>
  <c r="G137" i="5"/>
  <c r="W136" i="5"/>
  <c r="H136" i="5"/>
  <c r="Q135" i="5"/>
  <c r="B135" i="5"/>
  <c r="S134" i="5"/>
  <c r="C134" i="5"/>
  <c r="AB133" i="5"/>
  <c r="L133" i="5"/>
  <c r="P127" i="5"/>
  <c r="R171" i="5" s="1"/>
  <c r="R126" i="5"/>
  <c r="C126" i="5"/>
  <c r="U125" i="5"/>
  <c r="W169" i="5" s="1"/>
  <c r="C125" i="5"/>
  <c r="E169" i="5" s="1"/>
  <c r="U124" i="5"/>
  <c r="F124" i="5"/>
  <c r="H168" i="5" s="1"/>
  <c r="Z123" i="5"/>
  <c r="AB167" i="5" s="1"/>
  <c r="M123" i="5"/>
  <c r="O167" i="5" s="1"/>
  <c r="T122" i="5"/>
  <c r="G122" i="5"/>
  <c r="Z121" i="5"/>
  <c r="AB165" i="5" s="1"/>
  <c r="M121" i="5"/>
  <c r="T120" i="5"/>
  <c r="G120" i="5"/>
  <c r="Z119" i="5"/>
  <c r="M119" i="5"/>
  <c r="AV19" i="5"/>
  <c r="AI156" i="5" s="1"/>
  <c r="AY19" i="5"/>
  <c r="AL156" i="5" s="1"/>
  <c r="AX19" i="5"/>
  <c r="AK156" i="5" s="1"/>
  <c r="AW19" i="5"/>
  <c r="AJ156" i="5" s="1"/>
  <c r="Q119" i="5"/>
  <c r="C120" i="5"/>
  <c r="E164" i="5" s="1"/>
  <c r="Y120" i="5"/>
  <c r="AA164" i="5" s="1"/>
  <c r="H121" i="5"/>
  <c r="J165" i="5" s="1"/>
  <c r="Y121" i="5"/>
  <c r="AA165" i="5" s="1"/>
  <c r="N122" i="5"/>
  <c r="S123" i="5"/>
  <c r="D124" i="5"/>
  <c r="AD124" i="5"/>
  <c r="AF168" i="5" s="1"/>
  <c r="Q125" i="5"/>
  <c r="S169" i="5" s="1"/>
  <c r="J126" i="5"/>
  <c r="L170" i="5" s="1"/>
  <c r="X127" i="5"/>
  <c r="Z171" i="5" s="1"/>
  <c r="F133" i="5"/>
  <c r="Y133" i="5"/>
  <c r="P134" i="5"/>
  <c r="K135" i="5"/>
  <c r="AD135" i="5"/>
  <c r="U136" i="5"/>
  <c r="O137" i="5"/>
  <c r="T138" i="5"/>
  <c r="S139" i="5"/>
  <c r="S140" i="5"/>
  <c r="I141" i="5"/>
  <c r="T149" i="5"/>
  <c r="AU21" i="5"/>
  <c r="AT156" i="5" s="1"/>
  <c r="AW21" i="5"/>
  <c r="AV156" i="5" s="1"/>
  <c r="BA151" i="5"/>
  <c r="BB21" i="5"/>
  <c r="AV154" i="5" s="1"/>
  <c r="BB17" i="5"/>
  <c r="BB133" i="5" s="1"/>
  <c r="BC23" i="5"/>
  <c r="BI154" i="5" s="1"/>
  <c r="BB23" i="5"/>
  <c r="BH154" i="5" s="1"/>
  <c r="BC20" i="5"/>
  <c r="AQ154" i="5" s="1"/>
  <c r="AZ16" i="5"/>
  <c r="AT133" i="5" s="1"/>
  <c r="BA23" i="5"/>
  <c r="BG154" i="5" s="1"/>
  <c r="BB20" i="5"/>
  <c r="AP154" i="5" s="1"/>
  <c r="BC17" i="5"/>
  <c r="BC133" i="5" s="1"/>
  <c r="BC14" i="5"/>
  <c r="AK133" i="5" s="1"/>
  <c r="AZ23" i="5"/>
  <c r="BF154" i="5" s="1"/>
  <c r="BA20" i="5"/>
  <c r="AO154" i="5" s="1"/>
  <c r="BA17" i="5"/>
  <c r="BA133" i="5" s="1"/>
  <c r="BB14" i="5"/>
  <c r="AJ133" i="5" s="1"/>
  <c r="BA14" i="5"/>
  <c r="AI133" i="5" s="1"/>
  <c r="AU18" i="5"/>
  <c r="BF135" i="5" s="1"/>
  <c r="BC18" i="5"/>
  <c r="BI133" i="5" s="1"/>
  <c r="AX21" i="5"/>
  <c r="AW156" i="5" s="1"/>
  <c r="AY22" i="5"/>
  <c r="BD156" i="5" s="1"/>
  <c r="AX22" i="5"/>
  <c r="BC156" i="5" s="1"/>
  <c r="AW22" i="5"/>
  <c r="BB156" i="5" s="1"/>
  <c r="AV22" i="5"/>
  <c r="BA156" i="5" s="1"/>
  <c r="D119" i="5"/>
  <c r="V119" i="5"/>
  <c r="K120" i="5"/>
  <c r="AC120" i="5"/>
  <c r="AE164" i="5" s="1"/>
  <c r="L121" i="5"/>
  <c r="N165" i="5" s="1"/>
  <c r="AU130" i="5"/>
  <c r="S122" i="5"/>
  <c r="U166" i="5" s="1"/>
  <c r="F123" i="5"/>
  <c r="H167" i="5" s="1"/>
  <c r="X123" i="5"/>
  <c r="Z167" i="5" s="1"/>
  <c r="O124" i="5"/>
  <c r="Q168" i="5" s="1"/>
  <c r="AA125" i="5"/>
  <c r="AC169" i="5" s="1"/>
  <c r="P126" i="5"/>
  <c r="H127" i="5"/>
  <c r="AB127" i="5"/>
  <c r="AD171" i="5" s="1"/>
  <c r="J133" i="5"/>
  <c r="AA134" i="5"/>
  <c r="O135" i="5"/>
  <c r="F136" i="5"/>
  <c r="T137" i="5"/>
  <c r="E138" i="5"/>
  <c r="Z138" i="5"/>
  <c r="D139" i="5"/>
  <c r="AD139" i="5"/>
  <c r="D140" i="5"/>
  <c r="Z140" i="5"/>
  <c r="T141" i="5"/>
  <c r="BD14" i="5"/>
  <c r="AL133" i="5" s="1"/>
  <c r="AY21" i="5"/>
  <c r="AX156" i="5" s="1"/>
  <c r="AD120" i="5"/>
  <c r="AF164" i="5" s="1"/>
  <c r="BG130" i="5"/>
  <c r="R121" i="5"/>
  <c r="T165" i="5" s="1"/>
  <c r="B122" i="5"/>
  <c r="X122" i="5"/>
  <c r="Z166" i="5" s="1"/>
  <c r="G123" i="5"/>
  <c r="I167" i="5" s="1"/>
  <c r="Y123" i="5"/>
  <c r="AA167" i="5" s="1"/>
  <c r="P124" i="5"/>
  <c r="B125" i="5"/>
  <c r="AC125" i="5"/>
  <c r="Q126" i="5"/>
  <c r="I127" i="5"/>
  <c r="AC127" i="5"/>
  <c r="AE171" i="5" s="1"/>
  <c r="K133" i="5"/>
  <c r="B134" i="5"/>
  <c r="AB134" i="5"/>
  <c r="P135" i="5"/>
  <c r="G136" i="5"/>
  <c r="W137" i="5"/>
  <c r="F138" i="5"/>
  <c r="AB138" i="5"/>
  <c r="I139" i="5"/>
  <c r="AE139" i="5"/>
  <c r="E140" i="5"/>
  <c r="AE140" i="5"/>
  <c r="U141" i="5"/>
  <c r="U150" i="5"/>
  <c r="C167" i="5" s="1"/>
  <c r="AY20" i="5"/>
  <c r="AR156" i="5" s="1"/>
  <c r="AV23" i="5"/>
  <c r="BG156" i="5" s="1"/>
  <c r="AI130" i="5"/>
  <c r="N171" i="23"/>
  <c r="D120" i="23"/>
  <c r="F164" i="23" s="1"/>
  <c r="S123" i="23"/>
  <c r="M127" i="23"/>
  <c r="O171" i="23" s="1"/>
  <c r="F141" i="23"/>
  <c r="F120" i="23"/>
  <c r="H164" i="23" s="1"/>
  <c r="AA136" i="23"/>
  <c r="S124" i="23"/>
  <c r="F133" i="23"/>
  <c r="Z137" i="23"/>
  <c r="L133" i="23"/>
  <c r="AW16" i="23"/>
  <c r="AV135" i="23" s="1"/>
  <c r="AU16" i="23"/>
  <c r="AT135" i="23" s="1"/>
  <c r="AV16" i="23"/>
  <c r="AU135" i="23" s="1"/>
  <c r="BD16" i="23"/>
  <c r="AX133" i="23" s="1"/>
  <c r="AY16" i="23"/>
  <c r="AX135" i="23" s="1"/>
  <c r="AX16" i="23"/>
  <c r="AW135" i="23" s="1"/>
  <c r="AB121" i="23"/>
  <c r="M125" i="23"/>
  <c r="O139" i="23"/>
  <c r="AE121" i="23"/>
  <c r="H146" i="23"/>
  <c r="H148" i="23" s="1"/>
  <c r="AW18" i="23"/>
  <c r="BH135" i="23" s="1"/>
  <c r="AY22" i="23"/>
  <c r="BD156" i="23" s="1"/>
  <c r="AU22" i="23"/>
  <c r="AZ156" i="23" s="1"/>
  <c r="AW22" i="23"/>
  <c r="BB156" i="23" s="1"/>
  <c r="AV22" i="23"/>
  <c r="BA156" i="23" s="1"/>
  <c r="BD22" i="23"/>
  <c r="BD154" i="23" s="1"/>
  <c r="AX22" i="23"/>
  <c r="BC156" i="23" s="1"/>
  <c r="E146" i="23"/>
  <c r="T153" i="23"/>
  <c r="U150" i="23"/>
  <c r="C167" i="23" s="1"/>
  <c r="AB141" i="23"/>
  <c r="P141" i="23"/>
  <c r="T146" i="23"/>
  <c r="Z141" i="23"/>
  <c r="N141" i="23"/>
  <c r="B141" i="23"/>
  <c r="V140" i="23"/>
  <c r="J140" i="23"/>
  <c r="X139" i="23"/>
  <c r="L139" i="23"/>
  <c r="Z138" i="23"/>
  <c r="N138" i="23"/>
  <c r="B138" i="23"/>
  <c r="AA137" i="23"/>
  <c r="O137" i="23"/>
  <c r="C137" i="23"/>
  <c r="W136" i="23"/>
  <c r="K136" i="23"/>
  <c r="T135" i="23"/>
  <c r="H135" i="23"/>
  <c r="AB134" i="23"/>
  <c r="P134" i="23"/>
  <c r="D134" i="23"/>
  <c r="Y133" i="23"/>
  <c r="M133" i="23"/>
  <c r="U127" i="23"/>
  <c r="I127" i="23"/>
  <c r="K171" i="23" s="1"/>
  <c r="AD126" i="23"/>
  <c r="AF170" i="23" s="1"/>
  <c r="R126" i="23"/>
  <c r="T170" i="23" s="1"/>
  <c r="F126" i="23"/>
  <c r="H170" i="23" s="1"/>
  <c r="AA125" i="23"/>
  <c r="AC169" i="23" s="1"/>
  <c r="O125" i="23"/>
  <c r="Q169" i="23" s="1"/>
  <c r="C125" i="23"/>
  <c r="X124" i="23"/>
  <c r="L124" i="23"/>
  <c r="T154" i="23"/>
  <c r="AC141" i="23"/>
  <c r="M141" i="23"/>
  <c r="S140" i="23"/>
  <c r="F140" i="23"/>
  <c r="S139" i="23"/>
  <c r="F139" i="23"/>
  <c r="S138" i="23"/>
  <c r="F138" i="23"/>
  <c r="AD137" i="23"/>
  <c r="Q137" i="23"/>
  <c r="D137" i="23"/>
  <c r="AA141" i="23"/>
  <c r="L141" i="23"/>
  <c r="AE140" i="23"/>
  <c r="R140" i="23"/>
  <c r="E140" i="23"/>
  <c r="AE139" i="23"/>
  <c r="R139" i="23"/>
  <c r="E139" i="23"/>
  <c r="AE138" i="23"/>
  <c r="R138" i="23"/>
  <c r="E138" i="23"/>
  <c r="AC137" i="23"/>
  <c r="P137" i="23"/>
  <c r="B137" i="23"/>
  <c r="U136" i="23"/>
  <c r="H136" i="23"/>
  <c r="Z135" i="23"/>
  <c r="M135" i="23"/>
  <c r="S134" i="23"/>
  <c r="F134" i="23"/>
  <c r="W133" i="23"/>
  <c r="W142" i="23" s="1"/>
  <c r="J133" i="23"/>
  <c r="AA127" i="23"/>
  <c r="AC171" i="23" s="1"/>
  <c r="N127" i="23"/>
  <c r="U126" i="23"/>
  <c r="H126" i="23"/>
  <c r="AB125" i="23"/>
  <c r="N125" i="23"/>
  <c r="U124" i="23"/>
  <c r="H124" i="23"/>
  <c r="J168" i="23" s="1"/>
  <c r="AB123" i="23"/>
  <c r="AD167" i="23" s="1"/>
  <c r="P123" i="23"/>
  <c r="R167" i="23" s="1"/>
  <c r="D123" i="23"/>
  <c r="F167" i="23" s="1"/>
  <c r="Y122" i="23"/>
  <c r="M122" i="23"/>
  <c r="V121" i="23"/>
  <c r="J121" i="23"/>
  <c r="AE120" i="23"/>
  <c r="AG164" i="23" s="1"/>
  <c r="S120" i="23"/>
  <c r="G120" i="23"/>
  <c r="I164" i="23" s="1"/>
  <c r="AA119" i="23"/>
  <c r="O119" i="23"/>
  <c r="C119" i="23"/>
  <c r="T149" i="23"/>
  <c r="T147" i="23"/>
  <c r="Q141" i="23"/>
  <c r="AD140" i="23"/>
  <c r="O140" i="23"/>
  <c r="W139" i="23"/>
  <c r="H139" i="23"/>
  <c r="AD138" i="23"/>
  <c r="O138" i="23"/>
  <c r="U137" i="23"/>
  <c r="F137" i="23"/>
  <c r="V136" i="23"/>
  <c r="G136" i="23"/>
  <c r="V135" i="23"/>
  <c r="G135" i="23"/>
  <c r="Y134" i="23"/>
  <c r="K134" i="23"/>
  <c r="Z133" i="23"/>
  <c r="K133" i="23"/>
  <c r="W127" i="23"/>
  <c r="Y171" i="23" s="1"/>
  <c r="H127" i="23"/>
  <c r="J171" i="23" s="1"/>
  <c r="AB126" i="23"/>
  <c r="AD170" i="23" s="1"/>
  <c r="N126" i="23"/>
  <c r="P170" i="23" s="1"/>
  <c r="S125" i="23"/>
  <c r="U169" i="23" s="1"/>
  <c r="E125" i="23"/>
  <c r="G169" i="23" s="1"/>
  <c r="Y124" i="23"/>
  <c r="J124" i="23"/>
  <c r="AC123" i="23"/>
  <c r="AE167" i="23" s="1"/>
  <c r="O123" i="23"/>
  <c r="B123" i="23"/>
  <c r="V122" i="23"/>
  <c r="I122" i="23"/>
  <c r="AD121" i="23"/>
  <c r="Q121" i="23"/>
  <c r="D121" i="23"/>
  <c r="F165" i="23" s="1"/>
  <c r="U152" i="23"/>
  <c r="C169" i="23" s="1"/>
  <c r="O141" i="23"/>
  <c r="AC140" i="23"/>
  <c r="N140" i="23"/>
  <c r="V139" i="23"/>
  <c r="G139" i="23"/>
  <c r="AC138" i="23"/>
  <c r="M138" i="23"/>
  <c r="T137" i="23"/>
  <c r="E137" i="23"/>
  <c r="T136" i="23"/>
  <c r="F136" i="23"/>
  <c r="U135" i="23"/>
  <c r="F135" i="23"/>
  <c r="X134" i="23"/>
  <c r="J134" i="23"/>
  <c r="X133" i="23"/>
  <c r="I133" i="23"/>
  <c r="V127" i="23"/>
  <c r="G127" i="23"/>
  <c r="I171" i="23" s="1"/>
  <c r="AA126" i="23"/>
  <c r="M126" i="23"/>
  <c r="O170" i="23" s="1"/>
  <c r="R125" i="23"/>
  <c r="D125" i="23"/>
  <c r="W124" i="23"/>
  <c r="Y168" i="23" s="1"/>
  <c r="I124" i="23"/>
  <c r="K168" i="23" s="1"/>
  <c r="AA123" i="23"/>
  <c r="AC167" i="23" s="1"/>
  <c r="N123" i="23"/>
  <c r="U122" i="23"/>
  <c r="W166" i="23" s="1"/>
  <c r="H122" i="23"/>
  <c r="AC121" i="23"/>
  <c r="P121" i="23"/>
  <c r="R165" i="23" s="1"/>
  <c r="C121" i="23"/>
  <c r="W120" i="23"/>
  <c r="Y164" i="23" s="1"/>
  <c r="J120" i="23"/>
  <c r="L164" i="23" s="1"/>
  <c r="AC119" i="23"/>
  <c r="P119" i="23"/>
  <c r="B119" i="23"/>
  <c r="X141" i="23"/>
  <c r="H141" i="23"/>
  <c r="Y140" i="23"/>
  <c r="I140" i="23"/>
  <c r="P139" i="23"/>
  <c r="X138" i="23"/>
  <c r="I138" i="23"/>
  <c r="AE137" i="23"/>
  <c r="M137" i="23"/>
  <c r="AD136" i="23"/>
  <c r="P136" i="23"/>
  <c r="B136" i="23"/>
  <c r="AD135" i="23"/>
  <c r="P135" i="23"/>
  <c r="B135" i="23"/>
  <c r="T134" i="23"/>
  <c r="E134" i="23"/>
  <c r="S133" i="23"/>
  <c r="E133" i="23"/>
  <c r="AE127" i="23"/>
  <c r="AG171" i="23" s="1"/>
  <c r="Q127" i="23"/>
  <c r="S171" i="23" s="1"/>
  <c r="C127" i="23"/>
  <c r="W126" i="23"/>
  <c r="Y170" i="23" s="1"/>
  <c r="I126" i="23"/>
  <c r="K170" i="23" s="1"/>
  <c r="Z125" i="23"/>
  <c r="AB169" i="23" s="1"/>
  <c r="L125" i="23"/>
  <c r="N169" i="23" s="1"/>
  <c r="R124" i="23"/>
  <c r="T168" i="23" s="1"/>
  <c r="D124" i="23"/>
  <c r="F168" i="23" s="1"/>
  <c r="W123" i="23"/>
  <c r="J123" i="23"/>
  <c r="L167" i="23" s="1"/>
  <c r="AD122" i="23"/>
  <c r="Q122" i="23"/>
  <c r="D122" i="23"/>
  <c r="Y121" i="23"/>
  <c r="L121" i="23"/>
  <c r="N165" i="23" s="1"/>
  <c r="R120" i="23"/>
  <c r="T164" i="23" s="1"/>
  <c r="E120" i="23"/>
  <c r="G164" i="23" s="1"/>
  <c r="X119" i="23"/>
  <c r="K119" i="23"/>
  <c r="T148" i="23"/>
  <c r="W141" i="23"/>
  <c r="D141" i="23"/>
  <c r="M140" i="23"/>
  <c r="N139" i="23"/>
  <c r="L138" i="23"/>
  <c r="K137" i="23"/>
  <c r="Y136" i="23"/>
  <c r="D136" i="23"/>
  <c r="X135" i="23"/>
  <c r="D135" i="23"/>
  <c r="Q134" i="23"/>
  <c r="Q133" i="23"/>
  <c r="AB127" i="23"/>
  <c r="J127" i="23"/>
  <c r="X126" i="23"/>
  <c r="Z170" i="23" s="1"/>
  <c r="D126" i="23"/>
  <c r="T125" i="23"/>
  <c r="V169" i="23" s="1"/>
  <c r="O124" i="23"/>
  <c r="Q168" i="23" s="1"/>
  <c r="AD123" i="23"/>
  <c r="AF167" i="23" s="1"/>
  <c r="K123" i="23"/>
  <c r="M167" i="23" s="1"/>
  <c r="AB122" i="23"/>
  <c r="AD166" i="23" s="1"/>
  <c r="K122" i="23"/>
  <c r="AA121" i="23"/>
  <c r="I121" i="23"/>
  <c r="Z120" i="23"/>
  <c r="K120" i="23"/>
  <c r="M164" i="23" s="1"/>
  <c r="Z119" i="23"/>
  <c r="J119" i="23"/>
  <c r="T152" i="23"/>
  <c r="V141" i="23"/>
  <c r="C141" i="23"/>
  <c r="L140" i="23"/>
  <c r="M139" i="23"/>
  <c r="K138" i="23"/>
  <c r="J137" i="23"/>
  <c r="X136" i="23"/>
  <c r="C136" i="23"/>
  <c r="W135" i="23"/>
  <c r="C135" i="23"/>
  <c r="O134" i="23"/>
  <c r="P133" i="23"/>
  <c r="Z127" i="23"/>
  <c r="AB171" i="23" s="1"/>
  <c r="F127" i="23"/>
  <c r="V126" i="23"/>
  <c r="X170" i="23" s="1"/>
  <c r="C126" i="23"/>
  <c r="E170" i="23" s="1"/>
  <c r="Q125" i="23"/>
  <c r="AE124" i="23"/>
  <c r="N124" i="23"/>
  <c r="P168" i="23" s="1"/>
  <c r="Z123" i="23"/>
  <c r="I123" i="23"/>
  <c r="AA122" i="23"/>
  <c r="AC166" i="23" s="1"/>
  <c r="J122" i="23"/>
  <c r="L166" i="23" s="1"/>
  <c r="Z121" i="23"/>
  <c r="AB165" i="23" s="1"/>
  <c r="H121" i="23"/>
  <c r="Y120" i="23"/>
  <c r="AA164" i="23" s="1"/>
  <c r="I120" i="23"/>
  <c r="K164" i="23" s="1"/>
  <c r="Y119" i="23"/>
  <c r="I119" i="23"/>
  <c r="U153" i="23"/>
  <c r="C170" i="23" s="1"/>
  <c r="U141" i="23"/>
  <c r="K140" i="23"/>
  <c r="AD139" i="23"/>
  <c r="K139" i="23"/>
  <c r="J138" i="23"/>
  <c r="AB137" i="23"/>
  <c r="I137" i="23"/>
  <c r="S136" i="23"/>
  <c r="S135" i="23"/>
  <c r="N134" i="23"/>
  <c r="O133" i="23"/>
  <c r="Y127" i="23"/>
  <c r="E127" i="23"/>
  <c r="T126" i="23"/>
  <c r="B126" i="23"/>
  <c r="P125" i="23"/>
  <c r="R169" i="23" s="1"/>
  <c r="AD124" i="23"/>
  <c r="AF168" i="23" s="1"/>
  <c r="M124" i="23"/>
  <c r="O168" i="23" s="1"/>
  <c r="Y123" i="23"/>
  <c r="H123" i="23"/>
  <c r="J167" i="23" s="1"/>
  <c r="Z122" i="23"/>
  <c r="G122" i="23"/>
  <c r="I166" i="23" s="1"/>
  <c r="X121" i="23"/>
  <c r="G121" i="23"/>
  <c r="I165" i="23" s="1"/>
  <c r="X120" i="23"/>
  <c r="H120" i="23"/>
  <c r="W119" i="23"/>
  <c r="H119" i="23"/>
  <c r="R141" i="23"/>
  <c r="Z140" i="23"/>
  <c r="D140" i="23"/>
  <c r="AA139" i="23"/>
  <c r="D139" i="23"/>
  <c r="Y138" i="23"/>
  <c r="D138" i="23"/>
  <c r="X137" i="23"/>
  <c r="O136" i="23"/>
  <c r="O135" i="23"/>
  <c r="AC134" i="23"/>
  <c r="I134" i="23"/>
  <c r="AC133" i="23"/>
  <c r="H133" i="23"/>
  <c r="S127" i="23"/>
  <c r="U171" i="23" s="1"/>
  <c r="P126" i="23"/>
  <c r="R170" i="23" s="1"/>
  <c r="AD125" i="23"/>
  <c r="AF169" i="23" s="1"/>
  <c r="J125" i="23"/>
  <c r="L169" i="23" s="1"/>
  <c r="AA124" i="23"/>
  <c r="AC168" i="23" s="1"/>
  <c r="F124" i="23"/>
  <c r="U123" i="23"/>
  <c r="E123" i="23"/>
  <c r="T122" i="23"/>
  <c r="C122" i="23"/>
  <c r="E166" i="23" s="1"/>
  <c r="T121" i="23"/>
  <c r="B121" i="23"/>
  <c r="T120" i="23"/>
  <c r="V164" i="23" s="1"/>
  <c r="C120" i="23"/>
  <c r="E164" i="23" s="1"/>
  <c r="T119" i="23"/>
  <c r="E119" i="23"/>
  <c r="U151" i="23"/>
  <c r="C168" i="23" s="1"/>
  <c r="U149" i="23"/>
  <c r="C166" i="23" s="1"/>
  <c r="K141" i="23"/>
  <c r="X140" i="23"/>
  <c r="C140" i="23"/>
  <c r="Z139" i="23"/>
  <c r="C139" i="23"/>
  <c r="W138" i="23"/>
  <c r="C138" i="23"/>
  <c r="W137" i="23"/>
  <c r="N136" i="23"/>
  <c r="N135" i="23"/>
  <c r="AA134" i="23"/>
  <c r="H134" i="23"/>
  <c r="AB133" i="23"/>
  <c r="G133" i="23"/>
  <c r="R127" i="23"/>
  <c r="O126" i="23"/>
  <c r="Q170" i="23" s="1"/>
  <c r="AC125" i="23"/>
  <c r="I125" i="23"/>
  <c r="K169" i="23" s="1"/>
  <c r="Z124" i="23"/>
  <c r="AB168" i="23" s="1"/>
  <c r="E124" i="23"/>
  <c r="G168" i="23" s="1"/>
  <c r="T123" i="23"/>
  <c r="V167" i="23" s="1"/>
  <c r="C123" i="23"/>
  <c r="E167" i="23" s="1"/>
  <c r="S122" i="23"/>
  <c r="B122" i="23"/>
  <c r="S121" i="23"/>
  <c r="Q120" i="23"/>
  <c r="B120" i="23"/>
  <c r="S119" i="23"/>
  <c r="D119" i="23"/>
  <c r="E141" i="23"/>
  <c r="J139" i="23"/>
  <c r="U138" i="23"/>
  <c r="Y137" i="23"/>
  <c r="Z136" i="23"/>
  <c r="L135" i="23"/>
  <c r="M134" i="23"/>
  <c r="D133" i="23"/>
  <c r="K127" i="23"/>
  <c r="K126" i="23"/>
  <c r="M170" i="23" s="1"/>
  <c r="K125" i="23"/>
  <c r="M169" i="23" s="1"/>
  <c r="P124" i="23"/>
  <c r="R168" i="23" s="1"/>
  <c r="Q123" i="23"/>
  <c r="S167" i="23" s="1"/>
  <c r="R122" i="23"/>
  <c r="T166" i="23" s="1"/>
  <c r="W121" i="23"/>
  <c r="Y165" i="23" s="1"/>
  <c r="AC120" i="23"/>
  <c r="AE164" i="23" s="1"/>
  <c r="G119" i="23"/>
  <c r="N121" i="23"/>
  <c r="AB140" i="23"/>
  <c r="I139" i="23"/>
  <c r="T138" i="23"/>
  <c r="V137" i="23"/>
  <c r="R136" i="23"/>
  <c r="K135" i="23"/>
  <c r="L134" i="23"/>
  <c r="C133" i="23"/>
  <c r="D127" i="23"/>
  <c r="F171" i="23" s="1"/>
  <c r="J126" i="23"/>
  <c r="H125" i="23"/>
  <c r="J169" i="23" s="1"/>
  <c r="K124" i="23"/>
  <c r="M168" i="23" s="1"/>
  <c r="M123" i="23"/>
  <c r="P122" i="23"/>
  <c r="U121" i="23"/>
  <c r="AB120" i="23"/>
  <c r="AD164" i="23" s="1"/>
  <c r="F119" i="23"/>
  <c r="AA140" i="23"/>
  <c r="B139" i="23"/>
  <c r="Q138" i="23"/>
  <c r="S168" i="23" s="1"/>
  <c r="S137" i="23"/>
  <c r="Q136" i="23"/>
  <c r="J135" i="23"/>
  <c r="G134" i="23"/>
  <c r="AE133" i="23"/>
  <c r="B133" i="23"/>
  <c r="B127" i="23"/>
  <c r="G126" i="23"/>
  <c r="G125" i="23"/>
  <c r="I169" i="23" s="1"/>
  <c r="G124" i="23"/>
  <c r="L123" i="23"/>
  <c r="O122" i="23"/>
  <c r="Q166" i="23" s="1"/>
  <c r="R121" i="23"/>
  <c r="T165" i="23" s="1"/>
  <c r="AA120" i="23"/>
  <c r="AC164" i="23" s="1"/>
  <c r="AE119" i="23"/>
  <c r="AE141" i="23"/>
  <c r="W140" i="23"/>
  <c r="P138" i="23"/>
  <c r="R137" i="23"/>
  <c r="T167" i="23" s="1"/>
  <c r="M136" i="23"/>
  <c r="I135" i="23"/>
  <c r="C134" i="23"/>
  <c r="AD133" i="23"/>
  <c r="E126" i="23"/>
  <c r="G170" i="23" s="1"/>
  <c r="F125" i="23"/>
  <c r="C124" i="23"/>
  <c r="E168" i="23" s="1"/>
  <c r="G123" i="23"/>
  <c r="I167" i="23" s="1"/>
  <c r="N122" i="23"/>
  <c r="O121" i="23"/>
  <c r="Q165" i="23" s="1"/>
  <c r="V120" i="23"/>
  <c r="AD119" i="23"/>
  <c r="AD141" i="23"/>
  <c r="U140" i="23"/>
  <c r="H138" i="23"/>
  <c r="N137" i="23"/>
  <c r="L136" i="23"/>
  <c r="E135" i="23"/>
  <c r="B134" i="23"/>
  <c r="AA133" i="23"/>
  <c r="AA142" i="23" s="1"/>
  <c r="AD127" i="23"/>
  <c r="B125" i="23"/>
  <c r="B124" i="23"/>
  <c r="F123" i="23"/>
  <c r="L122" i="23"/>
  <c r="U120" i="23"/>
  <c r="AB119" i="23"/>
  <c r="W125" i="23"/>
  <c r="Y169" i="23" s="1"/>
  <c r="X123" i="23"/>
  <c r="Z167" i="23" s="1"/>
  <c r="AE122" i="23"/>
  <c r="M120" i="23"/>
  <c r="O164" i="23" s="1"/>
  <c r="Q119" i="23"/>
  <c r="T150" i="23"/>
  <c r="U146" i="23"/>
  <c r="I141" i="23"/>
  <c r="T139" i="23"/>
  <c r="AB138" i="23"/>
  <c r="AC136" i="23"/>
  <c r="V134" i="23"/>
  <c r="N133" i="23"/>
  <c r="S126" i="23"/>
  <c r="U170" i="23" s="1"/>
  <c r="V125" i="23"/>
  <c r="X169" i="23" s="1"/>
  <c r="T124" i="23"/>
  <c r="V168" i="23" s="1"/>
  <c r="AC122" i="23"/>
  <c r="AE166" i="23" s="1"/>
  <c r="L120" i="23"/>
  <c r="L128" i="23" s="1"/>
  <c r="G141" i="23"/>
  <c r="B140" i="23"/>
  <c r="Q139" i="23"/>
  <c r="U154" i="23"/>
  <c r="C171" i="23" s="1"/>
  <c r="T151" i="23"/>
  <c r="U148" i="23"/>
  <c r="C165" i="23" s="1"/>
  <c r="Y141" i="23"/>
  <c r="T140" i="23"/>
  <c r="AC139" i="23"/>
  <c r="G138" i="23"/>
  <c r="L137" i="23"/>
  <c r="J136" i="23"/>
  <c r="AE135" i="23"/>
  <c r="AE134" i="23"/>
  <c r="V133" i="23"/>
  <c r="AC127" i="23"/>
  <c r="AE171" i="23" s="1"/>
  <c r="AE126" i="23"/>
  <c r="AG170" i="23" s="1"/>
  <c r="AE125" i="23"/>
  <c r="F122" i="23"/>
  <c r="M121" i="23"/>
  <c r="O165" i="23" s="1"/>
  <c r="P120" i="23"/>
  <c r="R164" i="23" s="1"/>
  <c r="V119" i="23"/>
  <c r="T141" i="23"/>
  <c r="Q140" i="23"/>
  <c r="AB139" i="23"/>
  <c r="H137" i="23"/>
  <c r="I136" i="23"/>
  <c r="AC135" i="23"/>
  <c r="AD134" i="23"/>
  <c r="AF164" i="23" s="1"/>
  <c r="U133" i="23"/>
  <c r="X127" i="23"/>
  <c r="AC126" i="23"/>
  <c r="Y125" i="23"/>
  <c r="AA169" i="23" s="1"/>
  <c r="AC124" i="23"/>
  <c r="AE168" i="23" s="1"/>
  <c r="E122" i="23"/>
  <c r="G166" i="23" s="1"/>
  <c r="K121" i="23"/>
  <c r="O120" i="23"/>
  <c r="U119" i="23"/>
  <c r="U147" i="23"/>
  <c r="C164" i="23" s="1"/>
  <c r="S141" i="23"/>
  <c r="P140" i="23"/>
  <c r="Y139" i="23"/>
  <c r="G137" i="23"/>
  <c r="E136" i="23"/>
  <c r="AB135" i="23"/>
  <c r="Z134" i="23"/>
  <c r="T133" i="23"/>
  <c r="T142" i="23" s="1"/>
  <c r="T127" i="23"/>
  <c r="Z126" i="23"/>
  <c r="X125" i="23"/>
  <c r="Z169" i="23" s="1"/>
  <c r="AB124" i="23"/>
  <c r="AE123" i="23"/>
  <c r="F121" i="23"/>
  <c r="N120" i="23"/>
  <c r="R119" i="23"/>
  <c r="J141" i="23"/>
  <c r="H140" i="23"/>
  <c r="U139" i="23"/>
  <c r="W169" i="23" s="1"/>
  <c r="AE136" i="23"/>
  <c r="AA135" i="23"/>
  <c r="W134" i="23"/>
  <c r="R133" i="23"/>
  <c r="P127" i="23"/>
  <c r="R171" i="23" s="1"/>
  <c r="Y126" i="23"/>
  <c r="AA170" i="23" s="1"/>
  <c r="V124" i="23"/>
  <c r="E121" i="23"/>
  <c r="G140" i="23"/>
  <c r="Y135" i="23"/>
  <c r="O127" i="23"/>
  <c r="V123" i="23"/>
  <c r="X167" i="23" s="1"/>
  <c r="N119" i="23"/>
  <c r="W122" i="23"/>
  <c r="L126" i="23"/>
  <c r="U134" i="23"/>
  <c r="AZ21" i="23"/>
  <c r="AT154" i="23" s="1"/>
  <c r="BA21" i="23"/>
  <c r="AU154" i="23" s="1"/>
  <c r="BA18" i="23"/>
  <c r="BG133" i="23" s="1"/>
  <c r="AZ18" i="23"/>
  <c r="BF133" i="23" s="1"/>
  <c r="X122" i="23"/>
  <c r="Z166" i="23" s="1"/>
  <c r="Q126" i="23"/>
  <c r="S170" i="23" s="1"/>
  <c r="Q135" i="23"/>
  <c r="V138" i="23"/>
  <c r="N152" i="23"/>
  <c r="Q152" i="23"/>
  <c r="B148" i="23"/>
  <c r="B147" i="23"/>
  <c r="BD15" i="23"/>
  <c r="AR133" i="23" s="1"/>
  <c r="AY15" i="23"/>
  <c r="AR135" i="23" s="1"/>
  <c r="AV15" i="23"/>
  <c r="AO135" i="23" s="1"/>
  <c r="AW15" i="23"/>
  <c r="AP135" i="23" s="1"/>
  <c r="BB22" i="23"/>
  <c r="BB154" i="23" s="1"/>
  <c r="AX15" i="23"/>
  <c r="AQ135" i="23" s="1"/>
  <c r="N151" i="23"/>
  <c r="AY14" i="23"/>
  <c r="AL135" i="23" s="1"/>
  <c r="AV14" i="23"/>
  <c r="AI135" i="23" s="1"/>
  <c r="AU14" i="23"/>
  <c r="AH135" i="23" s="1"/>
  <c r="BA15" i="23"/>
  <c r="AO133" i="23" s="1"/>
  <c r="AV17" i="23"/>
  <c r="BA135" i="23" s="1"/>
  <c r="BD17" i="23"/>
  <c r="BD133" i="23" s="1"/>
  <c r="AW17" i="23"/>
  <c r="BB135" i="23" s="1"/>
  <c r="AU17" i="23"/>
  <c r="AZ135" i="23" s="1"/>
  <c r="BB21" i="23"/>
  <c r="AV154" i="23" s="1"/>
  <c r="Q151" i="23"/>
  <c r="BC15" i="23"/>
  <c r="AQ133" i="23" s="1"/>
  <c r="AZ22" i="23"/>
  <c r="AZ154" i="23" s="1"/>
  <c r="BG151" i="23"/>
  <c r="AY18" i="23"/>
  <c r="BJ135" i="23" s="1"/>
  <c r="AU18" i="23"/>
  <c r="BF135" i="23" s="1"/>
  <c r="BA19" i="23"/>
  <c r="AI154" i="23" s="1"/>
  <c r="BA130" i="23"/>
  <c r="AZ16" i="23"/>
  <c r="AT133" i="23" s="1"/>
  <c r="BC19" i="23"/>
  <c r="AK154" i="23" s="1"/>
  <c r="AV23" i="23"/>
  <c r="BG156" i="23" s="1"/>
  <c r="BB16" i="23"/>
  <c r="AV133" i="23" s="1"/>
  <c r="AW23" i="23"/>
  <c r="BH156" i="23" s="1"/>
  <c r="AO130" i="23"/>
  <c r="AW14" i="23"/>
  <c r="AJ135" i="23" s="1"/>
  <c r="AX17" i="23"/>
  <c r="BC135" i="23" s="1"/>
  <c r="AV20" i="23"/>
  <c r="AO156" i="23" s="1"/>
  <c r="BA22" i="23"/>
  <c r="BA154" i="23" s="1"/>
  <c r="BC20" i="23"/>
  <c r="AQ154" i="23" s="1"/>
  <c r="AZ17" i="23"/>
  <c r="AZ133" i="23" s="1"/>
  <c r="AZ14" i="23"/>
  <c r="AH133" i="23" s="1"/>
  <c r="BA23" i="23"/>
  <c r="BG154" i="23" s="1"/>
  <c r="BC21" i="23"/>
  <c r="AW154" i="23" s="1"/>
  <c r="BB18" i="23"/>
  <c r="BH133" i="23" s="1"/>
  <c r="AX14" i="23"/>
  <c r="AK135" i="23" s="1"/>
  <c r="AY17" i="23"/>
  <c r="BD135" i="23" s="1"/>
  <c r="AZ23" i="23"/>
  <c r="BF154" i="23" s="1"/>
  <c r="AX19" i="23"/>
  <c r="AK156" i="23" s="1"/>
  <c r="AV21" i="23"/>
  <c r="AU156" i="23" s="1"/>
  <c r="BD21" i="23"/>
  <c r="AX154" i="23" s="1"/>
  <c r="Q149" i="23"/>
  <c r="N153" i="23"/>
  <c r="Q150" i="23"/>
  <c r="K149" i="23"/>
  <c r="K152" i="23"/>
  <c r="N149" i="23"/>
  <c r="B146" i="23"/>
  <c r="B149" i="23"/>
  <c r="Q153" i="23"/>
  <c r="K151" i="23"/>
  <c r="K153" i="23"/>
  <c r="B151" i="23"/>
  <c r="H147" i="23"/>
  <c r="K150" i="23"/>
  <c r="AZ15" i="23"/>
  <c r="AN133" i="23" s="1"/>
  <c r="BC18" i="23"/>
  <c r="BI133" i="23" s="1"/>
  <c r="AY20" i="23"/>
  <c r="AR156" i="23" s="1"/>
  <c r="BC23" i="23"/>
  <c r="BI154" i="23" s="1"/>
  <c r="E147" i="23"/>
  <c r="BA14" i="23"/>
  <c r="AI133" i="23" s="1"/>
  <c r="BA17" i="23"/>
  <c r="BA133" i="23" s="1"/>
  <c r="AY19" i="23"/>
  <c r="AL156" i="23" s="1"/>
  <c r="AU21" i="23"/>
  <c r="AT156" i="23" s="1"/>
  <c r="AX23" i="23"/>
  <c r="BI156" i="23" s="1"/>
  <c r="B150" i="23"/>
  <c r="AW19" i="23"/>
  <c r="AJ156" i="23" s="1"/>
  <c r="BB23" i="23"/>
  <c r="BH154" i="23" s="1"/>
  <c r="BB19" i="23"/>
  <c r="AJ154" i="23" s="1"/>
  <c r="BB15" i="23"/>
  <c r="AP133" i="23" s="1"/>
  <c r="BA20" i="23"/>
  <c r="AO154" i="23" s="1"/>
  <c r="BA16" i="23"/>
  <c r="AU133" i="23" s="1"/>
  <c r="BB14" i="23"/>
  <c r="AJ133" i="23" s="1"/>
  <c r="BB17" i="23"/>
  <c r="BB133" i="23" s="1"/>
  <c r="AZ19" i="23"/>
  <c r="AH154" i="23" s="1"/>
  <c r="AW21" i="23"/>
  <c r="AV156" i="23" s="1"/>
  <c r="BC22" i="23"/>
  <c r="BC154" i="23" s="1"/>
  <c r="N150" i="23"/>
  <c r="B165" i="32"/>
  <c r="P119" i="32"/>
  <c r="J120" i="32"/>
  <c r="J121" i="32"/>
  <c r="C122" i="32"/>
  <c r="E166" i="32" s="1"/>
  <c r="AD122" i="32"/>
  <c r="AF166" i="32" s="1"/>
  <c r="AA124" i="32"/>
  <c r="T125" i="32"/>
  <c r="W126" i="32"/>
  <c r="Y170" i="32" s="1"/>
  <c r="Q127" i="32"/>
  <c r="S171" i="32" s="1"/>
  <c r="O133" i="32"/>
  <c r="V134" i="32"/>
  <c r="S135" i="32"/>
  <c r="B137" i="32"/>
  <c r="G141" i="32"/>
  <c r="U148" i="32"/>
  <c r="C165" i="32" s="1"/>
  <c r="Q119" i="32"/>
  <c r="K120" i="32"/>
  <c r="M164" i="32" s="1"/>
  <c r="K121" i="32"/>
  <c r="D122" i="32"/>
  <c r="AB124" i="32"/>
  <c r="U125" i="32"/>
  <c r="W169" i="32" s="1"/>
  <c r="X126" i="32"/>
  <c r="R127" i="32"/>
  <c r="P133" i="32"/>
  <c r="W134" i="32"/>
  <c r="T135" i="32"/>
  <c r="C136" i="32"/>
  <c r="D137" i="32"/>
  <c r="I141" i="32"/>
  <c r="Q141" i="32"/>
  <c r="AY15" i="32"/>
  <c r="AR135" i="32" s="1"/>
  <c r="AX15" i="32"/>
  <c r="AQ135" i="32" s="1"/>
  <c r="AW15" i="32"/>
  <c r="AP135" i="32" s="1"/>
  <c r="R119" i="32"/>
  <c r="S120" i="32"/>
  <c r="L121" i="32"/>
  <c r="E122" i="32"/>
  <c r="E123" i="32"/>
  <c r="AC124" i="32"/>
  <c r="AD125" i="32"/>
  <c r="Y126" i="32"/>
  <c r="AA170" i="32" s="1"/>
  <c r="T127" i="32"/>
  <c r="Q133" i="32"/>
  <c r="X134" i="32"/>
  <c r="U135" i="32"/>
  <c r="D136" i="32"/>
  <c r="F137" i="32"/>
  <c r="E138" i="32"/>
  <c r="V141" i="32"/>
  <c r="AY19" i="32"/>
  <c r="AL156" i="32" s="1"/>
  <c r="AX19" i="32"/>
  <c r="AK156" i="32" s="1"/>
  <c r="AW19" i="32"/>
  <c r="AJ156" i="32" s="1"/>
  <c r="S119" i="32"/>
  <c r="T120" i="32"/>
  <c r="M121" i="32"/>
  <c r="M122" i="32"/>
  <c r="F123" i="32"/>
  <c r="H167" i="32" s="1"/>
  <c r="B124" i="32"/>
  <c r="AE125" i="32"/>
  <c r="Z126" i="32"/>
  <c r="U127" i="32"/>
  <c r="R133" i="32"/>
  <c r="Y134" i="32"/>
  <c r="AE135" i="32"/>
  <c r="E136" i="32"/>
  <c r="G137" i="32"/>
  <c r="F138" i="32"/>
  <c r="C139" i="32"/>
  <c r="W141" i="32"/>
  <c r="AU15" i="32"/>
  <c r="AN135" i="32" s="1"/>
  <c r="AY23" i="32"/>
  <c r="BJ156" i="32" s="1"/>
  <c r="AX23" i="32"/>
  <c r="BI156" i="32" s="1"/>
  <c r="AW23" i="32"/>
  <c r="BH156" i="32" s="1"/>
  <c r="AA119" i="32"/>
  <c r="U120" i="32"/>
  <c r="N121" i="32"/>
  <c r="P165" i="32" s="1"/>
  <c r="N122" i="32"/>
  <c r="P166" i="32" s="1"/>
  <c r="H123" i="32"/>
  <c r="C124" i="32"/>
  <c r="D125" i="32"/>
  <c r="F169" i="32" s="1"/>
  <c r="AA126" i="32"/>
  <c r="AC127" i="32"/>
  <c r="AE171" i="32" s="1"/>
  <c r="AA133" i="32"/>
  <c r="AA134" i="32"/>
  <c r="F136" i="32"/>
  <c r="S137" i="32"/>
  <c r="S138" i="32"/>
  <c r="D139" i="32"/>
  <c r="N140" i="32"/>
  <c r="BG151" i="32"/>
  <c r="BC15" i="32"/>
  <c r="AQ133" i="32" s="1"/>
  <c r="AU19" i="32"/>
  <c r="AH156" i="32" s="1"/>
  <c r="AB119" i="32"/>
  <c r="V120" i="32"/>
  <c r="X164" i="32" s="1"/>
  <c r="AO130" i="32"/>
  <c r="V121" i="32"/>
  <c r="O122" i="32"/>
  <c r="I123" i="32"/>
  <c r="L124" i="32"/>
  <c r="E125" i="32"/>
  <c r="G169" i="32" s="1"/>
  <c r="AD127" i="32"/>
  <c r="AF171" i="32" s="1"/>
  <c r="AB133" i="32"/>
  <c r="C135" i="32"/>
  <c r="G136" i="32"/>
  <c r="T137" i="32"/>
  <c r="U138" i="32"/>
  <c r="Q139" i="32"/>
  <c r="O140" i="32"/>
  <c r="AC141" i="32"/>
  <c r="BB23" i="32"/>
  <c r="BH154" i="32" s="1"/>
  <c r="BB19" i="32"/>
  <c r="AJ154" i="32" s="1"/>
  <c r="BB15" i="32"/>
  <c r="AP133" i="32" s="1"/>
  <c r="BA23" i="32"/>
  <c r="BG154" i="32" s="1"/>
  <c r="BA19" i="32"/>
  <c r="AI154" i="32" s="1"/>
  <c r="BA15" i="32"/>
  <c r="AO133" i="32" s="1"/>
  <c r="AZ23" i="32"/>
  <c r="BF154" i="32" s="1"/>
  <c r="BC20" i="32"/>
  <c r="AQ154" i="32" s="1"/>
  <c r="AZ19" i="32"/>
  <c r="AH154" i="32" s="1"/>
  <c r="BC16" i="32"/>
  <c r="AW133" i="32" s="1"/>
  <c r="AZ15" i="32"/>
  <c r="AN133" i="32" s="1"/>
  <c r="BB20" i="32"/>
  <c r="AP154" i="32" s="1"/>
  <c r="BB16" i="32"/>
  <c r="AV133" i="32" s="1"/>
  <c r="BA20" i="32"/>
  <c r="AO154" i="32" s="1"/>
  <c r="BA16" i="32"/>
  <c r="AU133" i="32" s="1"/>
  <c r="BC21" i="32"/>
  <c r="AW154" i="32" s="1"/>
  <c r="AZ20" i="32"/>
  <c r="AN154" i="32" s="1"/>
  <c r="BC17" i="32"/>
  <c r="BC133" i="32" s="1"/>
  <c r="AZ16" i="32"/>
  <c r="AT133" i="32" s="1"/>
  <c r="BB21" i="32"/>
  <c r="AV154" i="32" s="1"/>
  <c r="BB17" i="32"/>
  <c r="BB133" i="32" s="1"/>
  <c r="Z120" i="32"/>
  <c r="BD15" i="32"/>
  <c r="AR133" i="32" s="1"/>
  <c r="AU16" i="32"/>
  <c r="AT135" i="32" s="1"/>
  <c r="BC19" i="32"/>
  <c r="AK154" i="32" s="1"/>
  <c r="AU23" i="32"/>
  <c r="BF156" i="32" s="1"/>
  <c r="C119" i="32"/>
  <c r="AC119" i="32"/>
  <c r="W120" i="32"/>
  <c r="Y164" i="32" s="1"/>
  <c r="W121" i="32"/>
  <c r="P122" i="32"/>
  <c r="R166" i="32" s="1"/>
  <c r="J123" i="32"/>
  <c r="L167" i="32" s="1"/>
  <c r="M124" i="32"/>
  <c r="F125" i="32"/>
  <c r="C127" i="32"/>
  <c r="AC133" i="32"/>
  <c r="D135" i="32"/>
  <c r="Q136" i="32"/>
  <c r="V137" i="32"/>
  <c r="V138" i="32"/>
  <c r="S139" i="32"/>
  <c r="Q140" i="32"/>
  <c r="AD141" i="32"/>
  <c r="AY14" i="32"/>
  <c r="AL135" i="32" s="1"/>
  <c r="AX14" i="32"/>
  <c r="AK135" i="32" s="1"/>
  <c r="AW14" i="32"/>
  <c r="AJ135" i="32" s="1"/>
  <c r="AV14" i="32"/>
  <c r="AI135" i="32" s="1"/>
  <c r="AU14" i="32"/>
  <c r="AH135" i="32" s="1"/>
  <c r="AV16" i="32"/>
  <c r="AU135" i="32" s="1"/>
  <c r="AV17" i="32"/>
  <c r="BA135" i="32" s="1"/>
  <c r="BD19" i="32"/>
  <c r="AL154" i="32" s="1"/>
  <c r="AU20" i="32"/>
  <c r="AN156" i="32" s="1"/>
  <c r="BC23" i="32"/>
  <c r="BI154" i="32" s="1"/>
  <c r="D119" i="32"/>
  <c r="AD119" i="32"/>
  <c r="AE120" i="32"/>
  <c r="AG164" i="32" s="1"/>
  <c r="X121" i="32"/>
  <c r="Q122" i="32"/>
  <c r="S166" i="32" s="1"/>
  <c r="R123" i="32"/>
  <c r="N124" i="32"/>
  <c r="G125" i="32"/>
  <c r="J126" i="32"/>
  <c r="D127" i="32"/>
  <c r="F171" i="32" s="1"/>
  <c r="B133" i="32"/>
  <c r="AD133" i="32"/>
  <c r="I134" i="32"/>
  <c r="E135" i="32"/>
  <c r="R136" i="32"/>
  <c r="W137" i="32"/>
  <c r="W138" i="32"/>
  <c r="T139" i="32"/>
  <c r="R140" i="32"/>
  <c r="U153" i="32"/>
  <c r="C170" i="32" s="1"/>
  <c r="AW16" i="32"/>
  <c r="AV135" i="32" s="1"/>
  <c r="AY18" i="32"/>
  <c r="BJ135" i="32" s="1"/>
  <c r="AX18" i="32"/>
  <c r="BI135" i="32" s="1"/>
  <c r="AW18" i="32"/>
  <c r="BH135" i="32" s="1"/>
  <c r="AV18" i="32"/>
  <c r="BG135" i="32" s="1"/>
  <c r="AU18" i="32"/>
  <c r="BF135" i="32" s="1"/>
  <c r="AV20" i="32"/>
  <c r="AO156" i="32" s="1"/>
  <c r="AV21" i="32"/>
  <c r="AU156" i="32" s="1"/>
  <c r="BD23" i="32"/>
  <c r="BJ154" i="32" s="1"/>
  <c r="E119" i="32"/>
  <c r="AE119" i="32"/>
  <c r="Y121" i="32"/>
  <c r="Y122" i="32"/>
  <c r="T123" i="32"/>
  <c r="O124" i="32"/>
  <c r="Q168" i="32" s="1"/>
  <c r="H125" i="32"/>
  <c r="K126" i="32"/>
  <c r="E127" i="32"/>
  <c r="C133" i="32"/>
  <c r="AE133" i="32"/>
  <c r="J134" i="32"/>
  <c r="G135" i="32"/>
  <c r="S136" i="32"/>
  <c r="X137" i="32"/>
  <c r="Y138" i="32"/>
  <c r="U139" i="32"/>
  <c r="S140" i="32"/>
  <c r="AI151" i="32"/>
  <c r="U147" i="32"/>
  <c r="C164" i="32" s="1"/>
  <c r="T152" i="32"/>
  <c r="AW17" i="32"/>
  <c r="BB135" i="32" s="1"/>
  <c r="AW20" i="32"/>
  <c r="AP156" i="32" s="1"/>
  <c r="AY22" i="32"/>
  <c r="BD156" i="32" s="1"/>
  <c r="AX22" i="32"/>
  <c r="BC156" i="32" s="1"/>
  <c r="AW22" i="32"/>
  <c r="BB156" i="32" s="1"/>
  <c r="AV22" i="32"/>
  <c r="BA156" i="32" s="1"/>
  <c r="AU22" i="32"/>
  <c r="AZ156" i="32" s="1"/>
  <c r="F119" i="32"/>
  <c r="G120" i="32"/>
  <c r="I164" i="32" s="1"/>
  <c r="Z121" i="32"/>
  <c r="Z122" i="32"/>
  <c r="U123" i="32"/>
  <c r="P124" i="32"/>
  <c r="R168" i="32" s="1"/>
  <c r="Q125" i="32"/>
  <c r="S169" i="32" s="1"/>
  <c r="L126" i="32"/>
  <c r="F127" i="32"/>
  <c r="H171" i="32" s="1"/>
  <c r="D133" i="32"/>
  <c r="K134" i="32"/>
  <c r="H135" i="32"/>
  <c r="T136" i="32"/>
  <c r="W139" i="32"/>
  <c r="AX17" i="32"/>
  <c r="BC135" i="32" s="1"/>
  <c r="AW21" i="32"/>
  <c r="AV156" i="32" s="1"/>
  <c r="G119" i="32"/>
  <c r="H120" i="32"/>
  <c r="J164" i="32" s="1"/>
  <c r="AU130" i="32"/>
  <c r="AA122" i="32"/>
  <c r="V123" i="32"/>
  <c r="Y124" i="32"/>
  <c r="AA168" i="32" s="1"/>
  <c r="R125" i="32"/>
  <c r="M126" i="32"/>
  <c r="H127" i="32"/>
  <c r="J171" i="32" s="1"/>
  <c r="E133" i="32"/>
  <c r="L134" i="32"/>
  <c r="P135" i="32"/>
  <c r="V136" i="32"/>
  <c r="E141" i="32"/>
  <c r="AV15" i="32"/>
  <c r="AO135" i="32" s="1"/>
  <c r="AY17" i="32"/>
  <c r="BD135" i="32" s="1"/>
  <c r="AX21" i="32"/>
  <c r="AW156" i="32" s="1"/>
  <c r="O119" i="32"/>
  <c r="I120" i="32"/>
  <c r="B121" i="32"/>
  <c r="B122" i="32"/>
  <c r="AC122" i="32"/>
  <c r="AE166" i="32" s="1"/>
  <c r="W123" i="32"/>
  <c r="Y167" i="32" s="1"/>
  <c r="Z124" i="32"/>
  <c r="S125" i="32"/>
  <c r="U169" i="32" s="1"/>
  <c r="N126" i="32"/>
  <c r="P170" i="32" s="1"/>
  <c r="P127" i="32"/>
  <c r="N133" i="32"/>
  <c r="M134" i="32"/>
  <c r="Q135" i="32"/>
  <c r="F141" i="32"/>
  <c r="AY16" i="32"/>
  <c r="AX135" i="32" s="1"/>
  <c r="AY20" i="32"/>
  <c r="AR156" i="32" s="1"/>
  <c r="H119" i="32"/>
  <c r="T119" i="32"/>
  <c r="L120" i="32"/>
  <c r="N164" i="32" s="1"/>
  <c r="X120" i="32"/>
  <c r="Z164" i="32" s="1"/>
  <c r="C121" i="32"/>
  <c r="E165" i="32" s="1"/>
  <c r="O121" i="32"/>
  <c r="AA121" i="32"/>
  <c r="F122" i="32"/>
  <c r="H166" i="32" s="1"/>
  <c r="R122" i="32"/>
  <c r="AE122" i="32"/>
  <c r="K123" i="32"/>
  <c r="X123" i="32"/>
  <c r="Z167" i="32" s="1"/>
  <c r="D124" i="32"/>
  <c r="F168" i="32" s="1"/>
  <c r="Q124" i="32"/>
  <c r="AD124" i="32"/>
  <c r="I125" i="32"/>
  <c r="K169" i="32" s="1"/>
  <c r="V125" i="32"/>
  <c r="X169" i="32" s="1"/>
  <c r="B126" i="32"/>
  <c r="O126" i="32"/>
  <c r="Q170" i="32" s="1"/>
  <c r="AC126" i="32"/>
  <c r="I127" i="32"/>
  <c r="V127" i="32"/>
  <c r="X171" i="32" s="1"/>
  <c r="F133" i="32"/>
  <c r="S133" i="32"/>
  <c r="O134" i="32"/>
  <c r="AB134" i="32"/>
  <c r="I135" i="32"/>
  <c r="W135" i="32"/>
  <c r="H136" i="32"/>
  <c r="X136" i="32"/>
  <c r="H137" i="32"/>
  <c r="Z137" i="32"/>
  <c r="G138" i="32"/>
  <c r="AC138" i="32"/>
  <c r="E139" i="32"/>
  <c r="AA139" i="32"/>
  <c r="B140" i="32"/>
  <c r="U140" i="32"/>
  <c r="J141" i="32"/>
  <c r="AE141" i="32"/>
  <c r="T154" i="32"/>
  <c r="I119" i="32"/>
  <c r="U119" i="32"/>
  <c r="M120" i="32"/>
  <c r="O164" i="32" s="1"/>
  <c r="Y120" i="32"/>
  <c r="AA164" i="32" s="1"/>
  <c r="D121" i="32"/>
  <c r="F165" i="32" s="1"/>
  <c r="P121" i="32"/>
  <c r="R165" i="32" s="1"/>
  <c r="AB121" i="32"/>
  <c r="G122" i="32"/>
  <c r="I166" i="32" s="1"/>
  <c r="S122" i="32"/>
  <c r="U166" i="32" s="1"/>
  <c r="L123" i="32"/>
  <c r="Y123" i="32"/>
  <c r="E124" i="32"/>
  <c r="G168" i="32" s="1"/>
  <c r="R124" i="32"/>
  <c r="AE124" i="32"/>
  <c r="J125" i="32"/>
  <c r="W125" i="32"/>
  <c r="C126" i="32"/>
  <c r="Q126" i="32"/>
  <c r="S170" i="32" s="1"/>
  <c r="AD126" i="32"/>
  <c r="AF170" i="32" s="1"/>
  <c r="J127" i="32"/>
  <c r="L171" i="32" s="1"/>
  <c r="W127" i="32"/>
  <c r="G133" i="32"/>
  <c r="T133" i="32"/>
  <c r="C134" i="32"/>
  <c r="P134" i="32"/>
  <c r="AC134" i="32"/>
  <c r="J135" i="32"/>
  <c r="X135" i="32"/>
  <c r="J136" i="32"/>
  <c r="Z136" i="32"/>
  <c r="J137" i="32"/>
  <c r="AB137" i="32"/>
  <c r="I138" i="32"/>
  <c r="AD138" i="32"/>
  <c r="G139" i="32"/>
  <c r="AB139" i="32"/>
  <c r="C140" i="32"/>
  <c r="Y140" i="32"/>
  <c r="K141" i="32"/>
  <c r="B146" i="32"/>
  <c r="K151" i="32"/>
  <c r="J119" i="32"/>
  <c r="V119" i="32"/>
  <c r="B120" i="32"/>
  <c r="N120" i="32"/>
  <c r="E121" i="32"/>
  <c r="Q121" i="32"/>
  <c r="S165" i="32" s="1"/>
  <c r="AC121" i="32"/>
  <c r="AE165" i="32" s="1"/>
  <c r="H122" i="32"/>
  <c r="T122" i="32"/>
  <c r="M123" i="32"/>
  <c r="Z123" i="32"/>
  <c r="AB167" i="32" s="1"/>
  <c r="F124" i="32"/>
  <c r="H168" i="32" s="1"/>
  <c r="S124" i="32"/>
  <c r="U168" i="32" s="1"/>
  <c r="K125" i="32"/>
  <c r="M169" i="32" s="1"/>
  <c r="X125" i="32"/>
  <c r="Z169" i="32" s="1"/>
  <c r="E126" i="32"/>
  <c r="G170" i="32" s="1"/>
  <c r="R126" i="32"/>
  <c r="T170" i="32" s="1"/>
  <c r="AE126" i="32"/>
  <c r="AG170" i="32" s="1"/>
  <c r="K127" i="32"/>
  <c r="M171" i="32" s="1"/>
  <c r="X127" i="32"/>
  <c r="H133" i="32"/>
  <c r="U133" i="32"/>
  <c r="D134" i="32"/>
  <c r="Q134" i="32"/>
  <c r="AD134" i="32"/>
  <c r="K135" i="32"/>
  <c r="Y135" i="32"/>
  <c r="K136" i="32"/>
  <c r="AA136" i="32"/>
  <c r="K137" i="32"/>
  <c r="AD137" i="32"/>
  <c r="J138" i="32"/>
  <c r="AE138" i="32"/>
  <c r="H139" i="32"/>
  <c r="AC139" i="32"/>
  <c r="E140" i="32"/>
  <c r="Z140" i="32"/>
  <c r="M141" i="32"/>
  <c r="Q149" i="32"/>
  <c r="Q154" i="32" s="1"/>
  <c r="Q153" i="32"/>
  <c r="N149" i="32"/>
  <c r="B148" i="32"/>
  <c r="N153" i="32"/>
  <c r="Q150" i="32"/>
  <c r="K149" i="32"/>
  <c r="K153" i="32"/>
  <c r="N150" i="32"/>
  <c r="B149" i="32"/>
  <c r="H146" i="32"/>
  <c r="K150" i="32"/>
  <c r="E146" i="32"/>
  <c r="E148" i="32" s="1"/>
  <c r="K152" i="32"/>
  <c r="B151" i="32"/>
  <c r="E147" i="32"/>
  <c r="K119" i="32"/>
  <c r="W119" i="32"/>
  <c r="C120" i="32"/>
  <c r="O120" i="32"/>
  <c r="AA120" i="32"/>
  <c r="AC164" i="32" s="1"/>
  <c r="BA130" i="32"/>
  <c r="F121" i="32"/>
  <c r="R121" i="32"/>
  <c r="T165" i="32" s="1"/>
  <c r="AD121" i="32"/>
  <c r="AF165" i="32" s="1"/>
  <c r="I122" i="32"/>
  <c r="U122" i="32"/>
  <c r="N123" i="32"/>
  <c r="P167" i="32" s="1"/>
  <c r="AA123" i="32"/>
  <c r="AC167" i="32" s="1"/>
  <c r="G124" i="32"/>
  <c r="I168" i="32" s="1"/>
  <c r="T124" i="32"/>
  <c r="L125" i="32"/>
  <c r="Z125" i="32"/>
  <c r="F126" i="32"/>
  <c r="S126" i="32"/>
  <c r="L127" i="32"/>
  <c r="N171" i="32" s="1"/>
  <c r="Y127" i="32"/>
  <c r="AA171" i="32" s="1"/>
  <c r="I133" i="32"/>
  <c r="V133" i="32"/>
  <c r="E134" i="32"/>
  <c r="R134" i="32"/>
  <c r="AE134" i="32"/>
  <c r="L135" i="32"/>
  <c r="Z135" i="32"/>
  <c r="L136" i="32"/>
  <c r="AB136" i="32"/>
  <c r="L137" i="32"/>
  <c r="AE137" i="32"/>
  <c r="K138" i="32"/>
  <c r="I139" i="32"/>
  <c r="AE139" i="32"/>
  <c r="F140" i="32"/>
  <c r="AA140" i="32"/>
  <c r="Q151" i="32"/>
  <c r="T153" i="32"/>
  <c r="U150" i="32"/>
  <c r="C167" i="32" s="1"/>
  <c r="AB141" i="32"/>
  <c r="P141" i="32"/>
  <c r="D141" i="32"/>
  <c r="X140" i="32"/>
  <c r="L140" i="32"/>
  <c r="Z139" i="32"/>
  <c r="N139" i="32"/>
  <c r="B139" i="32"/>
  <c r="AB138" i="32"/>
  <c r="P138" i="32"/>
  <c r="D138" i="32"/>
  <c r="AC137" i="32"/>
  <c r="Q137" i="32"/>
  <c r="E137" i="32"/>
  <c r="Y136" i="32"/>
  <c r="M136" i="32"/>
  <c r="V135" i="32"/>
  <c r="T150" i="32"/>
  <c r="U146" i="32"/>
  <c r="AA141" i="32"/>
  <c r="O141" i="32"/>
  <c r="C141" i="32"/>
  <c r="W140" i="32"/>
  <c r="K140" i="32"/>
  <c r="Y139" i="32"/>
  <c r="M139" i="32"/>
  <c r="AA138" i="32"/>
  <c r="O138" i="32"/>
  <c r="C138" i="32"/>
  <c r="T146" i="32"/>
  <c r="Z141" i="32"/>
  <c r="N141" i="32"/>
  <c r="B141" i="32"/>
  <c r="V140" i="32"/>
  <c r="J140" i="32"/>
  <c r="X139" i="32"/>
  <c r="L139" i="32"/>
  <c r="Z138" i="32"/>
  <c r="N138" i="32"/>
  <c r="B138" i="32"/>
  <c r="AA137" i="32"/>
  <c r="O137" i="32"/>
  <c r="C137" i="32"/>
  <c r="W136" i="32"/>
  <c r="U151" i="32"/>
  <c r="C168" i="32" s="1"/>
  <c r="U154" i="32"/>
  <c r="C171" i="32" s="1"/>
  <c r="U152" i="32"/>
  <c r="C169" i="32" s="1"/>
  <c r="T151" i="32"/>
  <c r="X141" i="32"/>
  <c r="L141" i="32"/>
  <c r="T140" i="32"/>
  <c r="H140" i="32"/>
  <c r="V139" i="32"/>
  <c r="J139" i="32"/>
  <c r="X138" i="32"/>
  <c r="L138" i="32"/>
  <c r="Y137" i="32"/>
  <c r="M137" i="32"/>
  <c r="U136" i="32"/>
  <c r="I136" i="32"/>
  <c r="AD135" i="32"/>
  <c r="R135" i="32"/>
  <c r="F135" i="32"/>
  <c r="Z134" i="32"/>
  <c r="N134" i="32"/>
  <c r="B134" i="32"/>
  <c r="W133" i="32"/>
  <c r="K133" i="32"/>
  <c r="AE127" i="32"/>
  <c r="AG171" i="32" s="1"/>
  <c r="S127" i="32"/>
  <c r="G127" i="32"/>
  <c r="I171" i="32" s="1"/>
  <c r="AB126" i="32"/>
  <c r="P126" i="32"/>
  <c r="R170" i="32" s="1"/>
  <c r="D126" i="32"/>
  <c r="Y125" i="32"/>
  <c r="M125" i="32"/>
  <c r="O169" i="32" s="1"/>
  <c r="V124" i="32"/>
  <c r="X168" i="32" s="1"/>
  <c r="J124" i="32"/>
  <c r="L168" i="32" s="1"/>
  <c r="AE123" i="32"/>
  <c r="S123" i="32"/>
  <c r="U167" i="32" s="1"/>
  <c r="G123" i="32"/>
  <c r="I167" i="32" s="1"/>
  <c r="AB122" i="32"/>
  <c r="AD166" i="32" s="1"/>
  <c r="T141" i="32"/>
  <c r="H141" i="32"/>
  <c r="AB140" i="32"/>
  <c r="P140" i="32"/>
  <c r="D140" i="32"/>
  <c r="AD139" i="32"/>
  <c r="R139" i="32"/>
  <c r="F139" i="32"/>
  <c r="T138" i="32"/>
  <c r="H138" i="32"/>
  <c r="U137" i="32"/>
  <c r="I137" i="32"/>
  <c r="L119" i="32"/>
  <c r="X119" i="32"/>
  <c r="D120" i="32"/>
  <c r="F164" i="32" s="1"/>
  <c r="P120" i="32"/>
  <c r="AB120" i="32"/>
  <c r="AD164" i="32" s="1"/>
  <c r="G121" i="32"/>
  <c r="I165" i="32" s="1"/>
  <c r="S121" i="32"/>
  <c r="U165" i="32" s="1"/>
  <c r="AE121" i="32"/>
  <c r="J122" i="32"/>
  <c r="L166" i="32" s="1"/>
  <c r="V122" i="32"/>
  <c r="X166" i="32" s="1"/>
  <c r="B123" i="32"/>
  <c r="O123" i="32"/>
  <c r="Q167" i="32" s="1"/>
  <c r="AB123" i="32"/>
  <c r="H124" i="32"/>
  <c r="U124" i="32"/>
  <c r="W168" i="32" s="1"/>
  <c r="N125" i="32"/>
  <c r="AA125" i="32"/>
  <c r="G126" i="32"/>
  <c r="I170" i="32" s="1"/>
  <c r="T126" i="32"/>
  <c r="V170" i="32" s="1"/>
  <c r="M127" i="32"/>
  <c r="Z127" i="32"/>
  <c r="AB171" i="32" s="1"/>
  <c r="J133" i="32"/>
  <c r="J142" i="32" s="1"/>
  <c r="X133" i="32"/>
  <c r="X142" i="32" s="1"/>
  <c r="F134" i="32"/>
  <c r="S134" i="32"/>
  <c r="M135" i="32"/>
  <c r="AA135" i="32"/>
  <c r="N136" i="32"/>
  <c r="AC136" i="32"/>
  <c r="N137" i="32"/>
  <c r="M138" i="32"/>
  <c r="K139" i="32"/>
  <c r="G140" i="32"/>
  <c r="AC140" i="32"/>
  <c r="R141" i="32"/>
  <c r="B147" i="32"/>
  <c r="T149" i="32"/>
  <c r="AU17" i="32"/>
  <c r="AZ135" i="32" s="1"/>
  <c r="AU21" i="32"/>
  <c r="AT156" i="32" s="1"/>
  <c r="M119" i="32"/>
  <c r="Y119" i="32"/>
  <c r="E120" i="32"/>
  <c r="Q120" i="32"/>
  <c r="S164" i="32" s="1"/>
  <c r="AC120" i="32"/>
  <c r="AE164" i="32" s="1"/>
  <c r="H121" i="32"/>
  <c r="J165" i="32" s="1"/>
  <c r="T121" i="32"/>
  <c r="V165" i="32" s="1"/>
  <c r="K122" i="32"/>
  <c r="M166" i="32" s="1"/>
  <c r="W122" i="32"/>
  <c r="C123" i="32"/>
  <c r="E167" i="32" s="1"/>
  <c r="P123" i="32"/>
  <c r="AC123" i="32"/>
  <c r="AE167" i="32" s="1"/>
  <c r="I124" i="32"/>
  <c r="W124" i="32"/>
  <c r="Y168" i="32" s="1"/>
  <c r="B125" i="32"/>
  <c r="O125" i="32"/>
  <c r="AB125" i="32"/>
  <c r="H126" i="32"/>
  <c r="U126" i="32"/>
  <c r="W170" i="32" s="1"/>
  <c r="N127" i="32"/>
  <c r="P171" i="32" s="1"/>
  <c r="AA127" i="32"/>
  <c r="L133" i="32"/>
  <c r="Y133" i="32"/>
  <c r="G134" i="32"/>
  <c r="T134" i="32"/>
  <c r="N135" i="32"/>
  <c r="AB135" i="32"/>
  <c r="O136" i="32"/>
  <c r="AD136" i="32"/>
  <c r="P137" i="32"/>
  <c r="Q138" i="32"/>
  <c r="O139" i="32"/>
  <c r="I140" i="32"/>
  <c r="AD140" i="32"/>
  <c r="S141" i="32"/>
  <c r="H147" i="32"/>
  <c r="U149" i="32"/>
  <c r="C166" i="32" s="1"/>
  <c r="B119" i="32"/>
  <c r="N119" i="32"/>
  <c r="Z119" i="32"/>
  <c r="F120" i="32"/>
  <c r="H164" i="32" s="1"/>
  <c r="R120" i="32"/>
  <c r="AD120" i="32"/>
  <c r="AF164" i="32" s="1"/>
  <c r="I121" i="32"/>
  <c r="K165" i="32" s="1"/>
  <c r="U121" i="32"/>
  <c r="L122" i="32"/>
  <c r="N166" i="32" s="1"/>
  <c r="X122" i="32"/>
  <c r="Z166" i="32" s="1"/>
  <c r="D123" i="32"/>
  <c r="Q123" i="32"/>
  <c r="AD123" i="32"/>
  <c r="K124" i="32"/>
  <c r="X124" i="32"/>
  <c r="Z168" i="32" s="1"/>
  <c r="C125" i="32"/>
  <c r="P125" i="32"/>
  <c r="R169" i="32" s="1"/>
  <c r="AC125" i="32"/>
  <c r="AE169" i="32" s="1"/>
  <c r="I126" i="32"/>
  <c r="K170" i="32" s="1"/>
  <c r="V126" i="32"/>
  <c r="X170" i="32" s="1"/>
  <c r="B127" i="32"/>
  <c r="O127" i="32"/>
  <c r="AB127" i="32"/>
  <c r="AD171" i="32" s="1"/>
  <c r="M133" i="32"/>
  <c r="Z133" i="32"/>
  <c r="H134" i="32"/>
  <c r="U134" i="32"/>
  <c r="B135" i="32"/>
  <c r="O135" i="32"/>
  <c r="AC135" i="32"/>
  <c r="B136" i="32"/>
  <c r="P136" i="32"/>
  <c r="AE136" i="32"/>
  <c r="R137" i="32"/>
  <c r="R138" i="32"/>
  <c r="P139" i="32"/>
  <c r="M140" i="32"/>
  <c r="AE140" i="32"/>
  <c r="U141" i="32"/>
  <c r="BA151" i="32"/>
  <c r="T147" i="32"/>
  <c r="N152" i="32"/>
  <c r="AA172" i="38"/>
  <c r="O172" i="38"/>
  <c r="AI164" i="38"/>
  <c r="X172" i="38"/>
  <c r="L172" i="38"/>
  <c r="AG172" i="38"/>
  <c r="U172" i="38"/>
  <c r="I172" i="38"/>
  <c r="AF172" i="38"/>
  <c r="T172" i="38"/>
  <c r="H172" i="38"/>
  <c r="S172" i="38"/>
  <c r="G172" i="38"/>
  <c r="B172" i="38"/>
  <c r="AH163" i="38"/>
  <c r="AH166" i="38"/>
  <c r="AH169" i="38"/>
  <c r="AI163" i="38"/>
  <c r="AH165" i="38"/>
  <c r="AH168" i="38"/>
  <c r="AH171" i="38"/>
  <c r="S128" i="17" l="1"/>
  <c r="U163" i="17"/>
  <c r="C142" i="17"/>
  <c r="L165" i="17"/>
  <c r="U167" i="17"/>
  <c r="W147" i="17"/>
  <c r="B164" i="17"/>
  <c r="V147" i="17"/>
  <c r="U169" i="17"/>
  <c r="AF164" i="17"/>
  <c r="D142" i="17"/>
  <c r="F128" i="17"/>
  <c r="H163" i="17"/>
  <c r="T142" i="17"/>
  <c r="Y168" i="17"/>
  <c r="I128" i="17"/>
  <c r="S142" i="17"/>
  <c r="D168" i="17"/>
  <c r="AG124" i="17"/>
  <c r="AF124" i="17"/>
  <c r="B168" i="17"/>
  <c r="W151" i="17"/>
  <c r="V151" i="17"/>
  <c r="AF127" i="17"/>
  <c r="AG127" i="17"/>
  <c r="D171" i="17"/>
  <c r="K128" i="17"/>
  <c r="M163" i="17"/>
  <c r="I142" i="17"/>
  <c r="N163" i="17"/>
  <c r="L128" i="17"/>
  <c r="Y142" i="17"/>
  <c r="T163" i="17"/>
  <c r="R128" i="17"/>
  <c r="AG122" i="17"/>
  <c r="D166" i="17"/>
  <c r="AF122" i="17"/>
  <c r="AF134" i="17"/>
  <c r="AG134" i="17"/>
  <c r="AF125" i="17"/>
  <c r="AG125" i="17"/>
  <c r="D169" i="17"/>
  <c r="AC142" i="17"/>
  <c r="AE128" i="17"/>
  <c r="AG163" i="17"/>
  <c r="F169" i="17"/>
  <c r="AA142" i="17"/>
  <c r="Z128" i="17"/>
  <c r="AB163" i="17"/>
  <c r="AD128" i="17"/>
  <c r="AF163" i="17"/>
  <c r="Q166" i="17"/>
  <c r="F142" i="17"/>
  <c r="T168" i="17"/>
  <c r="P169" i="17"/>
  <c r="T164" i="17"/>
  <c r="D170" i="17"/>
  <c r="AG126" i="17"/>
  <c r="AF126" i="17"/>
  <c r="G165" i="17"/>
  <c r="Z142" i="17"/>
  <c r="D128" i="17"/>
  <c r="F163" i="17"/>
  <c r="L171" i="17"/>
  <c r="N166" i="17"/>
  <c r="J169" i="17"/>
  <c r="U142" i="17"/>
  <c r="AB169" i="17"/>
  <c r="X168" i="17"/>
  <c r="W153" i="17"/>
  <c r="V153" i="17"/>
  <c r="B170" i="17"/>
  <c r="AA163" i="17"/>
  <c r="AA172" i="17" s="1"/>
  <c r="Y128" i="17"/>
  <c r="J165" i="17"/>
  <c r="I163" i="17"/>
  <c r="G128" i="17"/>
  <c r="R170" i="17"/>
  <c r="E170" i="17"/>
  <c r="Z169" i="17"/>
  <c r="S170" i="17"/>
  <c r="S164" i="17"/>
  <c r="AF123" i="17"/>
  <c r="D167" i="17"/>
  <c r="AG123" i="17"/>
  <c r="I164" i="17"/>
  <c r="Q165" i="17"/>
  <c r="AD163" i="17"/>
  <c r="AB128" i="17"/>
  <c r="N171" i="17"/>
  <c r="R163" i="17"/>
  <c r="P128" i="17"/>
  <c r="P163" i="17"/>
  <c r="N128" i="17"/>
  <c r="J170" i="17"/>
  <c r="Q128" i="17"/>
  <c r="S163" i="17"/>
  <c r="O142" i="17"/>
  <c r="E163" i="17"/>
  <c r="C128" i="17"/>
  <c r="W142" i="17"/>
  <c r="P164" i="17"/>
  <c r="V168" i="17"/>
  <c r="W163" i="17"/>
  <c r="W172" i="17" s="1"/>
  <c r="U128" i="17"/>
  <c r="E171" i="17"/>
  <c r="S165" i="17"/>
  <c r="U170" i="17"/>
  <c r="L163" i="17"/>
  <c r="J128" i="17"/>
  <c r="E168" i="17"/>
  <c r="Z170" i="17"/>
  <c r="H165" i="17"/>
  <c r="F170" i="17"/>
  <c r="AE170" i="17"/>
  <c r="G163" i="17"/>
  <c r="G172" i="17" s="1"/>
  <c r="E128" i="17"/>
  <c r="AG140" i="17"/>
  <c r="AF140" i="17"/>
  <c r="R165" i="17"/>
  <c r="M165" i="17"/>
  <c r="AC163" i="17"/>
  <c r="AC172" i="17" s="1"/>
  <c r="AA128" i="17"/>
  <c r="K142" i="17"/>
  <c r="S169" i="17"/>
  <c r="O171" i="17"/>
  <c r="Z163" i="17"/>
  <c r="X128" i="17"/>
  <c r="D163" i="17"/>
  <c r="AF119" i="17"/>
  <c r="B128" i="17"/>
  <c r="AG119" i="17"/>
  <c r="W148" i="17"/>
  <c r="V148" i="17"/>
  <c r="B165" i="17"/>
  <c r="W165" i="17"/>
  <c r="P166" i="17"/>
  <c r="W150" i="17"/>
  <c r="V150" i="17"/>
  <c r="B167" i="17"/>
  <c r="J142" i="17"/>
  <c r="AB164" i="17"/>
  <c r="AG135" i="17"/>
  <c r="AF135" i="17"/>
  <c r="L164" i="17"/>
  <c r="J166" i="17"/>
  <c r="L166" i="17"/>
  <c r="V154" i="17"/>
  <c r="W154" i="17"/>
  <c r="B171" i="17"/>
  <c r="Y169" i="17"/>
  <c r="V164" i="17"/>
  <c r="M142" i="17"/>
  <c r="AD171" i="17"/>
  <c r="D164" i="17"/>
  <c r="AG120" i="17"/>
  <c r="AF120" i="17"/>
  <c r="E166" i="17"/>
  <c r="U171" i="17"/>
  <c r="AF165" i="17"/>
  <c r="AG170" i="17"/>
  <c r="C163" i="17"/>
  <c r="C172" i="17" s="1"/>
  <c r="U155" i="17"/>
  <c r="V171" i="17"/>
  <c r="H148" i="17"/>
  <c r="E165" i="17"/>
  <c r="T169" i="17"/>
  <c r="Z168" i="17"/>
  <c r="Y164" i="17"/>
  <c r="P165" i="17"/>
  <c r="V165" i="17"/>
  <c r="AG136" i="17"/>
  <c r="AF136" i="17"/>
  <c r="Z167" i="17"/>
  <c r="L167" i="17"/>
  <c r="Q163" i="17"/>
  <c r="Q172" i="17" s="1"/>
  <c r="O128" i="17"/>
  <c r="M170" i="17"/>
  <c r="D165" i="17"/>
  <c r="AG121" i="17"/>
  <c r="AF121" i="17"/>
  <c r="AE142" i="17"/>
  <c r="Z166" i="17"/>
  <c r="AG133" i="17"/>
  <c r="B142" i="17"/>
  <c r="AF133" i="17"/>
  <c r="R164" i="17"/>
  <c r="AD169" i="17"/>
  <c r="R166" i="17"/>
  <c r="H142" i="17"/>
  <c r="K166" i="17"/>
  <c r="M171" i="17"/>
  <c r="V149" i="17"/>
  <c r="W149" i="17"/>
  <c r="B166" i="17"/>
  <c r="L142" i="17"/>
  <c r="H167" i="17"/>
  <c r="N142" i="17"/>
  <c r="W128" i="17"/>
  <c r="Y163" i="17"/>
  <c r="Y172" i="17" s="1"/>
  <c r="G164" i="17"/>
  <c r="AG141" i="17"/>
  <c r="AF141" i="17"/>
  <c r="X163" i="17"/>
  <c r="X172" i="17" s="1"/>
  <c r="V128" i="17"/>
  <c r="T165" i="17"/>
  <c r="J171" i="17"/>
  <c r="Q154" i="17"/>
  <c r="Q142" i="17"/>
  <c r="V163" i="17"/>
  <c r="T128" i="17"/>
  <c r="O163" i="17"/>
  <c r="M128" i="17"/>
  <c r="O165" i="17"/>
  <c r="R168" i="17"/>
  <c r="AD167" i="17"/>
  <c r="AC128" i="17"/>
  <c r="AE163" i="17"/>
  <c r="AD170" i="17"/>
  <c r="U165" i="17"/>
  <c r="F167" i="17"/>
  <c r="P142" i="17"/>
  <c r="AG139" i="17"/>
  <c r="AF139" i="17"/>
  <c r="AE164" i="17"/>
  <c r="K170" i="17"/>
  <c r="AE166" i="17"/>
  <c r="V142" i="17"/>
  <c r="W166" i="17"/>
  <c r="V167" i="17"/>
  <c r="X142" i="17"/>
  <c r="K154" i="17"/>
  <c r="J163" i="17"/>
  <c r="H128" i="17"/>
  <c r="R142" i="17"/>
  <c r="E142" i="17"/>
  <c r="AB171" i="17"/>
  <c r="Y165" i="17"/>
  <c r="AG165" i="17"/>
  <c r="S168" i="17"/>
  <c r="T170" i="17"/>
  <c r="B163" i="17"/>
  <c r="T155" i="17"/>
  <c r="W146" i="17"/>
  <c r="V146" i="17"/>
  <c r="AF137" i="17"/>
  <c r="AG137" i="17"/>
  <c r="O166" i="17"/>
  <c r="AG138" i="17"/>
  <c r="AF138" i="17"/>
  <c r="I170" i="17"/>
  <c r="W164" i="17"/>
  <c r="AG166" i="17"/>
  <c r="H169" i="17"/>
  <c r="O164" i="17"/>
  <c r="Q171" i="17"/>
  <c r="U166" i="17"/>
  <c r="B169" i="17"/>
  <c r="V152" i="17"/>
  <c r="W152" i="17"/>
  <c r="S167" i="17"/>
  <c r="AD142" i="17"/>
  <c r="K165" i="17"/>
  <c r="Y170" i="17"/>
  <c r="K167" i="17"/>
  <c r="G142" i="17"/>
  <c r="M168" i="17"/>
  <c r="K163" i="17"/>
  <c r="G128" i="33"/>
  <c r="I163" i="33"/>
  <c r="K163" i="33"/>
  <c r="I128" i="33"/>
  <c r="R142" i="33"/>
  <c r="D128" i="33"/>
  <c r="F163" i="33"/>
  <c r="R169" i="33"/>
  <c r="O163" i="33"/>
  <c r="M128" i="33"/>
  <c r="S142" i="33"/>
  <c r="E168" i="33"/>
  <c r="AB170" i="33"/>
  <c r="AA168" i="33"/>
  <c r="J171" i="33"/>
  <c r="X142" i="33"/>
  <c r="W152" i="33"/>
  <c r="B169" i="33"/>
  <c r="V152" i="33"/>
  <c r="B152" i="33"/>
  <c r="AF169" i="33"/>
  <c r="P165" i="33"/>
  <c r="E163" i="33"/>
  <c r="C128" i="33"/>
  <c r="D169" i="33"/>
  <c r="AG125" i="33"/>
  <c r="AF125" i="33"/>
  <c r="E142" i="33"/>
  <c r="AG137" i="33"/>
  <c r="AF137" i="33"/>
  <c r="Y167" i="33"/>
  <c r="H166" i="33"/>
  <c r="O169" i="33"/>
  <c r="N142" i="33"/>
  <c r="AA166" i="33"/>
  <c r="AE166" i="33"/>
  <c r="C142" i="33"/>
  <c r="AC165" i="33"/>
  <c r="S167" i="33"/>
  <c r="AG123" i="33"/>
  <c r="AF123" i="33"/>
  <c r="D167" i="33"/>
  <c r="H167" i="33"/>
  <c r="AC168" i="33"/>
  <c r="V142" i="33"/>
  <c r="T166" i="33"/>
  <c r="AC164" i="33"/>
  <c r="O167" i="33"/>
  <c r="G142" i="33"/>
  <c r="P167" i="33"/>
  <c r="L163" i="33"/>
  <c r="J128" i="33"/>
  <c r="AE128" i="33"/>
  <c r="AG163" i="33"/>
  <c r="AG172" i="33" s="1"/>
  <c r="E128" i="33"/>
  <c r="G163" i="33"/>
  <c r="AB171" i="33"/>
  <c r="B164" i="33"/>
  <c r="V147" i="33"/>
  <c r="W147" i="33"/>
  <c r="AG169" i="33"/>
  <c r="L165" i="33"/>
  <c r="F169" i="33"/>
  <c r="S163" i="33"/>
  <c r="Q128" i="33"/>
  <c r="V164" i="33"/>
  <c r="J170" i="33"/>
  <c r="AB165" i="33"/>
  <c r="H165" i="33"/>
  <c r="E170" i="33"/>
  <c r="AA167" i="33"/>
  <c r="T142" i="33"/>
  <c r="AB167" i="33"/>
  <c r="K171" i="33"/>
  <c r="T155" i="33"/>
  <c r="B163" i="33"/>
  <c r="V146" i="33"/>
  <c r="W146" i="33"/>
  <c r="T169" i="33"/>
  <c r="R165" i="33"/>
  <c r="F167" i="33"/>
  <c r="U167" i="33"/>
  <c r="H148" i="33"/>
  <c r="D164" i="33"/>
  <c r="AF120" i="33"/>
  <c r="AG120" i="33"/>
  <c r="J142" i="33"/>
  <c r="R163" i="33"/>
  <c r="P128" i="33"/>
  <c r="W154" i="33"/>
  <c r="B171" i="33"/>
  <c r="V154" i="33"/>
  <c r="P142" i="33"/>
  <c r="AE165" i="33"/>
  <c r="AD169" i="33"/>
  <c r="AE164" i="33"/>
  <c r="AE169" i="33"/>
  <c r="B168" i="33"/>
  <c r="W151" i="33"/>
  <c r="V151" i="33"/>
  <c r="Q165" i="33"/>
  <c r="AF135" i="33"/>
  <c r="AG135" i="33"/>
  <c r="I171" i="33"/>
  <c r="D163" i="33"/>
  <c r="B128" i="33"/>
  <c r="AF119" i="33"/>
  <c r="AG119" i="33"/>
  <c r="AG122" i="33"/>
  <c r="AF122" i="33"/>
  <c r="D166" i="33"/>
  <c r="V128" i="33"/>
  <c r="X163" i="33"/>
  <c r="X172" i="33" s="1"/>
  <c r="Z142" i="33"/>
  <c r="W165" i="33"/>
  <c r="L128" i="33"/>
  <c r="N163" i="33"/>
  <c r="N172" i="33" s="1"/>
  <c r="G168" i="33"/>
  <c r="AG134" i="33"/>
  <c r="AF134" i="33"/>
  <c r="H168" i="33"/>
  <c r="W171" i="33"/>
  <c r="Q168" i="33"/>
  <c r="W148" i="33"/>
  <c r="V148" i="33"/>
  <c r="B165" i="33"/>
  <c r="W142" i="33"/>
  <c r="AF121" i="33"/>
  <c r="AG121" i="33"/>
  <c r="D165" i="33"/>
  <c r="L167" i="33"/>
  <c r="G165" i="33"/>
  <c r="T128" i="33"/>
  <c r="V163" i="33"/>
  <c r="AF136" i="33"/>
  <c r="AG136" i="33"/>
  <c r="Z166" i="33"/>
  <c r="P170" i="33"/>
  <c r="O165" i="33"/>
  <c r="AF140" i="33"/>
  <c r="AG140" i="33"/>
  <c r="Y170" i="33"/>
  <c r="Q166" i="33"/>
  <c r="E167" i="33"/>
  <c r="H128" i="33"/>
  <c r="J163" i="33"/>
  <c r="B166" i="33"/>
  <c r="W149" i="33"/>
  <c r="V149" i="33"/>
  <c r="AF165" i="33"/>
  <c r="T168" i="33"/>
  <c r="M142" i="33"/>
  <c r="AG138" i="33"/>
  <c r="AF138" i="33"/>
  <c r="C163" i="33"/>
  <c r="C172" i="33" s="1"/>
  <c r="U155" i="33"/>
  <c r="AG167" i="33"/>
  <c r="D142" i="33"/>
  <c r="W164" i="33"/>
  <c r="T167" i="33"/>
  <c r="AD128" i="33"/>
  <c r="AF163" i="33"/>
  <c r="F166" i="33"/>
  <c r="F128" i="33"/>
  <c r="H163" i="33"/>
  <c r="H172" i="33" s="1"/>
  <c r="P164" i="33"/>
  <c r="T164" i="33"/>
  <c r="U128" i="33"/>
  <c r="W163" i="33"/>
  <c r="AF124" i="33"/>
  <c r="AG124" i="33"/>
  <c r="D168" i="33"/>
  <c r="G164" i="33"/>
  <c r="O171" i="33"/>
  <c r="G166" i="33"/>
  <c r="P171" i="33"/>
  <c r="AF166" i="33"/>
  <c r="AA163" i="33"/>
  <c r="Y128" i="33"/>
  <c r="T163" i="33"/>
  <c r="R128" i="33"/>
  <c r="S128" i="33"/>
  <c r="U163" i="33"/>
  <c r="AC163" i="33"/>
  <c r="AA128" i="33"/>
  <c r="F142" i="33"/>
  <c r="B170" i="33"/>
  <c r="W153" i="33"/>
  <c r="V153" i="33"/>
  <c r="I170" i="33"/>
  <c r="D170" i="33"/>
  <c r="AF126" i="33"/>
  <c r="AG126" i="33"/>
  <c r="E169" i="33"/>
  <c r="S169" i="33"/>
  <c r="AD163" i="33"/>
  <c r="AB128" i="33"/>
  <c r="AD165" i="33"/>
  <c r="M163" i="33"/>
  <c r="K128" i="33"/>
  <c r="K167" i="33"/>
  <c r="AA164" i="33"/>
  <c r="Q142" i="33"/>
  <c r="AB142" i="33"/>
  <c r="AG127" i="33"/>
  <c r="AF127" i="33"/>
  <c r="D171" i="33"/>
  <c r="W128" i="33"/>
  <c r="Y163" i="33"/>
  <c r="AA171" i="33"/>
  <c r="AF167" i="33"/>
  <c r="AA142" i="33"/>
  <c r="I169" i="33"/>
  <c r="L142" i="33"/>
  <c r="AD170" i="33"/>
  <c r="T171" i="33"/>
  <c r="N154" i="33"/>
  <c r="R168" i="33"/>
  <c r="H142" i="33"/>
  <c r="H170" i="33"/>
  <c r="AG141" i="33"/>
  <c r="AF141" i="33"/>
  <c r="P163" i="33"/>
  <c r="N128" i="33"/>
  <c r="U142" i="33"/>
  <c r="T170" i="33"/>
  <c r="AB163" i="33"/>
  <c r="AB172" i="33" s="1"/>
  <c r="Z128" i="33"/>
  <c r="AG166" i="33"/>
  <c r="J167" i="33"/>
  <c r="O142" i="33"/>
  <c r="Z164" i="33"/>
  <c r="I142" i="33"/>
  <c r="F165" i="33"/>
  <c r="AE170" i="33"/>
  <c r="X128" i="33"/>
  <c r="Z163" i="33"/>
  <c r="Z172" i="33" s="1"/>
  <c r="U168" i="33"/>
  <c r="AF139" i="33"/>
  <c r="AG139" i="33"/>
  <c r="X171" i="33"/>
  <c r="Y164" i="33"/>
  <c r="L171" i="33"/>
  <c r="F164" i="33"/>
  <c r="AG168" i="33"/>
  <c r="N169" i="33"/>
  <c r="Y142" i="33"/>
  <c r="W150" i="33"/>
  <c r="V150" i="33"/>
  <c r="B167" i="33"/>
  <c r="R167" i="33"/>
  <c r="U171" i="33"/>
  <c r="I164" i="33"/>
  <c r="W167" i="33"/>
  <c r="AC128" i="33"/>
  <c r="AE163" i="33"/>
  <c r="I168" i="33"/>
  <c r="N164" i="33"/>
  <c r="M165" i="33"/>
  <c r="P166" i="33"/>
  <c r="Y165" i="33"/>
  <c r="U164" i="33"/>
  <c r="Q163" i="33"/>
  <c r="Q172" i="33" s="1"/>
  <c r="O128" i="33"/>
  <c r="AB168" i="33"/>
  <c r="AB169" i="33"/>
  <c r="AC142" i="33"/>
  <c r="AC166" i="33"/>
  <c r="AG133" i="33"/>
  <c r="B142" i="33"/>
  <c r="AF133" i="33"/>
  <c r="O168" i="33"/>
  <c r="P163" i="16"/>
  <c r="N128" i="16"/>
  <c r="AF163" i="16"/>
  <c r="AD128" i="16"/>
  <c r="E163" i="16"/>
  <c r="C128" i="16"/>
  <c r="AD168" i="16"/>
  <c r="U164" i="16"/>
  <c r="AF165" i="16"/>
  <c r="M167" i="16"/>
  <c r="G168" i="16"/>
  <c r="AG139" i="16"/>
  <c r="AF139" i="16"/>
  <c r="Y166" i="16"/>
  <c r="Y171" i="16"/>
  <c r="W128" i="16"/>
  <c r="Y163" i="16"/>
  <c r="N166" i="16"/>
  <c r="AC171" i="16"/>
  <c r="H163" i="16"/>
  <c r="F128" i="16"/>
  <c r="K169" i="16"/>
  <c r="C163" i="16"/>
  <c r="C172" i="16" s="1"/>
  <c r="U155" i="16"/>
  <c r="I170" i="16"/>
  <c r="T166" i="16"/>
  <c r="C142" i="16"/>
  <c r="Z168" i="16"/>
  <c r="K154" i="16"/>
  <c r="E167" i="16"/>
  <c r="U166" i="16"/>
  <c r="AG137" i="16"/>
  <c r="AF137" i="16"/>
  <c r="K128" i="16"/>
  <c r="M163" i="16"/>
  <c r="M172" i="16" s="1"/>
  <c r="Z165" i="16"/>
  <c r="R167" i="16"/>
  <c r="AG164" i="16"/>
  <c r="E166" i="16"/>
  <c r="T165" i="16"/>
  <c r="O142" i="16"/>
  <c r="M171" i="16"/>
  <c r="AA166" i="16"/>
  <c r="AG133" i="16"/>
  <c r="AF133" i="16"/>
  <c r="B142" i="16"/>
  <c r="U163" i="16"/>
  <c r="S128" i="16"/>
  <c r="Y169" i="16"/>
  <c r="X165" i="16"/>
  <c r="W170" i="16"/>
  <c r="AF166" i="16"/>
  <c r="P142" i="16"/>
  <c r="E169" i="16"/>
  <c r="I142" i="16"/>
  <c r="AB167" i="16"/>
  <c r="I167" i="16"/>
  <c r="L167" i="16"/>
  <c r="V168" i="16"/>
  <c r="R165" i="16"/>
  <c r="D165" i="16"/>
  <c r="AG121" i="16"/>
  <c r="AF121" i="16"/>
  <c r="K164" i="16"/>
  <c r="AG127" i="16"/>
  <c r="AF127" i="16"/>
  <c r="D171" i="16"/>
  <c r="AC142" i="16"/>
  <c r="S164" i="16"/>
  <c r="J166" i="16"/>
  <c r="U128" i="16"/>
  <c r="W163" i="16"/>
  <c r="W172" i="16" s="1"/>
  <c r="G142" i="16"/>
  <c r="T167" i="16"/>
  <c r="AE142" i="16"/>
  <c r="Q166" i="16"/>
  <c r="W152" i="16"/>
  <c r="B169" i="16"/>
  <c r="V152" i="16"/>
  <c r="W167" i="16"/>
  <c r="AC169" i="16"/>
  <c r="AD163" i="16"/>
  <c r="AB128" i="16"/>
  <c r="Z171" i="16"/>
  <c r="D169" i="16"/>
  <c r="AG125" i="16"/>
  <c r="AF125" i="16"/>
  <c r="AG140" i="16"/>
  <c r="AF140" i="16"/>
  <c r="T168" i="16"/>
  <c r="U168" i="16"/>
  <c r="E171" i="16"/>
  <c r="AA142" i="16"/>
  <c r="AC163" i="16"/>
  <c r="AC172" i="16" s="1"/>
  <c r="AA128" i="16"/>
  <c r="H168" i="16"/>
  <c r="Z170" i="16"/>
  <c r="J164" i="16"/>
  <c r="F167" i="16"/>
  <c r="AB165" i="16"/>
  <c r="X142" i="16"/>
  <c r="AG167" i="16"/>
  <c r="AG134" i="16"/>
  <c r="AF134" i="16"/>
  <c r="I165" i="16"/>
  <c r="P171" i="16"/>
  <c r="AD166" i="16"/>
  <c r="H128" i="16"/>
  <c r="J163" i="16"/>
  <c r="P168" i="16"/>
  <c r="H170" i="16"/>
  <c r="AG141" i="16"/>
  <c r="AF141" i="16"/>
  <c r="H142" i="16"/>
  <c r="J165" i="16"/>
  <c r="AB169" i="16"/>
  <c r="F169" i="16"/>
  <c r="G169" i="16"/>
  <c r="X170" i="16"/>
  <c r="AA167" i="16"/>
  <c r="Q128" i="16"/>
  <c r="S163" i="16"/>
  <c r="V142" i="16"/>
  <c r="X128" i="16"/>
  <c r="Z163" i="16"/>
  <c r="P167" i="16"/>
  <c r="Y170" i="16"/>
  <c r="AE167" i="16"/>
  <c r="O164" i="16"/>
  <c r="X169" i="16"/>
  <c r="H167" i="16"/>
  <c r="V128" i="16"/>
  <c r="X163" i="16"/>
  <c r="R168" i="16"/>
  <c r="E165" i="16"/>
  <c r="O170" i="16"/>
  <c r="W171" i="16"/>
  <c r="W153" i="16"/>
  <c r="V153" i="16"/>
  <c r="B170" i="16"/>
  <c r="AE163" i="16"/>
  <c r="AC128" i="16"/>
  <c r="N170" i="16"/>
  <c r="J142" i="16"/>
  <c r="F164" i="16"/>
  <c r="AE171" i="16"/>
  <c r="G164" i="16"/>
  <c r="L142" i="16"/>
  <c r="AD164" i="16"/>
  <c r="D164" i="16"/>
  <c r="AG120" i="16"/>
  <c r="AF120" i="16"/>
  <c r="F163" i="16"/>
  <c r="D128" i="16"/>
  <c r="W154" i="16"/>
  <c r="B171" i="16"/>
  <c r="V154" i="16"/>
  <c r="D170" i="16"/>
  <c r="AG126" i="16"/>
  <c r="AF126" i="16"/>
  <c r="P165" i="16"/>
  <c r="Y164" i="16"/>
  <c r="G167" i="16"/>
  <c r="Q142" i="16"/>
  <c r="D166" i="16"/>
  <c r="AG122" i="16"/>
  <c r="AF122" i="16"/>
  <c r="V151" i="16"/>
  <c r="W151" i="16"/>
  <c r="B168" i="16"/>
  <c r="K167" i="16"/>
  <c r="E142" i="16"/>
  <c r="G128" i="16"/>
  <c r="I163" i="16"/>
  <c r="I172" i="16" s="1"/>
  <c r="G163" i="16"/>
  <c r="E128" i="16"/>
  <c r="M168" i="16"/>
  <c r="AG136" i="16"/>
  <c r="AF136" i="16"/>
  <c r="J167" i="16"/>
  <c r="F142" i="16"/>
  <c r="V163" i="16"/>
  <c r="T128" i="16"/>
  <c r="AC168" i="16"/>
  <c r="H148" i="16"/>
  <c r="L163" i="16"/>
  <c r="J128" i="16"/>
  <c r="AE169" i="16"/>
  <c r="L171" i="16"/>
  <c r="AD142" i="16"/>
  <c r="G165" i="16"/>
  <c r="W142" i="16"/>
  <c r="AA163" i="16"/>
  <c r="Y128" i="16"/>
  <c r="B167" i="16"/>
  <c r="W150" i="16"/>
  <c r="V150" i="16"/>
  <c r="S142" i="16"/>
  <c r="T163" i="16"/>
  <c r="T172" i="16" s="1"/>
  <c r="R128" i="16"/>
  <c r="AB168" i="16"/>
  <c r="D142" i="16"/>
  <c r="B165" i="16"/>
  <c r="W148" i="16"/>
  <c r="V148" i="16"/>
  <c r="T142" i="16"/>
  <c r="AF170" i="16"/>
  <c r="AB142" i="16"/>
  <c r="AD165" i="16"/>
  <c r="G171" i="16"/>
  <c r="W149" i="16"/>
  <c r="V149" i="16"/>
  <c r="B166" i="16"/>
  <c r="R163" i="16"/>
  <c r="P128" i="16"/>
  <c r="N142" i="16"/>
  <c r="W169" i="16"/>
  <c r="AF119" i="16"/>
  <c r="AG119" i="16"/>
  <c r="D163" i="16"/>
  <c r="B128" i="16"/>
  <c r="L164" i="16"/>
  <c r="E168" i="16"/>
  <c r="B164" i="16"/>
  <c r="V147" i="16"/>
  <c r="W147" i="16"/>
  <c r="N171" i="16"/>
  <c r="O167" i="16"/>
  <c r="AG163" i="16"/>
  <c r="AE128" i="16"/>
  <c r="J169" i="16"/>
  <c r="R142" i="16"/>
  <c r="I128" i="16"/>
  <c r="K163" i="16"/>
  <c r="AF124" i="16"/>
  <c r="D168" i="16"/>
  <c r="AG124" i="16"/>
  <c r="T155" i="16"/>
  <c r="W146" i="16"/>
  <c r="V146" i="16"/>
  <c r="V155" i="16" s="1"/>
  <c r="B163" i="16"/>
  <c r="L128" i="16"/>
  <c r="N163" i="16"/>
  <c r="AB171" i="16"/>
  <c r="O163" i="16"/>
  <c r="M128" i="16"/>
  <c r="Q163" i="16"/>
  <c r="Q172" i="16" s="1"/>
  <c r="O128" i="16"/>
  <c r="J171" i="16"/>
  <c r="H164" i="16"/>
  <c r="N154" i="16"/>
  <c r="L170" i="16"/>
  <c r="T169" i="16"/>
  <c r="Z128" i="16"/>
  <c r="AB163" i="16"/>
  <c r="G170" i="16"/>
  <c r="S171" i="16"/>
  <c r="Z166" i="16"/>
  <c r="L169" i="16"/>
  <c r="AG169" i="16"/>
  <c r="S168" i="16"/>
  <c r="AB164" i="16"/>
  <c r="U167" i="16"/>
  <c r="E164" i="16"/>
  <c r="AF168" i="16"/>
  <c r="AF135" i="16"/>
  <c r="AG135" i="16"/>
  <c r="Q165" i="16"/>
  <c r="AB170" i="16"/>
  <c r="M142" i="16"/>
  <c r="AF138" i="16"/>
  <c r="AG138" i="16"/>
  <c r="AG123" i="16"/>
  <c r="AF123" i="16"/>
  <c r="D167" i="16"/>
  <c r="X164" i="16"/>
  <c r="K142" i="16"/>
  <c r="AA164" i="16"/>
  <c r="O165" i="16"/>
  <c r="AA171" i="16"/>
  <c r="F165" i="16"/>
  <c r="S166" i="16"/>
  <c r="Z169" i="16"/>
  <c r="D164" i="10"/>
  <c r="AG120" i="10"/>
  <c r="AF120" i="10"/>
  <c r="AD128" i="10"/>
  <c r="AF163" i="10"/>
  <c r="S142" i="10"/>
  <c r="K163" i="10"/>
  <c r="I128" i="10"/>
  <c r="AF137" i="10"/>
  <c r="AG137" i="10"/>
  <c r="W153" i="10"/>
  <c r="V153" i="10"/>
  <c r="B170" i="10"/>
  <c r="B168" i="10"/>
  <c r="W151" i="10"/>
  <c r="V151" i="10"/>
  <c r="AB167" i="10"/>
  <c r="J164" i="10"/>
  <c r="X166" i="10"/>
  <c r="AF169" i="10"/>
  <c r="O164" i="10"/>
  <c r="AB165" i="10"/>
  <c r="N154" i="10"/>
  <c r="J169" i="10"/>
  <c r="AG124" i="10"/>
  <c r="AF124" i="10"/>
  <c r="D168" i="10"/>
  <c r="X163" i="10"/>
  <c r="V128" i="10"/>
  <c r="W166" i="10"/>
  <c r="Z171" i="10"/>
  <c r="V171" i="10"/>
  <c r="K154" i="10"/>
  <c r="AB142" i="10"/>
  <c r="AG164" i="10"/>
  <c r="AB163" i="10"/>
  <c r="AB172" i="10" s="1"/>
  <c r="Z128" i="10"/>
  <c r="I166" i="10"/>
  <c r="D165" i="10"/>
  <c r="AG121" i="10"/>
  <c r="AF121" i="10"/>
  <c r="L163" i="10"/>
  <c r="J128" i="10"/>
  <c r="AE165" i="10"/>
  <c r="AE167" i="10"/>
  <c r="V165" i="10"/>
  <c r="L166" i="10"/>
  <c r="AC170" i="10"/>
  <c r="AF166" i="10"/>
  <c r="B152" i="10"/>
  <c r="I163" i="10"/>
  <c r="G128" i="10"/>
  <c r="U164" i="10"/>
  <c r="AA171" i="10"/>
  <c r="N142" i="10"/>
  <c r="S165" i="10"/>
  <c r="V163" i="10"/>
  <c r="T128" i="10"/>
  <c r="AG122" i="10"/>
  <c r="D166" i="10"/>
  <c r="AF122" i="10"/>
  <c r="T171" i="10"/>
  <c r="AF164" i="10"/>
  <c r="L170" i="10"/>
  <c r="K128" i="10"/>
  <c r="M163" i="10"/>
  <c r="M172" i="10" s="1"/>
  <c r="G168" i="10"/>
  <c r="AG134" i="10"/>
  <c r="AF134" i="10"/>
  <c r="M168" i="10"/>
  <c r="K171" i="10"/>
  <c r="Q142" i="10"/>
  <c r="M170" i="10"/>
  <c r="D142" i="10"/>
  <c r="F169" i="10"/>
  <c r="Z163" i="10"/>
  <c r="X128" i="10"/>
  <c r="O165" i="10"/>
  <c r="X168" i="10"/>
  <c r="AB168" i="10"/>
  <c r="N128" i="10"/>
  <c r="P163" i="10"/>
  <c r="R170" i="10"/>
  <c r="H164" i="10"/>
  <c r="X164" i="10"/>
  <c r="J170" i="10"/>
  <c r="AG136" i="10"/>
  <c r="AF136" i="10"/>
  <c r="U142" i="10"/>
  <c r="AG168" i="10"/>
  <c r="D169" i="10"/>
  <c r="AF125" i="10"/>
  <c r="AG125" i="10"/>
  <c r="AG138" i="10"/>
  <c r="AF138" i="10"/>
  <c r="N170" i="10"/>
  <c r="L168" i="10"/>
  <c r="G169" i="10"/>
  <c r="J166" i="10"/>
  <c r="U163" i="10"/>
  <c r="S128" i="10"/>
  <c r="AA168" i="10"/>
  <c r="D170" i="10"/>
  <c r="AG126" i="10"/>
  <c r="AF126" i="10"/>
  <c r="I165" i="10"/>
  <c r="N163" i="10"/>
  <c r="L128" i="10"/>
  <c r="O142" i="10"/>
  <c r="AG133" i="10"/>
  <c r="B142" i="10"/>
  <c r="AF133" i="10"/>
  <c r="J165" i="10"/>
  <c r="X170" i="10"/>
  <c r="J167" i="10"/>
  <c r="U171" i="10"/>
  <c r="Q164" i="10"/>
  <c r="M169" i="10"/>
  <c r="P169" i="10"/>
  <c r="H148" i="10"/>
  <c r="W142" i="10"/>
  <c r="AD167" i="10"/>
  <c r="AG140" i="10"/>
  <c r="AF140" i="10"/>
  <c r="AB170" i="10"/>
  <c r="AC165" i="10"/>
  <c r="K142" i="10"/>
  <c r="O167" i="10"/>
  <c r="R169" i="10"/>
  <c r="R142" i="10"/>
  <c r="D128" i="10"/>
  <c r="F163" i="10"/>
  <c r="F172" i="10" s="1"/>
  <c r="AG141" i="10"/>
  <c r="AF141" i="10"/>
  <c r="Q128" i="10"/>
  <c r="S163" i="10"/>
  <c r="B169" i="10"/>
  <c r="V152" i="10"/>
  <c r="W152" i="10"/>
  <c r="AB128" i="10"/>
  <c r="AD163" i="10"/>
  <c r="AD172" i="10" s="1"/>
  <c r="R163" i="10"/>
  <c r="P128" i="10"/>
  <c r="AC163" i="10"/>
  <c r="AA128" i="10"/>
  <c r="G165" i="10"/>
  <c r="U167" i="10"/>
  <c r="R168" i="10"/>
  <c r="W147" i="10"/>
  <c r="V147" i="10"/>
  <c r="B164" i="10"/>
  <c r="G142" i="10"/>
  <c r="V154" i="10"/>
  <c r="W154" i="10"/>
  <c r="B171" i="10"/>
  <c r="J142" i="10"/>
  <c r="AF123" i="10"/>
  <c r="D167" i="10"/>
  <c r="AG123" i="10"/>
  <c r="AA165" i="10"/>
  <c r="F165" i="10"/>
  <c r="AG135" i="10"/>
  <c r="AF135" i="10"/>
  <c r="X142" i="10"/>
  <c r="D163" i="10"/>
  <c r="AG119" i="10"/>
  <c r="AF119" i="10"/>
  <c r="B128" i="10"/>
  <c r="AA166" i="10"/>
  <c r="F142" i="10"/>
  <c r="V170" i="10"/>
  <c r="H169" i="10"/>
  <c r="AF127" i="10"/>
  <c r="AG127" i="10"/>
  <c r="D171" i="10"/>
  <c r="G167" i="10"/>
  <c r="Y142" i="10"/>
  <c r="S169" i="10"/>
  <c r="E166" i="10"/>
  <c r="B165" i="10"/>
  <c r="V148" i="10"/>
  <c r="W148" i="10"/>
  <c r="Q163" i="10"/>
  <c r="O128" i="10"/>
  <c r="F167" i="10"/>
  <c r="P142" i="10"/>
  <c r="AG139" i="10"/>
  <c r="AF139" i="10"/>
  <c r="X167" i="10"/>
  <c r="R166" i="10"/>
  <c r="H142" i="10"/>
  <c r="AC164" i="10"/>
  <c r="Z169" i="10"/>
  <c r="AB169" i="10"/>
  <c r="N168" i="10"/>
  <c r="T166" i="10"/>
  <c r="AA163" i="10"/>
  <c r="Y128" i="10"/>
  <c r="AC171" i="10"/>
  <c r="Z142" i="10"/>
  <c r="V169" i="10"/>
  <c r="F166" i="10"/>
  <c r="M128" i="10"/>
  <c r="O163" i="10"/>
  <c r="O172" i="10" s="1"/>
  <c r="O171" i="10"/>
  <c r="N166" i="10"/>
  <c r="AE142" i="10"/>
  <c r="R167" i="10"/>
  <c r="E128" i="10"/>
  <c r="G163" i="10"/>
  <c r="C128" i="10"/>
  <c r="W163" i="10"/>
  <c r="W172" i="10" s="1"/>
  <c r="U128" i="10"/>
  <c r="T155" i="10"/>
  <c r="B163" i="10"/>
  <c r="V146" i="10"/>
  <c r="W146" i="10"/>
  <c r="AB171" i="10"/>
  <c r="H163" i="10"/>
  <c r="F128" i="10"/>
  <c r="B166" i="10"/>
  <c r="W149" i="10"/>
  <c r="V149" i="10"/>
  <c r="T163" i="10"/>
  <c r="T172" i="10" s="1"/>
  <c r="R128" i="10"/>
  <c r="X169" i="10"/>
  <c r="K165" i="10"/>
  <c r="I142" i="10"/>
  <c r="AC128" i="10"/>
  <c r="AE163" i="10"/>
  <c r="C142" i="10"/>
  <c r="AC142" i="10"/>
  <c r="AG166" i="10"/>
  <c r="E148" i="10"/>
  <c r="O166" i="10"/>
  <c r="E170" i="10"/>
  <c r="S164" i="10"/>
  <c r="T142" i="10"/>
  <c r="H171" i="10"/>
  <c r="AF171" i="10"/>
  <c r="I168" i="10"/>
  <c r="P171" i="10"/>
  <c r="Z170" i="10"/>
  <c r="W128" i="10"/>
  <c r="Y163" i="10"/>
  <c r="Y172" i="10" s="1"/>
  <c r="Q154" i="10"/>
  <c r="K169" i="10"/>
  <c r="U155" i="10"/>
  <c r="C163" i="10"/>
  <c r="C172" i="10" s="1"/>
  <c r="O170" i="10"/>
  <c r="W150" i="10"/>
  <c r="V150" i="10"/>
  <c r="B167" i="10"/>
  <c r="Z166" i="10"/>
  <c r="S167" i="10"/>
  <c r="AD142" i="10"/>
  <c r="P166" i="10"/>
  <c r="S171" i="10"/>
  <c r="J163" i="10"/>
  <c r="H128" i="10"/>
  <c r="E168" i="10"/>
  <c r="AE166" i="10"/>
  <c r="V142" i="10"/>
  <c r="H165" i="10"/>
  <c r="F170" i="10"/>
  <c r="G170" i="10"/>
  <c r="M167" i="10"/>
  <c r="U165" i="10"/>
  <c r="S166" i="10"/>
  <c r="AG169" i="10"/>
  <c r="AC167" i="10"/>
  <c r="X171" i="10"/>
  <c r="V168" i="10"/>
  <c r="P170" i="10"/>
  <c r="N165" i="10"/>
  <c r="AE128" i="10"/>
  <c r="AG163" i="10"/>
  <c r="M142" i="10"/>
  <c r="J168" i="10"/>
  <c r="E163" i="10"/>
  <c r="AG122" i="8"/>
  <c r="D166" i="8"/>
  <c r="AF122" i="8"/>
  <c r="AB163" i="8"/>
  <c r="Z128" i="8"/>
  <c r="AB165" i="8"/>
  <c r="AA171" i="8"/>
  <c r="S165" i="8"/>
  <c r="AC163" i="8"/>
  <c r="AA128" i="8"/>
  <c r="X168" i="8"/>
  <c r="X142" i="8"/>
  <c r="AG141" i="8"/>
  <c r="AF141" i="8"/>
  <c r="B170" i="8"/>
  <c r="V153" i="8"/>
  <c r="W153" i="8"/>
  <c r="F142" i="8"/>
  <c r="AA165" i="8"/>
  <c r="AG139" i="8"/>
  <c r="AF139" i="8"/>
  <c r="N169" i="8"/>
  <c r="AF164" i="8"/>
  <c r="G166" i="8"/>
  <c r="X171" i="8"/>
  <c r="N142" i="8"/>
  <c r="AF165" i="8"/>
  <c r="E170" i="8"/>
  <c r="W154" i="8"/>
  <c r="V154" i="8"/>
  <c r="B171" i="8"/>
  <c r="M168" i="8"/>
  <c r="R142" i="8"/>
  <c r="AE164" i="8"/>
  <c r="O163" i="8"/>
  <c r="O172" i="8" s="1"/>
  <c r="M128" i="8"/>
  <c r="E166" i="8"/>
  <c r="E168" i="8"/>
  <c r="P166" i="8"/>
  <c r="AG124" i="8"/>
  <c r="AF124" i="8"/>
  <c r="D168" i="8"/>
  <c r="W168" i="8"/>
  <c r="AG140" i="8"/>
  <c r="AF140" i="8"/>
  <c r="B166" i="8"/>
  <c r="W149" i="8"/>
  <c r="V149" i="8"/>
  <c r="J164" i="8"/>
  <c r="I142" i="8"/>
  <c r="I166" i="8"/>
  <c r="M142" i="8"/>
  <c r="W166" i="8"/>
  <c r="AC142" i="8"/>
  <c r="AG138" i="8"/>
  <c r="AF138" i="8"/>
  <c r="U164" i="8"/>
  <c r="S168" i="8"/>
  <c r="G164" i="8"/>
  <c r="AD169" i="8"/>
  <c r="P165" i="8"/>
  <c r="L167" i="8"/>
  <c r="P164" i="8"/>
  <c r="K167" i="8"/>
  <c r="J167" i="8"/>
  <c r="AG136" i="8"/>
  <c r="AF136" i="8"/>
  <c r="H142" i="8"/>
  <c r="V163" i="8"/>
  <c r="T128" i="8"/>
  <c r="I165" i="8"/>
  <c r="W142" i="8"/>
  <c r="AB142" i="8"/>
  <c r="AG134" i="8"/>
  <c r="AF134" i="8"/>
  <c r="AG164" i="8"/>
  <c r="D169" i="8"/>
  <c r="AG125" i="8"/>
  <c r="AF125" i="8"/>
  <c r="T155" i="8"/>
  <c r="B163" i="8"/>
  <c r="W146" i="8"/>
  <c r="V146" i="8"/>
  <c r="G142" i="8"/>
  <c r="U163" i="8"/>
  <c r="S128" i="8"/>
  <c r="V128" i="8"/>
  <c r="X163" i="8"/>
  <c r="L170" i="8"/>
  <c r="AC164" i="8"/>
  <c r="AB166" i="8"/>
  <c r="R171" i="8"/>
  <c r="K154" i="8"/>
  <c r="W170" i="8"/>
  <c r="Z166" i="8"/>
  <c r="U166" i="8"/>
  <c r="S164" i="8"/>
  <c r="K171" i="8"/>
  <c r="AF123" i="8"/>
  <c r="D167" i="8"/>
  <c r="AG123" i="8"/>
  <c r="D163" i="8"/>
  <c r="B128" i="8"/>
  <c r="AG119" i="8"/>
  <c r="AF119" i="8"/>
  <c r="W147" i="8"/>
  <c r="V147" i="8"/>
  <c r="B164" i="8"/>
  <c r="B142" i="8"/>
  <c r="AG133" i="8"/>
  <c r="AF133" i="8"/>
  <c r="B168" i="8"/>
  <c r="W151" i="8"/>
  <c r="V151" i="8"/>
  <c r="E142" i="8"/>
  <c r="K128" i="8"/>
  <c r="M163" i="8"/>
  <c r="Q142" i="8"/>
  <c r="T164" i="8"/>
  <c r="G128" i="8"/>
  <c r="I163" i="8"/>
  <c r="U128" i="8"/>
  <c r="O170" i="8"/>
  <c r="H168" i="8"/>
  <c r="R163" i="8"/>
  <c r="P128" i="8"/>
  <c r="AA168" i="8"/>
  <c r="F163" i="8"/>
  <c r="D128" i="8"/>
  <c r="AF167" i="8"/>
  <c r="E167" i="8"/>
  <c r="P142" i="8"/>
  <c r="O166" i="8"/>
  <c r="AF127" i="8"/>
  <c r="D171" i="8"/>
  <c r="AG127" i="8"/>
  <c r="Z142" i="8"/>
  <c r="W152" i="8"/>
  <c r="B169" i="8"/>
  <c r="V152" i="8"/>
  <c r="M170" i="8"/>
  <c r="R166" i="8"/>
  <c r="G168" i="8"/>
  <c r="Y171" i="8"/>
  <c r="AB164" i="8"/>
  <c r="H167" i="8"/>
  <c r="V170" i="8"/>
  <c r="V142" i="8"/>
  <c r="W164" i="8"/>
  <c r="W172" i="8" s="1"/>
  <c r="H128" i="8"/>
  <c r="J163" i="8"/>
  <c r="J172" i="8" s="1"/>
  <c r="AE142" i="8"/>
  <c r="Z163" i="8"/>
  <c r="X128" i="8"/>
  <c r="AA142" i="8"/>
  <c r="N154" i="8"/>
  <c r="P168" i="8"/>
  <c r="AB128" i="8"/>
  <c r="AD163" i="8"/>
  <c r="V169" i="8"/>
  <c r="AF163" i="8"/>
  <c r="AD128" i="8"/>
  <c r="AB168" i="8"/>
  <c r="E128" i="8"/>
  <c r="G163" i="8"/>
  <c r="AG167" i="8"/>
  <c r="F167" i="8"/>
  <c r="AE170" i="8"/>
  <c r="AD166" i="8"/>
  <c r="T169" i="8"/>
  <c r="D142" i="8"/>
  <c r="U171" i="8"/>
  <c r="U142" i="8"/>
  <c r="N163" i="8"/>
  <c r="L128" i="8"/>
  <c r="P163" i="8"/>
  <c r="N128" i="8"/>
  <c r="Q128" i="8"/>
  <c r="S163" i="8"/>
  <c r="S172" i="8" s="1"/>
  <c r="D164" i="8"/>
  <c r="AG120" i="8"/>
  <c r="AF120" i="8"/>
  <c r="C142" i="8"/>
  <c r="K163" i="8"/>
  <c r="I128" i="8"/>
  <c r="AA163" i="8"/>
  <c r="Y128" i="8"/>
  <c r="AG169" i="8"/>
  <c r="K164" i="8"/>
  <c r="U169" i="8"/>
  <c r="Y164" i="8"/>
  <c r="Q170" i="8"/>
  <c r="M164" i="8"/>
  <c r="I169" i="8"/>
  <c r="T163" i="8"/>
  <c r="R128" i="8"/>
  <c r="O168" i="8"/>
  <c r="K142" i="8"/>
  <c r="AG135" i="8"/>
  <c r="AF135" i="8"/>
  <c r="AG137" i="8"/>
  <c r="AF137" i="8"/>
  <c r="C163" i="8"/>
  <c r="C172" i="8" s="1"/>
  <c r="U155" i="8"/>
  <c r="U167" i="8"/>
  <c r="P171" i="8"/>
  <c r="F166" i="8"/>
  <c r="AF168" i="8"/>
  <c r="W171" i="8"/>
  <c r="F128" i="8"/>
  <c r="H163" i="8"/>
  <c r="AF169" i="8"/>
  <c r="B152" i="8"/>
  <c r="Q154" i="8"/>
  <c r="AC170" i="8"/>
  <c r="T171" i="8"/>
  <c r="Z170" i="8"/>
  <c r="Y166" i="8"/>
  <c r="AE163" i="8"/>
  <c r="AC128" i="8"/>
  <c r="AF166" i="8"/>
  <c r="L163" i="8"/>
  <c r="L172" i="8" s="1"/>
  <c r="J128" i="8"/>
  <c r="V164" i="8"/>
  <c r="N170" i="8"/>
  <c r="P170" i="8"/>
  <c r="E165" i="8"/>
  <c r="AF170" i="8"/>
  <c r="Z164" i="8"/>
  <c r="W169" i="8"/>
  <c r="AG163" i="8"/>
  <c r="AE128" i="8"/>
  <c r="AC168" i="8"/>
  <c r="E163" i="8"/>
  <c r="C128" i="8"/>
  <c r="AE167" i="8"/>
  <c r="Y142" i="8"/>
  <c r="B165" i="8"/>
  <c r="W148" i="8"/>
  <c r="V148" i="8"/>
  <c r="V171" i="8"/>
  <c r="B167" i="8"/>
  <c r="W150" i="8"/>
  <c r="V150" i="8"/>
  <c r="U165" i="8"/>
  <c r="F168" i="8"/>
  <c r="I170" i="8"/>
  <c r="K169" i="8"/>
  <c r="E148" i="8"/>
  <c r="H170" i="8"/>
  <c r="AA170" i="8"/>
  <c r="M169" i="8"/>
  <c r="S142" i="8"/>
  <c r="AD142" i="8"/>
  <c r="T142" i="8"/>
  <c r="M166" i="8"/>
  <c r="AB170" i="8"/>
  <c r="D165" i="8"/>
  <c r="AG121" i="8"/>
  <c r="AF121" i="8"/>
  <c r="AD170" i="8"/>
  <c r="R165" i="8"/>
  <c r="F165" i="8"/>
  <c r="D170" i="8"/>
  <c r="AF126" i="8"/>
  <c r="AG126" i="8"/>
  <c r="Q163" i="8"/>
  <c r="O128" i="8"/>
  <c r="K168" i="8"/>
  <c r="L142" i="8"/>
  <c r="H166" i="8"/>
  <c r="W128" i="8"/>
  <c r="Y163" i="8"/>
  <c r="AD164" i="8"/>
  <c r="N167" i="8"/>
  <c r="Q169" i="8"/>
  <c r="Z167" i="8"/>
  <c r="H148" i="8"/>
  <c r="F169" i="8"/>
  <c r="O169" i="8"/>
  <c r="F170" i="8"/>
  <c r="U168" i="8"/>
  <c r="Z163" i="26"/>
  <c r="X128" i="26"/>
  <c r="H170" i="26"/>
  <c r="AE171" i="26"/>
  <c r="S165" i="26"/>
  <c r="B152" i="26"/>
  <c r="P171" i="26"/>
  <c r="S167" i="26"/>
  <c r="P166" i="26"/>
  <c r="K165" i="26"/>
  <c r="I163" i="26"/>
  <c r="I172" i="26" s="1"/>
  <c r="G128" i="26"/>
  <c r="AE170" i="26"/>
  <c r="M168" i="26"/>
  <c r="I164" i="26"/>
  <c r="G142" i="26"/>
  <c r="T155" i="26"/>
  <c r="B163" i="26"/>
  <c r="W146" i="26"/>
  <c r="V146" i="26"/>
  <c r="AF163" i="26"/>
  <c r="AD128" i="26"/>
  <c r="F164" i="26"/>
  <c r="R142" i="26"/>
  <c r="S166" i="26"/>
  <c r="O164" i="26"/>
  <c r="E170" i="26"/>
  <c r="B166" i="26"/>
  <c r="W149" i="26"/>
  <c r="V149" i="26"/>
  <c r="AA167" i="26"/>
  <c r="AE165" i="26"/>
  <c r="I171" i="26"/>
  <c r="R169" i="26"/>
  <c r="AC128" i="26"/>
  <c r="AE163" i="26"/>
  <c r="F163" i="26"/>
  <c r="D128" i="26"/>
  <c r="D163" i="26"/>
  <c r="AF119" i="26"/>
  <c r="B128" i="26"/>
  <c r="AG119" i="26"/>
  <c r="W167" i="26"/>
  <c r="R164" i="26"/>
  <c r="P142" i="26"/>
  <c r="P165" i="26"/>
  <c r="S163" i="26"/>
  <c r="Q128" i="26"/>
  <c r="J171" i="26"/>
  <c r="R128" i="26"/>
  <c r="T163" i="26"/>
  <c r="J142" i="26"/>
  <c r="AB170" i="26"/>
  <c r="D165" i="26"/>
  <c r="AG121" i="26"/>
  <c r="AF121" i="26"/>
  <c r="AG167" i="26"/>
  <c r="O171" i="26"/>
  <c r="L128" i="26"/>
  <c r="N163" i="26"/>
  <c r="U168" i="26"/>
  <c r="F142" i="26"/>
  <c r="I170" i="26"/>
  <c r="Y163" i="26"/>
  <c r="Y172" i="26" s="1"/>
  <c r="W128" i="26"/>
  <c r="X163" i="26"/>
  <c r="V128" i="26"/>
  <c r="K167" i="26"/>
  <c r="AD170" i="26"/>
  <c r="B164" i="26"/>
  <c r="W147" i="26"/>
  <c r="V147" i="26"/>
  <c r="E164" i="26"/>
  <c r="V148" i="26"/>
  <c r="W148" i="26"/>
  <c r="B165" i="26"/>
  <c r="F168" i="26"/>
  <c r="T164" i="26"/>
  <c r="M163" i="26"/>
  <c r="M172" i="26" s="1"/>
  <c r="K128" i="26"/>
  <c r="AA142" i="26"/>
  <c r="V170" i="26"/>
  <c r="AE167" i="26"/>
  <c r="AG134" i="26"/>
  <c r="AG163" i="26"/>
  <c r="AE128" i="26"/>
  <c r="Z171" i="26"/>
  <c r="U169" i="26"/>
  <c r="M165" i="26"/>
  <c r="V168" i="26"/>
  <c r="H163" i="26"/>
  <c r="H172" i="26" s="1"/>
  <c r="F128" i="26"/>
  <c r="AG166" i="26"/>
  <c r="W142" i="26"/>
  <c r="AA168" i="26"/>
  <c r="AF136" i="26"/>
  <c r="AG136" i="26"/>
  <c r="X142" i="26"/>
  <c r="R163" i="26"/>
  <c r="P128" i="26"/>
  <c r="I169" i="26"/>
  <c r="X170" i="26"/>
  <c r="R171" i="26"/>
  <c r="AF122" i="26"/>
  <c r="AG122" i="26"/>
  <c r="D166" i="26"/>
  <c r="S128" i="26"/>
  <c r="U163" i="26"/>
  <c r="AC170" i="26"/>
  <c r="N169" i="26"/>
  <c r="Y165" i="26"/>
  <c r="P167" i="26"/>
  <c r="I168" i="26"/>
  <c r="AF123" i="26"/>
  <c r="AG123" i="26"/>
  <c r="D167" i="26"/>
  <c r="AC163" i="26"/>
  <c r="AA128" i="26"/>
  <c r="AB142" i="26"/>
  <c r="AG171" i="26"/>
  <c r="L170" i="26"/>
  <c r="V164" i="26"/>
  <c r="V154" i="26"/>
  <c r="B171" i="26"/>
  <c r="W154" i="26"/>
  <c r="J166" i="26"/>
  <c r="AG164" i="26"/>
  <c r="AG140" i="26"/>
  <c r="AF140" i="26"/>
  <c r="Z128" i="26"/>
  <c r="K142" i="26"/>
  <c r="T169" i="26"/>
  <c r="K168" i="26"/>
  <c r="E167" i="26"/>
  <c r="F165" i="26"/>
  <c r="G169" i="26"/>
  <c r="X166" i="26"/>
  <c r="J164" i="26"/>
  <c r="AF171" i="26"/>
  <c r="K164" i="26"/>
  <c r="O165" i="26"/>
  <c r="M171" i="26"/>
  <c r="V165" i="26"/>
  <c r="Y128" i="26"/>
  <c r="AA163" i="26"/>
  <c r="M167" i="26"/>
  <c r="S142" i="26"/>
  <c r="U170" i="26"/>
  <c r="D169" i="26"/>
  <c r="AG125" i="26"/>
  <c r="AF125" i="26"/>
  <c r="W163" i="26"/>
  <c r="U128" i="26"/>
  <c r="U155" i="26"/>
  <c r="C163" i="26"/>
  <c r="C172" i="26" s="1"/>
  <c r="J163" i="26"/>
  <c r="H128" i="26"/>
  <c r="K163" i="26"/>
  <c r="I128" i="26"/>
  <c r="P163" i="26"/>
  <c r="N128" i="26"/>
  <c r="T142" i="26"/>
  <c r="F171" i="26"/>
  <c r="AF120" i="26"/>
  <c r="D164" i="26"/>
  <c r="AG120" i="26"/>
  <c r="AF133" i="26"/>
  <c r="AF142" i="26" s="1"/>
  <c r="AG133" i="26"/>
  <c r="B142" i="26"/>
  <c r="V150" i="26"/>
  <c r="B167" i="26"/>
  <c r="W150" i="26"/>
  <c r="AF169" i="26"/>
  <c r="N142" i="26"/>
  <c r="V153" i="26"/>
  <c r="W153" i="26"/>
  <c r="B170" i="26"/>
  <c r="Q154" i="26"/>
  <c r="AG135" i="26"/>
  <c r="AF135" i="26"/>
  <c r="AG127" i="26"/>
  <c r="D171" i="26"/>
  <c r="AF127" i="26"/>
  <c r="Z164" i="26"/>
  <c r="AG141" i="26"/>
  <c r="AF141" i="26"/>
  <c r="I142" i="26"/>
  <c r="AF139" i="26"/>
  <c r="AG139" i="26"/>
  <c r="J165" i="26"/>
  <c r="N154" i="26"/>
  <c r="L164" i="26"/>
  <c r="AF126" i="26"/>
  <c r="D170" i="26"/>
  <c r="AG126" i="26"/>
  <c r="AC165" i="26"/>
  <c r="V152" i="26"/>
  <c r="B169" i="26"/>
  <c r="W152" i="26"/>
  <c r="Q163" i="26"/>
  <c r="O128" i="26"/>
  <c r="T128" i="26"/>
  <c r="V163" i="26"/>
  <c r="V172" i="26" s="1"/>
  <c r="N167" i="26"/>
  <c r="X165" i="26"/>
  <c r="U171" i="26"/>
  <c r="E169" i="26"/>
  <c r="AA164" i="26"/>
  <c r="Q164" i="26"/>
  <c r="R167" i="26"/>
  <c r="V171" i="26"/>
  <c r="AE166" i="26"/>
  <c r="E163" i="26"/>
  <c r="E172" i="26" s="1"/>
  <c r="C128" i="26"/>
  <c r="S168" i="26"/>
  <c r="E148" i="26"/>
  <c r="N171" i="26"/>
  <c r="AF138" i="26"/>
  <c r="O167" i="26"/>
  <c r="J170" i="26"/>
  <c r="X169" i="26"/>
  <c r="X167" i="26"/>
  <c r="Z165" i="26"/>
  <c r="AB128" i="26"/>
  <c r="AD163" i="26"/>
  <c r="I167" i="26"/>
  <c r="AD164" i="26"/>
  <c r="H142" i="26"/>
  <c r="AE164" i="26"/>
  <c r="AD165" i="26"/>
  <c r="AD171" i="26"/>
  <c r="R166" i="26"/>
  <c r="S169" i="26"/>
  <c r="O166" i="26"/>
  <c r="C142" i="26"/>
  <c r="H164" i="26"/>
  <c r="AE169" i="26"/>
  <c r="B168" i="26"/>
  <c r="W151" i="26"/>
  <c r="V151" i="26"/>
  <c r="Y167" i="26"/>
  <c r="AG170" i="26"/>
  <c r="Z142" i="26"/>
  <c r="AA166" i="26"/>
  <c r="E168" i="26"/>
  <c r="M170" i="26"/>
  <c r="L168" i="26"/>
  <c r="L166" i="26"/>
  <c r="M128" i="26"/>
  <c r="O163" i="26"/>
  <c r="O172" i="26" s="1"/>
  <c r="T170" i="26"/>
  <c r="AD167" i="26"/>
  <c r="AD142" i="26"/>
  <c r="R165" i="26"/>
  <c r="M166" i="26"/>
  <c r="L142" i="26"/>
  <c r="Q167" i="26"/>
  <c r="E128" i="26"/>
  <c r="G163" i="26"/>
  <c r="G172" i="26" s="1"/>
  <c r="R170" i="26"/>
  <c r="AB166" i="26"/>
  <c r="AB172" i="26" s="1"/>
  <c r="Q142" i="26"/>
  <c r="U164" i="26"/>
  <c r="K170" i="26"/>
  <c r="AG137" i="26"/>
  <c r="AF137" i="26"/>
  <c r="J128" i="26"/>
  <c r="L163" i="26"/>
  <c r="AG124" i="26"/>
  <c r="AF124" i="26"/>
  <c r="D168" i="26"/>
  <c r="L171" i="26"/>
  <c r="AC142" i="31"/>
  <c r="D168" i="31"/>
  <c r="AG124" i="31"/>
  <c r="AF124" i="31"/>
  <c r="U128" i="31"/>
  <c r="W163" i="31"/>
  <c r="W172" i="31" s="1"/>
  <c r="P170" i="31"/>
  <c r="M167" i="31"/>
  <c r="AF166" i="31"/>
  <c r="AA142" i="31"/>
  <c r="AB164" i="31"/>
  <c r="M166" i="31"/>
  <c r="G164" i="31"/>
  <c r="U142" i="31"/>
  <c r="I168" i="31"/>
  <c r="F163" i="31"/>
  <c r="D128" i="31"/>
  <c r="AD168" i="31"/>
  <c r="W149" i="31"/>
  <c r="V149" i="31"/>
  <c r="B166" i="31"/>
  <c r="R167" i="31"/>
  <c r="Y165" i="31"/>
  <c r="K170" i="31"/>
  <c r="AF167" i="31"/>
  <c r="Z142" i="31"/>
  <c r="AC169" i="31"/>
  <c r="AG140" i="31"/>
  <c r="AF140" i="31"/>
  <c r="V171" i="31"/>
  <c r="AG137" i="31"/>
  <c r="AF137" i="31"/>
  <c r="AG138" i="31"/>
  <c r="AF138" i="31"/>
  <c r="B152" i="31"/>
  <c r="AF136" i="31"/>
  <c r="AG136" i="31"/>
  <c r="D142" i="31"/>
  <c r="V128" i="31"/>
  <c r="X163" i="31"/>
  <c r="X172" i="31" s="1"/>
  <c r="H128" i="31"/>
  <c r="J163" i="31"/>
  <c r="L163" i="31"/>
  <c r="J128" i="31"/>
  <c r="Q168" i="31"/>
  <c r="C142" i="31"/>
  <c r="T128" i="31"/>
  <c r="V163" i="31"/>
  <c r="V172" i="31" s="1"/>
  <c r="AD142" i="31"/>
  <c r="X168" i="31"/>
  <c r="F164" i="31"/>
  <c r="L164" i="31"/>
  <c r="H165" i="31"/>
  <c r="AB142" i="31"/>
  <c r="R171" i="31"/>
  <c r="Z168" i="31"/>
  <c r="M164" i="31"/>
  <c r="S170" i="31"/>
  <c r="G172" i="31"/>
  <c r="Q170" i="31"/>
  <c r="Y171" i="31"/>
  <c r="J142" i="31"/>
  <c r="V164" i="31"/>
  <c r="K154" i="31"/>
  <c r="F168" i="31"/>
  <c r="P167" i="31"/>
  <c r="B142" i="31"/>
  <c r="AG133" i="31"/>
  <c r="AF133" i="31"/>
  <c r="E142" i="31"/>
  <c r="M168" i="31"/>
  <c r="W142" i="31"/>
  <c r="T167" i="31"/>
  <c r="N154" i="31"/>
  <c r="W128" i="31"/>
  <c r="Y163" i="31"/>
  <c r="F128" i="31"/>
  <c r="H163" i="31"/>
  <c r="J165" i="31"/>
  <c r="AB163" i="31"/>
  <c r="Z128" i="31"/>
  <c r="AG168" i="31"/>
  <c r="P168" i="31"/>
  <c r="L128" i="31"/>
  <c r="N163" i="31"/>
  <c r="T165" i="31"/>
  <c r="AG123" i="31"/>
  <c r="D167" i="31"/>
  <c r="AF123" i="31"/>
  <c r="W150" i="31"/>
  <c r="B167" i="31"/>
  <c r="V150" i="31"/>
  <c r="AB168" i="31"/>
  <c r="D163" i="31"/>
  <c r="AG119" i="31"/>
  <c r="AF119" i="31"/>
  <c r="AF128" i="31" s="1"/>
  <c r="B128" i="31"/>
  <c r="AC168" i="31"/>
  <c r="S163" i="31"/>
  <c r="Q128" i="31"/>
  <c r="E163" i="31"/>
  <c r="C128" i="31"/>
  <c r="AD167" i="31"/>
  <c r="AG122" i="31"/>
  <c r="D166" i="31"/>
  <c r="AF122" i="31"/>
  <c r="W152" i="31"/>
  <c r="B169" i="31"/>
  <c r="V152" i="31"/>
  <c r="L168" i="31"/>
  <c r="H170" i="31"/>
  <c r="AG141" i="31"/>
  <c r="AF141" i="31"/>
  <c r="Q154" i="31"/>
  <c r="G165" i="31"/>
  <c r="AG165" i="31"/>
  <c r="O167" i="31"/>
  <c r="Q142" i="31"/>
  <c r="V170" i="31"/>
  <c r="AG120" i="31"/>
  <c r="AF120" i="31"/>
  <c r="D164" i="31"/>
  <c r="I166" i="31"/>
  <c r="S168" i="31"/>
  <c r="N166" i="31"/>
  <c r="AG167" i="31"/>
  <c r="V167" i="31"/>
  <c r="P163" i="31"/>
  <c r="N128" i="31"/>
  <c r="J169" i="31"/>
  <c r="R163" i="31"/>
  <c r="R172" i="31" s="1"/>
  <c r="P128" i="31"/>
  <c r="K169" i="31"/>
  <c r="AG163" i="31"/>
  <c r="AE128" i="31"/>
  <c r="AB169" i="31"/>
  <c r="Q163" i="31"/>
  <c r="O128" i="31"/>
  <c r="J168" i="31"/>
  <c r="P166" i="31"/>
  <c r="AG127" i="31"/>
  <c r="AF127" i="31"/>
  <c r="D171" i="31"/>
  <c r="AC128" i="31"/>
  <c r="AE163" i="31"/>
  <c r="Y168" i="31"/>
  <c r="T170" i="31"/>
  <c r="Z166" i="31"/>
  <c r="AE171" i="31"/>
  <c r="L142" i="31"/>
  <c r="AA163" i="31"/>
  <c r="Y128" i="31"/>
  <c r="G128" i="31"/>
  <c r="I163" i="31"/>
  <c r="I172" i="31" s="1"/>
  <c r="U170" i="31"/>
  <c r="T142" i="31"/>
  <c r="X164" i="31"/>
  <c r="AA171" i="31"/>
  <c r="S171" i="31"/>
  <c r="AA164" i="31"/>
  <c r="X167" i="31"/>
  <c r="E168" i="31"/>
  <c r="AD163" i="31"/>
  <c r="AB128" i="31"/>
  <c r="Z169" i="31"/>
  <c r="AD128" i="31"/>
  <c r="AF163" i="31"/>
  <c r="AA169" i="31"/>
  <c r="P164" i="31"/>
  <c r="O170" i="31"/>
  <c r="AC163" i="31"/>
  <c r="AA128" i="31"/>
  <c r="AB166" i="31"/>
  <c r="K164" i="31"/>
  <c r="F169" i="31"/>
  <c r="AF135" i="31"/>
  <c r="AG135" i="31"/>
  <c r="AF170" i="31"/>
  <c r="F142" i="31"/>
  <c r="W147" i="31"/>
  <c r="V147" i="31"/>
  <c r="B164" i="31"/>
  <c r="V142" i="31"/>
  <c r="R168" i="31"/>
  <c r="T168" i="31"/>
  <c r="O169" i="31"/>
  <c r="N164" i="31"/>
  <c r="M170" i="31"/>
  <c r="O164" i="31"/>
  <c r="N170" i="31"/>
  <c r="AE164" i="31"/>
  <c r="AE170" i="31"/>
  <c r="I164" i="31"/>
  <c r="P169" i="31"/>
  <c r="G167" i="31"/>
  <c r="AD171" i="31"/>
  <c r="S169" i="31"/>
  <c r="K171" i="31"/>
  <c r="T155" i="31"/>
  <c r="B163" i="31"/>
  <c r="V146" i="31"/>
  <c r="W146" i="31"/>
  <c r="B168" i="31"/>
  <c r="V151" i="31"/>
  <c r="W151" i="31"/>
  <c r="C163" i="31"/>
  <c r="C172" i="31" s="1"/>
  <c r="U155" i="31"/>
  <c r="X128" i="31"/>
  <c r="Z163" i="31"/>
  <c r="X142" i="31"/>
  <c r="W154" i="31"/>
  <c r="B171" i="31"/>
  <c r="V154" i="31"/>
  <c r="F170" i="31"/>
  <c r="L166" i="31"/>
  <c r="AG139" i="31"/>
  <c r="AF139" i="31"/>
  <c r="Y142" i="31"/>
  <c r="O142" i="31"/>
  <c r="T163" i="31"/>
  <c r="T172" i="31" s="1"/>
  <c r="R128" i="31"/>
  <c r="AG134" i="31"/>
  <c r="AF134" i="31"/>
  <c r="V148" i="31"/>
  <c r="B165" i="31"/>
  <c r="W148" i="31"/>
  <c r="F171" i="31"/>
  <c r="E128" i="31"/>
  <c r="S142" i="31"/>
  <c r="P142" i="31"/>
  <c r="AA170" i="31"/>
  <c r="AE142" i="31"/>
  <c r="D169" i="31"/>
  <c r="AF125" i="31"/>
  <c r="AG125" i="31"/>
  <c r="AC166" i="31"/>
  <c r="O163" i="31"/>
  <c r="O172" i="31" s="1"/>
  <c r="M128" i="31"/>
  <c r="AF164" i="31"/>
  <c r="H169" i="31"/>
  <c r="D165" i="31"/>
  <c r="AG121" i="31"/>
  <c r="AF121" i="31"/>
  <c r="R169" i="31"/>
  <c r="R142" i="31"/>
  <c r="E164" i="31"/>
  <c r="U165" i="31"/>
  <c r="S128" i="31"/>
  <c r="U163" i="31"/>
  <c r="AE169" i="31"/>
  <c r="U169" i="31"/>
  <c r="I128" i="31"/>
  <c r="K163" i="31"/>
  <c r="D170" i="31"/>
  <c r="AG126" i="31"/>
  <c r="AF126" i="31"/>
  <c r="G171" i="31"/>
  <c r="T166" i="31"/>
  <c r="AF168" i="31"/>
  <c r="H166" i="31"/>
  <c r="I169" i="31"/>
  <c r="N169" i="31"/>
  <c r="G170" i="31"/>
  <c r="M163" i="31"/>
  <c r="M172" i="31" s="1"/>
  <c r="K128" i="31"/>
  <c r="G169" i="31"/>
  <c r="AC164" i="31"/>
  <c r="AC170" i="31"/>
  <c r="AD164" i="31"/>
  <c r="AD170" i="31"/>
  <c r="P165" i="31"/>
  <c r="N171" i="31"/>
  <c r="U164" i="31"/>
  <c r="AD169" i="31"/>
  <c r="K142" i="31"/>
  <c r="N165" i="31"/>
  <c r="AF169" i="31"/>
  <c r="W171" i="31"/>
  <c r="B170" i="31"/>
  <c r="W153" i="31"/>
  <c r="V153" i="31"/>
  <c r="E169" i="9"/>
  <c r="N163" i="9"/>
  <c r="L128" i="9"/>
  <c r="AA169" i="9"/>
  <c r="U163" i="9"/>
  <c r="S128" i="9"/>
  <c r="D169" i="9"/>
  <c r="AG125" i="9"/>
  <c r="AF125" i="9"/>
  <c r="L168" i="9"/>
  <c r="O142" i="9"/>
  <c r="AE171" i="9"/>
  <c r="O163" i="9"/>
  <c r="M128" i="9"/>
  <c r="E142" i="9"/>
  <c r="AG140" i="9"/>
  <c r="AF140" i="9"/>
  <c r="Q166" i="9"/>
  <c r="I168" i="9"/>
  <c r="W142" i="9"/>
  <c r="AF166" i="9"/>
  <c r="H163" i="9"/>
  <c r="H172" i="9" s="1"/>
  <c r="F128" i="9"/>
  <c r="M171" i="9"/>
  <c r="P169" i="9"/>
  <c r="Q142" i="9"/>
  <c r="K154" i="9"/>
  <c r="P167" i="9"/>
  <c r="S165" i="9"/>
  <c r="C142" i="9"/>
  <c r="AF163" i="9"/>
  <c r="AF172" i="9" s="1"/>
  <c r="AD128" i="9"/>
  <c r="AB142" i="9"/>
  <c r="O171" i="9"/>
  <c r="U165" i="9"/>
  <c r="R167" i="9"/>
  <c r="T169" i="9"/>
  <c r="R168" i="9"/>
  <c r="AF170" i="9"/>
  <c r="AD166" i="9"/>
  <c r="Q163" i="9"/>
  <c r="O128" i="9"/>
  <c r="D168" i="9"/>
  <c r="AG124" i="9"/>
  <c r="AF124" i="9"/>
  <c r="D163" i="9"/>
  <c r="B128" i="9"/>
  <c r="AF119" i="9"/>
  <c r="AF128" i="9" s="1"/>
  <c r="AG119" i="9"/>
  <c r="G142" i="9"/>
  <c r="R128" i="9"/>
  <c r="T163" i="9"/>
  <c r="AG135" i="9"/>
  <c r="AF135" i="9"/>
  <c r="K163" i="9"/>
  <c r="I128" i="9"/>
  <c r="J165" i="9"/>
  <c r="AD164" i="9"/>
  <c r="J142" i="9"/>
  <c r="AG166" i="9"/>
  <c r="H171" i="9"/>
  <c r="U168" i="9"/>
  <c r="U167" i="9"/>
  <c r="AA167" i="9"/>
  <c r="T142" i="9"/>
  <c r="W154" i="9"/>
  <c r="V154" i="9"/>
  <c r="B171" i="9"/>
  <c r="S170" i="9"/>
  <c r="Z164" i="9"/>
  <c r="J164" i="9"/>
  <c r="AB165" i="9"/>
  <c r="W164" i="9"/>
  <c r="X163" i="9"/>
  <c r="V128" i="9"/>
  <c r="T167" i="9"/>
  <c r="D164" i="9"/>
  <c r="AF120" i="9"/>
  <c r="AG120" i="9"/>
  <c r="I163" i="9"/>
  <c r="G128" i="9"/>
  <c r="AD168" i="9"/>
  <c r="V169" i="9"/>
  <c r="AG122" i="9"/>
  <c r="D166" i="9"/>
  <c r="AF122" i="9"/>
  <c r="P128" i="9"/>
  <c r="R163" i="9"/>
  <c r="T128" i="9"/>
  <c r="V163" i="9"/>
  <c r="X165" i="9"/>
  <c r="W171" i="9"/>
  <c r="W165" i="9"/>
  <c r="AC142" i="9"/>
  <c r="AC163" i="9"/>
  <c r="AA128" i="9"/>
  <c r="T166" i="9"/>
  <c r="AA170" i="9"/>
  <c r="R142" i="9"/>
  <c r="H167" i="9"/>
  <c r="K128" i="9"/>
  <c r="M163" i="9"/>
  <c r="G168" i="9"/>
  <c r="AG134" i="9"/>
  <c r="AF134" i="9"/>
  <c r="N154" i="9"/>
  <c r="AB128" i="9"/>
  <c r="AD163" i="9"/>
  <c r="AA164" i="9"/>
  <c r="G165" i="9"/>
  <c r="F164" i="9"/>
  <c r="Z142" i="9"/>
  <c r="U170" i="9"/>
  <c r="N164" i="9"/>
  <c r="R164" i="9"/>
  <c r="D165" i="9"/>
  <c r="S142" i="9"/>
  <c r="J163" i="9"/>
  <c r="H128" i="9"/>
  <c r="AA163" i="9"/>
  <c r="AA172" i="9" s="1"/>
  <c r="Y128" i="9"/>
  <c r="W148" i="9"/>
  <c r="V148" i="9"/>
  <c r="B165" i="9"/>
  <c r="T155" i="9"/>
  <c r="B163" i="9"/>
  <c r="V146" i="9"/>
  <c r="W146" i="9"/>
  <c r="AB163" i="9"/>
  <c r="Z128" i="9"/>
  <c r="W147" i="9"/>
  <c r="B164" i="9"/>
  <c r="V147" i="9"/>
  <c r="C163" i="9"/>
  <c r="C172" i="9" s="1"/>
  <c r="U155" i="9"/>
  <c r="U166" i="9"/>
  <c r="F142" i="9"/>
  <c r="L164" i="9"/>
  <c r="AE163" i="9"/>
  <c r="AC128" i="9"/>
  <c r="Y142" i="9"/>
  <c r="F166" i="9"/>
  <c r="B166" i="9"/>
  <c r="V149" i="9"/>
  <c r="W149" i="9"/>
  <c r="G166" i="9"/>
  <c r="AB166" i="9"/>
  <c r="AC169" i="9"/>
  <c r="N142" i="9"/>
  <c r="E163" i="9"/>
  <c r="C128" i="9"/>
  <c r="AA168" i="9"/>
  <c r="I166" i="9"/>
  <c r="Q165" i="9"/>
  <c r="AB170" i="9"/>
  <c r="K167" i="9"/>
  <c r="E164" i="9"/>
  <c r="V166" i="9"/>
  <c r="Q170" i="9"/>
  <c r="AG141" i="9"/>
  <c r="AF141" i="9"/>
  <c r="F171" i="9"/>
  <c r="AD167" i="9"/>
  <c r="W167" i="9"/>
  <c r="U142" i="9"/>
  <c r="P168" i="9"/>
  <c r="Q128" i="9"/>
  <c r="S163" i="9"/>
  <c r="AE142" i="9"/>
  <c r="X169" i="9"/>
  <c r="AF123" i="9"/>
  <c r="D167" i="9"/>
  <c r="AG123" i="9"/>
  <c r="B168" i="9"/>
  <c r="W151" i="9"/>
  <c r="V151" i="9"/>
  <c r="AG121" i="9"/>
  <c r="AD171" i="9"/>
  <c r="Y171" i="9"/>
  <c r="AD165" i="9"/>
  <c r="P164" i="9"/>
  <c r="AC170" i="9"/>
  <c r="AF167" i="9"/>
  <c r="F167" i="9"/>
  <c r="U128" i="9"/>
  <c r="W163" i="9"/>
  <c r="D128" i="9"/>
  <c r="F163" i="9"/>
  <c r="N171" i="9"/>
  <c r="L163" i="9"/>
  <c r="L172" i="9" s="1"/>
  <c r="J128" i="9"/>
  <c r="G163" i="9"/>
  <c r="G172" i="9" s="1"/>
  <c r="E128" i="9"/>
  <c r="Z167" i="9"/>
  <c r="T171" i="9"/>
  <c r="D170" i="9"/>
  <c r="AF126" i="9"/>
  <c r="AG126" i="9"/>
  <c r="Z163" i="9"/>
  <c r="X128" i="9"/>
  <c r="I142" i="9"/>
  <c r="AE168" i="9"/>
  <c r="AB169" i="9"/>
  <c r="AG136" i="9"/>
  <c r="AF136" i="9"/>
  <c r="P163" i="9"/>
  <c r="N128" i="9"/>
  <c r="Y164" i="9"/>
  <c r="B142" i="9"/>
  <c r="AG133" i="9"/>
  <c r="AF133" i="9"/>
  <c r="M142" i="9"/>
  <c r="M167" i="9"/>
  <c r="W150" i="9"/>
  <c r="V150" i="9"/>
  <c r="B167" i="9"/>
  <c r="AG163" i="9"/>
  <c r="AE128" i="9"/>
  <c r="B169" i="9"/>
  <c r="V152" i="9"/>
  <c r="W152" i="9"/>
  <c r="M170" i="9"/>
  <c r="D142" i="9"/>
  <c r="W128" i="9"/>
  <c r="Y163" i="9"/>
  <c r="AF137" i="9"/>
  <c r="AG137" i="9"/>
  <c r="S164" i="9"/>
  <c r="G167" i="9"/>
  <c r="B152" i="9"/>
  <c r="Q171" i="9"/>
  <c r="AF121" i="9"/>
  <c r="B170" i="9"/>
  <c r="W153" i="9"/>
  <c r="V153" i="9"/>
  <c r="N170" i="9"/>
  <c r="N165" i="9"/>
  <c r="V142" i="9"/>
  <c r="AE166" i="9"/>
  <c r="AG138" i="9"/>
  <c r="AF138" i="9"/>
  <c r="Q164" i="9"/>
  <c r="M169" i="9"/>
  <c r="L142" i="9"/>
  <c r="P142" i="9"/>
  <c r="E171" i="9"/>
  <c r="J168" i="9"/>
  <c r="L165" i="9"/>
  <c r="E170" i="9"/>
  <c r="E167" i="9"/>
  <c r="Q154" i="9"/>
  <c r="AE164" i="9"/>
  <c r="J169" i="9"/>
  <c r="AG169" i="9"/>
  <c r="U164" i="9"/>
  <c r="V168" i="9"/>
  <c r="H142" i="9"/>
  <c r="R166" i="9"/>
  <c r="AF127" i="9"/>
  <c r="D171" i="9"/>
  <c r="AG127" i="9"/>
  <c r="I165" i="9"/>
  <c r="AC164" i="9"/>
  <c r="Z169" i="9"/>
  <c r="V167" i="9"/>
  <c r="X142" i="9"/>
  <c r="K171" i="9"/>
  <c r="W169" i="9"/>
  <c r="AB171" i="9"/>
  <c r="K169" i="9"/>
  <c r="X170" i="9"/>
  <c r="AF139" i="9"/>
  <c r="AG139" i="9"/>
  <c r="AC168" i="9"/>
  <c r="Y165" i="9"/>
  <c r="F169" i="9"/>
  <c r="AD142" i="9"/>
  <c r="Y166" i="9"/>
  <c r="X168" i="9"/>
  <c r="O165" i="9"/>
  <c r="AC171" i="9"/>
  <c r="Y169" i="9"/>
  <c r="K142" i="9"/>
  <c r="X164" i="9"/>
  <c r="N166" i="30"/>
  <c r="AG138" i="30"/>
  <c r="AF138" i="30"/>
  <c r="AE170" i="30"/>
  <c r="J169" i="30"/>
  <c r="D171" i="30"/>
  <c r="AF127" i="30"/>
  <c r="AG127" i="30"/>
  <c r="S142" i="30"/>
  <c r="U142" i="30"/>
  <c r="X164" i="30"/>
  <c r="L171" i="30"/>
  <c r="S165" i="30"/>
  <c r="T170" i="30"/>
  <c r="X170" i="30"/>
  <c r="P163" i="30"/>
  <c r="N128" i="30"/>
  <c r="K164" i="30"/>
  <c r="AD128" i="30"/>
  <c r="AF163" i="30"/>
  <c r="H169" i="30"/>
  <c r="F142" i="30"/>
  <c r="AA142" i="30"/>
  <c r="B166" i="30"/>
  <c r="W149" i="30"/>
  <c r="V149" i="30"/>
  <c r="B152" i="30"/>
  <c r="AE163" i="30"/>
  <c r="AC128" i="30"/>
  <c r="AF123" i="30"/>
  <c r="AG123" i="30"/>
  <c r="D167" i="30"/>
  <c r="E142" i="30"/>
  <c r="S169" i="30"/>
  <c r="F171" i="30"/>
  <c r="D166" i="30"/>
  <c r="AG122" i="30"/>
  <c r="AF122" i="30"/>
  <c r="AD171" i="30"/>
  <c r="W148" i="30"/>
  <c r="B165" i="30"/>
  <c r="V148" i="30"/>
  <c r="R170" i="30"/>
  <c r="N163" i="30"/>
  <c r="N172" i="30" s="1"/>
  <c r="L128" i="30"/>
  <c r="AG140" i="30"/>
  <c r="AF140" i="30"/>
  <c r="X166" i="30"/>
  <c r="T142" i="30"/>
  <c r="F167" i="30"/>
  <c r="O165" i="30"/>
  <c r="AF169" i="30"/>
  <c r="S166" i="30"/>
  <c r="S171" i="30"/>
  <c r="X171" i="30"/>
  <c r="C163" i="30"/>
  <c r="C172" i="30" s="1"/>
  <c r="U155" i="30"/>
  <c r="AE164" i="30"/>
  <c r="Q163" i="30"/>
  <c r="O128" i="30"/>
  <c r="O171" i="30"/>
  <c r="AC167" i="30"/>
  <c r="Z164" i="30"/>
  <c r="Y142" i="30"/>
  <c r="D169" i="30"/>
  <c r="AF125" i="30"/>
  <c r="AG125" i="30"/>
  <c r="B142" i="30"/>
  <c r="AG133" i="30"/>
  <c r="AF133" i="30"/>
  <c r="I169" i="30"/>
  <c r="F163" i="30"/>
  <c r="F172" i="30" s="1"/>
  <c r="D128" i="30"/>
  <c r="P168" i="30"/>
  <c r="AG141" i="30"/>
  <c r="AF141" i="30"/>
  <c r="B164" i="30"/>
  <c r="W147" i="30"/>
  <c r="V147" i="30"/>
  <c r="C142" i="30"/>
  <c r="B171" i="30"/>
  <c r="W154" i="30"/>
  <c r="V154" i="30"/>
  <c r="N142" i="30"/>
  <c r="B170" i="30"/>
  <c r="W153" i="30"/>
  <c r="V153" i="30"/>
  <c r="L142" i="30"/>
  <c r="Y128" i="30"/>
  <c r="AA163" i="30"/>
  <c r="G167" i="30"/>
  <c r="AA164" i="30"/>
  <c r="AD142" i="30"/>
  <c r="E148" i="30"/>
  <c r="AF166" i="30"/>
  <c r="U168" i="30"/>
  <c r="T128" i="30"/>
  <c r="V163" i="30"/>
  <c r="AG168" i="30"/>
  <c r="R166" i="30"/>
  <c r="E171" i="30"/>
  <c r="G128" i="30"/>
  <c r="I163" i="30"/>
  <c r="I172" i="30" s="1"/>
  <c r="V167" i="30"/>
  <c r="P142" i="30"/>
  <c r="O168" i="30"/>
  <c r="Z142" i="30"/>
  <c r="T171" i="30"/>
  <c r="E163" i="30"/>
  <c r="C128" i="30"/>
  <c r="L169" i="30"/>
  <c r="Q165" i="30"/>
  <c r="AC164" i="30"/>
  <c r="P169" i="30"/>
  <c r="AC168" i="30"/>
  <c r="O166" i="30"/>
  <c r="AF134" i="30"/>
  <c r="AG134" i="30"/>
  <c r="AG137" i="30"/>
  <c r="AF137" i="30"/>
  <c r="H148" i="30"/>
  <c r="Q154" i="30"/>
  <c r="W168" i="30"/>
  <c r="X128" i="30"/>
  <c r="Z163" i="30"/>
  <c r="Z172" i="30" s="1"/>
  <c r="I128" i="30"/>
  <c r="D168" i="30"/>
  <c r="AG124" i="30"/>
  <c r="AF124" i="30"/>
  <c r="N167" i="30"/>
  <c r="E167" i="30"/>
  <c r="AF171" i="30"/>
  <c r="W152" i="30"/>
  <c r="V152" i="30"/>
  <c r="B169" i="30"/>
  <c r="W150" i="30"/>
  <c r="V150" i="30"/>
  <c r="B167" i="30"/>
  <c r="J142" i="30"/>
  <c r="W128" i="30"/>
  <c r="Y163" i="30"/>
  <c r="AB163" i="30"/>
  <c r="Z128" i="30"/>
  <c r="E170" i="30"/>
  <c r="M166" i="30"/>
  <c r="AF120" i="30"/>
  <c r="D164" i="30"/>
  <c r="AG120" i="30"/>
  <c r="E128" i="30"/>
  <c r="G163" i="30"/>
  <c r="H128" i="30"/>
  <c r="J163" i="30"/>
  <c r="J172" i="30" s="1"/>
  <c r="S128" i="30"/>
  <c r="U163" i="30"/>
  <c r="AC142" i="30"/>
  <c r="AF170" i="30"/>
  <c r="S168" i="30"/>
  <c r="H171" i="30"/>
  <c r="I171" i="30"/>
  <c r="H167" i="30"/>
  <c r="AC163" i="30"/>
  <c r="AA128" i="30"/>
  <c r="AG135" i="30"/>
  <c r="AF135" i="30"/>
  <c r="T155" i="30"/>
  <c r="B163" i="30"/>
  <c r="W146" i="30"/>
  <c r="W155" i="30" s="1"/>
  <c r="V146" i="30"/>
  <c r="V155" i="30" s="1"/>
  <c r="R164" i="30"/>
  <c r="AB169" i="30"/>
  <c r="U128" i="30"/>
  <c r="W163" i="30"/>
  <c r="N169" i="30"/>
  <c r="X163" i="30"/>
  <c r="V128" i="30"/>
  <c r="B168" i="30"/>
  <c r="W151" i="30"/>
  <c r="V151" i="30"/>
  <c r="AE171" i="30"/>
  <c r="AE128" i="30"/>
  <c r="AG163" i="30"/>
  <c r="Z168" i="30"/>
  <c r="Q169" i="30"/>
  <c r="R163" i="30"/>
  <c r="P128" i="30"/>
  <c r="K142" i="30"/>
  <c r="G142" i="30"/>
  <c r="Q166" i="30"/>
  <c r="H142" i="30"/>
  <c r="E168" i="30"/>
  <c r="AB164" i="30"/>
  <c r="D163" i="30"/>
  <c r="AF119" i="30"/>
  <c r="B128" i="30"/>
  <c r="AG119" i="30"/>
  <c r="L163" i="30"/>
  <c r="L166" i="30"/>
  <c r="R142" i="30"/>
  <c r="Q164" i="30"/>
  <c r="AF164" i="30"/>
  <c r="K170" i="30"/>
  <c r="E164" i="30"/>
  <c r="AC169" i="30"/>
  <c r="O170" i="30"/>
  <c r="O142" i="30"/>
  <c r="M164" i="30"/>
  <c r="G169" i="30"/>
  <c r="W169" i="30"/>
  <c r="AD167" i="30"/>
  <c r="O164" i="30"/>
  <c r="M167" i="30"/>
  <c r="Q142" i="30"/>
  <c r="AD168" i="30"/>
  <c r="U165" i="30"/>
  <c r="G164" i="30"/>
  <c r="AF139" i="30"/>
  <c r="AG139" i="30"/>
  <c r="W142" i="30"/>
  <c r="V164" i="30"/>
  <c r="W165" i="30"/>
  <c r="W171" i="30"/>
  <c r="AD163" i="30"/>
  <c r="AB128" i="30"/>
  <c r="L165" i="30"/>
  <c r="AB170" i="30"/>
  <c r="S164" i="30"/>
  <c r="N170" i="30"/>
  <c r="T164" i="30"/>
  <c r="AD170" i="30"/>
  <c r="F128" i="30"/>
  <c r="H163" i="30"/>
  <c r="H172" i="30" s="1"/>
  <c r="AG167" i="30"/>
  <c r="AB142" i="30"/>
  <c r="Y164" i="30"/>
  <c r="T169" i="30"/>
  <c r="AD169" i="30"/>
  <c r="K168" i="30"/>
  <c r="AF165" i="30"/>
  <c r="N171" i="30"/>
  <c r="J165" i="30"/>
  <c r="W170" i="30"/>
  <c r="AA166" i="30"/>
  <c r="G168" i="30"/>
  <c r="AA170" i="30"/>
  <c r="P166" i="30"/>
  <c r="AD164" i="30"/>
  <c r="AF136" i="30"/>
  <c r="AG136" i="30"/>
  <c r="R171" i="30"/>
  <c r="M168" i="30"/>
  <c r="AA168" i="30"/>
  <c r="AG165" i="30"/>
  <c r="J128" i="30"/>
  <c r="AC166" i="30"/>
  <c r="AC171" i="30"/>
  <c r="M128" i="30"/>
  <c r="O163" i="30"/>
  <c r="F165" i="30"/>
  <c r="Q170" i="30"/>
  <c r="M163" i="30"/>
  <c r="M172" i="30" s="1"/>
  <c r="K128" i="30"/>
  <c r="Z165" i="30"/>
  <c r="AG164" i="30"/>
  <c r="AC170" i="30"/>
  <c r="N165" i="30"/>
  <c r="T163" i="30"/>
  <c r="R128" i="30"/>
  <c r="L168" i="30"/>
  <c r="D165" i="30"/>
  <c r="AF121" i="30"/>
  <c r="AG121" i="30"/>
  <c r="AG169" i="30"/>
  <c r="I170" i="30"/>
  <c r="I142" i="30"/>
  <c r="S163" i="30"/>
  <c r="S172" i="30" s="1"/>
  <c r="Q128" i="30"/>
  <c r="Q171" i="30"/>
  <c r="D170" i="30"/>
  <c r="AG126" i="30"/>
  <c r="AF126" i="30"/>
  <c r="V171" i="30"/>
  <c r="L167" i="30"/>
  <c r="AE165" i="30"/>
  <c r="K163" i="30"/>
  <c r="K172" i="30" s="1"/>
  <c r="Y163" i="29"/>
  <c r="W128" i="29"/>
  <c r="Q128" i="29"/>
  <c r="S163" i="29"/>
  <c r="AG137" i="29"/>
  <c r="AF137" i="29"/>
  <c r="W150" i="29"/>
  <c r="B167" i="29"/>
  <c r="V150" i="29"/>
  <c r="H128" i="29"/>
  <c r="J163" i="29"/>
  <c r="X128" i="29"/>
  <c r="Z163" i="29"/>
  <c r="D164" i="29"/>
  <c r="AG120" i="29"/>
  <c r="AF120" i="29"/>
  <c r="J142" i="29"/>
  <c r="AC168" i="29"/>
  <c r="L142" i="29"/>
  <c r="AB163" i="29"/>
  <c r="Z128" i="29"/>
  <c r="Q170" i="29"/>
  <c r="E128" i="29"/>
  <c r="G163" i="29"/>
  <c r="G172" i="29" s="1"/>
  <c r="J169" i="29"/>
  <c r="B165" i="29"/>
  <c r="W148" i="29"/>
  <c r="V148" i="29"/>
  <c r="J167" i="29"/>
  <c r="C142" i="29"/>
  <c r="N142" i="29"/>
  <c r="AD167" i="29"/>
  <c r="AB167" i="29"/>
  <c r="R164" i="29"/>
  <c r="K128" i="29"/>
  <c r="M163" i="29"/>
  <c r="M172" i="29" s="1"/>
  <c r="R168" i="29"/>
  <c r="AE171" i="29"/>
  <c r="I166" i="29"/>
  <c r="K164" i="29"/>
  <c r="X165" i="29"/>
  <c r="N164" i="29"/>
  <c r="S164" i="29"/>
  <c r="AB142" i="29"/>
  <c r="F166" i="29"/>
  <c r="I164" i="29"/>
  <c r="AF170" i="29"/>
  <c r="T163" i="29"/>
  <c r="R128" i="29"/>
  <c r="Y169" i="29"/>
  <c r="G128" i="29"/>
  <c r="I163" i="29"/>
  <c r="V167" i="29"/>
  <c r="P142" i="29"/>
  <c r="AC165" i="29"/>
  <c r="G171" i="29"/>
  <c r="O168" i="29"/>
  <c r="Z142" i="29"/>
  <c r="D163" i="29"/>
  <c r="B128" i="29"/>
  <c r="AF119" i="29"/>
  <c r="AG119" i="29"/>
  <c r="AF141" i="29"/>
  <c r="AG141" i="29"/>
  <c r="AF133" i="29"/>
  <c r="B142" i="29"/>
  <c r="AG133" i="29"/>
  <c r="P163" i="29"/>
  <c r="P172" i="29" s="1"/>
  <c r="N128" i="29"/>
  <c r="W142" i="29"/>
  <c r="R171" i="29"/>
  <c r="AG135" i="29"/>
  <c r="AF135" i="29"/>
  <c r="S165" i="29"/>
  <c r="B166" i="29"/>
  <c r="W149" i="29"/>
  <c r="V149" i="29"/>
  <c r="V166" i="29"/>
  <c r="T128" i="29"/>
  <c r="V163" i="29"/>
  <c r="R170" i="29"/>
  <c r="AD171" i="29"/>
  <c r="AG138" i="29"/>
  <c r="AF138" i="29"/>
  <c r="AG163" i="29"/>
  <c r="AE128" i="29"/>
  <c r="T166" i="29"/>
  <c r="F169" i="29"/>
  <c r="E142" i="29"/>
  <c r="X164" i="29"/>
  <c r="J170" i="29"/>
  <c r="H142" i="29"/>
  <c r="G164" i="29"/>
  <c r="Z169" i="29"/>
  <c r="J166" i="29"/>
  <c r="T167" i="29"/>
  <c r="J164" i="29"/>
  <c r="L166" i="29"/>
  <c r="E167" i="29"/>
  <c r="E164" i="29"/>
  <c r="W171" i="29"/>
  <c r="Z167" i="29"/>
  <c r="AF165" i="29"/>
  <c r="I142" i="29"/>
  <c r="AF139" i="29"/>
  <c r="AG139" i="29"/>
  <c r="I165" i="29"/>
  <c r="E171" i="29"/>
  <c r="M164" i="29"/>
  <c r="G169" i="29"/>
  <c r="AF166" i="29"/>
  <c r="D142" i="29"/>
  <c r="R169" i="29"/>
  <c r="F142" i="29"/>
  <c r="AA171" i="29"/>
  <c r="D171" i="29"/>
  <c r="AG127" i="29"/>
  <c r="AF127" i="29"/>
  <c r="AG136" i="29"/>
  <c r="AF136" i="29"/>
  <c r="K168" i="29"/>
  <c r="K142" i="29"/>
  <c r="Q142" i="29"/>
  <c r="AF167" i="29"/>
  <c r="Q163" i="29"/>
  <c r="O128" i="29"/>
  <c r="AF134" i="29"/>
  <c r="AG134" i="29"/>
  <c r="AD165" i="29"/>
  <c r="Y166" i="29"/>
  <c r="V169" i="29"/>
  <c r="S142" i="29"/>
  <c r="D169" i="29"/>
  <c r="AF125" i="29"/>
  <c r="AG125" i="29"/>
  <c r="J171" i="29"/>
  <c r="G168" i="29"/>
  <c r="U165" i="29"/>
  <c r="AE142" i="29"/>
  <c r="AD168" i="29"/>
  <c r="AA166" i="29"/>
  <c r="AF122" i="29"/>
  <c r="AG122" i="29"/>
  <c r="D166" i="29"/>
  <c r="O142" i="29"/>
  <c r="D165" i="29"/>
  <c r="AG121" i="29"/>
  <c r="AF121" i="29"/>
  <c r="AG169" i="29"/>
  <c r="W167" i="29"/>
  <c r="AD142" i="29"/>
  <c r="I170" i="29"/>
  <c r="AB170" i="29"/>
  <c r="N154" i="29"/>
  <c r="O169" i="29"/>
  <c r="AB166" i="29"/>
  <c r="V147" i="29"/>
  <c r="W147" i="29"/>
  <c r="B164" i="29"/>
  <c r="S166" i="29"/>
  <c r="B170" i="29"/>
  <c r="W153" i="29"/>
  <c r="V153" i="29"/>
  <c r="C163" i="29"/>
  <c r="C172" i="29" s="1"/>
  <c r="U155" i="29"/>
  <c r="L163" i="29"/>
  <c r="J128" i="29"/>
  <c r="T142" i="29"/>
  <c r="X163" i="29"/>
  <c r="V128" i="29"/>
  <c r="M128" i="29"/>
  <c r="O163" i="29"/>
  <c r="B171" i="29"/>
  <c r="V154" i="29"/>
  <c r="W154" i="29"/>
  <c r="B163" i="29"/>
  <c r="W146" i="29"/>
  <c r="V146" i="29"/>
  <c r="V155" i="29" s="1"/>
  <c r="T155" i="29"/>
  <c r="R142" i="29"/>
  <c r="C128" i="29"/>
  <c r="E163" i="29"/>
  <c r="U163" i="29"/>
  <c r="S128" i="29"/>
  <c r="AC142" i="29"/>
  <c r="Y128" i="29"/>
  <c r="AA163" i="29"/>
  <c r="AG167" i="29"/>
  <c r="N167" i="29"/>
  <c r="K169" i="29"/>
  <c r="K163" i="29"/>
  <c r="K172" i="29" s="1"/>
  <c r="I128" i="29"/>
  <c r="AA167" i="29"/>
  <c r="T164" i="29"/>
  <c r="I168" i="29"/>
  <c r="X142" i="29"/>
  <c r="V171" i="29"/>
  <c r="Y164" i="29"/>
  <c r="K167" i="29"/>
  <c r="AD169" i="29"/>
  <c r="Y142" i="29"/>
  <c r="L165" i="29"/>
  <c r="M142" i="29"/>
  <c r="AC164" i="29"/>
  <c r="L168" i="29"/>
  <c r="AF140" i="29"/>
  <c r="AG140" i="29"/>
  <c r="E169" i="29"/>
  <c r="X168" i="29"/>
  <c r="E166" i="29"/>
  <c r="D128" i="29"/>
  <c r="F163" i="29"/>
  <c r="N169" i="29"/>
  <c r="H167" i="29"/>
  <c r="R166" i="29"/>
  <c r="M170" i="29"/>
  <c r="N168" i="29"/>
  <c r="U170" i="29"/>
  <c r="AG165" i="29"/>
  <c r="D170" i="29"/>
  <c r="AG126" i="29"/>
  <c r="AF126" i="29"/>
  <c r="AE163" i="29"/>
  <c r="AE172" i="29" s="1"/>
  <c r="AC128" i="29"/>
  <c r="L167" i="29"/>
  <c r="X170" i="29"/>
  <c r="L169" i="29"/>
  <c r="W166" i="29"/>
  <c r="W163" i="29"/>
  <c r="U128" i="29"/>
  <c r="AF169" i="29"/>
  <c r="X167" i="29"/>
  <c r="O167" i="29"/>
  <c r="AB165" i="29"/>
  <c r="Z170" i="29"/>
  <c r="AB168" i="29"/>
  <c r="AG170" i="29"/>
  <c r="AG124" i="29"/>
  <c r="AF124" i="29"/>
  <c r="D168" i="29"/>
  <c r="AF163" i="29"/>
  <c r="AD128" i="29"/>
  <c r="I169" i="29"/>
  <c r="R163" i="29"/>
  <c r="P128" i="29"/>
  <c r="R167" i="29"/>
  <c r="AA142" i="29"/>
  <c r="W168" i="29"/>
  <c r="N163" i="29"/>
  <c r="N172" i="29" s="1"/>
  <c r="L128" i="29"/>
  <c r="AA128" i="29"/>
  <c r="AC163" i="29"/>
  <c r="AC172" i="29" s="1"/>
  <c r="J165" i="29"/>
  <c r="G142" i="29"/>
  <c r="B168" i="29"/>
  <c r="W151" i="29"/>
  <c r="V151" i="29"/>
  <c r="V170" i="29"/>
  <c r="V152" i="29"/>
  <c r="B169" i="29"/>
  <c r="W152" i="29"/>
  <c r="AC169" i="29"/>
  <c r="F164" i="29"/>
  <c r="S170" i="29"/>
  <c r="E168" i="29"/>
  <c r="AC167" i="29"/>
  <c r="G166" i="29"/>
  <c r="H169" i="29"/>
  <c r="L171" i="29"/>
  <c r="AG123" i="29"/>
  <c r="AF123" i="29"/>
  <c r="D167" i="29"/>
  <c r="K154" i="29"/>
  <c r="H163" i="29"/>
  <c r="H172" i="29" s="1"/>
  <c r="F128" i="29"/>
  <c r="AB128" i="29"/>
  <c r="AD163" i="29"/>
  <c r="P165" i="25"/>
  <c r="L163" i="25"/>
  <c r="J128" i="25"/>
  <c r="AF127" i="25"/>
  <c r="D171" i="25"/>
  <c r="AG127" i="25"/>
  <c r="B169" i="25"/>
  <c r="V152" i="25"/>
  <c r="W152" i="25"/>
  <c r="W147" i="25"/>
  <c r="V147" i="25"/>
  <c r="B164" i="25"/>
  <c r="H142" i="25"/>
  <c r="Q142" i="25"/>
  <c r="AD165" i="25"/>
  <c r="Q170" i="25"/>
  <c r="W150" i="25"/>
  <c r="V150" i="25"/>
  <c r="B167" i="25"/>
  <c r="K166" i="25"/>
  <c r="M171" i="25"/>
  <c r="B152" i="25"/>
  <c r="W165" i="25"/>
  <c r="AG163" i="25"/>
  <c r="AG172" i="25" s="1"/>
  <c r="AE128" i="25"/>
  <c r="AB128" i="25"/>
  <c r="AD163" i="25"/>
  <c r="V142" i="25"/>
  <c r="AE171" i="25"/>
  <c r="E163" i="25"/>
  <c r="C128" i="25"/>
  <c r="F166" i="25"/>
  <c r="G167" i="25"/>
  <c r="AE167" i="25"/>
  <c r="F169" i="25"/>
  <c r="Z142" i="25"/>
  <c r="X167" i="25"/>
  <c r="AD142" i="25"/>
  <c r="I166" i="25"/>
  <c r="AD170" i="25"/>
  <c r="D164" i="25"/>
  <c r="AF120" i="25"/>
  <c r="AG120" i="25"/>
  <c r="AF168" i="25"/>
  <c r="W166" i="25"/>
  <c r="Z171" i="25"/>
  <c r="Y168" i="25"/>
  <c r="K163" i="25"/>
  <c r="K172" i="25" s="1"/>
  <c r="I128" i="25"/>
  <c r="O169" i="25"/>
  <c r="N154" i="25"/>
  <c r="X164" i="25"/>
  <c r="AG141" i="25"/>
  <c r="AF141" i="25"/>
  <c r="K142" i="25"/>
  <c r="N163" i="25"/>
  <c r="N172" i="25" s="1"/>
  <c r="L128" i="25"/>
  <c r="Q163" i="25"/>
  <c r="O128" i="25"/>
  <c r="W168" i="25"/>
  <c r="M165" i="25"/>
  <c r="AA168" i="25"/>
  <c r="S169" i="25"/>
  <c r="G163" i="25"/>
  <c r="E128" i="25"/>
  <c r="V169" i="25"/>
  <c r="G164" i="25"/>
  <c r="AC166" i="25"/>
  <c r="N164" i="25"/>
  <c r="AD168" i="25"/>
  <c r="L167" i="25"/>
  <c r="E142" i="25"/>
  <c r="G165" i="25"/>
  <c r="E170" i="25"/>
  <c r="K128" i="25"/>
  <c r="M163" i="25"/>
  <c r="G168" i="25"/>
  <c r="AG134" i="25"/>
  <c r="AF134" i="25"/>
  <c r="AB169" i="25"/>
  <c r="J164" i="25"/>
  <c r="R128" i="25"/>
  <c r="T163" i="25"/>
  <c r="Q169" i="25"/>
  <c r="AA163" i="25"/>
  <c r="Y128" i="25"/>
  <c r="E166" i="25"/>
  <c r="U169" i="25"/>
  <c r="X170" i="25"/>
  <c r="S128" i="25"/>
  <c r="U163" i="25"/>
  <c r="J170" i="25"/>
  <c r="Q171" i="25"/>
  <c r="J169" i="25"/>
  <c r="Y167" i="25"/>
  <c r="R142" i="25"/>
  <c r="S165" i="25"/>
  <c r="R170" i="25"/>
  <c r="W128" i="25"/>
  <c r="Y163" i="25"/>
  <c r="T168" i="25"/>
  <c r="G170" i="25"/>
  <c r="C163" i="25"/>
  <c r="C172" i="25" s="1"/>
  <c r="U155" i="25"/>
  <c r="AC163" i="25"/>
  <c r="AA128" i="25"/>
  <c r="W142" i="25"/>
  <c r="X163" i="25"/>
  <c r="X172" i="25" s="1"/>
  <c r="V128" i="25"/>
  <c r="F165" i="25"/>
  <c r="T165" i="25"/>
  <c r="T155" i="25"/>
  <c r="B163" i="25"/>
  <c r="W146" i="25"/>
  <c r="V146" i="25"/>
  <c r="P163" i="25"/>
  <c r="P172" i="25" s="1"/>
  <c r="N128" i="25"/>
  <c r="Q128" i="25"/>
  <c r="S163" i="25"/>
  <c r="B166" i="25"/>
  <c r="W149" i="25"/>
  <c r="V149" i="25"/>
  <c r="AG122" i="25"/>
  <c r="AF122" i="25"/>
  <c r="D166" i="25"/>
  <c r="H164" i="25"/>
  <c r="D142" i="25"/>
  <c r="K154" i="25"/>
  <c r="Y166" i="25"/>
  <c r="AB142" i="25"/>
  <c r="AB163" i="25"/>
  <c r="AB172" i="25" s="1"/>
  <c r="Z128" i="25"/>
  <c r="AF123" i="25"/>
  <c r="D167" i="25"/>
  <c r="AG123" i="25"/>
  <c r="AB167" i="25"/>
  <c r="B168" i="25"/>
  <c r="W151" i="25"/>
  <c r="V151" i="25"/>
  <c r="J163" i="25"/>
  <c r="J172" i="25" s="1"/>
  <c r="H128" i="25"/>
  <c r="S167" i="25"/>
  <c r="S164" i="25"/>
  <c r="AD167" i="25"/>
  <c r="L168" i="25"/>
  <c r="V154" i="25"/>
  <c r="W154" i="25"/>
  <c r="B171" i="25"/>
  <c r="T128" i="25"/>
  <c r="V163" i="25"/>
  <c r="AG166" i="25"/>
  <c r="Y169" i="25"/>
  <c r="Q154" i="25"/>
  <c r="AC168" i="25"/>
  <c r="W148" i="25"/>
  <c r="V148" i="25"/>
  <c r="B165" i="25"/>
  <c r="O170" i="25"/>
  <c r="D163" i="25"/>
  <c r="B128" i="25"/>
  <c r="AF119" i="25"/>
  <c r="AG119" i="25"/>
  <c r="H171" i="25"/>
  <c r="F164" i="25"/>
  <c r="I165" i="25"/>
  <c r="C142" i="25"/>
  <c r="AG167" i="25"/>
  <c r="W169" i="25"/>
  <c r="AG136" i="25"/>
  <c r="AF136" i="25"/>
  <c r="E168" i="25"/>
  <c r="AE142" i="25"/>
  <c r="AE165" i="25"/>
  <c r="AF170" i="25"/>
  <c r="E164" i="25"/>
  <c r="S170" i="25"/>
  <c r="D169" i="25"/>
  <c r="AG125" i="25"/>
  <c r="AF125" i="25"/>
  <c r="M142" i="25"/>
  <c r="O163" i="25"/>
  <c r="M128" i="25"/>
  <c r="AB165" i="25"/>
  <c r="AA142" i="25"/>
  <c r="Z166" i="25"/>
  <c r="E171" i="25"/>
  <c r="P128" i="25"/>
  <c r="R163" i="25"/>
  <c r="R172" i="25" s="1"/>
  <c r="AD171" i="25"/>
  <c r="U164" i="25"/>
  <c r="Y142" i="25"/>
  <c r="V168" i="25"/>
  <c r="Q165" i="25"/>
  <c r="P170" i="25"/>
  <c r="R168" i="25"/>
  <c r="J166" i="25"/>
  <c r="L171" i="25"/>
  <c r="AE170" i="25"/>
  <c r="AC128" i="25"/>
  <c r="AE163" i="25"/>
  <c r="AE172" i="25" s="1"/>
  <c r="P166" i="25"/>
  <c r="O166" i="25"/>
  <c r="T167" i="25"/>
  <c r="T169" i="25"/>
  <c r="J142" i="25"/>
  <c r="AD128" i="25"/>
  <c r="AF163" i="25"/>
  <c r="P142" i="25"/>
  <c r="AG121" i="25"/>
  <c r="AF121" i="25"/>
  <c r="D165" i="25"/>
  <c r="L166" i="25"/>
  <c r="G169" i="25"/>
  <c r="AG138" i="25"/>
  <c r="AF138" i="25"/>
  <c r="AC165" i="25"/>
  <c r="AE168" i="25"/>
  <c r="V166" i="25"/>
  <c r="Y171" i="25"/>
  <c r="AC164" i="25"/>
  <c r="Z169" i="25"/>
  <c r="J171" i="25"/>
  <c r="AG137" i="25"/>
  <c r="AF137" i="25"/>
  <c r="Z163" i="25"/>
  <c r="X128" i="25"/>
  <c r="I142" i="25"/>
  <c r="AA166" i="25"/>
  <c r="D170" i="25"/>
  <c r="AF126" i="25"/>
  <c r="AG126" i="25"/>
  <c r="AF139" i="25"/>
  <c r="AG139" i="25"/>
  <c r="P168" i="25"/>
  <c r="H163" i="25"/>
  <c r="F128" i="25"/>
  <c r="D168" i="25"/>
  <c r="AF124" i="25"/>
  <c r="AG124" i="25"/>
  <c r="K171" i="25"/>
  <c r="P164" i="25"/>
  <c r="E148" i="25"/>
  <c r="AG135" i="25"/>
  <c r="AF135" i="25"/>
  <c r="AG140" i="25"/>
  <c r="AF140" i="25"/>
  <c r="U128" i="25"/>
  <c r="W163" i="25"/>
  <c r="H169" i="25"/>
  <c r="O142" i="25"/>
  <c r="U142" i="25"/>
  <c r="N142" i="25"/>
  <c r="E167" i="25"/>
  <c r="J168" i="25"/>
  <c r="AD164" i="25"/>
  <c r="Y164" i="25"/>
  <c r="R167" i="25"/>
  <c r="O168" i="25"/>
  <c r="AC142" i="25"/>
  <c r="W167" i="25"/>
  <c r="D128" i="25"/>
  <c r="F163" i="25"/>
  <c r="X165" i="25"/>
  <c r="AG133" i="25"/>
  <c r="AF133" i="25"/>
  <c r="B142" i="25"/>
  <c r="AB166" i="25"/>
  <c r="I163" i="25"/>
  <c r="G128" i="25"/>
  <c r="H166" i="25"/>
  <c r="I171" i="25"/>
  <c r="AA164" i="25"/>
  <c r="K169" i="25"/>
  <c r="M167" i="25"/>
  <c r="F142" i="25"/>
  <c r="H165" i="25"/>
  <c r="F170" i="25"/>
  <c r="V171" i="25"/>
  <c r="W153" i="25"/>
  <c r="B170" i="25"/>
  <c r="V153" i="25"/>
  <c r="W168" i="5"/>
  <c r="AG123" i="5"/>
  <c r="D167" i="5"/>
  <c r="AF123" i="5"/>
  <c r="Q154" i="5"/>
  <c r="AG134" i="5"/>
  <c r="AF134" i="5"/>
  <c r="F168" i="5"/>
  <c r="AD164" i="5"/>
  <c r="B152" i="5"/>
  <c r="K142" i="5"/>
  <c r="U167" i="5"/>
  <c r="AB163" i="5"/>
  <c r="Z128" i="5"/>
  <c r="P163" i="5"/>
  <c r="N128" i="5"/>
  <c r="I169" i="5"/>
  <c r="D163" i="5"/>
  <c r="AF119" i="5"/>
  <c r="B128" i="5"/>
  <c r="AG119" i="5"/>
  <c r="AD167" i="5"/>
  <c r="L166" i="5"/>
  <c r="W171" i="5"/>
  <c r="H166" i="5"/>
  <c r="AF167" i="5"/>
  <c r="X142" i="5"/>
  <c r="AG137" i="5"/>
  <c r="AF137" i="5"/>
  <c r="M165" i="5"/>
  <c r="G167" i="5"/>
  <c r="AE170" i="5"/>
  <c r="P166" i="5"/>
  <c r="I164" i="5"/>
  <c r="E170" i="5"/>
  <c r="AC163" i="5"/>
  <c r="AC172" i="5" s="1"/>
  <c r="AA128" i="5"/>
  <c r="X169" i="5"/>
  <c r="O128" i="5"/>
  <c r="Q163" i="5"/>
  <c r="Q172" i="5" s="1"/>
  <c r="J168" i="5"/>
  <c r="Y166" i="5"/>
  <c r="R142" i="5"/>
  <c r="M170" i="5"/>
  <c r="T166" i="5"/>
  <c r="AG171" i="5"/>
  <c r="F169" i="5"/>
  <c r="AB166" i="5"/>
  <c r="M171" i="5"/>
  <c r="AE166" i="5"/>
  <c r="P171" i="5"/>
  <c r="N166" i="5"/>
  <c r="S166" i="5"/>
  <c r="Y167" i="5"/>
  <c r="AF169" i="5"/>
  <c r="AD163" i="5"/>
  <c r="AD172" i="5" s="1"/>
  <c r="AB128" i="5"/>
  <c r="J142" i="5"/>
  <c r="J171" i="5"/>
  <c r="I166" i="5"/>
  <c r="AB142" i="5"/>
  <c r="AD165" i="5"/>
  <c r="U171" i="5"/>
  <c r="D165" i="5"/>
  <c r="AG121" i="5"/>
  <c r="AF121" i="5"/>
  <c r="G170" i="5"/>
  <c r="P128" i="5"/>
  <c r="R163" i="5"/>
  <c r="AF171" i="5"/>
  <c r="H128" i="5"/>
  <c r="J163" i="5"/>
  <c r="J172" i="5" s="1"/>
  <c r="N168" i="5"/>
  <c r="U170" i="5"/>
  <c r="O166" i="5"/>
  <c r="V168" i="5"/>
  <c r="AB170" i="5"/>
  <c r="Y165" i="5"/>
  <c r="M169" i="5"/>
  <c r="AF141" i="5"/>
  <c r="AG141" i="5"/>
  <c r="Y128" i="5"/>
  <c r="AA163" i="5"/>
  <c r="I171" i="5"/>
  <c r="G166" i="5"/>
  <c r="F166" i="5"/>
  <c r="H148" i="5"/>
  <c r="G165" i="5"/>
  <c r="B166" i="5"/>
  <c r="W149" i="5"/>
  <c r="V149" i="5"/>
  <c r="B168" i="5"/>
  <c r="W151" i="5"/>
  <c r="V151" i="5"/>
  <c r="AD128" i="5"/>
  <c r="AF163" i="5"/>
  <c r="Y163" i="5"/>
  <c r="W128" i="5"/>
  <c r="AG135" i="5"/>
  <c r="AF135" i="5"/>
  <c r="AC142" i="5"/>
  <c r="C163" i="5"/>
  <c r="C172" i="5" s="1"/>
  <c r="U155" i="5"/>
  <c r="V147" i="5"/>
  <c r="B164" i="5"/>
  <c r="W147" i="5"/>
  <c r="D164" i="5"/>
  <c r="AG120" i="5"/>
  <c r="AF120" i="5"/>
  <c r="Z163" i="5"/>
  <c r="Z172" i="5" s="1"/>
  <c r="X128" i="5"/>
  <c r="U163" i="5"/>
  <c r="S128" i="5"/>
  <c r="R128" i="5"/>
  <c r="T163" i="5"/>
  <c r="X166" i="5"/>
  <c r="AG136" i="5"/>
  <c r="AF136" i="5"/>
  <c r="AG133" i="5"/>
  <c r="AF133" i="5"/>
  <c r="AF142" i="5" s="1"/>
  <c r="B142" i="5"/>
  <c r="B167" i="5"/>
  <c r="W150" i="5"/>
  <c r="V150" i="5"/>
  <c r="H163" i="5"/>
  <c r="F128" i="5"/>
  <c r="AD170" i="5"/>
  <c r="B171" i="5"/>
  <c r="W154" i="5"/>
  <c r="V154" i="5"/>
  <c r="I163" i="5"/>
  <c r="G128" i="5"/>
  <c r="AG140" i="5"/>
  <c r="AF140" i="5"/>
  <c r="T142" i="5"/>
  <c r="W163" i="5"/>
  <c r="U128" i="5"/>
  <c r="AG139" i="5"/>
  <c r="AF139" i="5"/>
  <c r="AG122" i="5"/>
  <c r="AF122" i="5"/>
  <c r="D166" i="5"/>
  <c r="S165" i="5"/>
  <c r="AA170" i="5"/>
  <c r="N142" i="5"/>
  <c r="L163" i="5"/>
  <c r="J128" i="5"/>
  <c r="D170" i="5"/>
  <c r="AF126" i="5"/>
  <c r="AG126" i="5"/>
  <c r="H164" i="5"/>
  <c r="M128" i="5"/>
  <c r="O163" i="5"/>
  <c r="W152" i="5"/>
  <c r="V152" i="5"/>
  <c r="B169" i="5"/>
  <c r="H171" i="5"/>
  <c r="Z142" i="5"/>
  <c r="T168" i="5"/>
  <c r="AE128" i="5"/>
  <c r="AG163" i="5"/>
  <c r="AG124" i="5"/>
  <c r="D168" i="5"/>
  <c r="AF124" i="5"/>
  <c r="G142" i="5"/>
  <c r="K171" i="5"/>
  <c r="V164" i="5"/>
  <c r="T170" i="5"/>
  <c r="Y168" i="5"/>
  <c r="V146" i="5"/>
  <c r="B163" i="5"/>
  <c r="T155" i="5"/>
  <c r="W146" i="5"/>
  <c r="Z170" i="5"/>
  <c r="D142" i="5"/>
  <c r="R169" i="5"/>
  <c r="AA171" i="5"/>
  <c r="P170" i="5"/>
  <c r="V142" i="5"/>
  <c r="V165" i="5"/>
  <c r="H142" i="5"/>
  <c r="AE168" i="5"/>
  <c r="S170" i="5"/>
  <c r="M164" i="5"/>
  <c r="O165" i="5"/>
  <c r="W164" i="5"/>
  <c r="K164" i="5"/>
  <c r="J169" i="5"/>
  <c r="B165" i="5"/>
  <c r="V148" i="5"/>
  <c r="W148" i="5"/>
  <c r="R167" i="5"/>
  <c r="K167" i="5"/>
  <c r="Q142" i="5"/>
  <c r="AD169" i="5"/>
  <c r="F164" i="5"/>
  <c r="O170" i="5"/>
  <c r="L169" i="5"/>
  <c r="AC170" i="5"/>
  <c r="N171" i="5"/>
  <c r="M163" i="5"/>
  <c r="K128" i="5"/>
  <c r="S142" i="5"/>
  <c r="AF170" i="5"/>
  <c r="K154" i="5"/>
  <c r="E148" i="5"/>
  <c r="N154" i="5"/>
  <c r="AE169" i="5"/>
  <c r="X163" i="5"/>
  <c r="V128" i="5"/>
  <c r="L142" i="5"/>
  <c r="P165" i="5"/>
  <c r="D171" i="5"/>
  <c r="AG127" i="5"/>
  <c r="AF127" i="5"/>
  <c r="X164" i="5"/>
  <c r="Y169" i="5"/>
  <c r="C128" i="5"/>
  <c r="E163" i="5"/>
  <c r="AE167" i="5"/>
  <c r="B170" i="5"/>
  <c r="W153" i="5"/>
  <c r="V153" i="5"/>
  <c r="AD142" i="5"/>
  <c r="I170" i="5"/>
  <c r="K163" i="5"/>
  <c r="I128" i="5"/>
  <c r="N169" i="5"/>
  <c r="L167" i="5"/>
  <c r="N163" i="5"/>
  <c r="L128" i="5"/>
  <c r="Y171" i="5"/>
  <c r="S168" i="5"/>
  <c r="W142" i="5"/>
  <c r="G164" i="5"/>
  <c r="U164" i="5"/>
  <c r="F167" i="5"/>
  <c r="Q170" i="5"/>
  <c r="AG168" i="5"/>
  <c r="AG166" i="5"/>
  <c r="E166" i="5"/>
  <c r="D169" i="5"/>
  <c r="AF125" i="5"/>
  <c r="AG125" i="5"/>
  <c r="F163" i="5"/>
  <c r="D128" i="5"/>
  <c r="Y142" i="5"/>
  <c r="R168" i="5"/>
  <c r="R170" i="5"/>
  <c r="F142" i="5"/>
  <c r="Q128" i="5"/>
  <c r="S163" i="5"/>
  <c r="S172" i="5" s="1"/>
  <c r="V166" i="5"/>
  <c r="J166" i="5"/>
  <c r="M142" i="5"/>
  <c r="R165" i="5"/>
  <c r="AG138" i="5"/>
  <c r="AF138" i="5"/>
  <c r="AE163" i="5"/>
  <c r="AC128" i="5"/>
  <c r="AC168" i="5"/>
  <c r="C142" i="5"/>
  <c r="V163" i="5"/>
  <c r="T128" i="5"/>
  <c r="AB168" i="5"/>
  <c r="AG170" i="5"/>
  <c r="N167" i="5"/>
  <c r="AB164" i="5"/>
  <c r="H165" i="5"/>
  <c r="Q169" i="5"/>
  <c r="AA166" i="5"/>
  <c r="G168" i="5"/>
  <c r="U165" i="5"/>
  <c r="AC171" i="5"/>
  <c r="G163" i="5"/>
  <c r="E128" i="5"/>
  <c r="L165" i="5"/>
  <c r="K165" i="5"/>
  <c r="AD166" i="5"/>
  <c r="G165" i="23"/>
  <c r="AB128" i="23"/>
  <c r="AD163" i="23"/>
  <c r="P169" i="23"/>
  <c r="T155" i="23"/>
  <c r="V146" i="23"/>
  <c r="W146" i="23"/>
  <c r="B163" i="23"/>
  <c r="X168" i="23"/>
  <c r="H165" i="23"/>
  <c r="V151" i="23"/>
  <c r="B168" i="23"/>
  <c r="W151" i="23"/>
  <c r="W164" i="23"/>
  <c r="F128" i="23"/>
  <c r="H163" i="23"/>
  <c r="U163" i="23"/>
  <c r="S128" i="23"/>
  <c r="H128" i="23"/>
  <c r="J163" i="23"/>
  <c r="AB163" i="23"/>
  <c r="Z128" i="23"/>
  <c r="AF166" i="23"/>
  <c r="E142" i="23"/>
  <c r="E165" i="23"/>
  <c r="AC170" i="23"/>
  <c r="K166" i="23"/>
  <c r="U164" i="23"/>
  <c r="AD169" i="23"/>
  <c r="W171" i="23"/>
  <c r="L142" i="23"/>
  <c r="P163" i="23"/>
  <c r="N128" i="23"/>
  <c r="Q128" i="23"/>
  <c r="S163" i="23"/>
  <c r="S172" i="23" s="1"/>
  <c r="E128" i="23"/>
  <c r="G163" i="23"/>
  <c r="X163" i="23"/>
  <c r="V128" i="23"/>
  <c r="AF134" i="23"/>
  <c r="AG134" i="23"/>
  <c r="L170" i="23"/>
  <c r="D163" i="23"/>
  <c r="AG119" i="23"/>
  <c r="B128" i="23"/>
  <c r="AF119" i="23"/>
  <c r="B166" i="23"/>
  <c r="V149" i="23"/>
  <c r="W149" i="23"/>
  <c r="H169" i="23"/>
  <c r="AE170" i="23"/>
  <c r="AA167" i="23"/>
  <c r="J165" i="23"/>
  <c r="E171" i="23"/>
  <c r="AC128" i="23"/>
  <c r="AE163" i="23"/>
  <c r="AE172" i="23" s="1"/>
  <c r="Q163" i="23"/>
  <c r="O128" i="23"/>
  <c r="U167" i="23"/>
  <c r="AD142" i="23"/>
  <c r="AF139" i="23"/>
  <c r="AG139" i="23"/>
  <c r="D165" i="23"/>
  <c r="AG121" i="23"/>
  <c r="AF121" i="23"/>
  <c r="F166" i="23"/>
  <c r="T169" i="23"/>
  <c r="S165" i="23"/>
  <c r="AC163" i="23"/>
  <c r="AC172" i="23" s="1"/>
  <c r="AA128" i="23"/>
  <c r="N154" i="23"/>
  <c r="P164" i="23"/>
  <c r="U142" i="23"/>
  <c r="D128" i="23"/>
  <c r="F163" i="23"/>
  <c r="AC142" i="23"/>
  <c r="F170" i="23"/>
  <c r="AF165" i="23"/>
  <c r="K154" i="23"/>
  <c r="AG167" i="23"/>
  <c r="N166" i="23"/>
  <c r="AF120" i="23"/>
  <c r="D164" i="23"/>
  <c r="AG120" i="23"/>
  <c r="T171" i="23"/>
  <c r="V166" i="23"/>
  <c r="Y163" i="23"/>
  <c r="W128" i="23"/>
  <c r="D170" i="23"/>
  <c r="AG126" i="23"/>
  <c r="AF126" i="23"/>
  <c r="K167" i="23"/>
  <c r="L171" i="23"/>
  <c r="S142" i="23"/>
  <c r="X166" i="23"/>
  <c r="K142" i="23"/>
  <c r="J170" i="23"/>
  <c r="AG137" i="23"/>
  <c r="AF137" i="23"/>
  <c r="M142" i="23"/>
  <c r="AF138" i="23"/>
  <c r="AG138" i="23"/>
  <c r="M128" i="23"/>
  <c r="AD168" i="23"/>
  <c r="V142" i="23"/>
  <c r="H167" i="23"/>
  <c r="AD128" i="23"/>
  <c r="AF163" i="23"/>
  <c r="AF172" i="23" s="1"/>
  <c r="AG127" i="23"/>
  <c r="D171" i="23"/>
  <c r="AF127" i="23"/>
  <c r="W165" i="23"/>
  <c r="M171" i="23"/>
  <c r="S164" i="23"/>
  <c r="G142" i="23"/>
  <c r="G167" i="23"/>
  <c r="J164" i="23"/>
  <c r="V170" i="23"/>
  <c r="AB167" i="23"/>
  <c r="AB164" i="23"/>
  <c r="AD171" i="23"/>
  <c r="Y167" i="23"/>
  <c r="AE165" i="23"/>
  <c r="X171" i="23"/>
  <c r="AG123" i="23"/>
  <c r="D167" i="23"/>
  <c r="AF123" i="23"/>
  <c r="Z142" i="23"/>
  <c r="L165" i="23"/>
  <c r="W170" i="23"/>
  <c r="W154" i="23"/>
  <c r="B171" i="23"/>
  <c r="V154" i="23"/>
  <c r="Y142" i="23"/>
  <c r="AG165" i="23"/>
  <c r="F142" i="23"/>
  <c r="O163" i="23"/>
  <c r="AG166" i="23"/>
  <c r="I170" i="23"/>
  <c r="R142" i="23"/>
  <c r="W163" i="23"/>
  <c r="U128" i="23"/>
  <c r="AF140" i="23"/>
  <c r="AG140" i="23"/>
  <c r="D168" i="23"/>
  <c r="AF124" i="23"/>
  <c r="AG124" i="23"/>
  <c r="X164" i="23"/>
  <c r="AG133" i="23"/>
  <c r="AF133" i="23"/>
  <c r="B142" i="23"/>
  <c r="R166" i="23"/>
  <c r="D142" i="23"/>
  <c r="U165" i="23"/>
  <c r="AB142" i="23"/>
  <c r="W167" i="23"/>
  <c r="Z164" i="23"/>
  <c r="G171" i="23"/>
  <c r="K165" i="23"/>
  <c r="Q142" i="23"/>
  <c r="B165" i="23"/>
  <c r="V148" i="23"/>
  <c r="W148" i="23"/>
  <c r="J166" i="23"/>
  <c r="I142" i="23"/>
  <c r="Q167" i="23"/>
  <c r="X165" i="23"/>
  <c r="P171" i="23"/>
  <c r="N168" i="23"/>
  <c r="B170" i="23"/>
  <c r="W153" i="23"/>
  <c r="V153" i="23"/>
  <c r="U168" i="23"/>
  <c r="N163" i="23"/>
  <c r="H166" i="23"/>
  <c r="Q154" i="23"/>
  <c r="N170" i="23"/>
  <c r="AB170" i="23"/>
  <c r="Q164" i="23"/>
  <c r="C163" i="23"/>
  <c r="C172" i="23" s="1"/>
  <c r="U155" i="23"/>
  <c r="AG125" i="23"/>
  <c r="AF125" i="23"/>
  <c r="D169" i="23"/>
  <c r="AE142" i="23"/>
  <c r="O167" i="23"/>
  <c r="AG122" i="23"/>
  <c r="AF122" i="23"/>
  <c r="D166" i="23"/>
  <c r="H168" i="23"/>
  <c r="AA171" i="23"/>
  <c r="AG168" i="23"/>
  <c r="AC165" i="23"/>
  <c r="K128" i="23"/>
  <c r="M163" i="23"/>
  <c r="AF135" i="23"/>
  <c r="AG135" i="23"/>
  <c r="X142" i="23"/>
  <c r="O166" i="23"/>
  <c r="Z168" i="23"/>
  <c r="O169" i="23"/>
  <c r="AG163" i="23"/>
  <c r="AE128" i="23"/>
  <c r="G128" i="23"/>
  <c r="I163" i="23"/>
  <c r="AA163" i="23"/>
  <c r="Y128" i="23"/>
  <c r="AA168" i="23"/>
  <c r="W147" i="23"/>
  <c r="V147" i="23"/>
  <c r="B164" i="23"/>
  <c r="T128" i="23"/>
  <c r="V163" i="23"/>
  <c r="AB166" i="23"/>
  <c r="AG136" i="23"/>
  <c r="AF136" i="23"/>
  <c r="Q171" i="23"/>
  <c r="H171" i="23"/>
  <c r="R163" i="23"/>
  <c r="P128" i="23"/>
  <c r="E163" i="23"/>
  <c r="C128" i="23"/>
  <c r="AG141" i="23"/>
  <c r="AF141" i="23"/>
  <c r="C142" i="23"/>
  <c r="AA165" i="23"/>
  <c r="F169" i="23"/>
  <c r="B152" i="23"/>
  <c r="R128" i="23"/>
  <c r="T163" i="23"/>
  <c r="Z171" i="23"/>
  <c r="N142" i="23"/>
  <c r="N167" i="23"/>
  <c r="H142" i="23"/>
  <c r="P142" i="23"/>
  <c r="W152" i="23"/>
  <c r="B169" i="23"/>
  <c r="V152" i="23"/>
  <c r="W168" i="23"/>
  <c r="AG169" i="23"/>
  <c r="I168" i="23"/>
  <c r="AE169" i="23"/>
  <c r="V165" i="23"/>
  <c r="L163" i="23"/>
  <c r="J128" i="23"/>
  <c r="S166" i="23"/>
  <c r="Y166" i="23"/>
  <c r="V171" i="23"/>
  <c r="M165" i="23"/>
  <c r="N164" i="23"/>
  <c r="W150" i="23"/>
  <c r="V150" i="23"/>
  <c r="B167" i="23"/>
  <c r="AF171" i="23"/>
  <c r="P166" i="23"/>
  <c r="P165" i="23"/>
  <c r="U166" i="23"/>
  <c r="Z165" i="23"/>
  <c r="O142" i="23"/>
  <c r="K163" i="23"/>
  <c r="K172" i="23" s="1"/>
  <c r="I128" i="23"/>
  <c r="S169" i="23"/>
  <c r="M166" i="23"/>
  <c r="X128" i="23"/>
  <c r="Z163" i="23"/>
  <c r="P167" i="23"/>
  <c r="L168" i="23"/>
  <c r="AA166" i="23"/>
  <c r="J142" i="23"/>
  <c r="E169" i="23"/>
  <c r="E148" i="23"/>
  <c r="AD165" i="23"/>
  <c r="C142" i="32"/>
  <c r="T142" i="32"/>
  <c r="W167" i="32"/>
  <c r="AG136" i="32"/>
  <c r="AF136" i="32"/>
  <c r="D167" i="32"/>
  <c r="AG123" i="32"/>
  <c r="AF123" i="32"/>
  <c r="W154" i="32"/>
  <c r="V154" i="32"/>
  <c r="B171" i="32"/>
  <c r="AB128" i="32"/>
  <c r="AD163" i="32"/>
  <c r="AG139" i="32"/>
  <c r="AF139" i="32"/>
  <c r="AA167" i="32"/>
  <c r="G171" i="32"/>
  <c r="AD168" i="32"/>
  <c r="W147" i="32"/>
  <c r="V147" i="32"/>
  <c r="B164" i="32"/>
  <c r="T164" i="32"/>
  <c r="J170" i="32"/>
  <c r="AG167" i="32"/>
  <c r="W142" i="32"/>
  <c r="C163" i="32"/>
  <c r="C172" i="32" s="1"/>
  <c r="U155" i="32"/>
  <c r="V142" i="32"/>
  <c r="W166" i="32"/>
  <c r="N154" i="32"/>
  <c r="G165" i="32"/>
  <c r="G142" i="32"/>
  <c r="N167" i="32"/>
  <c r="AF168" i="32"/>
  <c r="AB168" i="32"/>
  <c r="AB166" i="32"/>
  <c r="M170" i="32"/>
  <c r="D128" i="32"/>
  <c r="F163" i="32"/>
  <c r="Y165" i="32"/>
  <c r="E168" i="32"/>
  <c r="O165" i="32"/>
  <c r="Q142" i="32"/>
  <c r="F166" i="32"/>
  <c r="V169" i="32"/>
  <c r="M163" i="32"/>
  <c r="K128" i="32"/>
  <c r="AC170" i="32"/>
  <c r="K142" i="32"/>
  <c r="I163" i="32"/>
  <c r="G128" i="32"/>
  <c r="W152" i="32"/>
  <c r="B169" i="32"/>
  <c r="V152" i="32"/>
  <c r="AD128" i="32"/>
  <c r="AF163" i="32"/>
  <c r="O166" i="32"/>
  <c r="AG135" i="32"/>
  <c r="AF135" i="32"/>
  <c r="E169" i="32"/>
  <c r="AD169" i="32"/>
  <c r="O171" i="32"/>
  <c r="AG165" i="32"/>
  <c r="AG134" i="32"/>
  <c r="AF134" i="32"/>
  <c r="T155" i="32"/>
  <c r="V146" i="32"/>
  <c r="B163" i="32"/>
  <c r="W146" i="32"/>
  <c r="B167" i="32"/>
  <c r="W150" i="32"/>
  <c r="V150" i="32"/>
  <c r="I142" i="32"/>
  <c r="K166" i="32"/>
  <c r="P164" i="32"/>
  <c r="Y171" i="32"/>
  <c r="S168" i="32"/>
  <c r="T128" i="32"/>
  <c r="V163" i="32"/>
  <c r="AB165" i="32"/>
  <c r="J169" i="32"/>
  <c r="AD142" i="32"/>
  <c r="AB142" i="32"/>
  <c r="J167" i="32"/>
  <c r="V164" i="32"/>
  <c r="V171" i="32"/>
  <c r="M165" i="32"/>
  <c r="AC168" i="32"/>
  <c r="AF141" i="32"/>
  <c r="AG141" i="32"/>
  <c r="B142" i="32"/>
  <c r="AG133" i="32"/>
  <c r="AF133" i="32"/>
  <c r="M168" i="32"/>
  <c r="G164" i="32"/>
  <c r="S163" i="32"/>
  <c r="S172" i="32" s="1"/>
  <c r="Q128" i="32"/>
  <c r="Z142" i="32"/>
  <c r="AF167" i="32"/>
  <c r="D163" i="32"/>
  <c r="AG119" i="32"/>
  <c r="B128" i="32"/>
  <c r="AF119" i="32"/>
  <c r="AA163" i="32"/>
  <c r="Y128" i="32"/>
  <c r="AC169" i="32"/>
  <c r="AA169" i="32"/>
  <c r="U170" i="32"/>
  <c r="H165" i="32"/>
  <c r="H148" i="32"/>
  <c r="J128" i="32"/>
  <c r="L163" i="32"/>
  <c r="F142" i="32"/>
  <c r="M167" i="32"/>
  <c r="D165" i="32"/>
  <c r="AG121" i="32"/>
  <c r="AF121" i="32"/>
  <c r="O170" i="32"/>
  <c r="AA166" i="32"/>
  <c r="L170" i="32"/>
  <c r="N168" i="32"/>
  <c r="W164" i="32"/>
  <c r="AE168" i="32"/>
  <c r="L165" i="32"/>
  <c r="U163" i="32"/>
  <c r="S128" i="32"/>
  <c r="AF138" i="32"/>
  <c r="AG138" i="32"/>
  <c r="V128" i="32"/>
  <c r="X163" i="32"/>
  <c r="AD165" i="32"/>
  <c r="S142" i="32"/>
  <c r="AG122" i="32"/>
  <c r="AF122" i="32"/>
  <c r="D166" i="32"/>
  <c r="F128" i="32"/>
  <c r="H163" i="32"/>
  <c r="V167" i="32"/>
  <c r="E163" i="32"/>
  <c r="C128" i="32"/>
  <c r="M142" i="32"/>
  <c r="S167" i="32"/>
  <c r="K168" i="32"/>
  <c r="O163" i="32"/>
  <c r="M128" i="32"/>
  <c r="P169" i="32"/>
  <c r="R164" i="32"/>
  <c r="F170" i="32"/>
  <c r="H170" i="32"/>
  <c r="E170" i="32"/>
  <c r="AG166" i="32"/>
  <c r="K164" i="32"/>
  <c r="T169" i="32"/>
  <c r="AA165" i="32"/>
  <c r="I169" i="32"/>
  <c r="K167" i="32"/>
  <c r="AC163" i="32"/>
  <c r="AA128" i="32"/>
  <c r="R142" i="32"/>
  <c r="G167" i="32"/>
  <c r="L164" i="32"/>
  <c r="F167" i="32"/>
  <c r="AB169" i="32"/>
  <c r="B152" i="32"/>
  <c r="Y169" i="32"/>
  <c r="K171" i="32"/>
  <c r="T166" i="32"/>
  <c r="Q163" i="32"/>
  <c r="Q172" i="32" s="1"/>
  <c r="O128" i="32"/>
  <c r="D142" i="32"/>
  <c r="AG163" i="32"/>
  <c r="AE128" i="32"/>
  <c r="P168" i="32"/>
  <c r="AC142" i="32"/>
  <c r="Q166" i="32"/>
  <c r="W171" i="32"/>
  <c r="G166" i="32"/>
  <c r="AG137" i="32"/>
  <c r="AF137" i="32"/>
  <c r="R163" i="32"/>
  <c r="R172" i="32" s="1"/>
  <c r="P128" i="32"/>
  <c r="AB163" i="32"/>
  <c r="Z128" i="32"/>
  <c r="AF140" i="32"/>
  <c r="AG140" i="32"/>
  <c r="AC128" i="32"/>
  <c r="AE163" i="32"/>
  <c r="AF169" i="32"/>
  <c r="Q171" i="32"/>
  <c r="Y142" i="32"/>
  <c r="R167" i="32"/>
  <c r="J168" i="32"/>
  <c r="Z163" i="32"/>
  <c r="X128" i="32"/>
  <c r="AD170" i="32"/>
  <c r="B168" i="32"/>
  <c r="W151" i="32"/>
  <c r="V151" i="32"/>
  <c r="N169" i="32"/>
  <c r="Q164" i="32"/>
  <c r="U142" i="32"/>
  <c r="O167" i="32"/>
  <c r="L169" i="32"/>
  <c r="AE170" i="32"/>
  <c r="X167" i="32"/>
  <c r="E128" i="32"/>
  <c r="G163" i="32"/>
  <c r="T167" i="32"/>
  <c r="E171" i="32"/>
  <c r="X165" i="32"/>
  <c r="AB170" i="32"/>
  <c r="N165" i="32"/>
  <c r="P142" i="32"/>
  <c r="W148" i="32"/>
  <c r="D164" i="32"/>
  <c r="AG120" i="32"/>
  <c r="AF120" i="32"/>
  <c r="H128" i="32"/>
  <c r="J163" i="32"/>
  <c r="P163" i="32"/>
  <c r="N128" i="32"/>
  <c r="D171" i="32"/>
  <c r="AG127" i="32"/>
  <c r="AF127" i="32"/>
  <c r="L142" i="32"/>
  <c r="W149" i="32"/>
  <c r="V149" i="32"/>
  <c r="B166" i="32"/>
  <c r="AD167" i="32"/>
  <c r="N163" i="32"/>
  <c r="L128" i="32"/>
  <c r="B170" i="32"/>
  <c r="W153" i="32"/>
  <c r="V153" i="32"/>
  <c r="V168" i="32"/>
  <c r="E164" i="32"/>
  <c r="K154" i="32"/>
  <c r="H142" i="32"/>
  <c r="V166" i="32"/>
  <c r="AG168" i="32"/>
  <c r="U128" i="32"/>
  <c r="W163" i="32"/>
  <c r="AC165" i="32"/>
  <c r="N142" i="32"/>
  <c r="AC166" i="32"/>
  <c r="N170" i="32"/>
  <c r="H169" i="32"/>
  <c r="AB164" i="32"/>
  <c r="AA142" i="32"/>
  <c r="AG169" i="32"/>
  <c r="U164" i="32"/>
  <c r="T171" i="32"/>
  <c r="Q169" i="32"/>
  <c r="E142" i="32"/>
  <c r="D169" i="32"/>
  <c r="AG125" i="32"/>
  <c r="AF125" i="32"/>
  <c r="W165" i="32"/>
  <c r="AC171" i="32"/>
  <c r="Y166" i="32"/>
  <c r="U171" i="32"/>
  <c r="Y163" i="32"/>
  <c r="W128" i="32"/>
  <c r="Z171" i="32"/>
  <c r="J166" i="32"/>
  <c r="T168" i="32"/>
  <c r="I128" i="32"/>
  <c r="K163" i="32"/>
  <c r="D170" i="32"/>
  <c r="AG126" i="32"/>
  <c r="AF126" i="32"/>
  <c r="Q165" i="32"/>
  <c r="R171" i="32"/>
  <c r="AE142" i="32"/>
  <c r="Z165" i="32"/>
  <c r="O168" i="32"/>
  <c r="AG124" i="32"/>
  <c r="AF124" i="32"/>
  <c r="D168" i="32"/>
  <c r="T163" i="32"/>
  <c r="R128" i="32"/>
  <c r="Z170" i="32"/>
  <c r="O142" i="32"/>
  <c r="V148" i="32"/>
  <c r="AI172" i="38"/>
  <c r="AH172" i="38"/>
  <c r="AH167" i="17" l="1"/>
  <c r="AI167" i="17"/>
  <c r="AI165" i="17"/>
  <c r="AH165" i="17"/>
  <c r="AI164" i="17"/>
  <c r="AH164" i="17"/>
  <c r="AG128" i="17"/>
  <c r="AA148" i="17"/>
  <c r="AN158" i="17" s="1"/>
  <c r="AF128" i="17"/>
  <c r="AH166" i="17"/>
  <c r="AI166" i="17"/>
  <c r="D172" i="17"/>
  <c r="AI163" i="17"/>
  <c r="AH163" i="17"/>
  <c r="P172" i="17"/>
  <c r="AI170" i="17"/>
  <c r="AH170" i="17"/>
  <c r="AG172" i="17"/>
  <c r="T172" i="17"/>
  <c r="O172" i="17"/>
  <c r="Z172" i="17"/>
  <c r="R172" i="17"/>
  <c r="V172" i="17"/>
  <c r="AF142" i="17"/>
  <c r="AI169" i="17"/>
  <c r="AH169" i="17"/>
  <c r="N172" i="17"/>
  <c r="AH168" i="17"/>
  <c r="AI168" i="17"/>
  <c r="V155" i="17"/>
  <c r="J172" i="17"/>
  <c r="AG142" i="17"/>
  <c r="K172" i="17"/>
  <c r="W155" i="17"/>
  <c r="AD172" i="17"/>
  <c r="I172" i="17"/>
  <c r="M172" i="17"/>
  <c r="E172" i="17"/>
  <c r="F172" i="17"/>
  <c r="AF172" i="17"/>
  <c r="B172" i="17"/>
  <c r="AE172" i="17"/>
  <c r="AI171" i="17"/>
  <c r="AH171" i="17"/>
  <c r="U172" i="17"/>
  <c r="L172" i="17"/>
  <c r="S172" i="17"/>
  <c r="AB172" i="17"/>
  <c r="H172" i="17"/>
  <c r="AH164" i="33"/>
  <c r="AI164" i="33"/>
  <c r="AI165" i="33"/>
  <c r="AH165" i="33"/>
  <c r="AI163" i="33"/>
  <c r="AH163" i="33"/>
  <c r="D172" i="33"/>
  <c r="O172" i="33"/>
  <c r="G172" i="33"/>
  <c r="AF142" i="33"/>
  <c r="P172" i="33"/>
  <c r="M172" i="33"/>
  <c r="F172" i="33"/>
  <c r="AG142" i="33"/>
  <c r="AF172" i="33"/>
  <c r="W155" i="33"/>
  <c r="AI167" i="33"/>
  <c r="AH167" i="33"/>
  <c r="Y172" i="33"/>
  <c r="V155" i="33"/>
  <c r="AE172" i="33"/>
  <c r="AD172" i="33"/>
  <c r="AC172" i="33"/>
  <c r="AI168" i="33"/>
  <c r="AH168" i="33"/>
  <c r="R172" i="33"/>
  <c r="B172" i="33"/>
  <c r="S172" i="33"/>
  <c r="AI171" i="33"/>
  <c r="AH171" i="33"/>
  <c r="U172" i="33"/>
  <c r="AI166" i="33"/>
  <c r="AH166" i="33"/>
  <c r="L172" i="33"/>
  <c r="K172" i="33"/>
  <c r="J172" i="33"/>
  <c r="V172" i="33"/>
  <c r="I172" i="33"/>
  <c r="T172" i="33"/>
  <c r="AI170" i="33"/>
  <c r="AH170" i="33"/>
  <c r="AF128" i="33"/>
  <c r="E172" i="33"/>
  <c r="AA172" i="33"/>
  <c r="AA148" i="33"/>
  <c r="AN158" i="33" s="1"/>
  <c r="AG128" i="33"/>
  <c r="W172" i="33"/>
  <c r="AI169" i="33"/>
  <c r="AH169" i="33"/>
  <c r="R172" i="16"/>
  <c r="AD172" i="16"/>
  <c r="AG142" i="16"/>
  <c r="AI166" i="16"/>
  <c r="AH166" i="16"/>
  <c r="F172" i="16"/>
  <c r="AE172" i="16"/>
  <c r="AF142" i="16"/>
  <c r="H172" i="16"/>
  <c r="G172" i="16"/>
  <c r="K172" i="16"/>
  <c r="L172" i="16"/>
  <c r="AI164" i="16"/>
  <c r="AH164" i="16"/>
  <c r="AI167" i="16"/>
  <c r="AH167" i="16"/>
  <c r="W155" i="16"/>
  <c r="U172" i="16"/>
  <c r="AH168" i="16"/>
  <c r="AI168" i="16"/>
  <c r="AI171" i="16"/>
  <c r="AH171" i="16"/>
  <c r="O172" i="16"/>
  <c r="AA148" i="16"/>
  <c r="AN158" i="16" s="1"/>
  <c r="AG128" i="16"/>
  <c r="Z172" i="16"/>
  <c r="Y172" i="16"/>
  <c r="AI163" i="16"/>
  <c r="AH163" i="16"/>
  <c r="D172" i="16"/>
  <c r="AB172" i="16"/>
  <c r="N172" i="16"/>
  <c r="AF172" i="16"/>
  <c r="E172" i="16"/>
  <c r="AF128" i="16"/>
  <c r="AD148" i="16" s="1"/>
  <c r="AP158" i="16" s="1"/>
  <c r="V172" i="16"/>
  <c r="AI170" i="16"/>
  <c r="AH170" i="16"/>
  <c r="S172" i="16"/>
  <c r="B172" i="16"/>
  <c r="AG172" i="16"/>
  <c r="AA172" i="16"/>
  <c r="X172" i="16"/>
  <c r="J172" i="16"/>
  <c r="AI169" i="16"/>
  <c r="AH169" i="16"/>
  <c r="AI165" i="16"/>
  <c r="AH165" i="16"/>
  <c r="P172" i="16"/>
  <c r="B172" i="10"/>
  <c r="R172" i="10"/>
  <c r="P172" i="10"/>
  <c r="AF128" i="10"/>
  <c r="N172" i="10"/>
  <c r="D172" i="10"/>
  <c r="AI163" i="10"/>
  <c r="AH163" i="10"/>
  <c r="V172" i="10"/>
  <c r="G172" i="10"/>
  <c r="L172" i="10"/>
  <c r="V155" i="10"/>
  <c r="AG128" i="10"/>
  <c r="AC172" i="10"/>
  <c r="J172" i="10"/>
  <c r="AH171" i="10"/>
  <c r="AI171" i="10"/>
  <c r="AH170" i="10"/>
  <c r="AI170" i="10"/>
  <c r="AI169" i="10"/>
  <c r="AH169" i="10"/>
  <c r="K172" i="10"/>
  <c r="AA172" i="10"/>
  <c r="AF172" i="10"/>
  <c r="E172" i="10"/>
  <c r="S172" i="10"/>
  <c r="AF142" i="10"/>
  <c r="U172" i="10"/>
  <c r="Z172" i="10"/>
  <c r="X172" i="10"/>
  <c r="H172" i="10"/>
  <c r="Q172" i="10"/>
  <c r="AG142" i="10"/>
  <c r="I172" i="10"/>
  <c r="AI165" i="10"/>
  <c r="AH165" i="10"/>
  <c r="AI168" i="10"/>
  <c r="AH168" i="10"/>
  <c r="AE172" i="10"/>
  <c r="AH167" i="10"/>
  <c r="AI167" i="10"/>
  <c r="AI166" i="10"/>
  <c r="AH166" i="10"/>
  <c r="AG172" i="10"/>
  <c r="W155" i="10"/>
  <c r="AA148" i="10" s="1"/>
  <c r="AN158" i="10" s="1"/>
  <c r="AI164" i="10"/>
  <c r="AH164" i="10"/>
  <c r="Y172" i="8"/>
  <c r="W155" i="8"/>
  <c r="G172" i="8"/>
  <c r="Z172" i="8"/>
  <c r="M172" i="8"/>
  <c r="AF128" i="8"/>
  <c r="B172" i="8"/>
  <c r="V172" i="8"/>
  <c r="AC172" i="8"/>
  <c r="AI165" i="8"/>
  <c r="AH165" i="8"/>
  <c r="E172" i="8"/>
  <c r="H172" i="8"/>
  <c r="AG128" i="8"/>
  <c r="AA148" i="8"/>
  <c r="AN158" i="8" s="1"/>
  <c r="AA172" i="8"/>
  <c r="N172" i="8"/>
  <c r="D172" i="8"/>
  <c r="AI163" i="8"/>
  <c r="AH163" i="8"/>
  <c r="AH168" i="8"/>
  <c r="AI168" i="8"/>
  <c r="Q172" i="8"/>
  <c r="AG172" i="8"/>
  <c r="AE172" i="8"/>
  <c r="K172" i="8"/>
  <c r="AI167" i="8"/>
  <c r="AH167" i="8"/>
  <c r="X172" i="8"/>
  <c r="AB172" i="8"/>
  <c r="T172" i="8"/>
  <c r="AD172" i="8"/>
  <c r="AH171" i="8"/>
  <c r="AI171" i="8"/>
  <c r="AF142" i="8"/>
  <c r="AI164" i="8"/>
  <c r="AH164" i="8"/>
  <c r="V155" i="8"/>
  <c r="P172" i="8"/>
  <c r="F172" i="8"/>
  <c r="AF172" i="8"/>
  <c r="R172" i="8"/>
  <c r="AI169" i="8"/>
  <c r="AH169" i="8"/>
  <c r="AI166" i="8"/>
  <c r="AH166" i="8"/>
  <c r="AI170" i="8"/>
  <c r="AH170" i="8"/>
  <c r="I172" i="8"/>
  <c r="AG142" i="8"/>
  <c r="U172" i="8"/>
  <c r="AF172" i="26"/>
  <c r="AI166" i="26"/>
  <c r="AH166" i="26"/>
  <c r="AD172" i="26"/>
  <c r="AH164" i="26"/>
  <c r="AI164" i="26"/>
  <c r="AC172" i="26"/>
  <c r="Q172" i="26"/>
  <c r="W172" i="26"/>
  <c r="AI167" i="26"/>
  <c r="AH167" i="26"/>
  <c r="V155" i="26"/>
  <c r="X172" i="26"/>
  <c r="AI165" i="26"/>
  <c r="AH165" i="26"/>
  <c r="AI169" i="26"/>
  <c r="AH169" i="26"/>
  <c r="AG128" i="26"/>
  <c r="R172" i="26"/>
  <c r="T172" i="26"/>
  <c r="AH163" i="26"/>
  <c r="AI163" i="26"/>
  <c r="D172" i="26"/>
  <c r="AI170" i="26"/>
  <c r="AH170" i="26"/>
  <c r="AI171" i="26"/>
  <c r="AH171" i="26"/>
  <c r="K172" i="26"/>
  <c r="S172" i="26"/>
  <c r="AI168" i="26"/>
  <c r="AH168" i="26"/>
  <c r="W155" i="26"/>
  <c r="AA148" i="26" s="1"/>
  <c r="AN158" i="26" s="1"/>
  <c r="B172" i="26"/>
  <c r="L172" i="26"/>
  <c r="P172" i="26"/>
  <c r="AF128" i="26"/>
  <c r="AG142" i="26"/>
  <c r="AA172" i="26"/>
  <c r="AG172" i="26"/>
  <c r="F172" i="26"/>
  <c r="Z172" i="26"/>
  <c r="J172" i="26"/>
  <c r="U172" i="26"/>
  <c r="N172" i="26"/>
  <c r="AE172" i="26"/>
  <c r="U172" i="31"/>
  <c r="V155" i="31"/>
  <c r="AD148" i="31" s="1"/>
  <c r="AP158" i="31" s="1"/>
  <c r="AI166" i="31"/>
  <c r="AH166" i="31"/>
  <c r="AF142" i="31"/>
  <c r="H172" i="31"/>
  <c r="J172" i="31"/>
  <c r="AI169" i="31"/>
  <c r="AH169" i="31"/>
  <c r="Z172" i="31"/>
  <c r="Q172" i="31"/>
  <c r="E172" i="31"/>
  <c r="AF172" i="31"/>
  <c r="AI171" i="31"/>
  <c r="AH171" i="31"/>
  <c r="W155" i="31"/>
  <c r="AI163" i="31"/>
  <c r="AH163" i="31"/>
  <c r="D172" i="31"/>
  <c r="B172" i="31"/>
  <c r="P172" i="31"/>
  <c r="AB172" i="31"/>
  <c r="AD172" i="31"/>
  <c r="AA172" i="31"/>
  <c r="AG142" i="31"/>
  <c r="L172" i="31"/>
  <c r="AI167" i="31"/>
  <c r="AH167" i="31"/>
  <c r="Y172" i="31"/>
  <c r="F172" i="31"/>
  <c r="AC172" i="31"/>
  <c r="S172" i="31"/>
  <c r="AI170" i="31"/>
  <c r="AH170" i="31"/>
  <c r="AG172" i="31"/>
  <c r="AH164" i="31"/>
  <c r="AI164" i="31"/>
  <c r="AI168" i="31"/>
  <c r="AH168" i="31"/>
  <c r="K172" i="31"/>
  <c r="AI165" i="31"/>
  <c r="AH165" i="31"/>
  <c r="AE172" i="31"/>
  <c r="AG128" i="31"/>
  <c r="AA148" i="31"/>
  <c r="AN158" i="31" s="1"/>
  <c r="N172" i="31"/>
  <c r="J172" i="9"/>
  <c r="AI163" i="9"/>
  <c r="AH163" i="9"/>
  <c r="D172" i="9"/>
  <c r="Y172" i="9"/>
  <c r="AB172" i="9"/>
  <c r="W155" i="9"/>
  <c r="S172" i="9"/>
  <c r="AD172" i="9"/>
  <c r="AC172" i="9"/>
  <c r="I172" i="9"/>
  <c r="AD148" i="9"/>
  <c r="AP158" i="9" s="1"/>
  <c r="AI171" i="9"/>
  <c r="AH171" i="9"/>
  <c r="F172" i="9"/>
  <c r="AI165" i="9"/>
  <c r="AH165" i="9"/>
  <c r="AF142" i="9"/>
  <c r="Z172" i="9"/>
  <c r="AE172" i="9"/>
  <c r="V155" i="9"/>
  <c r="K172" i="9"/>
  <c r="AH168" i="9"/>
  <c r="AI168" i="9"/>
  <c r="AI169" i="9"/>
  <c r="AH169" i="9"/>
  <c r="W172" i="9"/>
  <c r="E172" i="9"/>
  <c r="B172" i="9"/>
  <c r="M172" i="9"/>
  <c r="V172" i="9"/>
  <c r="AG142" i="9"/>
  <c r="AI164" i="9"/>
  <c r="AH164" i="9"/>
  <c r="Q172" i="9"/>
  <c r="U172" i="9"/>
  <c r="AH170" i="9"/>
  <c r="AI170" i="9"/>
  <c r="AI167" i="9"/>
  <c r="AH167" i="9"/>
  <c r="R172" i="9"/>
  <c r="T172" i="9"/>
  <c r="AA148" i="9"/>
  <c r="AN158" i="9" s="1"/>
  <c r="AG128" i="9"/>
  <c r="P172" i="9"/>
  <c r="X172" i="9"/>
  <c r="N172" i="9"/>
  <c r="AG172" i="9"/>
  <c r="AI166" i="9"/>
  <c r="AH166" i="9"/>
  <c r="O172" i="9"/>
  <c r="Q172" i="30"/>
  <c r="AI166" i="30"/>
  <c r="AH166" i="30"/>
  <c r="B172" i="30"/>
  <c r="U172" i="30"/>
  <c r="AB172" i="30"/>
  <c r="AF142" i="30"/>
  <c r="AI163" i="30"/>
  <c r="AH163" i="30"/>
  <c r="D172" i="30"/>
  <c r="Y172" i="30"/>
  <c r="AD172" i="30"/>
  <c r="X172" i="30"/>
  <c r="G172" i="30"/>
  <c r="AA172" i="30"/>
  <c r="AI171" i="30"/>
  <c r="AH171" i="30"/>
  <c r="AG142" i="30"/>
  <c r="AH168" i="30"/>
  <c r="AI168" i="30"/>
  <c r="AI165" i="30"/>
  <c r="AH165" i="30"/>
  <c r="O172" i="30"/>
  <c r="AC172" i="30"/>
  <c r="AI169" i="30"/>
  <c r="AH169" i="30"/>
  <c r="L172" i="30"/>
  <c r="R172" i="30"/>
  <c r="W172" i="30"/>
  <c r="AE172" i="30"/>
  <c r="P172" i="30"/>
  <c r="AI167" i="30"/>
  <c r="AH167" i="30"/>
  <c r="AH164" i="30"/>
  <c r="AI164" i="30"/>
  <c r="AF172" i="30"/>
  <c r="AI170" i="30"/>
  <c r="AH170" i="30"/>
  <c r="T172" i="30"/>
  <c r="AA148" i="30"/>
  <c r="AN158" i="30" s="1"/>
  <c r="AG128" i="30"/>
  <c r="V172" i="30"/>
  <c r="AF128" i="30"/>
  <c r="AD148" i="30" s="1"/>
  <c r="AP158" i="30" s="1"/>
  <c r="AG172" i="30"/>
  <c r="E172" i="30"/>
  <c r="AG142" i="29"/>
  <c r="AI168" i="29"/>
  <c r="AH168" i="29"/>
  <c r="L172" i="29"/>
  <c r="W155" i="29"/>
  <c r="F172" i="29"/>
  <c r="AI171" i="29"/>
  <c r="AH171" i="29"/>
  <c r="AA172" i="29"/>
  <c r="Q172" i="29"/>
  <c r="AF142" i="29"/>
  <c r="R172" i="29"/>
  <c r="AI170" i="29"/>
  <c r="AH170" i="29"/>
  <c r="O172" i="29"/>
  <c r="I172" i="29"/>
  <c r="S172" i="29"/>
  <c r="AA148" i="29"/>
  <c r="AN158" i="29" s="1"/>
  <c r="AG128" i="29"/>
  <c r="U172" i="29"/>
  <c r="E172" i="29"/>
  <c r="AI165" i="29"/>
  <c r="AH165" i="29"/>
  <c r="AI164" i="29"/>
  <c r="AH164" i="29"/>
  <c r="AH166" i="29"/>
  <c r="AI166" i="29"/>
  <c r="T172" i="29"/>
  <c r="AI163" i="29"/>
  <c r="AH163" i="29"/>
  <c r="D172" i="29"/>
  <c r="J172" i="29"/>
  <c r="AI167" i="29"/>
  <c r="AH167" i="29"/>
  <c r="B172" i="29"/>
  <c r="V172" i="29"/>
  <c r="AB172" i="29"/>
  <c r="AD172" i="29"/>
  <c r="AF172" i="29"/>
  <c r="W172" i="29"/>
  <c r="X172" i="29"/>
  <c r="AH169" i="29"/>
  <c r="AI169" i="29"/>
  <c r="AG172" i="29"/>
  <c r="AF128" i="29"/>
  <c r="Z172" i="29"/>
  <c r="Y172" i="29"/>
  <c r="S172" i="25"/>
  <c r="T172" i="25"/>
  <c r="F172" i="25"/>
  <c r="Q172" i="25"/>
  <c r="AH168" i="25"/>
  <c r="AI168" i="25"/>
  <c r="Z172" i="25"/>
  <c r="AI169" i="25"/>
  <c r="AH169" i="25"/>
  <c r="AC172" i="25"/>
  <c r="W172" i="25"/>
  <c r="H172" i="25"/>
  <c r="AI165" i="25"/>
  <c r="AH165" i="25"/>
  <c r="V155" i="25"/>
  <c r="U172" i="25"/>
  <c r="V172" i="25"/>
  <c r="W155" i="25"/>
  <c r="AA148" i="25" s="1"/>
  <c r="AN158" i="25" s="1"/>
  <c r="E172" i="25"/>
  <c r="AG128" i="25"/>
  <c r="Y172" i="25"/>
  <c r="M172" i="25"/>
  <c r="AF172" i="25"/>
  <c r="AI163" i="25"/>
  <c r="AH163" i="25"/>
  <c r="D172" i="25"/>
  <c r="AD172" i="25"/>
  <c r="AG142" i="25"/>
  <c r="AI167" i="25"/>
  <c r="AH167" i="25"/>
  <c r="L172" i="25"/>
  <c r="AF128" i="25"/>
  <c r="AI166" i="25"/>
  <c r="AH166" i="25"/>
  <c r="B172" i="25"/>
  <c r="AI164" i="25"/>
  <c r="AH164" i="25"/>
  <c r="AI171" i="25"/>
  <c r="AH171" i="25"/>
  <c r="I172" i="25"/>
  <c r="G172" i="25"/>
  <c r="AF142" i="25"/>
  <c r="AH170" i="25"/>
  <c r="AI170" i="25"/>
  <c r="O172" i="25"/>
  <c r="AA172" i="25"/>
  <c r="G172" i="5"/>
  <c r="V172" i="5"/>
  <c r="I172" i="5"/>
  <c r="AI164" i="5"/>
  <c r="AH164" i="5"/>
  <c r="AA172" i="5"/>
  <c r="K172" i="5"/>
  <c r="AH166" i="5"/>
  <c r="AI166" i="5"/>
  <c r="AI171" i="5"/>
  <c r="AH171" i="5"/>
  <c r="M172" i="5"/>
  <c r="O172" i="5"/>
  <c r="R172" i="5"/>
  <c r="AG128" i="5"/>
  <c r="AA148" i="5"/>
  <c r="AN158" i="5" s="1"/>
  <c r="AE172" i="5"/>
  <c r="T172" i="5"/>
  <c r="D172" i="5"/>
  <c r="AI163" i="5"/>
  <c r="AH163" i="5"/>
  <c r="AI168" i="5"/>
  <c r="AH168" i="5"/>
  <c r="AF128" i="5"/>
  <c r="AD148" i="5" s="1"/>
  <c r="AP158" i="5" s="1"/>
  <c r="F172" i="5"/>
  <c r="X172" i="5"/>
  <c r="W155" i="5"/>
  <c r="AG172" i="5"/>
  <c r="H172" i="5"/>
  <c r="AF172" i="5"/>
  <c r="AI170" i="5"/>
  <c r="AH170" i="5"/>
  <c r="W172" i="5"/>
  <c r="U172" i="5"/>
  <c r="AI165" i="5"/>
  <c r="AH165" i="5"/>
  <c r="E172" i="5"/>
  <c r="B172" i="5"/>
  <c r="P172" i="5"/>
  <c r="AI167" i="5"/>
  <c r="AH167" i="5"/>
  <c r="AI169" i="5"/>
  <c r="AH169" i="5"/>
  <c r="N172" i="5"/>
  <c r="V155" i="5"/>
  <c r="L172" i="5"/>
  <c r="AG142" i="5"/>
  <c r="Y172" i="5"/>
  <c r="AB172" i="5"/>
  <c r="J172" i="23"/>
  <c r="E172" i="23"/>
  <c r="O172" i="23"/>
  <c r="AH170" i="23"/>
  <c r="AI170" i="23"/>
  <c r="U172" i="23"/>
  <c r="AI164" i="23"/>
  <c r="AH164" i="23"/>
  <c r="AG172" i="23"/>
  <c r="AF128" i="23"/>
  <c r="V172" i="23"/>
  <c r="AI166" i="23"/>
  <c r="AH166" i="23"/>
  <c r="W172" i="23"/>
  <c r="Q172" i="23"/>
  <c r="P172" i="23"/>
  <c r="B172" i="23"/>
  <c r="AG142" i="23"/>
  <c r="AH163" i="23"/>
  <c r="D172" i="23"/>
  <c r="AI163" i="23"/>
  <c r="W155" i="23"/>
  <c r="AA148" i="23" s="1"/>
  <c r="AN158" i="23" s="1"/>
  <c r="N172" i="23"/>
  <c r="AF142" i="23"/>
  <c r="AI167" i="23"/>
  <c r="AH167" i="23"/>
  <c r="V155" i="23"/>
  <c r="L172" i="23"/>
  <c r="AI169" i="23"/>
  <c r="AH169" i="23"/>
  <c r="H172" i="23"/>
  <c r="R172" i="23"/>
  <c r="M172" i="23"/>
  <c r="Y172" i="23"/>
  <c r="F172" i="23"/>
  <c r="AI165" i="23"/>
  <c r="AH165" i="23"/>
  <c r="AD172" i="23"/>
  <c r="AG128" i="23"/>
  <c r="T172" i="23"/>
  <c r="AA172" i="23"/>
  <c r="AI171" i="23"/>
  <c r="AH171" i="23"/>
  <c r="X172" i="23"/>
  <c r="AB172" i="23"/>
  <c r="Z172" i="23"/>
  <c r="I172" i="23"/>
  <c r="AI168" i="23"/>
  <c r="AH168" i="23"/>
  <c r="G172" i="23"/>
  <c r="AI164" i="32"/>
  <c r="AH164" i="32"/>
  <c r="Y172" i="32"/>
  <c r="X172" i="32"/>
  <c r="M172" i="32"/>
  <c r="AF142" i="32"/>
  <c r="W155" i="32"/>
  <c r="B172" i="32"/>
  <c r="O172" i="32"/>
  <c r="AA172" i="32"/>
  <c r="AF172" i="32"/>
  <c r="AE172" i="32"/>
  <c r="E172" i="32"/>
  <c r="AI165" i="32"/>
  <c r="AH165" i="32"/>
  <c r="AF128" i="32"/>
  <c r="AD148" i="32" s="1"/>
  <c r="AP158" i="32" s="1"/>
  <c r="AG142" i="32"/>
  <c r="V172" i="32"/>
  <c r="V155" i="32"/>
  <c r="AI171" i="32"/>
  <c r="AH171" i="32"/>
  <c r="AG128" i="32"/>
  <c r="AA148" i="32"/>
  <c r="AN158" i="32" s="1"/>
  <c r="AI167" i="32"/>
  <c r="AH167" i="32"/>
  <c r="AI170" i="32"/>
  <c r="AH170" i="32"/>
  <c r="H172" i="32"/>
  <c r="U172" i="32"/>
  <c r="T172" i="32"/>
  <c r="K172" i="32"/>
  <c r="P172" i="32"/>
  <c r="L172" i="32"/>
  <c r="D172" i="32"/>
  <c r="AI163" i="32"/>
  <c r="AH163" i="32"/>
  <c r="AH172" i="32" s="1"/>
  <c r="AI168" i="32"/>
  <c r="AH168" i="32"/>
  <c r="AI169" i="32"/>
  <c r="AH169" i="32"/>
  <c r="J172" i="32"/>
  <c r="G172" i="32"/>
  <c r="AG172" i="32"/>
  <c r="AI166" i="32"/>
  <c r="AH166" i="32"/>
  <c r="F172" i="32"/>
  <c r="W172" i="32"/>
  <c r="N172" i="32"/>
  <c r="AB172" i="32"/>
  <c r="I172" i="32"/>
  <c r="Z172" i="32"/>
  <c r="AC172" i="32"/>
  <c r="AD172" i="32"/>
  <c r="AI172" i="17" l="1"/>
  <c r="AD148" i="17"/>
  <c r="AP158" i="17" s="1"/>
  <c r="AH172" i="17"/>
  <c r="AI172" i="33"/>
  <c r="AD148" i="33"/>
  <c r="AP158" i="33" s="1"/>
  <c r="AH172" i="33"/>
  <c r="AI172" i="16"/>
  <c r="AH172" i="16"/>
  <c r="AH172" i="10"/>
  <c r="AI172" i="10"/>
  <c r="AD148" i="10"/>
  <c r="AP158" i="10" s="1"/>
  <c r="AD148" i="8"/>
  <c r="AP158" i="8" s="1"/>
  <c r="AH172" i="8"/>
  <c r="AI172" i="8"/>
  <c r="AI172" i="26"/>
  <c r="AH172" i="26"/>
  <c r="AD148" i="26"/>
  <c r="AP158" i="26" s="1"/>
  <c r="AI172" i="31"/>
  <c r="AH172" i="31"/>
  <c r="AI172" i="9"/>
  <c r="AH172" i="9"/>
  <c r="AI172" i="30"/>
  <c r="AH172" i="30"/>
  <c r="AD148" i="29"/>
  <c r="AP158" i="29" s="1"/>
  <c r="AI172" i="29"/>
  <c r="AH172" i="29"/>
  <c r="AD148" i="25"/>
  <c r="AP158" i="25" s="1"/>
  <c r="AI172" i="25"/>
  <c r="AH172" i="25"/>
  <c r="AH172" i="5"/>
  <c r="AI172" i="5"/>
  <c r="AD148" i="23"/>
  <c r="AP158" i="23" s="1"/>
  <c r="AI172" i="23"/>
  <c r="AH172" i="23"/>
  <c r="AI172" i="32"/>
  <c r="L602" i="20" l="1"/>
  <c r="E597" i="20"/>
  <c r="Z591" i="20"/>
  <c r="V591" i="20"/>
  <c r="N591" i="20"/>
  <c r="H591" i="20"/>
  <c r="B591" i="20"/>
  <c r="V590" i="20"/>
  <c r="R590" i="20"/>
  <c r="J590" i="20"/>
  <c r="E590" i="20"/>
  <c r="D590" i="20"/>
  <c r="Y589" i="20"/>
  <c r="X589" i="20"/>
  <c r="N589" i="20"/>
  <c r="F589" i="20"/>
  <c r="D589" i="20"/>
  <c r="Z588" i="20"/>
  <c r="X588" i="20"/>
  <c r="T588" i="20"/>
  <c r="J588" i="20"/>
  <c r="I588" i="20"/>
  <c r="AD587" i="20"/>
  <c r="AC587" i="20"/>
  <c r="T587" i="20"/>
  <c r="P587" i="20"/>
  <c r="J587" i="20"/>
  <c r="D587" i="20"/>
  <c r="AD586" i="20"/>
  <c r="Y586" i="20"/>
  <c r="P586" i="20"/>
  <c r="N586" i="20"/>
  <c r="D586" i="20"/>
  <c r="B586" i="20"/>
  <c r="Z585" i="20"/>
  <c r="U585" i="20"/>
  <c r="T585" i="20"/>
  <c r="I585" i="20"/>
  <c r="H585" i="20"/>
  <c r="AD584" i="20"/>
  <c r="V584" i="20"/>
  <c r="T584" i="20"/>
  <c r="J584" i="20"/>
  <c r="H584" i="20"/>
  <c r="D584" i="20"/>
  <c r="Z583" i="20"/>
  <c r="Y583" i="20"/>
  <c r="R583" i="20"/>
  <c r="P583" i="20"/>
  <c r="L583" i="20"/>
  <c r="F583" i="20"/>
  <c r="D583" i="20"/>
  <c r="AC577" i="20"/>
  <c r="AB577" i="20"/>
  <c r="T577" i="20"/>
  <c r="R577" i="20"/>
  <c r="N577" i="20"/>
  <c r="H577" i="20"/>
  <c r="F577" i="20"/>
  <c r="AE576" i="20"/>
  <c r="AD576" i="20"/>
  <c r="Y576" i="20"/>
  <c r="S576" i="20"/>
  <c r="R576" i="20"/>
  <c r="L576" i="20"/>
  <c r="J576" i="20"/>
  <c r="D576" i="20"/>
  <c r="AD575" i="20"/>
  <c r="V575" i="20"/>
  <c r="U575" i="20"/>
  <c r="O575" i="20"/>
  <c r="J575" i="20"/>
  <c r="I575" i="20"/>
  <c r="B575" i="20"/>
  <c r="AB574" i="20"/>
  <c r="V574" i="20"/>
  <c r="T574" i="20"/>
  <c r="N574" i="20"/>
  <c r="K574" i="20"/>
  <c r="F574" i="20"/>
  <c r="B574" i="20"/>
  <c r="AE573" i="20"/>
  <c r="Y573" i="20"/>
  <c r="X573" i="20"/>
  <c r="R573" i="20"/>
  <c r="M573" i="20"/>
  <c r="L573" i="20"/>
  <c r="D573" i="20"/>
  <c r="B573" i="20"/>
  <c r="AD572" i="20"/>
  <c r="X572" i="20"/>
  <c r="V572" i="20"/>
  <c r="O572" i="20"/>
  <c r="N572" i="20"/>
  <c r="I572" i="20"/>
  <c r="C572" i="20"/>
  <c r="B572" i="20"/>
  <c r="AB571" i="20"/>
  <c r="Z571" i="20"/>
  <c r="T571" i="20"/>
  <c r="P571" i="20"/>
  <c r="N571" i="20"/>
  <c r="F571" i="20"/>
  <c r="E571" i="20"/>
  <c r="AE570" i="20"/>
  <c r="Z570" i="20"/>
  <c r="Y570" i="20"/>
  <c r="R570" i="20"/>
  <c r="P570" i="20"/>
  <c r="L570" i="20"/>
  <c r="F570" i="20"/>
  <c r="D570" i="20"/>
  <c r="AD569" i="20"/>
  <c r="AA569" i="20"/>
  <c r="V569" i="20"/>
  <c r="R569" i="20"/>
  <c r="O569" i="20"/>
  <c r="I569" i="20"/>
  <c r="H569" i="20"/>
  <c r="B569" i="20"/>
  <c r="M564" i="20"/>
  <c r="L564" i="20"/>
  <c r="K564" i="20"/>
  <c r="J564" i="20"/>
  <c r="I564" i="20"/>
  <c r="H564" i="20"/>
  <c r="M563" i="20"/>
  <c r="L563" i="20"/>
  <c r="K563" i="20"/>
  <c r="J563" i="20"/>
  <c r="I563" i="20"/>
  <c r="H563" i="20"/>
  <c r="M562" i="20"/>
  <c r="L562" i="20"/>
  <c r="K562" i="20"/>
  <c r="J562" i="20"/>
  <c r="I562" i="20"/>
  <c r="H562" i="20"/>
  <c r="M561" i="20"/>
  <c r="L561" i="20"/>
  <c r="K561" i="20"/>
  <c r="J561" i="20"/>
  <c r="I561" i="20"/>
  <c r="H561" i="20"/>
  <c r="M560" i="20"/>
  <c r="L560" i="20"/>
  <c r="K560" i="20"/>
  <c r="J560" i="20"/>
  <c r="I560" i="20"/>
  <c r="H560" i="20"/>
  <c r="M559" i="20"/>
  <c r="L559" i="20"/>
  <c r="K559" i="20"/>
  <c r="J559" i="20"/>
  <c r="I559" i="20"/>
  <c r="H559" i="20"/>
  <c r="M558" i="20"/>
  <c r="L558" i="20"/>
  <c r="K558" i="20"/>
  <c r="J558" i="20"/>
  <c r="I558" i="20"/>
  <c r="H558" i="20"/>
  <c r="M557" i="20"/>
  <c r="L557" i="20"/>
  <c r="K557" i="20"/>
  <c r="J557" i="20"/>
  <c r="I557" i="20"/>
  <c r="H557" i="20"/>
  <c r="M556" i="20"/>
  <c r="L556" i="20"/>
  <c r="K556" i="20"/>
  <c r="J556" i="20"/>
  <c r="I556" i="20"/>
  <c r="H556" i="20"/>
  <c r="M555" i="20"/>
  <c r="L555" i="20"/>
  <c r="K555" i="20"/>
  <c r="J555" i="20"/>
  <c r="I555" i="20"/>
  <c r="H555" i="20"/>
  <c r="M554" i="20"/>
  <c r="L554" i="20"/>
  <c r="K554" i="20"/>
  <c r="J554" i="20"/>
  <c r="I554" i="20"/>
  <c r="H554" i="20"/>
  <c r="M553" i="20"/>
  <c r="L553" i="20"/>
  <c r="K553" i="20"/>
  <c r="J553" i="20"/>
  <c r="I553" i="20"/>
  <c r="H553" i="20"/>
  <c r="M552" i="20"/>
  <c r="L552" i="20"/>
  <c r="K552" i="20"/>
  <c r="J552" i="20"/>
  <c r="I552" i="20"/>
  <c r="H552" i="20"/>
  <c r="M551" i="20"/>
  <c r="L551" i="20"/>
  <c r="K551" i="20"/>
  <c r="J551" i="20"/>
  <c r="I551" i="20"/>
  <c r="H551" i="20"/>
  <c r="M550" i="20"/>
  <c r="L550" i="20"/>
  <c r="K550" i="20"/>
  <c r="J550" i="20"/>
  <c r="I550" i="20"/>
  <c r="H550" i="20"/>
  <c r="M549" i="20"/>
  <c r="L549" i="20"/>
  <c r="K549" i="20"/>
  <c r="J549" i="20"/>
  <c r="I549" i="20"/>
  <c r="H549" i="20"/>
  <c r="M548" i="20"/>
  <c r="L548" i="20"/>
  <c r="K548" i="20"/>
  <c r="J548" i="20"/>
  <c r="I548" i="20"/>
  <c r="H548" i="20"/>
  <c r="M547" i="20"/>
  <c r="L547" i="20"/>
  <c r="K547" i="20"/>
  <c r="J547" i="20"/>
  <c r="I547" i="20"/>
  <c r="H547" i="20"/>
  <c r="M546" i="20"/>
  <c r="L546" i="20"/>
  <c r="K546" i="20"/>
  <c r="J546" i="20"/>
  <c r="I546" i="20"/>
  <c r="H546" i="20"/>
  <c r="M545" i="20"/>
  <c r="L545" i="20"/>
  <c r="K545" i="20"/>
  <c r="J545" i="20"/>
  <c r="I545" i="20"/>
  <c r="H545" i="20"/>
  <c r="M544" i="20"/>
  <c r="L544" i="20"/>
  <c r="K544" i="20"/>
  <c r="J544" i="20"/>
  <c r="I544" i="20"/>
  <c r="H544" i="20"/>
  <c r="M543" i="20"/>
  <c r="L543" i="20"/>
  <c r="K543" i="20"/>
  <c r="J543" i="20"/>
  <c r="I543" i="20"/>
  <c r="H543" i="20"/>
  <c r="M542" i="20"/>
  <c r="L542" i="20"/>
  <c r="K542" i="20"/>
  <c r="J542" i="20"/>
  <c r="I542" i="20"/>
  <c r="H542" i="20"/>
  <c r="M541" i="20"/>
  <c r="L541" i="20"/>
  <c r="K541" i="20"/>
  <c r="J541" i="20"/>
  <c r="I541" i="20"/>
  <c r="H541" i="20"/>
  <c r="M540" i="20"/>
  <c r="L540" i="20"/>
  <c r="K540" i="20"/>
  <c r="J540" i="20"/>
  <c r="I540" i="20"/>
  <c r="H540" i="20"/>
  <c r="M539" i="20"/>
  <c r="L539" i="20"/>
  <c r="K539" i="20"/>
  <c r="J539" i="20"/>
  <c r="I539" i="20"/>
  <c r="H539" i="20"/>
  <c r="M538" i="20"/>
  <c r="L538" i="20"/>
  <c r="K538" i="20"/>
  <c r="J538" i="20"/>
  <c r="I538" i="20"/>
  <c r="H538" i="20"/>
  <c r="M537" i="20"/>
  <c r="L537" i="20"/>
  <c r="K537" i="20"/>
  <c r="J537" i="20"/>
  <c r="I537" i="20"/>
  <c r="H537" i="20"/>
  <c r="M536" i="20"/>
  <c r="L536" i="20"/>
  <c r="K536" i="20"/>
  <c r="J536" i="20"/>
  <c r="I536" i="20"/>
  <c r="H536" i="20"/>
  <c r="M535" i="20"/>
  <c r="L535" i="20"/>
  <c r="K535" i="20"/>
  <c r="J535" i="20"/>
  <c r="I535" i="20"/>
  <c r="H535" i="20"/>
  <c r="M534" i="20"/>
  <c r="L534" i="20"/>
  <c r="K534" i="20"/>
  <c r="J534" i="20"/>
  <c r="I534" i="20"/>
  <c r="H534" i="20"/>
  <c r="M533" i="20"/>
  <c r="L533" i="20"/>
  <c r="K533" i="20"/>
  <c r="J533" i="20"/>
  <c r="I533" i="20"/>
  <c r="H533" i="20"/>
  <c r="M532" i="20"/>
  <c r="L532" i="20"/>
  <c r="K532" i="20"/>
  <c r="J532" i="20"/>
  <c r="I532" i="20"/>
  <c r="H532" i="20"/>
  <c r="M531" i="20"/>
  <c r="L531" i="20"/>
  <c r="K531" i="20"/>
  <c r="J531" i="20"/>
  <c r="I531" i="20"/>
  <c r="H531" i="20"/>
  <c r="M530" i="20"/>
  <c r="L530" i="20"/>
  <c r="K530" i="20"/>
  <c r="J530" i="20"/>
  <c r="I530" i="20"/>
  <c r="H530" i="20"/>
  <c r="M529" i="20"/>
  <c r="L529" i="20"/>
  <c r="K529" i="20"/>
  <c r="J529" i="20"/>
  <c r="I529" i="20"/>
  <c r="H529" i="20"/>
  <c r="M528" i="20"/>
  <c r="L528" i="20"/>
  <c r="K528" i="20"/>
  <c r="J528" i="20"/>
  <c r="I528" i="20"/>
  <c r="H528" i="20"/>
  <c r="M527" i="20"/>
  <c r="L527" i="20"/>
  <c r="K527" i="20"/>
  <c r="J527" i="20"/>
  <c r="I527" i="20"/>
  <c r="H527" i="20"/>
  <c r="M526" i="20"/>
  <c r="L526" i="20"/>
  <c r="K526" i="20"/>
  <c r="J526" i="20"/>
  <c r="I526" i="20"/>
  <c r="H526" i="20"/>
  <c r="M525" i="20"/>
  <c r="L525" i="20"/>
  <c r="K525" i="20"/>
  <c r="J525" i="20"/>
  <c r="I525" i="20"/>
  <c r="H525" i="20"/>
  <c r="M524" i="20"/>
  <c r="L524" i="20"/>
  <c r="K524" i="20"/>
  <c r="J524" i="20"/>
  <c r="I524" i="20"/>
  <c r="H524" i="20"/>
  <c r="M523" i="20"/>
  <c r="L523" i="20"/>
  <c r="K523" i="20"/>
  <c r="J523" i="20"/>
  <c r="I523" i="20"/>
  <c r="H523" i="20"/>
  <c r="M522" i="20"/>
  <c r="L522" i="20"/>
  <c r="K522" i="20"/>
  <c r="J522" i="20"/>
  <c r="I522" i="20"/>
  <c r="H522" i="20"/>
  <c r="M521" i="20"/>
  <c r="L521" i="20"/>
  <c r="K521" i="20"/>
  <c r="J521" i="20"/>
  <c r="I521" i="20"/>
  <c r="H521" i="20"/>
  <c r="M520" i="20"/>
  <c r="L520" i="20"/>
  <c r="K520" i="20"/>
  <c r="J520" i="20"/>
  <c r="I520" i="20"/>
  <c r="H520" i="20"/>
  <c r="M519" i="20"/>
  <c r="L519" i="20"/>
  <c r="K519" i="20"/>
  <c r="J519" i="20"/>
  <c r="I519" i="20"/>
  <c r="H519" i="20"/>
  <c r="M518" i="20"/>
  <c r="L518" i="20"/>
  <c r="K518" i="20"/>
  <c r="J518" i="20"/>
  <c r="I518" i="20"/>
  <c r="H518" i="20"/>
  <c r="M517" i="20"/>
  <c r="L517" i="20"/>
  <c r="K517" i="20"/>
  <c r="J517" i="20"/>
  <c r="I517" i="20"/>
  <c r="H517" i="20"/>
  <c r="M516" i="20"/>
  <c r="L516" i="20"/>
  <c r="K516" i="20"/>
  <c r="J516" i="20"/>
  <c r="I516" i="20"/>
  <c r="H516" i="20"/>
  <c r="M515" i="20"/>
  <c r="L515" i="20"/>
  <c r="K515" i="20"/>
  <c r="J515" i="20"/>
  <c r="I515" i="20"/>
  <c r="H515" i="20"/>
  <c r="M514" i="20"/>
  <c r="L514" i="20"/>
  <c r="K514" i="20"/>
  <c r="J514" i="20"/>
  <c r="I514" i="20"/>
  <c r="H514" i="20"/>
  <c r="M513" i="20"/>
  <c r="L513" i="20"/>
  <c r="K513" i="20"/>
  <c r="J513" i="20"/>
  <c r="I513" i="20"/>
  <c r="H513" i="20"/>
  <c r="M512" i="20"/>
  <c r="L512" i="20"/>
  <c r="K512" i="20"/>
  <c r="J512" i="20"/>
  <c r="I512" i="20"/>
  <c r="H512" i="20"/>
  <c r="M511" i="20"/>
  <c r="L511" i="20"/>
  <c r="K511" i="20"/>
  <c r="J511" i="20"/>
  <c r="I511" i="20"/>
  <c r="H511" i="20"/>
  <c r="M510" i="20"/>
  <c r="L510" i="20"/>
  <c r="K510" i="20"/>
  <c r="J510" i="20"/>
  <c r="I510" i="20"/>
  <c r="H510" i="20"/>
  <c r="M509" i="20"/>
  <c r="L509" i="20"/>
  <c r="K509" i="20"/>
  <c r="J509" i="20"/>
  <c r="I509" i="20"/>
  <c r="H509" i="20"/>
  <c r="M508" i="20"/>
  <c r="L508" i="20"/>
  <c r="K508" i="20"/>
  <c r="J508" i="20"/>
  <c r="I508" i="20"/>
  <c r="H508" i="20"/>
  <c r="M507" i="20"/>
  <c r="L507" i="20"/>
  <c r="K507" i="20"/>
  <c r="J507" i="20"/>
  <c r="I507" i="20"/>
  <c r="H507" i="20"/>
  <c r="M506" i="20"/>
  <c r="L506" i="20"/>
  <c r="K506" i="20"/>
  <c r="J506" i="20"/>
  <c r="I506" i="20"/>
  <c r="H506" i="20"/>
  <c r="M505" i="20"/>
  <c r="L505" i="20"/>
  <c r="K505" i="20"/>
  <c r="J505" i="20"/>
  <c r="I505" i="20"/>
  <c r="H505" i="20"/>
  <c r="M504" i="20"/>
  <c r="L504" i="20"/>
  <c r="K504" i="20"/>
  <c r="J504" i="20"/>
  <c r="I504" i="20"/>
  <c r="H504" i="20"/>
  <c r="M503" i="20"/>
  <c r="L503" i="20"/>
  <c r="K503" i="20"/>
  <c r="J503" i="20"/>
  <c r="I503" i="20"/>
  <c r="H503" i="20"/>
  <c r="M502" i="20"/>
  <c r="L502" i="20"/>
  <c r="K502" i="20"/>
  <c r="J502" i="20"/>
  <c r="I502" i="20"/>
  <c r="H502" i="20"/>
  <c r="M501" i="20"/>
  <c r="L501" i="20"/>
  <c r="K501" i="20"/>
  <c r="J501" i="20"/>
  <c r="I501" i="20"/>
  <c r="H501" i="20"/>
  <c r="M500" i="20"/>
  <c r="L500" i="20"/>
  <c r="K500" i="20"/>
  <c r="J500" i="20"/>
  <c r="I500" i="20"/>
  <c r="H500" i="20"/>
  <c r="M499" i="20"/>
  <c r="L499" i="20"/>
  <c r="K499" i="20"/>
  <c r="J499" i="20"/>
  <c r="I499" i="20"/>
  <c r="H499" i="20"/>
  <c r="M498" i="20"/>
  <c r="L498" i="20"/>
  <c r="K498" i="20"/>
  <c r="J498" i="20"/>
  <c r="I498" i="20"/>
  <c r="H498" i="20"/>
  <c r="M497" i="20"/>
  <c r="L497" i="20"/>
  <c r="K497" i="20"/>
  <c r="J497" i="20"/>
  <c r="I497" i="20"/>
  <c r="H497" i="20"/>
  <c r="M496" i="20"/>
  <c r="L496" i="20"/>
  <c r="K496" i="20"/>
  <c r="J496" i="20"/>
  <c r="I496" i="20"/>
  <c r="H496" i="20"/>
  <c r="M495" i="20"/>
  <c r="L495" i="20"/>
  <c r="K495" i="20"/>
  <c r="J495" i="20"/>
  <c r="I495" i="20"/>
  <c r="H495" i="20"/>
  <c r="M494" i="20"/>
  <c r="L494" i="20"/>
  <c r="K494" i="20"/>
  <c r="J494" i="20"/>
  <c r="I494" i="20"/>
  <c r="H494" i="20"/>
  <c r="M493" i="20"/>
  <c r="L493" i="20"/>
  <c r="K493" i="20"/>
  <c r="J493" i="20"/>
  <c r="I493" i="20"/>
  <c r="H493" i="20"/>
  <c r="M492" i="20"/>
  <c r="L492" i="20"/>
  <c r="K492" i="20"/>
  <c r="J492" i="20"/>
  <c r="I492" i="20"/>
  <c r="H492" i="20"/>
  <c r="M491" i="20"/>
  <c r="L491" i="20"/>
  <c r="K491" i="20"/>
  <c r="J491" i="20"/>
  <c r="I491" i="20"/>
  <c r="H491" i="20"/>
  <c r="M490" i="20"/>
  <c r="L490" i="20"/>
  <c r="K490" i="20"/>
  <c r="J490" i="20"/>
  <c r="I490" i="20"/>
  <c r="H490" i="20"/>
  <c r="M489" i="20"/>
  <c r="L489" i="20"/>
  <c r="K489" i="20"/>
  <c r="J489" i="20"/>
  <c r="I489" i="20"/>
  <c r="H489" i="20"/>
  <c r="M488" i="20"/>
  <c r="L488" i="20"/>
  <c r="K488" i="20"/>
  <c r="J488" i="20"/>
  <c r="I488" i="20"/>
  <c r="H488" i="20"/>
  <c r="M487" i="20"/>
  <c r="L487" i="20"/>
  <c r="K487" i="20"/>
  <c r="J487" i="20"/>
  <c r="I487" i="20"/>
  <c r="H487" i="20"/>
  <c r="M486" i="20"/>
  <c r="L486" i="20"/>
  <c r="K486" i="20"/>
  <c r="J486" i="20"/>
  <c r="I486" i="20"/>
  <c r="H486" i="20"/>
  <c r="M485" i="20"/>
  <c r="L485" i="20"/>
  <c r="K485" i="20"/>
  <c r="J485" i="20"/>
  <c r="I485" i="20"/>
  <c r="H485" i="20"/>
  <c r="M484" i="20"/>
  <c r="L484" i="20"/>
  <c r="K484" i="20"/>
  <c r="J484" i="20"/>
  <c r="I484" i="20"/>
  <c r="H484" i="20"/>
  <c r="M483" i="20"/>
  <c r="L483" i="20"/>
  <c r="K483" i="20"/>
  <c r="J483" i="20"/>
  <c r="I483" i="20"/>
  <c r="H483" i="20"/>
  <c r="M482" i="20"/>
  <c r="L482" i="20"/>
  <c r="K482" i="20"/>
  <c r="J482" i="20"/>
  <c r="I482" i="20"/>
  <c r="H482" i="20"/>
  <c r="M481" i="20"/>
  <c r="L481" i="20"/>
  <c r="K481" i="20"/>
  <c r="J481" i="20"/>
  <c r="I481" i="20"/>
  <c r="H481" i="20"/>
  <c r="M480" i="20"/>
  <c r="L480" i="20"/>
  <c r="K480" i="20"/>
  <c r="J480" i="20"/>
  <c r="I480" i="20"/>
  <c r="H480" i="20"/>
  <c r="M479" i="20"/>
  <c r="L479" i="20"/>
  <c r="K479" i="20"/>
  <c r="J479" i="20"/>
  <c r="I479" i="20"/>
  <c r="H479" i="20"/>
  <c r="M478" i="20"/>
  <c r="L478" i="20"/>
  <c r="K478" i="20"/>
  <c r="J478" i="20"/>
  <c r="I478" i="20"/>
  <c r="H478" i="20"/>
  <c r="M477" i="20"/>
  <c r="L477" i="20"/>
  <c r="K477" i="20"/>
  <c r="J477" i="20"/>
  <c r="I477" i="20"/>
  <c r="H477" i="20"/>
  <c r="M476" i="20"/>
  <c r="L476" i="20"/>
  <c r="K476" i="20"/>
  <c r="J476" i="20"/>
  <c r="I476" i="20"/>
  <c r="H476" i="20"/>
  <c r="M475" i="20"/>
  <c r="L475" i="20"/>
  <c r="K475" i="20"/>
  <c r="J475" i="20"/>
  <c r="I475" i="20"/>
  <c r="H475" i="20"/>
  <c r="M474" i="20"/>
  <c r="L474" i="20"/>
  <c r="K474" i="20"/>
  <c r="J474" i="20"/>
  <c r="I474" i="20"/>
  <c r="H474" i="20"/>
  <c r="M473" i="20"/>
  <c r="L473" i="20"/>
  <c r="K473" i="20"/>
  <c r="J473" i="20"/>
  <c r="I473" i="20"/>
  <c r="H473" i="20"/>
  <c r="M472" i="20"/>
  <c r="L472" i="20"/>
  <c r="K472" i="20"/>
  <c r="J472" i="20"/>
  <c r="I472" i="20"/>
  <c r="H472" i="20"/>
  <c r="M471" i="20"/>
  <c r="L471" i="20"/>
  <c r="K471" i="20"/>
  <c r="J471" i="20"/>
  <c r="I471" i="20"/>
  <c r="H471" i="20"/>
  <c r="M470" i="20"/>
  <c r="L470" i="20"/>
  <c r="K470" i="20"/>
  <c r="J470" i="20"/>
  <c r="I470" i="20"/>
  <c r="H470" i="20"/>
  <c r="M469" i="20"/>
  <c r="L469" i="20"/>
  <c r="K469" i="20"/>
  <c r="J469" i="20"/>
  <c r="I469" i="20"/>
  <c r="H469" i="20"/>
  <c r="M468" i="20"/>
  <c r="L468" i="20"/>
  <c r="K468" i="20"/>
  <c r="J468" i="20"/>
  <c r="I468" i="20"/>
  <c r="H468" i="20"/>
  <c r="M467" i="20"/>
  <c r="L467" i="20"/>
  <c r="K467" i="20"/>
  <c r="J467" i="20"/>
  <c r="I467" i="20"/>
  <c r="H467" i="20"/>
  <c r="M466" i="20"/>
  <c r="L466" i="20"/>
  <c r="K466" i="20"/>
  <c r="J466" i="20"/>
  <c r="I466" i="20"/>
  <c r="H466" i="20"/>
  <c r="M465" i="20"/>
  <c r="L465" i="20"/>
  <c r="K465" i="20"/>
  <c r="J465" i="20"/>
  <c r="I465" i="20"/>
  <c r="H465" i="20"/>
  <c r="M464" i="20"/>
  <c r="L464" i="20"/>
  <c r="K464" i="20"/>
  <c r="J464" i="20"/>
  <c r="I464" i="20"/>
  <c r="H464" i="20"/>
  <c r="M463" i="20"/>
  <c r="L463" i="20"/>
  <c r="K463" i="20"/>
  <c r="J463" i="20"/>
  <c r="I463" i="20"/>
  <c r="H463" i="20"/>
  <c r="M462" i="20"/>
  <c r="L462" i="20"/>
  <c r="K462" i="20"/>
  <c r="J462" i="20"/>
  <c r="I462" i="20"/>
  <c r="H462" i="20"/>
  <c r="M461" i="20"/>
  <c r="L461" i="20"/>
  <c r="K461" i="20"/>
  <c r="J461" i="20"/>
  <c r="I461" i="20"/>
  <c r="H461" i="20"/>
  <c r="M460" i="20"/>
  <c r="L460" i="20"/>
  <c r="K460" i="20"/>
  <c r="J460" i="20"/>
  <c r="I460" i="20"/>
  <c r="H460" i="20"/>
  <c r="M459" i="20"/>
  <c r="L459" i="20"/>
  <c r="K459" i="20"/>
  <c r="J459" i="20"/>
  <c r="I459" i="20"/>
  <c r="H459" i="20"/>
  <c r="M458" i="20"/>
  <c r="L458" i="20"/>
  <c r="K458" i="20"/>
  <c r="J458" i="20"/>
  <c r="I458" i="20"/>
  <c r="H458" i="20"/>
  <c r="M457" i="20"/>
  <c r="L457" i="20"/>
  <c r="K457" i="20"/>
  <c r="J457" i="20"/>
  <c r="I457" i="20"/>
  <c r="H457" i="20"/>
  <c r="M456" i="20"/>
  <c r="L456" i="20"/>
  <c r="K456" i="20"/>
  <c r="J456" i="20"/>
  <c r="I456" i="20"/>
  <c r="H456" i="20"/>
  <c r="M455" i="20"/>
  <c r="L455" i="20"/>
  <c r="K455" i="20"/>
  <c r="J455" i="20"/>
  <c r="I455" i="20"/>
  <c r="H455" i="20"/>
  <c r="M454" i="20"/>
  <c r="L454" i="20"/>
  <c r="K454" i="20"/>
  <c r="J454" i="20"/>
  <c r="I454" i="20"/>
  <c r="H454" i="20"/>
  <c r="M453" i="20"/>
  <c r="L453" i="20"/>
  <c r="K453" i="20"/>
  <c r="J453" i="20"/>
  <c r="I453" i="20"/>
  <c r="H453" i="20"/>
  <c r="M452" i="20"/>
  <c r="L452" i="20"/>
  <c r="K452" i="20"/>
  <c r="J452" i="20"/>
  <c r="I452" i="20"/>
  <c r="H452" i="20"/>
  <c r="M451" i="20"/>
  <c r="L451" i="20"/>
  <c r="K451" i="20"/>
  <c r="J451" i="20"/>
  <c r="I451" i="20"/>
  <c r="H451" i="20"/>
  <c r="M450" i="20"/>
  <c r="L450" i="20"/>
  <c r="K450" i="20"/>
  <c r="J450" i="20"/>
  <c r="I450" i="20"/>
  <c r="H450" i="20"/>
  <c r="M449" i="20"/>
  <c r="L449" i="20"/>
  <c r="K449" i="20"/>
  <c r="J449" i="20"/>
  <c r="I449" i="20"/>
  <c r="H449" i="20"/>
  <c r="M448" i="20"/>
  <c r="L448" i="20"/>
  <c r="K448" i="20"/>
  <c r="J448" i="20"/>
  <c r="I448" i="20"/>
  <c r="H448" i="20"/>
  <c r="M447" i="20"/>
  <c r="L447" i="20"/>
  <c r="K447" i="20"/>
  <c r="J447" i="20"/>
  <c r="I447" i="20"/>
  <c r="H447" i="20"/>
  <c r="M446" i="20"/>
  <c r="L446" i="20"/>
  <c r="K446" i="20"/>
  <c r="J446" i="20"/>
  <c r="I446" i="20"/>
  <c r="H446" i="20"/>
  <c r="M445" i="20"/>
  <c r="L445" i="20"/>
  <c r="K445" i="20"/>
  <c r="J445" i="20"/>
  <c r="I445" i="20"/>
  <c r="H445" i="20"/>
  <c r="M444" i="20"/>
  <c r="L444" i="20"/>
  <c r="K444" i="20"/>
  <c r="J444" i="20"/>
  <c r="I444" i="20"/>
  <c r="H444" i="20"/>
  <c r="M443" i="20"/>
  <c r="L443" i="20"/>
  <c r="K443" i="20"/>
  <c r="J443" i="20"/>
  <c r="I443" i="20"/>
  <c r="H443" i="20"/>
  <c r="M442" i="20"/>
  <c r="L442" i="20"/>
  <c r="K442" i="20"/>
  <c r="J442" i="20"/>
  <c r="I442" i="20"/>
  <c r="H442" i="20"/>
  <c r="M441" i="20"/>
  <c r="L441" i="20"/>
  <c r="K441" i="20"/>
  <c r="J441" i="20"/>
  <c r="I441" i="20"/>
  <c r="H441" i="20"/>
  <c r="M440" i="20"/>
  <c r="L440" i="20"/>
  <c r="K440" i="20"/>
  <c r="J440" i="20"/>
  <c r="I440" i="20"/>
  <c r="H440" i="20"/>
  <c r="M439" i="20"/>
  <c r="L439" i="20"/>
  <c r="K439" i="20"/>
  <c r="J439" i="20"/>
  <c r="I439" i="20"/>
  <c r="H439" i="20"/>
  <c r="M438" i="20"/>
  <c r="L438" i="20"/>
  <c r="K438" i="20"/>
  <c r="J438" i="20"/>
  <c r="I438" i="20"/>
  <c r="H438" i="20"/>
  <c r="M437" i="20"/>
  <c r="L437" i="20"/>
  <c r="K437" i="20"/>
  <c r="J437" i="20"/>
  <c r="I437" i="20"/>
  <c r="H437" i="20"/>
  <c r="M436" i="20"/>
  <c r="L436" i="20"/>
  <c r="K436" i="20"/>
  <c r="J436" i="20"/>
  <c r="I436" i="20"/>
  <c r="H436" i="20"/>
  <c r="M435" i="20"/>
  <c r="L435" i="20"/>
  <c r="K435" i="20"/>
  <c r="J435" i="20"/>
  <c r="I435" i="20"/>
  <c r="H435" i="20"/>
  <c r="M434" i="20"/>
  <c r="L434" i="20"/>
  <c r="K434" i="20"/>
  <c r="J434" i="20"/>
  <c r="I434" i="20"/>
  <c r="H434" i="20"/>
  <c r="M433" i="20"/>
  <c r="L433" i="20"/>
  <c r="K433" i="20"/>
  <c r="J433" i="20"/>
  <c r="I433" i="20"/>
  <c r="H433" i="20"/>
  <c r="M432" i="20"/>
  <c r="L432" i="20"/>
  <c r="K432" i="20"/>
  <c r="J432" i="20"/>
  <c r="I432" i="20"/>
  <c r="H432" i="20"/>
  <c r="M431" i="20"/>
  <c r="L431" i="20"/>
  <c r="K431" i="20"/>
  <c r="J431" i="20"/>
  <c r="I431" i="20"/>
  <c r="H431" i="20"/>
  <c r="M430" i="20"/>
  <c r="L430" i="20"/>
  <c r="K430" i="20"/>
  <c r="J430" i="20"/>
  <c r="I430" i="20"/>
  <c r="H430" i="20"/>
  <c r="M429" i="20"/>
  <c r="L429" i="20"/>
  <c r="K429" i="20"/>
  <c r="J429" i="20"/>
  <c r="I429" i="20"/>
  <c r="H429" i="20"/>
  <c r="M428" i="20"/>
  <c r="L428" i="20"/>
  <c r="K428" i="20"/>
  <c r="J428" i="20"/>
  <c r="I428" i="20"/>
  <c r="H428" i="20"/>
  <c r="M427" i="20"/>
  <c r="L427" i="20"/>
  <c r="K427" i="20"/>
  <c r="J427" i="20"/>
  <c r="I427" i="20"/>
  <c r="H427" i="20"/>
  <c r="M426" i="20"/>
  <c r="L426" i="20"/>
  <c r="K426" i="20"/>
  <c r="J426" i="20"/>
  <c r="I426" i="20"/>
  <c r="H426" i="20"/>
  <c r="M425" i="20"/>
  <c r="L425" i="20"/>
  <c r="K425" i="20"/>
  <c r="J425" i="20"/>
  <c r="I425" i="20"/>
  <c r="H425" i="20"/>
  <c r="M424" i="20"/>
  <c r="L424" i="20"/>
  <c r="K424" i="20"/>
  <c r="J424" i="20"/>
  <c r="I424" i="20"/>
  <c r="H424" i="20"/>
  <c r="M423" i="20"/>
  <c r="L423" i="20"/>
  <c r="K423" i="20"/>
  <c r="J423" i="20"/>
  <c r="I423" i="20"/>
  <c r="H423" i="20"/>
  <c r="M422" i="20"/>
  <c r="L422" i="20"/>
  <c r="K422" i="20"/>
  <c r="J422" i="20"/>
  <c r="I422" i="20"/>
  <c r="H422" i="20"/>
  <c r="M421" i="20"/>
  <c r="L421" i="20"/>
  <c r="K421" i="20"/>
  <c r="J421" i="20"/>
  <c r="I421" i="20"/>
  <c r="H421" i="20"/>
  <c r="M420" i="20"/>
  <c r="L420" i="20"/>
  <c r="K420" i="20"/>
  <c r="J420" i="20"/>
  <c r="I420" i="20"/>
  <c r="H420" i="20"/>
  <c r="M419" i="20"/>
  <c r="L419" i="20"/>
  <c r="K419" i="20"/>
  <c r="J419" i="20"/>
  <c r="I419" i="20"/>
  <c r="H419" i="20"/>
  <c r="M418" i="20"/>
  <c r="L418" i="20"/>
  <c r="K418" i="20"/>
  <c r="J418" i="20"/>
  <c r="I418" i="20"/>
  <c r="H418" i="20"/>
  <c r="M417" i="20"/>
  <c r="L417" i="20"/>
  <c r="K417" i="20"/>
  <c r="J417" i="20"/>
  <c r="I417" i="20"/>
  <c r="H417" i="20"/>
  <c r="M416" i="20"/>
  <c r="L416" i="20"/>
  <c r="K416" i="20"/>
  <c r="J416" i="20"/>
  <c r="I416" i="20"/>
  <c r="H416" i="20"/>
  <c r="M415" i="20"/>
  <c r="L415" i="20"/>
  <c r="K415" i="20"/>
  <c r="J415" i="20"/>
  <c r="I415" i="20"/>
  <c r="H415" i="20"/>
  <c r="M414" i="20"/>
  <c r="L414" i="20"/>
  <c r="K414" i="20"/>
  <c r="J414" i="20"/>
  <c r="I414" i="20"/>
  <c r="H414" i="20"/>
  <c r="M413" i="20"/>
  <c r="L413" i="20"/>
  <c r="K413" i="20"/>
  <c r="J413" i="20"/>
  <c r="I413" i="20"/>
  <c r="H413" i="20"/>
  <c r="M412" i="20"/>
  <c r="L412" i="20"/>
  <c r="K412" i="20"/>
  <c r="J412" i="20"/>
  <c r="I412" i="20"/>
  <c r="H412" i="20"/>
  <c r="M411" i="20"/>
  <c r="L411" i="20"/>
  <c r="K411" i="20"/>
  <c r="J411" i="20"/>
  <c r="I411" i="20"/>
  <c r="H411" i="20"/>
  <c r="M410" i="20"/>
  <c r="L410" i="20"/>
  <c r="K410" i="20"/>
  <c r="J410" i="20"/>
  <c r="I410" i="20"/>
  <c r="H410" i="20"/>
  <c r="M409" i="20"/>
  <c r="L409" i="20"/>
  <c r="K409" i="20"/>
  <c r="J409" i="20"/>
  <c r="I409" i="20"/>
  <c r="H409" i="20"/>
  <c r="M408" i="20"/>
  <c r="L408" i="20"/>
  <c r="K408" i="20"/>
  <c r="J408" i="20"/>
  <c r="I408" i="20"/>
  <c r="H408" i="20"/>
  <c r="M407" i="20"/>
  <c r="L407" i="20"/>
  <c r="K407" i="20"/>
  <c r="J407" i="20"/>
  <c r="I407" i="20"/>
  <c r="H407" i="20"/>
  <c r="M406" i="20"/>
  <c r="L406" i="20"/>
  <c r="K406" i="20"/>
  <c r="J406" i="20"/>
  <c r="I406" i="20"/>
  <c r="H406" i="20"/>
  <c r="M405" i="20"/>
  <c r="L405" i="20"/>
  <c r="K405" i="20"/>
  <c r="J405" i="20"/>
  <c r="I405" i="20"/>
  <c r="H405" i="20"/>
  <c r="M404" i="20"/>
  <c r="L404" i="20"/>
  <c r="K404" i="20"/>
  <c r="J404" i="20"/>
  <c r="I404" i="20"/>
  <c r="H404" i="20"/>
  <c r="M403" i="20"/>
  <c r="L403" i="20"/>
  <c r="K403" i="20"/>
  <c r="J403" i="20"/>
  <c r="I403" i="20"/>
  <c r="H403" i="20"/>
  <c r="M402" i="20"/>
  <c r="L402" i="20"/>
  <c r="K402" i="20"/>
  <c r="J402" i="20"/>
  <c r="I402" i="20"/>
  <c r="H402" i="20"/>
  <c r="M401" i="20"/>
  <c r="L401" i="20"/>
  <c r="K401" i="20"/>
  <c r="J401" i="20"/>
  <c r="I401" i="20"/>
  <c r="H401" i="20"/>
  <c r="M400" i="20"/>
  <c r="L400" i="20"/>
  <c r="K400" i="20"/>
  <c r="J400" i="20"/>
  <c r="I400" i="20"/>
  <c r="H400" i="20"/>
  <c r="M399" i="20"/>
  <c r="L399" i="20"/>
  <c r="K399" i="20"/>
  <c r="J399" i="20"/>
  <c r="I399" i="20"/>
  <c r="H399" i="20"/>
  <c r="M398" i="20"/>
  <c r="L398" i="20"/>
  <c r="K398" i="20"/>
  <c r="J398" i="20"/>
  <c r="I398" i="20"/>
  <c r="H398" i="20"/>
  <c r="M397" i="20"/>
  <c r="L397" i="20"/>
  <c r="K397" i="20"/>
  <c r="J397" i="20"/>
  <c r="I397" i="20"/>
  <c r="H397" i="20"/>
  <c r="M396" i="20"/>
  <c r="L396" i="20"/>
  <c r="K396" i="20"/>
  <c r="J396" i="20"/>
  <c r="I396" i="20"/>
  <c r="H396" i="20"/>
  <c r="M395" i="20"/>
  <c r="L395" i="20"/>
  <c r="K395" i="20"/>
  <c r="J395" i="20"/>
  <c r="I395" i="20"/>
  <c r="H395" i="20"/>
  <c r="M394" i="20"/>
  <c r="L394" i="20"/>
  <c r="K394" i="20"/>
  <c r="J394" i="20"/>
  <c r="I394" i="20"/>
  <c r="H394" i="20"/>
  <c r="M393" i="20"/>
  <c r="L393" i="20"/>
  <c r="K393" i="20"/>
  <c r="J393" i="20"/>
  <c r="I393" i="20"/>
  <c r="H393" i="20"/>
  <c r="M392" i="20"/>
  <c r="L392" i="20"/>
  <c r="K392" i="20"/>
  <c r="J392" i="20"/>
  <c r="I392" i="20"/>
  <c r="H392" i="20"/>
  <c r="M391" i="20"/>
  <c r="L391" i="20"/>
  <c r="K391" i="20"/>
  <c r="J391" i="20"/>
  <c r="I391" i="20"/>
  <c r="H391" i="20"/>
  <c r="M390" i="20"/>
  <c r="L390" i="20"/>
  <c r="K390" i="20"/>
  <c r="J390" i="20"/>
  <c r="I390" i="20"/>
  <c r="H390" i="20"/>
  <c r="M389" i="20"/>
  <c r="L389" i="20"/>
  <c r="K389" i="20"/>
  <c r="J389" i="20"/>
  <c r="I389" i="20"/>
  <c r="H389" i="20"/>
  <c r="M388" i="20"/>
  <c r="L388" i="20"/>
  <c r="K388" i="20"/>
  <c r="J388" i="20"/>
  <c r="I388" i="20"/>
  <c r="H388" i="20"/>
  <c r="M387" i="20"/>
  <c r="L387" i="20"/>
  <c r="K387" i="20"/>
  <c r="J387" i="20"/>
  <c r="I387" i="20"/>
  <c r="H387" i="20"/>
  <c r="M386" i="20"/>
  <c r="L386" i="20"/>
  <c r="K386" i="20"/>
  <c r="J386" i="20"/>
  <c r="I386" i="20"/>
  <c r="H386" i="20"/>
  <c r="M385" i="20"/>
  <c r="L385" i="20"/>
  <c r="K385" i="20"/>
  <c r="J385" i="20"/>
  <c r="I385" i="20"/>
  <c r="H385" i="20"/>
  <c r="M384" i="20"/>
  <c r="L384" i="20"/>
  <c r="K384" i="20"/>
  <c r="J384" i="20"/>
  <c r="I384" i="20"/>
  <c r="H384" i="20"/>
  <c r="M383" i="20"/>
  <c r="L383" i="20"/>
  <c r="K383" i="20"/>
  <c r="J383" i="20"/>
  <c r="I383" i="20"/>
  <c r="H383" i="20"/>
  <c r="M382" i="20"/>
  <c r="L382" i="20"/>
  <c r="K382" i="20"/>
  <c r="J382" i="20"/>
  <c r="I382" i="20"/>
  <c r="H382" i="20"/>
  <c r="M381" i="20"/>
  <c r="L381" i="20"/>
  <c r="K381" i="20"/>
  <c r="J381" i="20"/>
  <c r="I381" i="20"/>
  <c r="H381" i="20"/>
  <c r="M380" i="20"/>
  <c r="L380" i="20"/>
  <c r="K380" i="20"/>
  <c r="J380" i="20"/>
  <c r="I380" i="20"/>
  <c r="H380" i="20"/>
  <c r="M379" i="20"/>
  <c r="L379" i="20"/>
  <c r="K379" i="20"/>
  <c r="J379" i="20"/>
  <c r="I379" i="20"/>
  <c r="H379" i="20"/>
  <c r="M378" i="20"/>
  <c r="L378" i="20"/>
  <c r="K378" i="20"/>
  <c r="J378" i="20"/>
  <c r="I378" i="20"/>
  <c r="H378" i="20"/>
  <c r="M377" i="20"/>
  <c r="L377" i="20"/>
  <c r="K377" i="20"/>
  <c r="J377" i="20"/>
  <c r="I377" i="20"/>
  <c r="H377" i="20"/>
  <c r="M376" i="20"/>
  <c r="L376" i="20"/>
  <c r="K376" i="20"/>
  <c r="J376" i="20"/>
  <c r="I376" i="20"/>
  <c r="H376" i="20"/>
  <c r="M375" i="20"/>
  <c r="L375" i="20"/>
  <c r="K375" i="20"/>
  <c r="J375" i="20"/>
  <c r="I375" i="20"/>
  <c r="H375" i="20"/>
  <c r="M374" i="20"/>
  <c r="L374" i="20"/>
  <c r="K374" i="20"/>
  <c r="J374" i="20"/>
  <c r="I374" i="20"/>
  <c r="H374" i="20"/>
  <c r="M373" i="20"/>
  <c r="L373" i="20"/>
  <c r="K373" i="20"/>
  <c r="J373" i="20"/>
  <c r="I373" i="20"/>
  <c r="H373" i="20"/>
  <c r="M372" i="20"/>
  <c r="L372" i="20"/>
  <c r="K372" i="20"/>
  <c r="J372" i="20"/>
  <c r="I372" i="20"/>
  <c r="H372" i="20"/>
  <c r="M371" i="20"/>
  <c r="L371" i="20"/>
  <c r="K371" i="20"/>
  <c r="J371" i="20"/>
  <c r="I371" i="20"/>
  <c r="H371" i="20"/>
  <c r="M370" i="20"/>
  <c r="L370" i="20"/>
  <c r="K370" i="20"/>
  <c r="J370" i="20"/>
  <c r="I370" i="20"/>
  <c r="H370" i="20"/>
  <c r="M369" i="20"/>
  <c r="L369" i="20"/>
  <c r="K369" i="20"/>
  <c r="J369" i="20"/>
  <c r="I369" i="20"/>
  <c r="H369" i="20"/>
  <c r="M368" i="20"/>
  <c r="L368" i="20"/>
  <c r="K368" i="20"/>
  <c r="J368" i="20"/>
  <c r="I368" i="20"/>
  <c r="H368" i="20"/>
  <c r="M367" i="20"/>
  <c r="L367" i="20"/>
  <c r="K367" i="20"/>
  <c r="J367" i="20"/>
  <c r="I367" i="20"/>
  <c r="H367" i="20"/>
  <c r="M366" i="20"/>
  <c r="L366" i="20"/>
  <c r="K366" i="20"/>
  <c r="J366" i="20"/>
  <c r="I366" i="20"/>
  <c r="H366" i="20"/>
  <c r="M365" i="20"/>
  <c r="L365" i="20"/>
  <c r="K365" i="20"/>
  <c r="J365" i="20"/>
  <c r="I365" i="20"/>
  <c r="H365" i="20"/>
  <c r="M364" i="20"/>
  <c r="L364" i="20"/>
  <c r="K364" i="20"/>
  <c r="J364" i="20"/>
  <c r="I364" i="20"/>
  <c r="H364" i="20"/>
  <c r="M363" i="20"/>
  <c r="L363" i="20"/>
  <c r="K363" i="20"/>
  <c r="J363" i="20"/>
  <c r="I363" i="20"/>
  <c r="H363" i="20"/>
  <c r="M362" i="20"/>
  <c r="L362" i="20"/>
  <c r="K362" i="20"/>
  <c r="J362" i="20"/>
  <c r="I362" i="20"/>
  <c r="H362" i="20"/>
  <c r="M361" i="20"/>
  <c r="L361" i="20"/>
  <c r="K361" i="20"/>
  <c r="J361" i="20"/>
  <c r="I361" i="20"/>
  <c r="H361" i="20"/>
  <c r="M360" i="20"/>
  <c r="L360" i="20"/>
  <c r="K360" i="20"/>
  <c r="J360" i="20"/>
  <c r="I360" i="20"/>
  <c r="H360" i="20"/>
  <c r="M359" i="20"/>
  <c r="L359" i="20"/>
  <c r="K359" i="20"/>
  <c r="J359" i="20"/>
  <c r="I359" i="20"/>
  <c r="H359" i="20"/>
  <c r="M358" i="20"/>
  <c r="L358" i="20"/>
  <c r="K358" i="20"/>
  <c r="J358" i="20"/>
  <c r="I358" i="20"/>
  <c r="H358" i="20"/>
  <c r="M357" i="20"/>
  <c r="L357" i="20"/>
  <c r="K357" i="20"/>
  <c r="J357" i="20"/>
  <c r="I357" i="20"/>
  <c r="H357" i="20"/>
  <c r="M356" i="20"/>
  <c r="L356" i="20"/>
  <c r="K356" i="20"/>
  <c r="J356" i="20"/>
  <c r="I356" i="20"/>
  <c r="H356" i="20"/>
  <c r="M355" i="20"/>
  <c r="L355" i="20"/>
  <c r="K355" i="20"/>
  <c r="J355" i="20"/>
  <c r="I355" i="20"/>
  <c r="H355" i="20"/>
  <c r="M354" i="20"/>
  <c r="L354" i="20"/>
  <c r="K354" i="20"/>
  <c r="J354" i="20"/>
  <c r="I354" i="20"/>
  <c r="H354" i="20"/>
  <c r="M353" i="20"/>
  <c r="L353" i="20"/>
  <c r="K353" i="20"/>
  <c r="J353" i="20"/>
  <c r="I353" i="20"/>
  <c r="H353" i="20"/>
  <c r="M352" i="20"/>
  <c r="L352" i="20"/>
  <c r="K352" i="20"/>
  <c r="J352" i="20"/>
  <c r="I352" i="20"/>
  <c r="H352" i="20"/>
  <c r="M351" i="20"/>
  <c r="L351" i="20"/>
  <c r="K351" i="20"/>
  <c r="J351" i="20"/>
  <c r="I351" i="20"/>
  <c r="H351" i="20"/>
  <c r="M350" i="20"/>
  <c r="L350" i="20"/>
  <c r="K350" i="20"/>
  <c r="J350" i="20"/>
  <c r="I350" i="20"/>
  <c r="H350" i="20"/>
  <c r="M349" i="20"/>
  <c r="L349" i="20"/>
  <c r="K349" i="20"/>
  <c r="J349" i="20"/>
  <c r="I349" i="20"/>
  <c r="H349" i="20"/>
  <c r="M348" i="20"/>
  <c r="L348" i="20"/>
  <c r="K348" i="20"/>
  <c r="J348" i="20"/>
  <c r="I348" i="20"/>
  <c r="H348" i="20"/>
  <c r="M347" i="20"/>
  <c r="L347" i="20"/>
  <c r="K347" i="20"/>
  <c r="J347" i="20"/>
  <c r="I347" i="20"/>
  <c r="H347" i="20"/>
  <c r="M346" i="20"/>
  <c r="L346" i="20"/>
  <c r="K346" i="20"/>
  <c r="J346" i="20"/>
  <c r="I346" i="20"/>
  <c r="H346" i="20"/>
  <c r="M345" i="20"/>
  <c r="L345" i="20"/>
  <c r="K345" i="20"/>
  <c r="J345" i="20"/>
  <c r="I345" i="20"/>
  <c r="H345" i="20"/>
  <c r="M344" i="20"/>
  <c r="L344" i="20"/>
  <c r="K344" i="20"/>
  <c r="J344" i="20"/>
  <c r="I344" i="20"/>
  <c r="H344" i="20"/>
  <c r="M343" i="20"/>
  <c r="L343" i="20"/>
  <c r="K343" i="20"/>
  <c r="J343" i="20"/>
  <c r="I343" i="20"/>
  <c r="H343" i="20"/>
  <c r="M342" i="20"/>
  <c r="L342" i="20"/>
  <c r="K342" i="20"/>
  <c r="J342" i="20"/>
  <c r="I342" i="20"/>
  <c r="H342" i="20"/>
  <c r="M341" i="20"/>
  <c r="L341" i="20"/>
  <c r="K341" i="20"/>
  <c r="J341" i="20"/>
  <c r="I341" i="20"/>
  <c r="H341" i="20"/>
  <c r="M340" i="20"/>
  <c r="L340" i="20"/>
  <c r="K340" i="20"/>
  <c r="J340" i="20"/>
  <c r="I340" i="20"/>
  <c r="H340" i="20"/>
  <c r="M339" i="20"/>
  <c r="L339" i="20"/>
  <c r="K339" i="20"/>
  <c r="J339" i="20"/>
  <c r="I339" i="20"/>
  <c r="H339" i="20"/>
  <c r="M338" i="20"/>
  <c r="L338" i="20"/>
  <c r="K338" i="20"/>
  <c r="J338" i="20"/>
  <c r="I338" i="20"/>
  <c r="H338" i="20"/>
  <c r="M337" i="20"/>
  <c r="L337" i="20"/>
  <c r="K337" i="20"/>
  <c r="J337" i="20"/>
  <c r="I337" i="20"/>
  <c r="H337" i="20"/>
  <c r="M336" i="20"/>
  <c r="L336" i="20"/>
  <c r="K336" i="20"/>
  <c r="J336" i="20"/>
  <c r="I336" i="20"/>
  <c r="H336" i="20"/>
  <c r="M335" i="20"/>
  <c r="L335" i="20"/>
  <c r="K335" i="20"/>
  <c r="J335" i="20"/>
  <c r="I335" i="20"/>
  <c r="H335" i="20"/>
  <c r="M334" i="20"/>
  <c r="L334" i="20"/>
  <c r="K334" i="20"/>
  <c r="J334" i="20"/>
  <c r="I334" i="20"/>
  <c r="H334" i="20"/>
  <c r="M333" i="20"/>
  <c r="L333" i="20"/>
  <c r="K333" i="20"/>
  <c r="J333" i="20"/>
  <c r="I333" i="20"/>
  <c r="H333" i="20"/>
  <c r="M332" i="20"/>
  <c r="L332" i="20"/>
  <c r="K332" i="20"/>
  <c r="J332" i="20"/>
  <c r="I332" i="20"/>
  <c r="H332" i="20"/>
  <c r="M331" i="20"/>
  <c r="L331" i="20"/>
  <c r="K331" i="20"/>
  <c r="J331" i="20"/>
  <c r="I331" i="20"/>
  <c r="H331" i="20"/>
  <c r="M330" i="20"/>
  <c r="L330" i="20"/>
  <c r="K330" i="20"/>
  <c r="J330" i="20"/>
  <c r="I330" i="20"/>
  <c r="H330" i="20"/>
  <c r="M329" i="20"/>
  <c r="L329" i="20"/>
  <c r="K329" i="20"/>
  <c r="J329" i="20"/>
  <c r="I329" i="20"/>
  <c r="H329" i="20"/>
  <c r="M328" i="20"/>
  <c r="L328" i="20"/>
  <c r="K328" i="20"/>
  <c r="J328" i="20"/>
  <c r="I328" i="20"/>
  <c r="H328" i="20"/>
  <c r="M327" i="20"/>
  <c r="L327" i="20"/>
  <c r="K327" i="20"/>
  <c r="J327" i="20"/>
  <c r="I327" i="20"/>
  <c r="H327" i="20"/>
  <c r="M326" i="20"/>
  <c r="L326" i="20"/>
  <c r="K326" i="20"/>
  <c r="J326" i="20"/>
  <c r="I326" i="20"/>
  <c r="H326" i="20"/>
  <c r="M325" i="20"/>
  <c r="L325" i="20"/>
  <c r="K325" i="20"/>
  <c r="J325" i="20"/>
  <c r="I325" i="20"/>
  <c r="H325" i="20"/>
  <c r="M324" i="20"/>
  <c r="L324" i="20"/>
  <c r="K324" i="20"/>
  <c r="J324" i="20"/>
  <c r="I324" i="20"/>
  <c r="H324" i="20"/>
  <c r="M323" i="20"/>
  <c r="L323" i="20"/>
  <c r="K323" i="20"/>
  <c r="J323" i="20"/>
  <c r="I323" i="20"/>
  <c r="H323" i="20"/>
  <c r="M322" i="20"/>
  <c r="L322" i="20"/>
  <c r="K322" i="20"/>
  <c r="J322" i="20"/>
  <c r="I322" i="20"/>
  <c r="H322" i="20"/>
  <c r="M321" i="20"/>
  <c r="L321" i="20"/>
  <c r="K321" i="20"/>
  <c r="J321" i="20"/>
  <c r="I321" i="20"/>
  <c r="H321" i="20"/>
  <c r="M320" i="20"/>
  <c r="L320" i="20"/>
  <c r="K320" i="20"/>
  <c r="J320" i="20"/>
  <c r="I320" i="20"/>
  <c r="H320" i="20"/>
  <c r="M319" i="20"/>
  <c r="L319" i="20"/>
  <c r="K319" i="20"/>
  <c r="J319" i="20"/>
  <c r="I319" i="20"/>
  <c r="H319" i="20"/>
  <c r="M318" i="20"/>
  <c r="L318" i="20"/>
  <c r="K318" i="20"/>
  <c r="J318" i="20"/>
  <c r="I318" i="20"/>
  <c r="H318" i="20"/>
  <c r="M317" i="20"/>
  <c r="L317" i="20"/>
  <c r="K317" i="20"/>
  <c r="J317" i="20"/>
  <c r="I317" i="20"/>
  <c r="H317" i="20"/>
  <c r="M316" i="20"/>
  <c r="L316" i="20"/>
  <c r="K316" i="20"/>
  <c r="J316" i="20"/>
  <c r="I316" i="20"/>
  <c r="H316" i="20"/>
  <c r="M315" i="20"/>
  <c r="L315" i="20"/>
  <c r="K315" i="20"/>
  <c r="J315" i="20"/>
  <c r="I315" i="20"/>
  <c r="H315" i="20"/>
  <c r="M314" i="20"/>
  <c r="L314" i="20"/>
  <c r="K314" i="20"/>
  <c r="J314" i="20"/>
  <c r="I314" i="20"/>
  <c r="H314" i="20"/>
  <c r="M313" i="20"/>
  <c r="L313" i="20"/>
  <c r="K313" i="20"/>
  <c r="J313" i="20"/>
  <c r="I313" i="20"/>
  <c r="H313" i="20"/>
  <c r="M312" i="20"/>
  <c r="L312" i="20"/>
  <c r="K312" i="20"/>
  <c r="J312" i="20"/>
  <c r="I312" i="20"/>
  <c r="H312" i="20"/>
  <c r="M311" i="20"/>
  <c r="L311" i="20"/>
  <c r="K311" i="20"/>
  <c r="J311" i="20"/>
  <c r="I311" i="20"/>
  <c r="H311" i="20"/>
  <c r="M310" i="20"/>
  <c r="L310" i="20"/>
  <c r="K310" i="20"/>
  <c r="J310" i="20"/>
  <c r="I310" i="20"/>
  <c r="H310" i="20"/>
  <c r="M309" i="20"/>
  <c r="L309" i="20"/>
  <c r="K309" i="20"/>
  <c r="J309" i="20"/>
  <c r="I309" i="20"/>
  <c r="H309" i="20"/>
  <c r="M308" i="20"/>
  <c r="L308" i="20"/>
  <c r="K308" i="20"/>
  <c r="J308" i="20"/>
  <c r="I308" i="20"/>
  <c r="H308" i="20"/>
  <c r="M307" i="20"/>
  <c r="L307" i="20"/>
  <c r="K307" i="20"/>
  <c r="J307" i="20"/>
  <c r="I307" i="20"/>
  <c r="H307" i="20"/>
  <c r="M306" i="20"/>
  <c r="L306" i="20"/>
  <c r="K306" i="20"/>
  <c r="J306" i="20"/>
  <c r="I306" i="20"/>
  <c r="H306" i="20"/>
  <c r="M305" i="20"/>
  <c r="L305" i="20"/>
  <c r="K305" i="20"/>
  <c r="J305" i="20"/>
  <c r="I305" i="20"/>
  <c r="H305" i="20"/>
  <c r="M304" i="20"/>
  <c r="L304" i="20"/>
  <c r="K304" i="20"/>
  <c r="J304" i="20"/>
  <c r="I304" i="20"/>
  <c r="H304" i="20"/>
  <c r="M303" i="20"/>
  <c r="L303" i="20"/>
  <c r="K303" i="20"/>
  <c r="J303" i="20"/>
  <c r="I303" i="20"/>
  <c r="H303" i="20"/>
  <c r="M302" i="20"/>
  <c r="L302" i="20"/>
  <c r="K302" i="20"/>
  <c r="J302" i="20"/>
  <c r="I302" i="20"/>
  <c r="H302" i="20"/>
  <c r="M301" i="20"/>
  <c r="L301" i="20"/>
  <c r="K301" i="20"/>
  <c r="J301" i="20"/>
  <c r="I301" i="20"/>
  <c r="H301" i="20"/>
  <c r="M300" i="20"/>
  <c r="L300" i="20"/>
  <c r="K300" i="20"/>
  <c r="J300" i="20"/>
  <c r="I300" i="20"/>
  <c r="H300" i="20"/>
  <c r="M299" i="20"/>
  <c r="L299" i="20"/>
  <c r="K299" i="20"/>
  <c r="J299" i="20"/>
  <c r="I299" i="20"/>
  <c r="H299" i="20"/>
  <c r="M298" i="20"/>
  <c r="L298" i="20"/>
  <c r="K298" i="20"/>
  <c r="J298" i="20"/>
  <c r="I298" i="20"/>
  <c r="H298" i="20"/>
  <c r="M297" i="20"/>
  <c r="L297" i="20"/>
  <c r="K297" i="20"/>
  <c r="J297" i="20"/>
  <c r="I297" i="20"/>
  <c r="H297" i="20"/>
  <c r="M296" i="20"/>
  <c r="L296" i="20"/>
  <c r="K296" i="20"/>
  <c r="J296" i="20"/>
  <c r="I296" i="20"/>
  <c r="H296" i="20"/>
  <c r="M295" i="20"/>
  <c r="L295" i="20"/>
  <c r="K295" i="20"/>
  <c r="J295" i="20"/>
  <c r="I295" i="20"/>
  <c r="H295" i="20"/>
  <c r="M294" i="20"/>
  <c r="L294" i="20"/>
  <c r="K294" i="20"/>
  <c r="J294" i="20"/>
  <c r="I294" i="20"/>
  <c r="H294" i="20"/>
  <c r="M293" i="20"/>
  <c r="L293" i="20"/>
  <c r="K293" i="20"/>
  <c r="J293" i="20"/>
  <c r="I293" i="20"/>
  <c r="H293" i="20"/>
  <c r="M292" i="20"/>
  <c r="L292" i="20"/>
  <c r="K292" i="20"/>
  <c r="J292" i="20"/>
  <c r="I292" i="20"/>
  <c r="H292" i="20"/>
  <c r="M291" i="20"/>
  <c r="L291" i="20"/>
  <c r="K291" i="20"/>
  <c r="J291" i="20"/>
  <c r="I291" i="20"/>
  <c r="H291" i="20"/>
  <c r="M290" i="20"/>
  <c r="L290" i="20"/>
  <c r="K290" i="20"/>
  <c r="J290" i="20"/>
  <c r="I290" i="20"/>
  <c r="H290" i="20"/>
  <c r="M289" i="20"/>
  <c r="L289" i="20"/>
  <c r="K289" i="20"/>
  <c r="J289" i="20"/>
  <c r="I289" i="20"/>
  <c r="H289" i="20"/>
  <c r="M288" i="20"/>
  <c r="L288" i="20"/>
  <c r="K288" i="20"/>
  <c r="J288" i="20"/>
  <c r="I288" i="20"/>
  <c r="H288" i="20"/>
  <c r="M287" i="20"/>
  <c r="L287" i="20"/>
  <c r="K287" i="20"/>
  <c r="J287" i="20"/>
  <c r="I287" i="20"/>
  <c r="H287" i="20"/>
  <c r="M286" i="20"/>
  <c r="L286" i="20"/>
  <c r="K286" i="20"/>
  <c r="J286" i="20"/>
  <c r="I286" i="20"/>
  <c r="H286" i="20"/>
  <c r="M285" i="20"/>
  <c r="L285" i="20"/>
  <c r="K285" i="20"/>
  <c r="J285" i="20"/>
  <c r="I285" i="20"/>
  <c r="H285" i="20"/>
  <c r="M284" i="20"/>
  <c r="L284" i="20"/>
  <c r="K284" i="20"/>
  <c r="J284" i="20"/>
  <c r="I284" i="20"/>
  <c r="H284" i="20"/>
  <c r="M283" i="20"/>
  <c r="L283" i="20"/>
  <c r="K283" i="20"/>
  <c r="J283" i="20"/>
  <c r="I283" i="20"/>
  <c r="H283" i="20"/>
  <c r="M282" i="20"/>
  <c r="L282" i="20"/>
  <c r="K282" i="20"/>
  <c r="J282" i="20"/>
  <c r="I282" i="20"/>
  <c r="H282" i="20"/>
  <c r="M281" i="20"/>
  <c r="L281" i="20"/>
  <c r="K281" i="20"/>
  <c r="J281" i="20"/>
  <c r="I281" i="20"/>
  <c r="H281" i="20"/>
  <c r="M280" i="20"/>
  <c r="L280" i="20"/>
  <c r="K280" i="20"/>
  <c r="J280" i="20"/>
  <c r="I280" i="20"/>
  <c r="H280" i="20"/>
  <c r="M279" i="20"/>
  <c r="L279" i="20"/>
  <c r="K279" i="20"/>
  <c r="J279" i="20"/>
  <c r="I279" i="20"/>
  <c r="H279" i="20"/>
  <c r="M278" i="20"/>
  <c r="L278" i="20"/>
  <c r="K278" i="20"/>
  <c r="J278" i="20"/>
  <c r="I278" i="20"/>
  <c r="H278" i="20"/>
  <c r="M277" i="20"/>
  <c r="L277" i="20"/>
  <c r="K277" i="20"/>
  <c r="J277" i="20"/>
  <c r="I277" i="20"/>
  <c r="H277" i="20"/>
  <c r="M276" i="20"/>
  <c r="L276" i="20"/>
  <c r="K276" i="20"/>
  <c r="J276" i="20"/>
  <c r="I276" i="20"/>
  <c r="H276" i="20"/>
  <c r="M275" i="20"/>
  <c r="L275" i="20"/>
  <c r="K275" i="20"/>
  <c r="J275" i="20"/>
  <c r="I275" i="20"/>
  <c r="H275" i="20"/>
  <c r="M274" i="20"/>
  <c r="L274" i="20"/>
  <c r="K274" i="20"/>
  <c r="J274" i="20"/>
  <c r="I274" i="20"/>
  <c r="H274" i="20"/>
  <c r="M273" i="20"/>
  <c r="L273" i="20"/>
  <c r="K273" i="20"/>
  <c r="J273" i="20"/>
  <c r="I273" i="20"/>
  <c r="H273" i="20"/>
  <c r="M272" i="20"/>
  <c r="L272" i="20"/>
  <c r="K272" i="20"/>
  <c r="J272" i="20"/>
  <c r="I272" i="20"/>
  <c r="H272" i="20"/>
  <c r="M271" i="20"/>
  <c r="L271" i="20"/>
  <c r="K271" i="20"/>
  <c r="J271" i="20"/>
  <c r="I271" i="20"/>
  <c r="H271" i="20"/>
  <c r="M270" i="20"/>
  <c r="L270" i="20"/>
  <c r="K270" i="20"/>
  <c r="J270" i="20"/>
  <c r="I270" i="20"/>
  <c r="H270" i="20"/>
  <c r="M269" i="20"/>
  <c r="L269" i="20"/>
  <c r="K269" i="20"/>
  <c r="J269" i="20"/>
  <c r="I269" i="20"/>
  <c r="H269" i="20"/>
  <c r="M268" i="20"/>
  <c r="L268" i="20"/>
  <c r="K268" i="20"/>
  <c r="J268" i="20"/>
  <c r="I268" i="20"/>
  <c r="H268" i="20"/>
  <c r="M267" i="20"/>
  <c r="L267" i="20"/>
  <c r="K267" i="20"/>
  <c r="J267" i="20"/>
  <c r="I267" i="20"/>
  <c r="H267" i="20"/>
  <c r="M266" i="20"/>
  <c r="L266" i="20"/>
  <c r="K266" i="20"/>
  <c r="J266" i="20"/>
  <c r="I266" i="20"/>
  <c r="H266" i="20"/>
  <c r="M265" i="20"/>
  <c r="L265" i="20"/>
  <c r="K265" i="20"/>
  <c r="J265" i="20"/>
  <c r="I265" i="20"/>
  <c r="H265" i="20"/>
  <c r="M264" i="20"/>
  <c r="L264" i="20"/>
  <c r="K264" i="20"/>
  <c r="J264" i="20"/>
  <c r="I264" i="20"/>
  <c r="H264" i="20"/>
  <c r="M263" i="20"/>
  <c r="L263" i="20"/>
  <c r="K263" i="20"/>
  <c r="J263" i="20"/>
  <c r="I263" i="20"/>
  <c r="H263" i="20"/>
  <c r="M262" i="20"/>
  <c r="L262" i="20"/>
  <c r="K262" i="20"/>
  <c r="J262" i="20"/>
  <c r="I262" i="20"/>
  <c r="H262" i="20"/>
  <c r="M261" i="20"/>
  <c r="L261" i="20"/>
  <c r="K261" i="20"/>
  <c r="J261" i="20"/>
  <c r="I261" i="20"/>
  <c r="H261" i="20"/>
  <c r="M260" i="20"/>
  <c r="L260" i="20"/>
  <c r="K260" i="20"/>
  <c r="J260" i="20"/>
  <c r="I260" i="20"/>
  <c r="H260" i="20"/>
  <c r="M259" i="20"/>
  <c r="L259" i="20"/>
  <c r="K259" i="20"/>
  <c r="J259" i="20"/>
  <c r="I259" i="20"/>
  <c r="H259" i="20"/>
  <c r="M258" i="20"/>
  <c r="L258" i="20"/>
  <c r="K258" i="20"/>
  <c r="J258" i="20"/>
  <c r="I258" i="20"/>
  <c r="H258" i="20"/>
  <c r="M257" i="20"/>
  <c r="L257" i="20"/>
  <c r="K257" i="20"/>
  <c r="J257" i="20"/>
  <c r="I257" i="20"/>
  <c r="H257" i="20"/>
  <c r="M256" i="20"/>
  <c r="L256" i="20"/>
  <c r="K256" i="20"/>
  <c r="J256" i="20"/>
  <c r="I256" i="20"/>
  <c r="H256" i="20"/>
  <c r="M255" i="20"/>
  <c r="L255" i="20"/>
  <c r="K255" i="20"/>
  <c r="J255" i="20"/>
  <c r="I255" i="20"/>
  <c r="H255" i="20"/>
  <c r="M254" i="20"/>
  <c r="L254" i="20"/>
  <c r="K254" i="20"/>
  <c r="J254" i="20"/>
  <c r="I254" i="20"/>
  <c r="H254" i="20"/>
  <c r="M253" i="20"/>
  <c r="L253" i="20"/>
  <c r="K253" i="20"/>
  <c r="J253" i="20"/>
  <c r="I253" i="20"/>
  <c r="H253" i="20"/>
  <c r="M252" i="20"/>
  <c r="L252" i="20"/>
  <c r="K252" i="20"/>
  <c r="J252" i="20"/>
  <c r="I252" i="20"/>
  <c r="H252" i="20"/>
  <c r="M251" i="20"/>
  <c r="L251" i="20"/>
  <c r="K251" i="20"/>
  <c r="J251" i="20"/>
  <c r="I251" i="20"/>
  <c r="H251" i="20"/>
  <c r="M250" i="20"/>
  <c r="L250" i="20"/>
  <c r="K250" i="20"/>
  <c r="J250" i="20"/>
  <c r="I250" i="20"/>
  <c r="H250" i="20"/>
  <c r="M249" i="20"/>
  <c r="L249" i="20"/>
  <c r="K249" i="20"/>
  <c r="J249" i="20"/>
  <c r="I249" i="20"/>
  <c r="H249" i="20"/>
  <c r="M248" i="20"/>
  <c r="L248" i="20"/>
  <c r="K248" i="20"/>
  <c r="J248" i="20"/>
  <c r="I248" i="20"/>
  <c r="H248" i="20"/>
  <c r="M247" i="20"/>
  <c r="L247" i="20"/>
  <c r="K247" i="20"/>
  <c r="J247" i="20"/>
  <c r="I247" i="20"/>
  <c r="H247" i="20"/>
  <c r="M246" i="20"/>
  <c r="L246" i="20"/>
  <c r="K246" i="20"/>
  <c r="J246" i="20"/>
  <c r="I246" i="20"/>
  <c r="H246" i="20"/>
  <c r="M245" i="20"/>
  <c r="L245" i="20"/>
  <c r="K245" i="20"/>
  <c r="J245" i="20"/>
  <c r="I245" i="20"/>
  <c r="H245" i="20"/>
  <c r="M244" i="20"/>
  <c r="L244" i="20"/>
  <c r="K244" i="20"/>
  <c r="J244" i="20"/>
  <c r="I244" i="20"/>
  <c r="H244" i="20"/>
  <c r="M243" i="20"/>
  <c r="L243" i="20"/>
  <c r="K243" i="20"/>
  <c r="J243" i="20"/>
  <c r="I243" i="20"/>
  <c r="H243" i="20"/>
  <c r="M242" i="20"/>
  <c r="L242" i="20"/>
  <c r="K242" i="20"/>
  <c r="J242" i="20"/>
  <c r="I242" i="20"/>
  <c r="H242" i="20"/>
  <c r="M241" i="20"/>
  <c r="L241" i="20"/>
  <c r="K241" i="20"/>
  <c r="J241" i="20"/>
  <c r="I241" i="20"/>
  <c r="H241" i="20"/>
  <c r="M240" i="20"/>
  <c r="L240" i="20"/>
  <c r="K240" i="20"/>
  <c r="J240" i="20"/>
  <c r="I240" i="20"/>
  <c r="H240" i="20"/>
  <c r="M239" i="20"/>
  <c r="L239" i="20"/>
  <c r="K239" i="20"/>
  <c r="J239" i="20"/>
  <c r="I239" i="20"/>
  <c r="H239" i="20"/>
  <c r="M238" i="20"/>
  <c r="L238" i="20"/>
  <c r="K238" i="20"/>
  <c r="J238" i="20"/>
  <c r="I238" i="20"/>
  <c r="H238" i="20"/>
  <c r="M237" i="20"/>
  <c r="L237" i="20"/>
  <c r="K237" i="20"/>
  <c r="J237" i="20"/>
  <c r="I237" i="20"/>
  <c r="H237" i="20"/>
  <c r="M236" i="20"/>
  <c r="L236" i="20"/>
  <c r="K236" i="20"/>
  <c r="J236" i="20"/>
  <c r="I236" i="20"/>
  <c r="H236" i="20"/>
  <c r="M235" i="20"/>
  <c r="L235" i="20"/>
  <c r="K235" i="20"/>
  <c r="J235" i="20"/>
  <c r="I235" i="20"/>
  <c r="H235" i="20"/>
  <c r="M234" i="20"/>
  <c r="L234" i="20"/>
  <c r="K234" i="20"/>
  <c r="J234" i="20"/>
  <c r="I234" i="20"/>
  <c r="H234" i="20"/>
  <c r="M233" i="20"/>
  <c r="L233" i="20"/>
  <c r="K233" i="20"/>
  <c r="J233" i="20"/>
  <c r="I233" i="20"/>
  <c r="H233" i="20"/>
  <c r="M232" i="20"/>
  <c r="L232" i="20"/>
  <c r="K232" i="20"/>
  <c r="J232" i="20"/>
  <c r="I232" i="20"/>
  <c r="H232" i="20"/>
  <c r="M231" i="20"/>
  <c r="L231" i="20"/>
  <c r="K231" i="20"/>
  <c r="J231" i="20"/>
  <c r="I231" i="20"/>
  <c r="H231" i="20"/>
  <c r="M230" i="20"/>
  <c r="L230" i="20"/>
  <c r="K230" i="20"/>
  <c r="J230" i="20"/>
  <c r="I230" i="20"/>
  <c r="H230" i="20"/>
  <c r="M229" i="20"/>
  <c r="L229" i="20"/>
  <c r="K229" i="20"/>
  <c r="J229" i="20"/>
  <c r="I229" i="20"/>
  <c r="H229" i="20"/>
  <c r="M228" i="20"/>
  <c r="L228" i="20"/>
  <c r="K228" i="20"/>
  <c r="J228" i="20"/>
  <c r="I228" i="20"/>
  <c r="H228" i="20"/>
  <c r="M227" i="20"/>
  <c r="L227" i="20"/>
  <c r="K227" i="20"/>
  <c r="J227" i="20"/>
  <c r="I227" i="20"/>
  <c r="H227" i="20"/>
  <c r="M226" i="20"/>
  <c r="L226" i="20"/>
  <c r="K226" i="20"/>
  <c r="J226" i="20"/>
  <c r="I226" i="20"/>
  <c r="H226" i="20"/>
  <c r="M225" i="20"/>
  <c r="L225" i="20"/>
  <c r="K225" i="20"/>
  <c r="J225" i="20"/>
  <c r="I225" i="20"/>
  <c r="H225" i="20"/>
  <c r="M224" i="20"/>
  <c r="L224" i="20"/>
  <c r="K224" i="20"/>
  <c r="J224" i="20"/>
  <c r="I224" i="20"/>
  <c r="H224" i="20"/>
  <c r="M223" i="20"/>
  <c r="L223" i="20"/>
  <c r="K223" i="20"/>
  <c r="J223" i="20"/>
  <c r="I223" i="20"/>
  <c r="H223" i="20"/>
  <c r="M222" i="20"/>
  <c r="L222" i="20"/>
  <c r="K222" i="20"/>
  <c r="J222" i="20"/>
  <c r="I222" i="20"/>
  <c r="H222" i="20"/>
  <c r="M221" i="20"/>
  <c r="L221" i="20"/>
  <c r="K221" i="20"/>
  <c r="J221" i="20"/>
  <c r="I221" i="20"/>
  <c r="H221" i="20"/>
  <c r="M220" i="20"/>
  <c r="L220" i="20"/>
  <c r="K220" i="20"/>
  <c r="J220" i="20"/>
  <c r="I220" i="20"/>
  <c r="H220" i="20"/>
  <c r="M219" i="20"/>
  <c r="L219" i="20"/>
  <c r="K219" i="20"/>
  <c r="J219" i="20"/>
  <c r="I219" i="20"/>
  <c r="H219" i="20"/>
  <c r="M218" i="20"/>
  <c r="L218" i="20"/>
  <c r="K218" i="20"/>
  <c r="J218" i="20"/>
  <c r="I218" i="20"/>
  <c r="H218" i="20"/>
  <c r="M217" i="20"/>
  <c r="L217" i="20"/>
  <c r="K217" i="20"/>
  <c r="J217" i="20"/>
  <c r="I217" i="20"/>
  <c r="H217" i="20"/>
  <c r="M216" i="20"/>
  <c r="L216" i="20"/>
  <c r="K216" i="20"/>
  <c r="J216" i="20"/>
  <c r="I216" i="20"/>
  <c r="H216" i="20"/>
  <c r="M215" i="20"/>
  <c r="L215" i="20"/>
  <c r="K215" i="20"/>
  <c r="J215" i="20"/>
  <c r="I215" i="20"/>
  <c r="H215" i="20"/>
  <c r="M214" i="20"/>
  <c r="L214" i="20"/>
  <c r="K214" i="20"/>
  <c r="J214" i="20"/>
  <c r="I214" i="20"/>
  <c r="H214" i="20"/>
  <c r="M213" i="20"/>
  <c r="L213" i="20"/>
  <c r="K213" i="20"/>
  <c r="J213" i="20"/>
  <c r="I213" i="20"/>
  <c r="H213" i="20"/>
  <c r="M212" i="20"/>
  <c r="L212" i="20"/>
  <c r="K212" i="20"/>
  <c r="J212" i="20"/>
  <c r="I212" i="20"/>
  <c r="H212" i="20"/>
  <c r="M211" i="20"/>
  <c r="L211" i="20"/>
  <c r="K211" i="20"/>
  <c r="J211" i="20"/>
  <c r="I211" i="20"/>
  <c r="H211" i="20"/>
  <c r="M210" i="20"/>
  <c r="L210" i="20"/>
  <c r="K210" i="20"/>
  <c r="J210" i="20"/>
  <c r="I210" i="20"/>
  <c r="H210" i="20"/>
  <c r="M209" i="20"/>
  <c r="L209" i="20"/>
  <c r="K209" i="20"/>
  <c r="J209" i="20"/>
  <c r="I209" i="20"/>
  <c r="H209" i="20"/>
  <c r="M208" i="20"/>
  <c r="L208" i="20"/>
  <c r="K208" i="20"/>
  <c r="J208" i="20"/>
  <c r="I208" i="20"/>
  <c r="H208" i="20"/>
  <c r="M207" i="20"/>
  <c r="L207" i="20"/>
  <c r="K207" i="20"/>
  <c r="J207" i="20"/>
  <c r="I207" i="20"/>
  <c r="H207" i="20"/>
  <c r="M206" i="20"/>
  <c r="L206" i="20"/>
  <c r="K206" i="20"/>
  <c r="J206" i="20"/>
  <c r="I206" i="20"/>
  <c r="H206" i="20"/>
  <c r="M205" i="20"/>
  <c r="L205" i="20"/>
  <c r="K205" i="20"/>
  <c r="J205" i="20"/>
  <c r="I205" i="20"/>
  <c r="H205" i="20"/>
  <c r="M204" i="20"/>
  <c r="L204" i="20"/>
  <c r="K204" i="20"/>
  <c r="J204" i="20"/>
  <c r="I204" i="20"/>
  <c r="H204" i="20"/>
  <c r="M203" i="20"/>
  <c r="L203" i="20"/>
  <c r="K203" i="20"/>
  <c r="J203" i="20"/>
  <c r="I203" i="20"/>
  <c r="H203" i="20"/>
  <c r="M202" i="20"/>
  <c r="L202" i="20"/>
  <c r="K202" i="20"/>
  <c r="J202" i="20"/>
  <c r="I202" i="20"/>
  <c r="H202" i="20"/>
  <c r="M201" i="20"/>
  <c r="L201" i="20"/>
  <c r="K201" i="20"/>
  <c r="J201" i="20"/>
  <c r="I201" i="20"/>
  <c r="H201" i="20"/>
  <c r="M200" i="20"/>
  <c r="L200" i="20"/>
  <c r="K200" i="20"/>
  <c r="J200" i="20"/>
  <c r="I200" i="20"/>
  <c r="H200" i="20"/>
  <c r="M199" i="20"/>
  <c r="L199" i="20"/>
  <c r="K199" i="20"/>
  <c r="J199" i="20"/>
  <c r="I199" i="20"/>
  <c r="H199" i="20"/>
  <c r="M198" i="20"/>
  <c r="L198" i="20"/>
  <c r="K198" i="20"/>
  <c r="J198" i="20"/>
  <c r="I198" i="20"/>
  <c r="H198" i="20"/>
  <c r="M197" i="20"/>
  <c r="L197" i="20"/>
  <c r="K197" i="20"/>
  <c r="J197" i="20"/>
  <c r="I197" i="20"/>
  <c r="H197" i="20"/>
  <c r="M196" i="20"/>
  <c r="L196" i="20"/>
  <c r="K196" i="20"/>
  <c r="J196" i="20"/>
  <c r="I196" i="20"/>
  <c r="H196" i="20"/>
  <c r="M195" i="20"/>
  <c r="L195" i="20"/>
  <c r="K195" i="20"/>
  <c r="J195" i="20"/>
  <c r="I195" i="20"/>
  <c r="H195" i="20"/>
  <c r="M194" i="20"/>
  <c r="L194" i="20"/>
  <c r="K194" i="20"/>
  <c r="J194" i="20"/>
  <c r="I194" i="20"/>
  <c r="H194" i="20"/>
  <c r="M193" i="20"/>
  <c r="L193" i="20"/>
  <c r="K193" i="20"/>
  <c r="J193" i="20"/>
  <c r="I193" i="20"/>
  <c r="H193" i="20"/>
  <c r="M192" i="20"/>
  <c r="L192" i="20"/>
  <c r="K192" i="20"/>
  <c r="J192" i="20"/>
  <c r="I192" i="20"/>
  <c r="H192" i="20"/>
  <c r="M191" i="20"/>
  <c r="L191" i="20"/>
  <c r="K191" i="20"/>
  <c r="J191" i="20"/>
  <c r="I191" i="20"/>
  <c r="H191" i="20"/>
  <c r="M190" i="20"/>
  <c r="L190" i="20"/>
  <c r="K190" i="20"/>
  <c r="J190" i="20"/>
  <c r="I190" i="20"/>
  <c r="H190" i="20"/>
  <c r="M189" i="20"/>
  <c r="L189" i="20"/>
  <c r="K189" i="20"/>
  <c r="J189" i="20"/>
  <c r="I189" i="20"/>
  <c r="H189" i="20"/>
  <c r="M188" i="20"/>
  <c r="L188" i="20"/>
  <c r="K188" i="20"/>
  <c r="J188" i="20"/>
  <c r="I188" i="20"/>
  <c r="H188" i="20"/>
  <c r="M187" i="20"/>
  <c r="L187" i="20"/>
  <c r="K187" i="20"/>
  <c r="J187" i="20"/>
  <c r="I187" i="20"/>
  <c r="H187" i="20"/>
  <c r="M186" i="20"/>
  <c r="L186" i="20"/>
  <c r="K186" i="20"/>
  <c r="J186" i="20"/>
  <c r="I186" i="20"/>
  <c r="H186" i="20"/>
  <c r="M185" i="20"/>
  <c r="L185" i="20"/>
  <c r="K185" i="20"/>
  <c r="J185" i="20"/>
  <c r="I185" i="20"/>
  <c r="H185" i="20"/>
  <c r="M184" i="20"/>
  <c r="L184" i="20"/>
  <c r="K184" i="20"/>
  <c r="J184" i="20"/>
  <c r="I184" i="20"/>
  <c r="H184" i="20"/>
  <c r="M183" i="20"/>
  <c r="L183" i="20"/>
  <c r="K183" i="20"/>
  <c r="J183" i="20"/>
  <c r="I183" i="20"/>
  <c r="H183" i="20"/>
  <c r="M182" i="20"/>
  <c r="L182" i="20"/>
  <c r="K182" i="20"/>
  <c r="J182" i="20"/>
  <c r="I182" i="20"/>
  <c r="H182" i="20"/>
  <c r="M181" i="20"/>
  <c r="L181" i="20"/>
  <c r="K181" i="20"/>
  <c r="J181" i="20"/>
  <c r="I181" i="20"/>
  <c r="H181" i="20"/>
  <c r="M180" i="20"/>
  <c r="L180" i="20"/>
  <c r="K180" i="20"/>
  <c r="J180" i="20"/>
  <c r="I180" i="20"/>
  <c r="H180" i="20"/>
  <c r="M179" i="20"/>
  <c r="L179" i="20"/>
  <c r="K179" i="20"/>
  <c r="J179" i="20"/>
  <c r="I179" i="20"/>
  <c r="H179" i="20"/>
  <c r="M178" i="20"/>
  <c r="L178" i="20"/>
  <c r="K178" i="20"/>
  <c r="J178" i="20"/>
  <c r="I178" i="20"/>
  <c r="H178" i="20"/>
  <c r="M177" i="20"/>
  <c r="L177" i="20"/>
  <c r="K177" i="20"/>
  <c r="J177" i="20"/>
  <c r="I177" i="20"/>
  <c r="H177" i="20"/>
  <c r="M176" i="20"/>
  <c r="L176" i="20"/>
  <c r="K176" i="20"/>
  <c r="J176" i="20"/>
  <c r="I176" i="20"/>
  <c r="H176" i="20"/>
  <c r="M175" i="20"/>
  <c r="L175" i="20"/>
  <c r="K175" i="20"/>
  <c r="J175" i="20"/>
  <c r="I175" i="20"/>
  <c r="H175" i="20"/>
  <c r="M174" i="20"/>
  <c r="L174" i="20"/>
  <c r="K174" i="20"/>
  <c r="J174" i="20"/>
  <c r="I174" i="20"/>
  <c r="H174" i="20"/>
  <c r="M173" i="20"/>
  <c r="L173" i="20"/>
  <c r="K173" i="20"/>
  <c r="J173" i="20"/>
  <c r="I173" i="20"/>
  <c r="H173" i="20"/>
  <c r="M172" i="20"/>
  <c r="L172" i="20"/>
  <c r="K172" i="20"/>
  <c r="J172" i="20"/>
  <c r="I172" i="20"/>
  <c r="H172" i="20"/>
  <c r="M171" i="20"/>
  <c r="L171" i="20"/>
  <c r="K171" i="20"/>
  <c r="J171" i="20"/>
  <c r="I171" i="20"/>
  <c r="H171" i="20"/>
  <c r="M170" i="20"/>
  <c r="L170" i="20"/>
  <c r="K170" i="20"/>
  <c r="J170" i="20"/>
  <c r="I170" i="20"/>
  <c r="H170" i="20"/>
  <c r="M169" i="20"/>
  <c r="L169" i="20"/>
  <c r="K169" i="20"/>
  <c r="J169" i="20"/>
  <c r="I169" i="20"/>
  <c r="H169" i="20"/>
  <c r="M168" i="20"/>
  <c r="L168" i="20"/>
  <c r="K168" i="20"/>
  <c r="J168" i="20"/>
  <c r="I168" i="20"/>
  <c r="H168" i="20"/>
  <c r="M167" i="20"/>
  <c r="L167" i="20"/>
  <c r="K167" i="20"/>
  <c r="J167" i="20"/>
  <c r="I167" i="20"/>
  <c r="H167" i="20"/>
  <c r="M166" i="20"/>
  <c r="L166" i="20"/>
  <c r="K166" i="20"/>
  <c r="J166" i="20"/>
  <c r="I166" i="20"/>
  <c r="H166" i="20"/>
  <c r="M165" i="20"/>
  <c r="L165" i="20"/>
  <c r="K165" i="20"/>
  <c r="J165" i="20"/>
  <c r="I165" i="20"/>
  <c r="H165" i="20"/>
  <c r="M164" i="20"/>
  <c r="L164" i="20"/>
  <c r="K164" i="20"/>
  <c r="J164" i="20"/>
  <c r="I164" i="20"/>
  <c r="H164" i="20"/>
  <c r="M163" i="20"/>
  <c r="L163" i="20"/>
  <c r="K163" i="20"/>
  <c r="J163" i="20"/>
  <c r="I163" i="20"/>
  <c r="H163" i="20"/>
  <c r="M162" i="20"/>
  <c r="L162" i="20"/>
  <c r="K162" i="20"/>
  <c r="J162" i="20"/>
  <c r="I162" i="20"/>
  <c r="H162" i="20"/>
  <c r="M161" i="20"/>
  <c r="L161" i="20"/>
  <c r="K161" i="20"/>
  <c r="J161" i="20"/>
  <c r="I161" i="20"/>
  <c r="H161" i="20"/>
  <c r="M160" i="20"/>
  <c r="L160" i="20"/>
  <c r="K160" i="20"/>
  <c r="J160" i="20"/>
  <c r="I160" i="20"/>
  <c r="H160" i="20"/>
  <c r="M159" i="20"/>
  <c r="L159" i="20"/>
  <c r="K159" i="20"/>
  <c r="J159" i="20"/>
  <c r="I159" i="20"/>
  <c r="H159" i="20"/>
  <c r="M158" i="20"/>
  <c r="L158" i="20"/>
  <c r="K158" i="20"/>
  <c r="J158" i="20"/>
  <c r="I158" i="20"/>
  <c r="H158" i="20"/>
  <c r="M157" i="20"/>
  <c r="L157" i="20"/>
  <c r="K157" i="20"/>
  <c r="J157" i="20"/>
  <c r="I157" i="20"/>
  <c r="H157" i="20"/>
  <c r="M156" i="20"/>
  <c r="L156" i="20"/>
  <c r="K156" i="20"/>
  <c r="J156" i="20"/>
  <c r="I156" i="20"/>
  <c r="H156" i="20"/>
  <c r="M155" i="20"/>
  <c r="L155" i="20"/>
  <c r="K155" i="20"/>
  <c r="J155" i="20"/>
  <c r="I155" i="20"/>
  <c r="H155" i="20"/>
  <c r="M154" i="20"/>
  <c r="L154" i="20"/>
  <c r="K154" i="20"/>
  <c r="J154" i="20"/>
  <c r="I154" i="20"/>
  <c r="H154" i="20"/>
  <c r="M153" i="20"/>
  <c r="L153" i="20"/>
  <c r="K153" i="20"/>
  <c r="J153" i="20"/>
  <c r="I153" i="20"/>
  <c r="H153" i="20"/>
  <c r="M152" i="20"/>
  <c r="L152" i="20"/>
  <c r="K152" i="20"/>
  <c r="J152" i="20"/>
  <c r="I152" i="20"/>
  <c r="H152" i="20"/>
  <c r="M151" i="20"/>
  <c r="L151" i="20"/>
  <c r="K151" i="20"/>
  <c r="J151" i="20"/>
  <c r="I151" i="20"/>
  <c r="H151" i="20"/>
  <c r="M150" i="20"/>
  <c r="L150" i="20"/>
  <c r="K150" i="20"/>
  <c r="J150" i="20"/>
  <c r="I150" i="20"/>
  <c r="H150" i="20"/>
  <c r="M149" i="20"/>
  <c r="L149" i="20"/>
  <c r="K149" i="20"/>
  <c r="J149" i="20"/>
  <c r="I149" i="20"/>
  <c r="H149" i="20"/>
  <c r="M148" i="20"/>
  <c r="L148" i="20"/>
  <c r="K148" i="20"/>
  <c r="J148" i="20"/>
  <c r="I148" i="20"/>
  <c r="H148" i="20"/>
  <c r="M147" i="20"/>
  <c r="L147" i="20"/>
  <c r="K147" i="20"/>
  <c r="J147" i="20"/>
  <c r="I147" i="20"/>
  <c r="H147" i="20"/>
  <c r="M146" i="20"/>
  <c r="L146" i="20"/>
  <c r="K146" i="20"/>
  <c r="J146" i="20"/>
  <c r="I146" i="20"/>
  <c r="H146" i="20"/>
  <c r="M145" i="20"/>
  <c r="L145" i="20"/>
  <c r="K145" i="20"/>
  <c r="J145" i="20"/>
  <c r="I145" i="20"/>
  <c r="H145" i="20"/>
  <c r="M144" i="20"/>
  <c r="L144" i="20"/>
  <c r="K144" i="20"/>
  <c r="J144" i="20"/>
  <c r="I144" i="20"/>
  <c r="H144" i="20"/>
  <c r="M143" i="20"/>
  <c r="L143" i="20"/>
  <c r="K143" i="20"/>
  <c r="J143" i="20"/>
  <c r="I143" i="20"/>
  <c r="H143" i="20"/>
  <c r="M142" i="20"/>
  <c r="L142" i="20"/>
  <c r="K142" i="20"/>
  <c r="J142" i="20"/>
  <c r="I142" i="20"/>
  <c r="H142" i="20"/>
  <c r="M141" i="20"/>
  <c r="L141" i="20"/>
  <c r="K141" i="20"/>
  <c r="J141" i="20"/>
  <c r="I141" i="20"/>
  <c r="H141" i="20"/>
  <c r="M140" i="20"/>
  <c r="L140" i="20"/>
  <c r="K140" i="20"/>
  <c r="J140" i="20"/>
  <c r="I140" i="20"/>
  <c r="H140" i="20"/>
  <c r="M139" i="20"/>
  <c r="L139" i="20"/>
  <c r="K139" i="20"/>
  <c r="J139" i="20"/>
  <c r="I139" i="20"/>
  <c r="H139" i="20"/>
  <c r="M138" i="20"/>
  <c r="L138" i="20"/>
  <c r="K138" i="20"/>
  <c r="J138" i="20"/>
  <c r="I138" i="20"/>
  <c r="H138" i="20"/>
  <c r="M137" i="20"/>
  <c r="L137" i="20"/>
  <c r="K137" i="20"/>
  <c r="J137" i="20"/>
  <c r="I137" i="20"/>
  <c r="H137" i="20"/>
  <c r="M136" i="20"/>
  <c r="L136" i="20"/>
  <c r="K136" i="20"/>
  <c r="J136" i="20"/>
  <c r="I136" i="20"/>
  <c r="H136" i="20"/>
  <c r="M135" i="20"/>
  <c r="L135" i="20"/>
  <c r="K135" i="20"/>
  <c r="J135" i="20"/>
  <c r="I135" i="20"/>
  <c r="H135" i="20"/>
  <c r="M134" i="20"/>
  <c r="L134" i="20"/>
  <c r="K134" i="20"/>
  <c r="J134" i="20"/>
  <c r="I134" i="20"/>
  <c r="H134" i="20"/>
  <c r="M133" i="20"/>
  <c r="L133" i="20"/>
  <c r="K133" i="20"/>
  <c r="J133" i="20"/>
  <c r="I133" i="20"/>
  <c r="H133" i="20"/>
  <c r="M132" i="20"/>
  <c r="L132" i="20"/>
  <c r="K132" i="20"/>
  <c r="J132" i="20"/>
  <c r="I132" i="20"/>
  <c r="H132" i="20"/>
  <c r="M131" i="20"/>
  <c r="L131" i="20"/>
  <c r="K131" i="20"/>
  <c r="J131" i="20"/>
  <c r="I131" i="20"/>
  <c r="H131" i="20"/>
  <c r="M130" i="20"/>
  <c r="L130" i="20"/>
  <c r="K130" i="20"/>
  <c r="J130" i="20"/>
  <c r="I130" i="20"/>
  <c r="H130" i="20"/>
  <c r="M129" i="20"/>
  <c r="L129" i="20"/>
  <c r="K129" i="20"/>
  <c r="J129" i="20"/>
  <c r="I129" i="20"/>
  <c r="H129" i="20"/>
  <c r="M128" i="20"/>
  <c r="L128" i="20"/>
  <c r="K128" i="20"/>
  <c r="J128" i="20"/>
  <c r="I128" i="20"/>
  <c r="H128" i="20"/>
  <c r="M127" i="20"/>
  <c r="L127" i="20"/>
  <c r="K127" i="20"/>
  <c r="J127" i="20"/>
  <c r="I127" i="20"/>
  <c r="H127" i="20"/>
  <c r="M126" i="20"/>
  <c r="L126" i="20"/>
  <c r="K126" i="20"/>
  <c r="J126" i="20"/>
  <c r="I126" i="20"/>
  <c r="H126" i="20"/>
  <c r="M125" i="20"/>
  <c r="L125" i="20"/>
  <c r="K125" i="20"/>
  <c r="J125" i="20"/>
  <c r="I125" i="20"/>
  <c r="H125" i="20"/>
  <c r="M124" i="20"/>
  <c r="L124" i="20"/>
  <c r="K124" i="20"/>
  <c r="J124" i="20"/>
  <c r="I124" i="20"/>
  <c r="H124" i="20"/>
  <c r="M123" i="20"/>
  <c r="L123" i="20"/>
  <c r="K123" i="20"/>
  <c r="J123" i="20"/>
  <c r="I123" i="20"/>
  <c r="H123" i="20"/>
  <c r="M122" i="20"/>
  <c r="L122" i="20"/>
  <c r="K122" i="20"/>
  <c r="J122" i="20"/>
  <c r="I122" i="20"/>
  <c r="H122" i="20"/>
  <c r="M121" i="20"/>
  <c r="L121" i="20"/>
  <c r="K121" i="20"/>
  <c r="J121" i="20"/>
  <c r="I121" i="20"/>
  <c r="H121" i="20"/>
  <c r="M120" i="20"/>
  <c r="L120" i="20"/>
  <c r="K120" i="20"/>
  <c r="J120" i="20"/>
  <c r="I120" i="20"/>
  <c r="H120" i="20"/>
  <c r="M119" i="20"/>
  <c r="L119" i="20"/>
  <c r="K119" i="20"/>
  <c r="J119" i="20"/>
  <c r="I119" i="20"/>
  <c r="H119" i="20"/>
  <c r="M118" i="20"/>
  <c r="L118" i="20"/>
  <c r="K118" i="20"/>
  <c r="J118" i="20"/>
  <c r="I118" i="20"/>
  <c r="H118" i="20"/>
  <c r="M117" i="20"/>
  <c r="L117" i="20"/>
  <c r="K117" i="20"/>
  <c r="J117" i="20"/>
  <c r="I117" i="20"/>
  <c r="H117" i="20"/>
  <c r="M116" i="20"/>
  <c r="L116" i="20"/>
  <c r="K116" i="20"/>
  <c r="J116" i="20"/>
  <c r="I116" i="20"/>
  <c r="H116" i="20"/>
  <c r="M115" i="20"/>
  <c r="L115" i="20"/>
  <c r="K115" i="20"/>
  <c r="J115" i="20"/>
  <c r="I115" i="20"/>
  <c r="H115" i="20"/>
  <c r="M114" i="20"/>
  <c r="L114" i="20"/>
  <c r="K114" i="20"/>
  <c r="J114" i="20"/>
  <c r="I114" i="20"/>
  <c r="H114" i="20"/>
  <c r="M113" i="20"/>
  <c r="L113" i="20"/>
  <c r="K113" i="20"/>
  <c r="J113" i="20"/>
  <c r="I113" i="20"/>
  <c r="H113" i="20"/>
  <c r="M112" i="20"/>
  <c r="L112" i="20"/>
  <c r="K112" i="20"/>
  <c r="J112" i="20"/>
  <c r="I112" i="20"/>
  <c r="H112" i="20"/>
  <c r="M111" i="20"/>
  <c r="L111" i="20"/>
  <c r="K111" i="20"/>
  <c r="J111" i="20"/>
  <c r="I111" i="20"/>
  <c r="H111" i="20"/>
  <c r="M110" i="20"/>
  <c r="L110" i="20"/>
  <c r="K110" i="20"/>
  <c r="J110" i="20"/>
  <c r="I110" i="20"/>
  <c r="H110" i="20"/>
  <c r="M109" i="20"/>
  <c r="L109" i="20"/>
  <c r="K109" i="20"/>
  <c r="J109" i="20"/>
  <c r="I109" i="20"/>
  <c r="H109" i="20"/>
  <c r="M108" i="20"/>
  <c r="L108" i="20"/>
  <c r="K108" i="20"/>
  <c r="J108" i="20"/>
  <c r="I108" i="20"/>
  <c r="H108" i="20"/>
  <c r="M107" i="20"/>
  <c r="L107" i="20"/>
  <c r="K107" i="20"/>
  <c r="J107" i="20"/>
  <c r="I107" i="20"/>
  <c r="H107" i="20"/>
  <c r="M106" i="20"/>
  <c r="L106" i="20"/>
  <c r="K106" i="20"/>
  <c r="J106" i="20"/>
  <c r="I106" i="20"/>
  <c r="H106" i="20"/>
  <c r="M105" i="20"/>
  <c r="L105" i="20"/>
  <c r="K105" i="20"/>
  <c r="J105" i="20"/>
  <c r="I105" i="20"/>
  <c r="H105" i="20"/>
  <c r="M104" i="20"/>
  <c r="L104" i="20"/>
  <c r="K104" i="20"/>
  <c r="J104" i="20"/>
  <c r="I104" i="20"/>
  <c r="H104" i="20"/>
  <c r="M103" i="20"/>
  <c r="L103" i="20"/>
  <c r="K103" i="20"/>
  <c r="J103" i="20"/>
  <c r="I103" i="20"/>
  <c r="H103" i="20"/>
  <c r="M102" i="20"/>
  <c r="L102" i="20"/>
  <c r="K102" i="20"/>
  <c r="J102" i="20"/>
  <c r="I102" i="20"/>
  <c r="H102" i="20"/>
  <c r="M101" i="20"/>
  <c r="L101" i="20"/>
  <c r="K101" i="20"/>
  <c r="J101" i="20"/>
  <c r="I101" i="20"/>
  <c r="H101" i="20"/>
  <c r="M100" i="20"/>
  <c r="L100" i="20"/>
  <c r="K100" i="20"/>
  <c r="J100" i="20"/>
  <c r="I100" i="20"/>
  <c r="H100" i="20"/>
  <c r="M99" i="20"/>
  <c r="L99" i="20"/>
  <c r="K99" i="20"/>
  <c r="J99" i="20"/>
  <c r="I99" i="20"/>
  <c r="H99" i="20"/>
  <c r="M98" i="20"/>
  <c r="L98" i="20"/>
  <c r="K98" i="20"/>
  <c r="J98" i="20"/>
  <c r="I98" i="20"/>
  <c r="H98" i="20"/>
  <c r="M97" i="20"/>
  <c r="L97" i="20"/>
  <c r="K97" i="20"/>
  <c r="J97" i="20"/>
  <c r="I97" i="20"/>
  <c r="H97" i="20"/>
  <c r="M96" i="20"/>
  <c r="L96" i="20"/>
  <c r="K96" i="20"/>
  <c r="J96" i="20"/>
  <c r="I96" i="20"/>
  <c r="H96" i="20"/>
  <c r="M95" i="20"/>
  <c r="L95" i="20"/>
  <c r="K95" i="20"/>
  <c r="J95" i="20"/>
  <c r="I95" i="20"/>
  <c r="H95" i="20"/>
  <c r="M94" i="20"/>
  <c r="L94" i="20"/>
  <c r="K94" i="20"/>
  <c r="J94" i="20"/>
  <c r="I94" i="20"/>
  <c r="H94" i="20"/>
  <c r="M93" i="20"/>
  <c r="L93" i="20"/>
  <c r="K93" i="20"/>
  <c r="J93" i="20"/>
  <c r="I93" i="20"/>
  <c r="H93" i="20"/>
  <c r="M92" i="20"/>
  <c r="L92" i="20"/>
  <c r="K92" i="20"/>
  <c r="J92" i="20"/>
  <c r="I92" i="20"/>
  <c r="H92" i="20"/>
  <c r="M91" i="20"/>
  <c r="L91" i="20"/>
  <c r="K91" i="20"/>
  <c r="J91" i="20"/>
  <c r="I91" i="20"/>
  <c r="H91" i="20"/>
  <c r="M90" i="20"/>
  <c r="L90" i="20"/>
  <c r="K90" i="20"/>
  <c r="J90" i="20"/>
  <c r="I90" i="20"/>
  <c r="H90" i="20"/>
  <c r="M89" i="20"/>
  <c r="L89" i="20"/>
  <c r="K89" i="20"/>
  <c r="J89" i="20"/>
  <c r="I89" i="20"/>
  <c r="H89" i="20"/>
  <c r="M88" i="20"/>
  <c r="L88" i="20"/>
  <c r="K88" i="20"/>
  <c r="J88" i="20"/>
  <c r="I88" i="20"/>
  <c r="H88" i="20"/>
  <c r="M87" i="20"/>
  <c r="L87" i="20"/>
  <c r="K87" i="20"/>
  <c r="J87" i="20"/>
  <c r="I87" i="20"/>
  <c r="H87" i="20"/>
  <c r="M86" i="20"/>
  <c r="L86" i="20"/>
  <c r="K86" i="20"/>
  <c r="J86" i="20"/>
  <c r="I86" i="20"/>
  <c r="H86" i="20"/>
  <c r="M85" i="20"/>
  <c r="L85" i="20"/>
  <c r="K85" i="20"/>
  <c r="J85" i="20"/>
  <c r="I85" i="20"/>
  <c r="H85" i="20"/>
  <c r="M84" i="20"/>
  <c r="L84" i="20"/>
  <c r="K84" i="20"/>
  <c r="J84" i="20"/>
  <c r="I84" i="20"/>
  <c r="H84" i="20"/>
  <c r="M83" i="20"/>
  <c r="L83" i="20"/>
  <c r="K83" i="20"/>
  <c r="J83" i="20"/>
  <c r="I83" i="20"/>
  <c r="H83" i="20"/>
  <c r="M82" i="20"/>
  <c r="L82" i="20"/>
  <c r="K82" i="20"/>
  <c r="J82" i="20"/>
  <c r="I82" i="20"/>
  <c r="H82" i="20"/>
  <c r="M81" i="20"/>
  <c r="L81" i="20"/>
  <c r="K81" i="20"/>
  <c r="J81" i="20"/>
  <c r="I81" i="20"/>
  <c r="H81" i="20"/>
  <c r="M80" i="20"/>
  <c r="L80" i="20"/>
  <c r="K80" i="20"/>
  <c r="J80" i="20"/>
  <c r="I80" i="20"/>
  <c r="H80" i="20"/>
  <c r="M79" i="20"/>
  <c r="L79" i="20"/>
  <c r="K79" i="20"/>
  <c r="J79" i="20"/>
  <c r="I79" i="20"/>
  <c r="H79" i="20"/>
  <c r="M78" i="20"/>
  <c r="L78" i="20"/>
  <c r="K78" i="20"/>
  <c r="J78" i="20"/>
  <c r="I78" i="20"/>
  <c r="H78" i="20"/>
  <c r="M77" i="20"/>
  <c r="L77" i="20"/>
  <c r="K77" i="20"/>
  <c r="J77" i="20"/>
  <c r="I77" i="20"/>
  <c r="H77" i="20"/>
  <c r="M76" i="20"/>
  <c r="L76" i="20"/>
  <c r="K76" i="20"/>
  <c r="J76" i="20"/>
  <c r="I76" i="20"/>
  <c r="H76" i="20"/>
  <c r="M75" i="20"/>
  <c r="L75" i="20"/>
  <c r="K75" i="20"/>
  <c r="J75" i="20"/>
  <c r="I75" i="20"/>
  <c r="H75" i="20"/>
  <c r="M74" i="20"/>
  <c r="L74" i="20"/>
  <c r="K74" i="20"/>
  <c r="J74" i="20"/>
  <c r="I74" i="20"/>
  <c r="H74" i="20"/>
  <c r="M73" i="20"/>
  <c r="L73" i="20"/>
  <c r="K73" i="20"/>
  <c r="J73" i="20"/>
  <c r="I73" i="20"/>
  <c r="H73" i="20"/>
  <c r="M72" i="20"/>
  <c r="L72" i="20"/>
  <c r="K72" i="20"/>
  <c r="J72" i="20"/>
  <c r="I72" i="20"/>
  <c r="H72" i="20"/>
  <c r="M71" i="20"/>
  <c r="L71" i="20"/>
  <c r="K71" i="20"/>
  <c r="J71" i="20"/>
  <c r="I71" i="20"/>
  <c r="H71" i="20"/>
  <c r="M70" i="20"/>
  <c r="L70" i="20"/>
  <c r="K70" i="20"/>
  <c r="J70" i="20"/>
  <c r="I70" i="20"/>
  <c r="H70" i="20"/>
  <c r="M69" i="20"/>
  <c r="L69" i="20"/>
  <c r="K69" i="20"/>
  <c r="J69" i="20"/>
  <c r="I69" i="20"/>
  <c r="H69" i="20"/>
  <c r="M68" i="20"/>
  <c r="L68" i="20"/>
  <c r="K68" i="20"/>
  <c r="J68" i="20"/>
  <c r="I68" i="20"/>
  <c r="H68" i="20"/>
  <c r="M67" i="20"/>
  <c r="L67" i="20"/>
  <c r="K67" i="20"/>
  <c r="J67" i="20"/>
  <c r="I67" i="20"/>
  <c r="H67" i="20"/>
  <c r="M66" i="20"/>
  <c r="L66" i="20"/>
  <c r="K66" i="20"/>
  <c r="J66" i="20"/>
  <c r="I66" i="20"/>
  <c r="H66" i="20"/>
  <c r="M65" i="20"/>
  <c r="L65" i="20"/>
  <c r="K65" i="20"/>
  <c r="J65" i="20"/>
  <c r="I65" i="20"/>
  <c r="H65" i="20"/>
  <c r="M64" i="20"/>
  <c r="L64" i="20"/>
  <c r="K64" i="20"/>
  <c r="J64" i="20"/>
  <c r="I64" i="20"/>
  <c r="H64" i="20"/>
  <c r="M63" i="20"/>
  <c r="L63" i="20"/>
  <c r="K63" i="20"/>
  <c r="J63" i="20"/>
  <c r="I63" i="20"/>
  <c r="H63" i="20"/>
  <c r="M62" i="20"/>
  <c r="L62" i="20"/>
  <c r="K62" i="20"/>
  <c r="J62" i="20"/>
  <c r="I62" i="20"/>
  <c r="H62" i="20"/>
  <c r="M61" i="20"/>
  <c r="L61" i="20"/>
  <c r="K61" i="20"/>
  <c r="J61" i="20"/>
  <c r="I61" i="20"/>
  <c r="H61" i="20"/>
  <c r="M60" i="20"/>
  <c r="L60" i="20"/>
  <c r="K60" i="20"/>
  <c r="J60" i="20"/>
  <c r="I60" i="20"/>
  <c r="H60" i="20"/>
  <c r="M59" i="20"/>
  <c r="L59" i="20"/>
  <c r="K59" i="20"/>
  <c r="J59" i="20"/>
  <c r="I59" i="20"/>
  <c r="H59" i="20"/>
  <c r="M58" i="20"/>
  <c r="L58" i="20"/>
  <c r="K58" i="20"/>
  <c r="J58" i="20"/>
  <c r="I58" i="20"/>
  <c r="H58" i="20"/>
  <c r="M57" i="20"/>
  <c r="L57" i="20"/>
  <c r="K57" i="20"/>
  <c r="J57" i="20"/>
  <c r="I57" i="20"/>
  <c r="H57" i="20"/>
  <c r="M56" i="20"/>
  <c r="L56" i="20"/>
  <c r="K56" i="20"/>
  <c r="J56" i="20"/>
  <c r="I56" i="20"/>
  <c r="H56" i="20"/>
  <c r="M55" i="20"/>
  <c r="L55" i="20"/>
  <c r="K55" i="20"/>
  <c r="J55" i="20"/>
  <c r="I55" i="20"/>
  <c r="J591" i="20" s="1"/>
  <c r="H55" i="20"/>
  <c r="B598" i="20" s="1"/>
  <c r="N604" i="21"/>
  <c r="M604" i="21"/>
  <c r="N603" i="21"/>
  <c r="M603" i="21"/>
  <c r="N602" i="21"/>
  <c r="M602" i="21"/>
  <c r="N601" i="21"/>
  <c r="M601" i="21"/>
  <c r="N600" i="21"/>
  <c r="M600" i="21"/>
  <c r="N599" i="21"/>
  <c r="M599" i="21"/>
  <c r="N598" i="21"/>
  <c r="M598" i="21"/>
  <c r="N597" i="21"/>
  <c r="M597" i="21"/>
  <c r="N596" i="21"/>
  <c r="N605" i="21" s="1"/>
  <c r="M596" i="21"/>
  <c r="M605" i="21" s="1"/>
  <c r="BT2" i="38"/>
  <c r="AU158" i="38"/>
  <c r="AK158" i="38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" i="3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2" i="1"/>
  <c r="BT3" i="1"/>
  <c r="BT4" i="1"/>
  <c r="BT5" i="1"/>
  <c r="BT6" i="1"/>
  <c r="BT7" i="1"/>
  <c r="BT8" i="1"/>
  <c r="BT9" i="1"/>
  <c r="BT10" i="1"/>
  <c r="BT11" i="1"/>
  <c r="BT12" i="1"/>
  <c r="BT1" i="1"/>
  <c r="BI152" i="38"/>
  <c r="BG152" i="38"/>
  <c r="BC152" i="38"/>
  <c r="BA152" i="38"/>
  <c r="AW152" i="38"/>
  <c r="AU152" i="38"/>
  <c r="AQ152" i="38"/>
  <c r="AO152" i="38"/>
  <c r="AK152" i="38"/>
  <c r="AI152" i="38"/>
  <c r="AD149" i="38"/>
  <c r="BF151" i="38"/>
  <c r="AZ151" i="38"/>
  <c r="AT151" i="38"/>
  <c r="AN151" i="38"/>
  <c r="AH151" i="38"/>
  <c r="BJ150" i="38"/>
  <c r="BI150" i="38"/>
  <c r="BH150" i="38"/>
  <c r="BG150" i="38"/>
  <c r="BF150" i="38"/>
  <c r="BD150" i="38"/>
  <c r="BC150" i="38"/>
  <c r="BB150" i="38"/>
  <c r="BA150" i="38"/>
  <c r="AZ150" i="38"/>
  <c r="AX150" i="38"/>
  <c r="AW150" i="38"/>
  <c r="AV150" i="38"/>
  <c r="AU150" i="38"/>
  <c r="AT150" i="38"/>
  <c r="AR150" i="38"/>
  <c r="AQ150" i="38"/>
  <c r="AP150" i="38"/>
  <c r="AO150" i="38"/>
  <c r="AN150" i="38"/>
  <c r="AL150" i="38"/>
  <c r="AK150" i="38"/>
  <c r="AJ150" i="38"/>
  <c r="AI150" i="38"/>
  <c r="AH150" i="38"/>
  <c r="BJ149" i="38"/>
  <c r="BI149" i="38"/>
  <c r="BH149" i="38"/>
  <c r="BG149" i="38"/>
  <c r="BF149" i="38"/>
  <c r="BD149" i="38"/>
  <c r="BC149" i="38"/>
  <c r="BB149" i="38"/>
  <c r="BA149" i="38"/>
  <c r="AZ149" i="38"/>
  <c r="AX149" i="38"/>
  <c r="AW149" i="38"/>
  <c r="AV149" i="38"/>
  <c r="AU149" i="38"/>
  <c r="AT149" i="38"/>
  <c r="AR149" i="38"/>
  <c r="AQ149" i="38"/>
  <c r="AP149" i="38"/>
  <c r="AO149" i="38"/>
  <c r="AN149" i="38"/>
  <c r="AL149" i="38"/>
  <c r="AK149" i="38"/>
  <c r="AJ149" i="38"/>
  <c r="AI149" i="38"/>
  <c r="AH149" i="38"/>
  <c r="BJ148" i="38"/>
  <c r="BI148" i="38"/>
  <c r="BH148" i="38"/>
  <c r="BG148" i="38"/>
  <c r="BF148" i="38"/>
  <c r="BD148" i="38"/>
  <c r="BC148" i="38"/>
  <c r="BB148" i="38"/>
  <c r="BA148" i="38"/>
  <c r="AZ148" i="38"/>
  <c r="AX148" i="38"/>
  <c r="AW148" i="38"/>
  <c r="AV148" i="38"/>
  <c r="AU148" i="38"/>
  <c r="AT148" i="38"/>
  <c r="AR148" i="38"/>
  <c r="AQ148" i="38"/>
  <c r="AP148" i="38"/>
  <c r="AO148" i="38"/>
  <c r="AN148" i="38"/>
  <c r="AL148" i="38"/>
  <c r="AK148" i="38"/>
  <c r="AJ148" i="38"/>
  <c r="AI148" i="38"/>
  <c r="AH148" i="38"/>
  <c r="BJ147" i="38"/>
  <c r="BI147" i="38"/>
  <c r="BH147" i="38"/>
  <c r="BG147" i="38"/>
  <c r="BF147" i="38"/>
  <c r="BD147" i="38"/>
  <c r="BC147" i="38"/>
  <c r="BB147" i="38"/>
  <c r="BA147" i="38"/>
  <c r="AZ147" i="38"/>
  <c r="AX147" i="38"/>
  <c r="AW147" i="38"/>
  <c r="AV147" i="38"/>
  <c r="AU147" i="38"/>
  <c r="AT147" i="38"/>
  <c r="AR147" i="38"/>
  <c r="AQ147" i="38"/>
  <c r="AP147" i="38"/>
  <c r="AO147" i="38"/>
  <c r="AN147" i="38"/>
  <c r="AL147" i="38"/>
  <c r="AK147" i="38"/>
  <c r="AJ147" i="38"/>
  <c r="AI147" i="38"/>
  <c r="AH147" i="38"/>
  <c r="BJ146" i="38"/>
  <c r="BI146" i="38"/>
  <c r="BH146" i="38"/>
  <c r="BG146" i="38"/>
  <c r="BF146" i="38"/>
  <c r="BD146" i="38"/>
  <c r="BC146" i="38"/>
  <c r="BB146" i="38"/>
  <c r="BA146" i="38"/>
  <c r="AZ146" i="38"/>
  <c r="AX146" i="38"/>
  <c r="AW146" i="38"/>
  <c r="AV146" i="38"/>
  <c r="AU146" i="38"/>
  <c r="AT146" i="38"/>
  <c r="AR146" i="38"/>
  <c r="AQ146" i="38"/>
  <c r="AP146" i="38"/>
  <c r="AO146" i="38"/>
  <c r="AN146" i="38"/>
  <c r="AL146" i="38"/>
  <c r="AK146" i="38"/>
  <c r="AJ146" i="38"/>
  <c r="AI146" i="38"/>
  <c r="AH146" i="38"/>
  <c r="BJ145" i="38"/>
  <c r="BI145" i="38"/>
  <c r="BH145" i="38"/>
  <c r="BG145" i="38"/>
  <c r="BF145" i="38"/>
  <c r="BD145" i="38"/>
  <c r="BC145" i="38"/>
  <c r="BB145" i="38"/>
  <c r="BA145" i="38"/>
  <c r="AZ145" i="38"/>
  <c r="AX145" i="38"/>
  <c r="AW145" i="38"/>
  <c r="AV145" i="38"/>
  <c r="AU145" i="38"/>
  <c r="AT145" i="38"/>
  <c r="AR145" i="38"/>
  <c r="AQ145" i="38"/>
  <c r="AP145" i="38"/>
  <c r="AO145" i="38"/>
  <c r="AN145" i="38"/>
  <c r="AL145" i="38"/>
  <c r="AK145" i="38"/>
  <c r="AJ145" i="38"/>
  <c r="AI145" i="38"/>
  <c r="AH145" i="38"/>
  <c r="BJ144" i="38"/>
  <c r="BI144" i="38"/>
  <c r="BH144" i="38"/>
  <c r="BG144" i="38"/>
  <c r="BF144" i="38"/>
  <c r="BD144" i="38"/>
  <c r="BC144" i="38"/>
  <c r="BB144" i="38"/>
  <c r="BA144" i="38"/>
  <c r="AZ144" i="38"/>
  <c r="AX144" i="38"/>
  <c r="AW144" i="38"/>
  <c r="AV144" i="38"/>
  <c r="AU144" i="38"/>
  <c r="AT144" i="38"/>
  <c r="AR144" i="38"/>
  <c r="AQ144" i="38"/>
  <c r="AP144" i="38"/>
  <c r="AO144" i="38"/>
  <c r="AN144" i="38"/>
  <c r="AL144" i="38"/>
  <c r="AK144" i="38"/>
  <c r="AJ144" i="38"/>
  <c r="AI144" i="38"/>
  <c r="AH144" i="38"/>
  <c r="BJ143" i="38"/>
  <c r="BI143" i="38"/>
  <c r="BH143" i="38"/>
  <c r="BG143" i="38"/>
  <c r="BF143" i="38"/>
  <c r="BD143" i="38"/>
  <c r="BC143" i="38"/>
  <c r="BB143" i="38"/>
  <c r="BA143" i="38"/>
  <c r="AZ143" i="38"/>
  <c r="AX143" i="38"/>
  <c r="AW143" i="38"/>
  <c r="AV143" i="38"/>
  <c r="AU143" i="38"/>
  <c r="AT143" i="38"/>
  <c r="AR143" i="38"/>
  <c r="AQ143" i="38"/>
  <c r="AP143" i="38"/>
  <c r="AO143" i="38"/>
  <c r="AN143" i="38"/>
  <c r="AL143" i="38"/>
  <c r="AK143" i="38"/>
  <c r="AJ143" i="38"/>
  <c r="AI143" i="38"/>
  <c r="AH143" i="38"/>
  <c r="BJ142" i="38"/>
  <c r="BI142" i="38"/>
  <c r="BH142" i="38"/>
  <c r="BG142" i="38"/>
  <c r="BF142" i="38"/>
  <c r="BD142" i="38"/>
  <c r="BC142" i="38"/>
  <c r="BB142" i="38"/>
  <c r="BA142" i="38"/>
  <c r="AZ142" i="38"/>
  <c r="AX142" i="38"/>
  <c r="AW142" i="38"/>
  <c r="AV142" i="38"/>
  <c r="AU142" i="38"/>
  <c r="AT142" i="38"/>
  <c r="AR142" i="38"/>
  <c r="AQ142" i="38"/>
  <c r="AP142" i="38"/>
  <c r="AO142" i="38"/>
  <c r="AN142" i="38"/>
  <c r="AL142" i="38"/>
  <c r="AK142" i="38"/>
  <c r="AJ142" i="38"/>
  <c r="AI142" i="38"/>
  <c r="AH142" i="38"/>
  <c r="BJ141" i="38"/>
  <c r="BI141" i="38"/>
  <c r="BH141" i="38"/>
  <c r="BG141" i="38"/>
  <c r="BF141" i="38"/>
  <c r="BD141" i="38"/>
  <c r="BC141" i="38"/>
  <c r="BB141" i="38"/>
  <c r="BA141" i="38"/>
  <c r="AZ141" i="38"/>
  <c r="AX141" i="38"/>
  <c r="AW141" i="38"/>
  <c r="AV141" i="38"/>
  <c r="AU141" i="38"/>
  <c r="AT141" i="38"/>
  <c r="AR141" i="38"/>
  <c r="AQ141" i="38"/>
  <c r="AP141" i="38"/>
  <c r="AO141" i="38"/>
  <c r="AN141" i="38"/>
  <c r="AL141" i="38"/>
  <c r="AK141" i="38"/>
  <c r="AJ141" i="38"/>
  <c r="AI141" i="38"/>
  <c r="AH141" i="38"/>
  <c r="BF139" i="38"/>
  <c r="AZ139" i="38"/>
  <c r="AT139" i="38"/>
  <c r="AO139" i="38"/>
  <c r="AN139" i="38"/>
  <c r="AH139" i="38"/>
  <c r="BF138" i="38"/>
  <c r="AZ138" i="38"/>
  <c r="AT138" i="38"/>
  <c r="AO138" i="38"/>
  <c r="AN138" i="38"/>
  <c r="AH138" i="38"/>
  <c r="BH137" i="38"/>
  <c r="BB137" i="38"/>
  <c r="AV137" i="38"/>
  <c r="AP137" i="38"/>
  <c r="AJ137" i="38"/>
  <c r="BI131" i="38"/>
  <c r="BG131" i="38"/>
  <c r="BC131" i="38"/>
  <c r="BA131" i="38"/>
  <c r="AW131" i="38"/>
  <c r="AU131" i="38"/>
  <c r="AQ131" i="38"/>
  <c r="AO131" i="38"/>
  <c r="AK131" i="38"/>
  <c r="AI131" i="38"/>
  <c r="BF130" i="38"/>
  <c r="AZ130" i="38"/>
  <c r="AT130" i="38"/>
  <c r="AN130" i="38"/>
  <c r="AH130" i="38"/>
  <c r="BJ129" i="38"/>
  <c r="BI129" i="38"/>
  <c r="BH129" i="38"/>
  <c r="BG129" i="38"/>
  <c r="BF129" i="38"/>
  <c r="BD129" i="38"/>
  <c r="BC129" i="38"/>
  <c r="BB129" i="38"/>
  <c r="BA129" i="38"/>
  <c r="AZ129" i="38"/>
  <c r="AX129" i="38"/>
  <c r="AW129" i="38"/>
  <c r="AV129" i="38"/>
  <c r="AU129" i="38"/>
  <c r="AT129" i="38"/>
  <c r="AR129" i="38"/>
  <c r="AQ129" i="38"/>
  <c r="AP129" i="38"/>
  <c r="AO129" i="38"/>
  <c r="AN129" i="38"/>
  <c r="AL129" i="38"/>
  <c r="AK129" i="38"/>
  <c r="AJ129" i="38"/>
  <c r="AI129" i="38"/>
  <c r="AH129" i="38"/>
  <c r="BJ128" i="38"/>
  <c r="BI128" i="38"/>
  <c r="BH128" i="38"/>
  <c r="BG128" i="38"/>
  <c r="BF128" i="38"/>
  <c r="BD128" i="38"/>
  <c r="BC128" i="38"/>
  <c r="BB128" i="38"/>
  <c r="BA128" i="38"/>
  <c r="AZ128" i="38"/>
  <c r="AX128" i="38"/>
  <c r="AW128" i="38"/>
  <c r="AV128" i="38"/>
  <c r="AU128" i="38"/>
  <c r="AT128" i="38"/>
  <c r="AR128" i="38"/>
  <c r="AQ128" i="38"/>
  <c r="AP128" i="38"/>
  <c r="AO128" i="38"/>
  <c r="AN128" i="38"/>
  <c r="AL128" i="38"/>
  <c r="AK128" i="38"/>
  <c r="AJ128" i="38"/>
  <c r="AI128" i="38"/>
  <c r="AH128" i="38"/>
  <c r="BJ127" i="38"/>
  <c r="BI127" i="38"/>
  <c r="BH127" i="38"/>
  <c r="BG127" i="38"/>
  <c r="BF127" i="38"/>
  <c r="BD127" i="38"/>
  <c r="BC127" i="38"/>
  <c r="BB127" i="38"/>
  <c r="BA127" i="38"/>
  <c r="AZ127" i="38"/>
  <c r="AX127" i="38"/>
  <c r="AW127" i="38"/>
  <c r="AV127" i="38"/>
  <c r="AU127" i="38"/>
  <c r="AT127" i="38"/>
  <c r="AR127" i="38"/>
  <c r="AQ127" i="38"/>
  <c r="AP127" i="38"/>
  <c r="AO127" i="38"/>
  <c r="AN127" i="38"/>
  <c r="AL127" i="38"/>
  <c r="AK127" i="38"/>
  <c r="AJ127" i="38"/>
  <c r="AI127" i="38"/>
  <c r="AH127" i="38"/>
  <c r="BJ126" i="38"/>
  <c r="BI126" i="38"/>
  <c r="BH126" i="38"/>
  <c r="BG126" i="38"/>
  <c r="BF126" i="38"/>
  <c r="BD126" i="38"/>
  <c r="BC126" i="38"/>
  <c r="BB126" i="38"/>
  <c r="BA126" i="38"/>
  <c r="AZ126" i="38"/>
  <c r="AX126" i="38"/>
  <c r="AW126" i="38"/>
  <c r="AV126" i="38"/>
  <c r="AU126" i="38"/>
  <c r="AT126" i="38"/>
  <c r="AR126" i="38"/>
  <c r="AQ126" i="38"/>
  <c r="AP126" i="38"/>
  <c r="AO126" i="38"/>
  <c r="AN126" i="38"/>
  <c r="AL126" i="38"/>
  <c r="AK126" i="38"/>
  <c r="AJ126" i="38"/>
  <c r="AI126" i="38"/>
  <c r="AH126" i="38"/>
  <c r="BJ125" i="38"/>
  <c r="BI125" i="38"/>
  <c r="BH125" i="38"/>
  <c r="BG125" i="38"/>
  <c r="BF125" i="38"/>
  <c r="BD125" i="38"/>
  <c r="BC125" i="38"/>
  <c r="BB125" i="38"/>
  <c r="BA125" i="38"/>
  <c r="AZ125" i="38"/>
  <c r="AX125" i="38"/>
  <c r="AW125" i="38"/>
  <c r="AV125" i="38"/>
  <c r="AU125" i="38"/>
  <c r="AT125" i="38"/>
  <c r="AR125" i="38"/>
  <c r="AQ125" i="38"/>
  <c r="AP125" i="38"/>
  <c r="AO125" i="38"/>
  <c r="AN125" i="38"/>
  <c r="AL125" i="38"/>
  <c r="AK125" i="38"/>
  <c r="AJ125" i="38"/>
  <c r="AI125" i="38"/>
  <c r="AH125" i="38"/>
  <c r="BJ124" i="38"/>
  <c r="BI124" i="38"/>
  <c r="BH124" i="38"/>
  <c r="BG124" i="38"/>
  <c r="BF124" i="38"/>
  <c r="BD124" i="38"/>
  <c r="BC124" i="38"/>
  <c r="BB124" i="38"/>
  <c r="BA124" i="38"/>
  <c r="AZ124" i="38"/>
  <c r="AX124" i="38"/>
  <c r="AW124" i="38"/>
  <c r="AV124" i="38"/>
  <c r="AU124" i="38"/>
  <c r="AT124" i="38"/>
  <c r="AR124" i="38"/>
  <c r="AQ124" i="38"/>
  <c r="AP124" i="38"/>
  <c r="AO124" i="38"/>
  <c r="AN124" i="38"/>
  <c r="AL124" i="38"/>
  <c r="AK124" i="38"/>
  <c r="AJ124" i="38"/>
  <c r="AI124" i="38"/>
  <c r="AH124" i="38"/>
  <c r="BJ123" i="38"/>
  <c r="BI123" i="38"/>
  <c r="BH123" i="38"/>
  <c r="BG123" i="38"/>
  <c r="BF123" i="38"/>
  <c r="BD123" i="38"/>
  <c r="BC123" i="38"/>
  <c r="BB123" i="38"/>
  <c r="BA123" i="38"/>
  <c r="AZ123" i="38"/>
  <c r="AX123" i="38"/>
  <c r="AW123" i="38"/>
  <c r="AV123" i="38"/>
  <c r="AU123" i="38"/>
  <c r="AT123" i="38"/>
  <c r="AR123" i="38"/>
  <c r="AQ123" i="38"/>
  <c r="AP123" i="38"/>
  <c r="AO123" i="38"/>
  <c r="AN123" i="38"/>
  <c r="AL123" i="38"/>
  <c r="AK123" i="38"/>
  <c r="AJ123" i="38"/>
  <c r="AI123" i="38"/>
  <c r="AH123" i="38"/>
  <c r="BJ122" i="38"/>
  <c r="BI122" i="38"/>
  <c r="BH122" i="38"/>
  <c r="BG122" i="38"/>
  <c r="BF122" i="38"/>
  <c r="BD122" i="38"/>
  <c r="BC122" i="38"/>
  <c r="BB122" i="38"/>
  <c r="BA122" i="38"/>
  <c r="AZ122" i="38"/>
  <c r="AX122" i="38"/>
  <c r="AW122" i="38"/>
  <c r="AV122" i="38"/>
  <c r="AU122" i="38"/>
  <c r="AT122" i="38"/>
  <c r="AR122" i="38"/>
  <c r="AQ122" i="38"/>
  <c r="AP122" i="38"/>
  <c r="AO122" i="38"/>
  <c r="AN122" i="38"/>
  <c r="AL122" i="38"/>
  <c r="AK122" i="38"/>
  <c r="AJ122" i="38"/>
  <c r="AI122" i="38"/>
  <c r="AH122" i="38"/>
  <c r="BJ121" i="38"/>
  <c r="BI121" i="38"/>
  <c r="BH121" i="38"/>
  <c r="BG121" i="38"/>
  <c r="BF121" i="38"/>
  <c r="BD121" i="38"/>
  <c r="BC121" i="38"/>
  <c r="BB121" i="38"/>
  <c r="BA121" i="38"/>
  <c r="AZ121" i="38"/>
  <c r="AX121" i="38"/>
  <c r="AW121" i="38"/>
  <c r="AV121" i="38"/>
  <c r="AU121" i="38"/>
  <c r="AT121" i="38"/>
  <c r="AR121" i="38"/>
  <c r="AQ121" i="38"/>
  <c r="AP121" i="38"/>
  <c r="AO121" i="38"/>
  <c r="AN121" i="38"/>
  <c r="AL121" i="38"/>
  <c r="AK121" i="38"/>
  <c r="AJ121" i="38"/>
  <c r="AI121" i="38"/>
  <c r="AH121" i="38"/>
  <c r="BJ120" i="38"/>
  <c r="BI120" i="38"/>
  <c r="BH120" i="38"/>
  <c r="BG120" i="38"/>
  <c r="BF120" i="38"/>
  <c r="BD120" i="38"/>
  <c r="BC120" i="38"/>
  <c r="BB120" i="38"/>
  <c r="BA120" i="38"/>
  <c r="AZ120" i="38"/>
  <c r="AX120" i="38"/>
  <c r="AW120" i="38"/>
  <c r="AV120" i="38"/>
  <c r="AU120" i="38"/>
  <c r="AT120" i="38"/>
  <c r="AR120" i="38"/>
  <c r="AQ120" i="38"/>
  <c r="AP120" i="38"/>
  <c r="AO120" i="38"/>
  <c r="AN120" i="38"/>
  <c r="AL120" i="38"/>
  <c r="AK120" i="38"/>
  <c r="AJ120" i="38"/>
  <c r="AI120" i="38"/>
  <c r="AH120" i="38"/>
  <c r="BF118" i="38"/>
  <c r="AZ118" i="38"/>
  <c r="AT118" i="38"/>
  <c r="AN118" i="38"/>
  <c r="AH118" i="38"/>
  <c r="BF117" i="38"/>
  <c r="AZ117" i="38"/>
  <c r="AT117" i="38"/>
  <c r="AN117" i="38"/>
  <c r="AH117" i="38"/>
  <c r="BH116" i="38"/>
  <c r="BB116" i="38"/>
  <c r="AV116" i="38"/>
  <c r="AP116" i="38"/>
  <c r="AJ116" i="38"/>
  <c r="L113" i="38"/>
  <c r="K113" i="38"/>
  <c r="J113" i="38"/>
  <c r="I113" i="38"/>
  <c r="H113" i="38"/>
  <c r="L112" i="38"/>
  <c r="K112" i="38"/>
  <c r="J112" i="38"/>
  <c r="I112" i="38"/>
  <c r="H112" i="38"/>
  <c r="L111" i="38"/>
  <c r="K111" i="38"/>
  <c r="J111" i="38"/>
  <c r="I111" i="38"/>
  <c r="H111" i="38"/>
  <c r="L110" i="38"/>
  <c r="K110" i="38"/>
  <c r="J110" i="38"/>
  <c r="I110" i="38"/>
  <c r="H110" i="38"/>
  <c r="L109" i="38"/>
  <c r="K109" i="38"/>
  <c r="J109" i="38"/>
  <c r="I109" i="38"/>
  <c r="H109" i="38"/>
  <c r="L108" i="38"/>
  <c r="K108" i="38"/>
  <c r="J108" i="38"/>
  <c r="I108" i="38"/>
  <c r="H108" i="38"/>
  <c r="L107" i="38"/>
  <c r="K107" i="38"/>
  <c r="J107" i="38"/>
  <c r="I107" i="38"/>
  <c r="H107" i="38"/>
  <c r="L106" i="38"/>
  <c r="K106" i="38"/>
  <c r="J106" i="38"/>
  <c r="I106" i="38"/>
  <c r="H106" i="38"/>
  <c r="L105" i="38"/>
  <c r="K105" i="38"/>
  <c r="J105" i="38"/>
  <c r="I105" i="38"/>
  <c r="H105" i="38"/>
  <c r="L104" i="38"/>
  <c r="K104" i="38"/>
  <c r="J104" i="38"/>
  <c r="I104" i="38"/>
  <c r="H104" i="38"/>
  <c r="L103" i="38"/>
  <c r="K103" i="38"/>
  <c r="J103" i="38"/>
  <c r="I103" i="38"/>
  <c r="H103" i="38"/>
  <c r="L102" i="38"/>
  <c r="K102" i="38"/>
  <c r="J102" i="38"/>
  <c r="I102" i="38"/>
  <c r="H102" i="38"/>
  <c r="L101" i="38"/>
  <c r="K101" i="38"/>
  <c r="J101" i="38"/>
  <c r="I101" i="38"/>
  <c r="H101" i="38"/>
  <c r="L100" i="38"/>
  <c r="K100" i="38"/>
  <c r="J100" i="38"/>
  <c r="I100" i="38"/>
  <c r="H100" i="38"/>
  <c r="L99" i="38"/>
  <c r="K99" i="38"/>
  <c r="J99" i="38"/>
  <c r="I99" i="38"/>
  <c r="H99" i="38"/>
  <c r="L98" i="38"/>
  <c r="K98" i="38"/>
  <c r="J98" i="38"/>
  <c r="I98" i="38"/>
  <c r="H98" i="38"/>
  <c r="L97" i="38"/>
  <c r="K97" i="38"/>
  <c r="J97" i="38"/>
  <c r="I97" i="38"/>
  <c r="H97" i="38"/>
  <c r="L96" i="38"/>
  <c r="K96" i="38"/>
  <c r="J96" i="38"/>
  <c r="I96" i="38"/>
  <c r="H96" i="38"/>
  <c r="L95" i="38"/>
  <c r="K95" i="38"/>
  <c r="J95" i="38"/>
  <c r="I95" i="38"/>
  <c r="H95" i="38"/>
  <c r="L94" i="38"/>
  <c r="K94" i="38"/>
  <c r="J94" i="38"/>
  <c r="I94" i="38"/>
  <c r="H94" i="38"/>
  <c r="L93" i="38"/>
  <c r="K93" i="38"/>
  <c r="J93" i="38"/>
  <c r="I93" i="38"/>
  <c r="H93" i="38"/>
  <c r="L92" i="38"/>
  <c r="K92" i="38"/>
  <c r="J92" i="38"/>
  <c r="I92" i="38"/>
  <c r="H92" i="38"/>
  <c r="L91" i="38"/>
  <c r="K91" i="38"/>
  <c r="J91" i="38"/>
  <c r="I91" i="38"/>
  <c r="H91" i="38"/>
  <c r="L90" i="38"/>
  <c r="K90" i="38"/>
  <c r="J90" i="38"/>
  <c r="I90" i="38"/>
  <c r="H90" i="38"/>
  <c r="L89" i="38"/>
  <c r="K89" i="38"/>
  <c r="J89" i="38"/>
  <c r="I89" i="38"/>
  <c r="H89" i="38"/>
  <c r="L88" i="38"/>
  <c r="K88" i="38"/>
  <c r="J88" i="38"/>
  <c r="I88" i="38"/>
  <c r="H88" i="38"/>
  <c r="L87" i="38"/>
  <c r="K87" i="38"/>
  <c r="J87" i="38"/>
  <c r="I87" i="38"/>
  <c r="H87" i="38"/>
  <c r="L86" i="38"/>
  <c r="K86" i="38"/>
  <c r="J86" i="38"/>
  <c r="I86" i="38"/>
  <c r="H86" i="38"/>
  <c r="L85" i="38"/>
  <c r="K85" i="38"/>
  <c r="J85" i="38"/>
  <c r="I85" i="38"/>
  <c r="H85" i="38"/>
  <c r="L84" i="38"/>
  <c r="K84" i="38"/>
  <c r="J84" i="38"/>
  <c r="I84" i="38"/>
  <c r="H84" i="38"/>
  <c r="L83" i="38"/>
  <c r="K83" i="38"/>
  <c r="J83" i="38"/>
  <c r="I83" i="38"/>
  <c r="H83" i="38"/>
  <c r="L82" i="38"/>
  <c r="K82" i="38"/>
  <c r="J82" i="38"/>
  <c r="I82" i="38"/>
  <c r="H82" i="38"/>
  <c r="L81" i="38"/>
  <c r="K81" i="38"/>
  <c r="J81" i="38"/>
  <c r="I81" i="38"/>
  <c r="H81" i="38"/>
  <c r="L80" i="38"/>
  <c r="K80" i="38"/>
  <c r="J80" i="38"/>
  <c r="I80" i="38"/>
  <c r="H80" i="38"/>
  <c r="L79" i="38"/>
  <c r="K79" i="38"/>
  <c r="J79" i="38"/>
  <c r="I79" i="38"/>
  <c r="H79" i="38"/>
  <c r="L78" i="38"/>
  <c r="K78" i="38"/>
  <c r="J78" i="38"/>
  <c r="I78" i="38"/>
  <c r="H78" i="38"/>
  <c r="L77" i="38"/>
  <c r="K77" i="38"/>
  <c r="J77" i="38"/>
  <c r="I77" i="38"/>
  <c r="H77" i="38"/>
  <c r="L76" i="38"/>
  <c r="K76" i="38"/>
  <c r="J76" i="38"/>
  <c r="I76" i="38"/>
  <c r="H76" i="38"/>
  <c r="L75" i="38"/>
  <c r="K75" i="38"/>
  <c r="J75" i="38"/>
  <c r="I75" i="38"/>
  <c r="H75" i="38"/>
  <c r="L74" i="38"/>
  <c r="K74" i="38"/>
  <c r="J74" i="38"/>
  <c r="I74" i="38"/>
  <c r="H74" i="38"/>
  <c r="L73" i="38"/>
  <c r="K73" i="38"/>
  <c r="J73" i="38"/>
  <c r="I73" i="38"/>
  <c r="H73" i="38"/>
  <c r="L72" i="38"/>
  <c r="K72" i="38"/>
  <c r="J72" i="38"/>
  <c r="I72" i="38"/>
  <c r="H72" i="38"/>
  <c r="L71" i="38"/>
  <c r="K71" i="38"/>
  <c r="J71" i="38"/>
  <c r="I71" i="38"/>
  <c r="H71" i="38"/>
  <c r="L70" i="38"/>
  <c r="K70" i="38"/>
  <c r="J70" i="38"/>
  <c r="I70" i="38"/>
  <c r="H70" i="38"/>
  <c r="L69" i="38"/>
  <c r="K69" i="38"/>
  <c r="J69" i="38"/>
  <c r="I69" i="38"/>
  <c r="H69" i="38"/>
  <c r="L68" i="38"/>
  <c r="K68" i="38"/>
  <c r="J68" i="38"/>
  <c r="I68" i="38"/>
  <c r="H68" i="38"/>
  <c r="L67" i="38"/>
  <c r="K67" i="38"/>
  <c r="J67" i="38"/>
  <c r="I67" i="38"/>
  <c r="H67" i="38"/>
  <c r="L66" i="38"/>
  <c r="K66" i="38"/>
  <c r="J66" i="38"/>
  <c r="I66" i="38"/>
  <c r="H66" i="38"/>
  <c r="L65" i="38"/>
  <c r="K65" i="38"/>
  <c r="J65" i="38"/>
  <c r="I65" i="38"/>
  <c r="H65" i="38"/>
  <c r="L64" i="38"/>
  <c r="K64" i="38"/>
  <c r="J64" i="38"/>
  <c r="I64" i="38"/>
  <c r="H64" i="38"/>
  <c r="L63" i="38"/>
  <c r="K63" i="38"/>
  <c r="J63" i="38"/>
  <c r="I63" i="38"/>
  <c r="H63" i="38"/>
  <c r="L62" i="38"/>
  <c r="K62" i="38"/>
  <c r="J62" i="38"/>
  <c r="I62" i="38"/>
  <c r="H62" i="38"/>
  <c r="L61" i="38"/>
  <c r="K61" i="38"/>
  <c r="J61" i="38"/>
  <c r="I61" i="38"/>
  <c r="H61" i="38"/>
  <c r="L60" i="38"/>
  <c r="K60" i="38"/>
  <c r="J60" i="38"/>
  <c r="I60" i="38"/>
  <c r="H60" i="38"/>
  <c r="L59" i="38"/>
  <c r="K59" i="38"/>
  <c r="J59" i="38"/>
  <c r="I59" i="38"/>
  <c r="H59" i="38"/>
  <c r="L58" i="38"/>
  <c r="K58" i="38"/>
  <c r="J58" i="38"/>
  <c r="I58" i="38"/>
  <c r="H58" i="38"/>
  <c r="L57" i="38"/>
  <c r="K57" i="38"/>
  <c r="J57" i="38"/>
  <c r="I57" i="38"/>
  <c r="H57" i="38"/>
  <c r="L56" i="38"/>
  <c r="K56" i="38"/>
  <c r="J56" i="38"/>
  <c r="I56" i="38"/>
  <c r="H56" i="38"/>
  <c r="L55" i="38"/>
  <c r="K55" i="38"/>
  <c r="J55" i="38"/>
  <c r="I55" i="38"/>
  <c r="H55" i="38"/>
  <c r="L54" i="38"/>
  <c r="K54" i="38"/>
  <c r="J54" i="38"/>
  <c r="I54" i="38"/>
  <c r="H54" i="38"/>
  <c r="L53" i="38"/>
  <c r="K53" i="38"/>
  <c r="J53" i="38"/>
  <c r="I53" i="38"/>
  <c r="H53" i="38"/>
  <c r="L52" i="38"/>
  <c r="K52" i="38"/>
  <c r="J52" i="38"/>
  <c r="I52" i="38"/>
  <c r="H52" i="38"/>
  <c r="L51" i="38"/>
  <c r="K51" i="38"/>
  <c r="J51" i="38"/>
  <c r="I51" i="38"/>
  <c r="H51" i="38"/>
  <c r="L50" i="38"/>
  <c r="K50" i="38"/>
  <c r="J50" i="38"/>
  <c r="I50" i="38"/>
  <c r="H50" i="38"/>
  <c r="L49" i="38"/>
  <c r="K49" i="38"/>
  <c r="J49" i="38"/>
  <c r="I49" i="38"/>
  <c r="H49" i="38"/>
  <c r="L48" i="38"/>
  <c r="K48" i="38"/>
  <c r="J48" i="38"/>
  <c r="I48" i="38"/>
  <c r="H48" i="38"/>
  <c r="L47" i="38"/>
  <c r="K47" i="38"/>
  <c r="J47" i="38"/>
  <c r="I47" i="38"/>
  <c r="H47" i="38"/>
  <c r="L46" i="38"/>
  <c r="K46" i="38"/>
  <c r="J46" i="38"/>
  <c r="I46" i="38"/>
  <c r="H46" i="38"/>
  <c r="L45" i="38"/>
  <c r="K45" i="38"/>
  <c r="J45" i="38"/>
  <c r="I45" i="38"/>
  <c r="H45" i="38"/>
  <c r="L44" i="38"/>
  <c r="K44" i="38"/>
  <c r="J44" i="38"/>
  <c r="I44" i="38"/>
  <c r="H44" i="38"/>
  <c r="L43" i="38"/>
  <c r="K43" i="38"/>
  <c r="J43" i="38"/>
  <c r="I43" i="38"/>
  <c r="H43" i="38"/>
  <c r="L42" i="38"/>
  <c r="K42" i="38"/>
  <c r="J42" i="38"/>
  <c r="I42" i="38"/>
  <c r="H42" i="38"/>
  <c r="L41" i="38"/>
  <c r="K41" i="38"/>
  <c r="J41" i="38"/>
  <c r="I41" i="38"/>
  <c r="H41" i="38"/>
  <c r="L40" i="38"/>
  <c r="K40" i="38"/>
  <c r="J40" i="38"/>
  <c r="I40" i="38"/>
  <c r="H40" i="38"/>
  <c r="L39" i="38"/>
  <c r="K39" i="38"/>
  <c r="J39" i="38"/>
  <c r="I39" i="38"/>
  <c r="H39" i="38"/>
  <c r="L38" i="38"/>
  <c r="K38" i="38"/>
  <c r="J38" i="38"/>
  <c r="I38" i="38"/>
  <c r="H38" i="38"/>
  <c r="L37" i="38"/>
  <c r="K37" i="38"/>
  <c r="J37" i="38"/>
  <c r="I37" i="38"/>
  <c r="H37" i="38"/>
  <c r="L36" i="38"/>
  <c r="K36" i="38"/>
  <c r="J36" i="38"/>
  <c r="I36" i="38"/>
  <c r="H36" i="38"/>
  <c r="L35" i="38"/>
  <c r="K35" i="38"/>
  <c r="J35" i="38"/>
  <c r="I35" i="38"/>
  <c r="H35" i="38"/>
  <c r="L34" i="38"/>
  <c r="K34" i="38"/>
  <c r="J34" i="38"/>
  <c r="I34" i="38"/>
  <c r="H34" i="38"/>
  <c r="L33" i="38"/>
  <c r="K33" i="38"/>
  <c r="J33" i="38"/>
  <c r="I33" i="38"/>
  <c r="H33" i="38"/>
  <c r="L32" i="38"/>
  <c r="K32" i="38"/>
  <c r="J32" i="38"/>
  <c r="I32" i="38"/>
  <c r="H32" i="38"/>
  <c r="L31" i="38"/>
  <c r="K31" i="38"/>
  <c r="J31" i="38"/>
  <c r="I31" i="38"/>
  <c r="H31" i="38"/>
  <c r="L30" i="38"/>
  <c r="K30" i="38"/>
  <c r="J30" i="38"/>
  <c r="I30" i="38"/>
  <c r="H30" i="38"/>
  <c r="L29" i="38"/>
  <c r="K29" i="38"/>
  <c r="J29" i="38"/>
  <c r="I29" i="38"/>
  <c r="H29" i="38"/>
  <c r="L28" i="38"/>
  <c r="K28" i="38"/>
  <c r="J28" i="38"/>
  <c r="I28" i="38"/>
  <c r="H28" i="38"/>
  <c r="L27" i="38"/>
  <c r="K27" i="38"/>
  <c r="J27" i="38"/>
  <c r="I27" i="38"/>
  <c r="H27" i="38"/>
  <c r="L26" i="38"/>
  <c r="K26" i="38"/>
  <c r="J26" i="38"/>
  <c r="I26" i="38"/>
  <c r="H26" i="38"/>
  <c r="L25" i="38"/>
  <c r="K25" i="38"/>
  <c r="J25" i="38"/>
  <c r="I25" i="38"/>
  <c r="H25" i="38"/>
  <c r="L24" i="38"/>
  <c r="K24" i="38"/>
  <c r="J24" i="38"/>
  <c r="I24" i="38"/>
  <c r="H24" i="38"/>
  <c r="AR23" i="38"/>
  <c r="AQ23" i="38"/>
  <c r="AP23" i="38"/>
  <c r="AO23" i="38"/>
  <c r="AN23" i="38"/>
  <c r="AM23" i="38"/>
  <c r="AL23" i="38"/>
  <c r="AK23" i="38"/>
  <c r="AJ23" i="38"/>
  <c r="AI23" i="38"/>
  <c r="AH23" i="38"/>
  <c r="AG23" i="38"/>
  <c r="AF23" i="38"/>
  <c r="AE23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L23" i="38"/>
  <c r="K23" i="38"/>
  <c r="J23" i="38"/>
  <c r="I23" i="38"/>
  <c r="H23" i="38"/>
  <c r="AR22" i="38"/>
  <c r="AQ22" i="38"/>
  <c r="AP22" i="38"/>
  <c r="AO22" i="38"/>
  <c r="AN22" i="38"/>
  <c r="AM22" i="38"/>
  <c r="AL22" i="38"/>
  <c r="AK22" i="38"/>
  <c r="AJ22" i="38"/>
  <c r="AI22" i="38"/>
  <c r="AH22" i="38"/>
  <c r="AG22" i="38"/>
  <c r="AF22" i="38"/>
  <c r="AE22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L22" i="38"/>
  <c r="K22" i="38"/>
  <c r="J22" i="38"/>
  <c r="I22" i="38"/>
  <c r="H22" i="38"/>
  <c r="AR21" i="38"/>
  <c r="AQ21" i="38"/>
  <c r="AP21" i="38"/>
  <c r="AO21" i="38"/>
  <c r="AN21" i="38"/>
  <c r="AM21" i="38"/>
  <c r="AL21" i="38"/>
  <c r="AK21" i="38"/>
  <c r="AJ21" i="38"/>
  <c r="AI21" i="38"/>
  <c r="AH21" i="38"/>
  <c r="AG21" i="38"/>
  <c r="AF21" i="38"/>
  <c r="AE21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AU21" i="38" s="1"/>
  <c r="AT156" i="38" s="1"/>
  <c r="O21" i="38"/>
  <c r="L21" i="38"/>
  <c r="K21" i="38"/>
  <c r="J21" i="38"/>
  <c r="I21" i="38"/>
  <c r="H21" i="38"/>
  <c r="AR20" i="38"/>
  <c r="AQ20" i="38"/>
  <c r="AP20" i="38"/>
  <c r="AO20" i="38"/>
  <c r="AN20" i="38"/>
  <c r="AM20" i="38"/>
  <c r="AL20" i="38"/>
  <c r="AK20" i="38"/>
  <c r="AJ20" i="38"/>
  <c r="AI20" i="38"/>
  <c r="AH20" i="38"/>
  <c r="AG20" i="38"/>
  <c r="AF20" i="38"/>
  <c r="AE20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L20" i="38"/>
  <c r="K20" i="38"/>
  <c r="J20" i="38"/>
  <c r="I20" i="38"/>
  <c r="H20" i="38"/>
  <c r="AR19" i="38"/>
  <c r="AQ19" i="38"/>
  <c r="AP19" i="38"/>
  <c r="AO19" i="38"/>
  <c r="AN19" i="38"/>
  <c r="AM19" i="38"/>
  <c r="AL19" i="38"/>
  <c r="AK19" i="38"/>
  <c r="AJ19" i="38"/>
  <c r="AI19" i="38"/>
  <c r="AH19" i="38"/>
  <c r="AG19" i="38"/>
  <c r="AF19" i="38"/>
  <c r="AE19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L19" i="38"/>
  <c r="K19" i="38"/>
  <c r="J19" i="38"/>
  <c r="I19" i="38"/>
  <c r="H19" i="38"/>
  <c r="AR18" i="38"/>
  <c r="AQ18" i="38"/>
  <c r="AP18" i="38"/>
  <c r="AO18" i="38"/>
  <c r="AN18" i="38"/>
  <c r="AM18" i="38"/>
  <c r="AL18" i="38"/>
  <c r="AK18" i="38"/>
  <c r="AJ18" i="38"/>
  <c r="AI18" i="38"/>
  <c r="AH18" i="38"/>
  <c r="AG18" i="38"/>
  <c r="AF18" i="38"/>
  <c r="AE18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L18" i="38"/>
  <c r="K18" i="38"/>
  <c r="J18" i="38"/>
  <c r="I18" i="38"/>
  <c r="H18" i="38"/>
  <c r="AR17" i="38"/>
  <c r="AQ17" i="38"/>
  <c r="AP17" i="38"/>
  <c r="AO17" i="38"/>
  <c r="AN17" i="38"/>
  <c r="AM17" i="38"/>
  <c r="AL17" i="38"/>
  <c r="AK17" i="38"/>
  <c r="AJ17" i="38"/>
  <c r="AI17" i="38"/>
  <c r="AH17" i="38"/>
  <c r="AG17" i="38"/>
  <c r="AF17" i="38"/>
  <c r="AE17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AU17" i="38" s="1"/>
  <c r="AZ135" i="38" s="1"/>
  <c r="O17" i="38"/>
  <c r="L17" i="38"/>
  <c r="K17" i="38"/>
  <c r="J17" i="38"/>
  <c r="I17" i="38"/>
  <c r="H17" i="38"/>
  <c r="AR16" i="38"/>
  <c r="AQ16" i="38"/>
  <c r="AP16" i="38"/>
  <c r="AO16" i="38"/>
  <c r="AN16" i="38"/>
  <c r="AM16" i="38"/>
  <c r="AL16" i="38"/>
  <c r="AK16" i="38"/>
  <c r="AJ16" i="38"/>
  <c r="AI16" i="38"/>
  <c r="AH16" i="38"/>
  <c r="AG16" i="38"/>
  <c r="AF16" i="38"/>
  <c r="AE16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AU16" i="38" s="1"/>
  <c r="AT135" i="38" s="1"/>
  <c r="O16" i="38"/>
  <c r="L16" i="38"/>
  <c r="K16" i="38"/>
  <c r="J16" i="38"/>
  <c r="I16" i="38"/>
  <c r="H16" i="38"/>
  <c r="AR15" i="38"/>
  <c r="AQ15" i="38"/>
  <c r="AP15" i="38"/>
  <c r="AO15" i="38"/>
  <c r="AN15" i="38"/>
  <c r="AM15" i="38"/>
  <c r="AL15" i="38"/>
  <c r="AK15" i="38"/>
  <c r="AJ15" i="38"/>
  <c r="AI15" i="38"/>
  <c r="AH15" i="38"/>
  <c r="AG15" i="38"/>
  <c r="AF15" i="38"/>
  <c r="AE15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L15" i="38"/>
  <c r="K15" i="38"/>
  <c r="J15" i="38"/>
  <c r="I15" i="38"/>
  <c r="T148" i="38" s="1"/>
  <c r="H15" i="38"/>
  <c r="AR14" i="38"/>
  <c r="AQ14" i="38"/>
  <c r="AP14" i="38"/>
  <c r="AO14" i="38"/>
  <c r="AN14" i="38"/>
  <c r="AM14" i="38"/>
  <c r="AL14" i="38"/>
  <c r="AK14" i="38"/>
  <c r="AJ14" i="38"/>
  <c r="AI14" i="38"/>
  <c r="AH14" i="38"/>
  <c r="AG14" i="38"/>
  <c r="AF14" i="38"/>
  <c r="AE14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L14" i="38"/>
  <c r="K14" i="38"/>
  <c r="J14" i="38"/>
  <c r="I14" i="38"/>
  <c r="H14" i="38"/>
  <c r="BI151" i="38"/>
  <c r="BC151" i="38"/>
  <c r="AW151" i="38"/>
  <c r="AQ151" i="38"/>
  <c r="AK151" i="38"/>
  <c r="BI130" i="38"/>
  <c r="BC130" i="38"/>
  <c r="AW130" i="38"/>
  <c r="AQ130" i="38"/>
  <c r="AK130" i="38"/>
  <c r="A160" i="34"/>
  <c r="J202" i="34"/>
  <c r="K202" i="34"/>
  <c r="L202" i="34"/>
  <c r="M202" i="34"/>
  <c r="J203" i="34"/>
  <c r="K203" i="34"/>
  <c r="L203" i="34"/>
  <c r="M203" i="34"/>
  <c r="J204" i="34"/>
  <c r="K204" i="34"/>
  <c r="L204" i="34"/>
  <c r="M204" i="34"/>
  <c r="J205" i="34"/>
  <c r="K205" i="34"/>
  <c r="L205" i="34"/>
  <c r="M205" i="34"/>
  <c r="J206" i="34"/>
  <c r="K206" i="34"/>
  <c r="L206" i="34"/>
  <c r="M206" i="34"/>
  <c r="J207" i="34"/>
  <c r="K207" i="34"/>
  <c r="L207" i="34"/>
  <c r="M207" i="34"/>
  <c r="J208" i="34"/>
  <c r="K208" i="34"/>
  <c r="L208" i="34"/>
  <c r="M208" i="34"/>
  <c r="J209" i="34"/>
  <c r="K209" i="34"/>
  <c r="L209" i="34"/>
  <c r="M209" i="34"/>
  <c r="J210" i="34"/>
  <c r="K210" i="34"/>
  <c r="L210" i="34"/>
  <c r="M210" i="34"/>
  <c r="J211" i="34"/>
  <c r="K211" i="34"/>
  <c r="L211" i="34"/>
  <c r="M211" i="34"/>
  <c r="I211" i="34"/>
  <c r="I210" i="34"/>
  <c r="I209" i="34"/>
  <c r="I208" i="34"/>
  <c r="I207" i="34"/>
  <c r="I206" i="34"/>
  <c r="I205" i="34"/>
  <c r="I204" i="34"/>
  <c r="I203" i="34"/>
  <c r="I202" i="34"/>
  <c r="B202" i="34"/>
  <c r="C202" i="34"/>
  <c r="D202" i="34"/>
  <c r="E202" i="34"/>
  <c r="B203" i="34"/>
  <c r="C203" i="34"/>
  <c r="D203" i="34"/>
  <c r="E203" i="34"/>
  <c r="B204" i="34"/>
  <c r="C204" i="34"/>
  <c r="D204" i="34"/>
  <c r="E204" i="34"/>
  <c r="B205" i="34"/>
  <c r="C205" i="34"/>
  <c r="D205" i="34"/>
  <c r="E205" i="34"/>
  <c r="B206" i="34"/>
  <c r="C206" i="34"/>
  <c r="D206" i="34"/>
  <c r="E206" i="34"/>
  <c r="B207" i="34"/>
  <c r="C207" i="34"/>
  <c r="D207" i="34"/>
  <c r="E207" i="34"/>
  <c r="B208" i="34"/>
  <c r="C208" i="34"/>
  <c r="D208" i="34"/>
  <c r="E208" i="34"/>
  <c r="B209" i="34"/>
  <c r="C209" i="34"/>
  <c r="D209" i="34"/>
  <c r="E209" i="34"/>
  <c r="B210" i="34"/>
  <c r="C210" i="34"/>
  <c r="D210" i="34"/>
  <c r="E210" i="34"/>
  <c r="B211" i="34"/>
  <c r="C211" i="34"/>
  <c r="D211" i="34"/>
  <c r="E211" i="34"/>
  <c r="A211" i="34"/>
  <c r="A210" i="34"/>
  <c r="A209" i="34"/>
  <c r="A208" i="34"/>
  <c r="A207" i="34"/>
  <c r="A206" i="34"/>
  <c r="A205" i="34"/>
  <c r="A204" i="34"/>
  <c r="A203" i="34"/>
  <c r="A202" i="34"/>
  <c r="J183" i="34"/>
  <c r="K183" i="34"/>
  <c r="L183" i="34"/>
  <c r="M183" i="34"/>
  <c r="J184" i="34"/>
  <c r="K184" i="34"/>
  <c r="L184" i="34"/>
  <c r="M184" i="34"/>
  <c r="J185" i="34"/>
  <c r="K185" i="34"/>
  <c r="L185" i="34"/>
  <c r="M185" i="34"/>
  <c r="J186" i="34"/>
  <c r="K186" i="34"/>
  <c r="L186" i="34"/>
  <c r="M186" i="34"/>
  <c r="J187" i="34"/>
  <c r="K187" i="34"/>
  <c r="L187" i="34"/>
  <c r="M187" i="34"/>
  <c r="J188" i="34"/>
  <c r="K188" i="34"/>
  <c r="L188" i="34"/>
  <c r="M188" i="34"/>
  <c r="J189" i="34"/>
  <c r="K189" i="34"/>
  <c r="L189" i="34"/>
  <c r="M189" i="34"/>
  <c r="J190" i="34"/>
  <c r="K190" i="34"/>
  <c r="L190" i="34"/>
  <c r="M190" i="34"/>
  <c r="J191" i="34"/>
  <c r="K191" i="34"/>
  <c r="L191" i="34"/>
  <c r="M191" i="34"/>
  <c r="J192" i="34"/>
  <c r="K192" i="34"/>
  <c r="L192" i="34"/>
  <c r="M192" i="34"/>
  <c r="I192" i="34"/>
  <c r="I191" i="34"/>
  <c r="I190" i="34"/>
  <c r="I189" i="34"/>
  <c r="I188" i="34"/>
  <c r="I187" i="34"/>
  <c r="I186" i="34"/>
  <c r="I185" i="34"/>
  <c r="I184" i="34"/>
  <c r="I183" i="34"/>
  <c r="B183" i="34"/>
  <c r="C183" i="34"/>
  <c r="D183" i="34"/>
  <c r="E183" i="34"/>
  <c r="B184" i="34"/>
  <c r="C184" i="34"/>
  <c r="D184" i="34"/>
  <c r="E184" i="34"/>
  <c r="B185" i="34"/>
  <c r="C185" i="34"/>
  <c r="D185" i="34"/>
  <c r="E185" i="34"/>
  <c r="B186" i="34"/>
  <c r="C186" i="34"/>
  <c r="D186" i="34"/>
  <c r="E186" i="34"/>
  <c r="B187" i="34"/>
  <c r="C187" i="34"/>
  <c r="D187" i="34"/>
  <c r="E187" i="34"/>
  <c r="B188" i="34"/>
  <c r="C188" i="34"/>
  <c r="D188" i="34"/>
  <c r="E188" i="34"/>
  <c r="B189" i="34"/>
  <c r="C189" i="34"/>
  <c r="D189" i="34"/>
  <c r="E189" i="34"/>
  <c r="B190" i="34"/>
  <c r="C190" i="34"/>
  <c r="D190" i="34"/>
  <c r="E190" i="34"/>
  <c r="B191" i="34"/>
  <c r="C191" i="34"/>
  <c r="D191" i="34"/>
  <c r="E191" i="34"/>
  <c r="B192" i="34"/>
  <c r="C192" i="34"/>
  <c r="D192" i="34"/>
  <c r="E192" i="34"/>
  <c r="A192" i="34"/>
  <c r="A191" i="34"/>
  <c r="A190" i="34"/>
  <c r="A189" i="34"/>
  <c r="A188" i="34"/>
  <c r="A187" i="34"/>
  <c r="A186" i="34"/>
  <c r="A185" i="34"/>
  <c r="A184" i="34"/>
  <c r="A183" i="34"/>
  <c r="J162" i="34"/>
  <c r="K162" i="34"/>
  <c r="L162" i="34"/>
  <c r="M162" i="34"/>
  <c r="J163" i="34"/>
  <c r="K163" i="34"/>
  <c r="L163" i="34"/>
  <c r="M163" i="34"/>
  <c r="J164" i="34"/>
  <c r="K164" i="34"/>
  <c r="L164" i="34"/>
  <c r="M164" i="34"/>
  <c r="J165" i="34"/>
  <c r="K165" i="34"/>
  <c r="L165" i="34"/>
  <c r="M165" i="34"/>
  <c r="J166" i="34"/>
  <c r="K166" i="34"/>
  <c r="L166" i="34"/>
  <c r="M166" i="34"/>
  <c r="J167" i="34"/>
  <c r="K167" i="34"/>
  <c r="L167" i="34"/>
  <c r="M167" i="34"/>
  <c r="J168" i="34"/>
  <c r="K168" i="34"/>
  <c r="L168" i="34"/>
  <c r="M168" i="34"/>
  <c r="J169" i="34"/>
  <c r="K169" i="34"/>
  <c r="L169" i="34"/>
  <c r="M169" i="34"/>
  <c r="J170" i="34"/>
  <c r="K170" i="34"/>
  <c r="L170" i="34"/>
  <c r="M170" i="34"/>
  <c r="J171" i="34"/>
  <c r="K171" i="34"/>
  <c r="L171" i="34"/>
  <c r="M171" i="34"/>
  <c r="I171" i="34"/>
  <c r="I170" i="34"/>
  <c r="I169" i="34"/>
  <c r="I168" i="34"/>
  <c r="I167" i="34"/>
  <c r="I166" i="34"/>
  <c r="I165" i="34"/>
  <c r="I164" i="34"/>
  <c r="I163" i="34"/>
  <c r="I162" i="34"/>
  <c r="B162" i="34"/>
  <c r="C162" i="34"/>
  <c r="D162" i="34"/>
  <c r="E162" i="34"/>
  <c r="B163" i="34"/>
  <c r="C163" i="34"/>
  <c r="D163" i="34"/>
  <c r="E163" i="34"/>
  <c r="B164" i="34"/>
  <c r="C164" i="34"/>
  <c r="D164" i="34"/>
  <c r="E164" i="34"/>
  <c r="B165" i="34"/>
  <c r="C165" i="34"/>
  <c r="D165" i="34"/>
  <c r="E165" i="34"/>
  <c r="B166" i="34"/>
  <c r="C166" i="34"/>
  <c r="D166" i="34"/>
  <c r="E166" i="34"/>
  <c r="B167" i="34"/>
  <c r="C167" i="34"/>
  <c r="D167" i="34"/>
  <c r="E167" i="34"/>
  <c r="B168" i="34"/>
  <c r="C168" i="34"/>
  <c r="D168" i="34"/>
  <c r="E168" i="34"/>
  <c r="B169" i="34"/>
  <c r="C169" i="34"/>
  <c r="D169" i="34"/>
  <c r="E169" i="34"/>
  <c r="B170" i="34"/>
  <c r="C170" i="34"/>
  <c r="D170" i="34"/>
  <c r="E170" i="34"/>
  <c r="B171" i="34"/>
  <c r="C171" i="34"/>
  <c r="D171" i="34"/>
  <c r="E171" i="34"/>
  <c r="A167" i="34"/>
  <c r="A171" i="34"/>
  <c r="A170" i="34"/>
  <c r="A169" i="34"/>
  <c r="A168" i="34"/>
  <c r="A166" i="34"/>
  <c r="A165" i="34"/>
  <c r="A164" i="34"/>
  <c r="A163" i="34"/>
  <c r="A162" i="34"/>
  <c r="J143" i="34"/>
  <c r="K143" i="34"/>
  <c r="L143" i="34"/>
  <c r="M143" i="34"/>
  <c r="J144" i="34"/>
  <c r="K144" i="34"/>
  <c r="L144" i="34"/>
  <c r="M144" i="34"/>
  <c r="J145" i="34"/>
  <c r="K145" i="34"/>
  <c r="L145" i="34"/>
  <c r="M145" i="34"/>
  <c r="J146" i="34"/>
  <c r="K146" i="34"/>
  <c r="L146" i="34"/>
  <c r="M146" i="34"/>
  <c r="J147" i="34"/>
  <c r="K147" i="34"/>
  <c r="L147" i="34"/>
  <c r="M147" i="34"/>
  <c r="J148" i="34"/>
  <c r="K148" i="34"/>
  <c r="L148" i="34"/>
  <c r="M148" i="34"/>
  <c r="J149" i="34"/>
  <c r="K149" i="34"/>
  <c r="L149" i="34"/>
  <c r="M149" i="34"/>
  <c r="J150" i="34"/>
  <c r="K150" i="34"/>
  <c r="L150" i="34"/>
  <c r="M150" i="34"/>
  <c r="J151" i="34"/>
  <c r="K151" i="34"/>
  <c r="L151" i="34"/>
  <c r="M151" i="34"/>
  <c r="J152" i="34"/>
  <c r="K152" i="34"/>
  <c r="L152" i="34"/>
  <c r="M152" i="34"/>
  <c r="I152" i="34"/>
  <c r="I151" i="34"/>
  <c r="I150" i="34"/>
  <c r="I149" i="34"/>
  <c r="I148" i="34"/>
  <c r="I147" i="34"/>
  <c r="I146" i="34"/>
  <c r="I145" i="34"/>
  <c r="I144" i="34"/>
  <c r="I143" i="34"/>
  <c r="AD578" i="20" l="1"/>
  <c r="L592" i="20"/>
  <c r="T569" i="20"/>
  <c r="G570" i="20"/>
  <c r="AB570" i="20"/>
  <c r="Q571" i="20"/>
  <c r="F572" i="20"/>
  <c r="Z572" i="20"/>
  <c r="N573" i="20"/>
  <c r="D574" i="20"/>
  <c r="W574" i="20"/>
  <c r="L575" i="20"/>
  <c r="V576" i="20"/>
  <c r="J577" i="20"/>
  <c r="AD577" i="20"/>
  <c r="G583" i="20"/>
  <c r="AB583" i="20"/>
  <c r="AB584" i="20"/>
  <c r="V585" i="20"/>
  <c r="R586" i="20"/>
  <c r="Q587" i="20"/>
  <c r="L588" i="20"/>
  <c r="L589" i="20"/>
  <c r="F590" i="20"/>
  <c r="I591" i="20"/>
  <c r="U569" i="20"/>
  <c r="J570" i="20"/>
  <c r="AD570" i="20"/>
  <c r="R571" i="20"/>
  <c r="R578" i="20" s="1"/>
  <c r="H572" i="20"/>
  <c r="AA572" i="20"/>
  <c r="P573" i="20"/>
  <c r="E574" i="20"/>
  <c r="Z574" i="20"/>
  <c r="N575" i="20"/>
  <c r="B576" i="20"/>
  <c r="X576" i="20"/>
  <c r="K577" i="20"/>
  <c r="J583" i="20"/>
  <c r="AD583" i="20"/>
  <c r="AC584" i="20"/>
  <c r="X585" i="20"/>
  <c r="X586" i="20"/>
  <c r="R587" i="20"/>
  <c r="N588" i="20"/>
  <c r="M589" i="20"/>
  <c r="H590" i="20"/>
  <c r="E596" i="20"/>
  <c r="E598" i="20" s="1"/>
  <c r="B596" i="20"/>
  <c r="B599" i="20"/>
  <c r="H597" i="20"/>
  <c r="B601" i="20"/>
  <c r="B597" i="20"/>
  <c r="B600" i="20"/>
  <c r="L600" i="20"/>
  <c r="K602" i="20"/>
  <c r="AE591" i="20"/>
  <c r="S591" i="20"/>
  <c r="G591" i="20"/>
  <c r="AA590" i="20"/>
  <c r="O590" i="20"/>
  <c r="C590" i="20"/>
  <c r="W589" i="20"/>
  <c r="K589" i="20"/>
  <c r="AE588" i="20"/>
  <c r="S588" i="20"/>
  <c r="G588" i="20"/>
  <c r="AA587" i="20"/>
  <c r="O587" i="20"/>
  <c r="C587" i="20"/>
  <c r="W586" i="20"/>
  <c r="K586" i="20"/>
  <c r="AE585" i="20"/>
  <c r="S585" i="20"/>
  <c r="G585" i="20"/>
  <c r="AA584" i="20"/>
  <c r="O584" i="20"/>
  <c r="C584" i="20"/>
  <c r="W583" i="20"/>
  <c r="K583" i="20"/>
  <c r="AA577" i="20"/>
  <c r="O577" i="20"/>
  <c r="C577" i="20"/>
  <c r="W576" i="20"/>
  <c r="K576" i="20"/>
  <c r="AE575" i="20"/>
  <c r="S575" i="20"/>
  <c r="G575" i="20"/>
  <c r="AA574" i="20"/>
  <c r="O574" i="20"/>
  <c r="C574" i="20"/>
  <c r="W573" i="20"/>
  <c r="K573" i="20"/>
  <c r="AE572" i="20"/>
  <c r="S572" i="20"/>
  <c r="G572" i="20"/>
  <c r="AA571" i="20"/>
  <c r="O571" i="20"/>
  <c r="C571" i="20"/>
  <c r="W570" i="20"/>
  <c r="K570" i="20"/>
  <c r="AE569" i="20"/>
  <c r="S569" i="20"/>
  <c r="G569" i="20"/>
  <c r="AD591" i="20"/>
  <c r="R591" i="20"/>
  <c r="F591" i="20"/>
  <c r="Z590" i="20"/>
  <c r="N590" i="20"/>
  <c r="B590" i="20"/>
  <c r="V589" i="20"/>
  <c r="J589" i="20"/>
  <c r="AD588" i="20"/>
  <c r="R588" i="20"/>
  <c r="F588" i="20"/>
  <c r="Z587" i="20"/>
  <c r="N587" i="20"/>
  <c r="B587" i="20"/>
  <c r="V586" i="20"/>
  <c r="J586" i="20"/>
  <c r="AD585" i="20"/>
  <c r="R585" i="20"/>
  <c r="F585" i="20"/>
  <c r="Z584" i="20"/>
  <c r="N584" i="20"/>
  <c r="B584" i="20"/>
  <c r="L599" i="20"/>
  <c r="L597" i="20"/>
  <c r="AC591" i="20"/>
  <c r="Q591" i="20"/>
  <c r="E591" i="20"/>
  <c r="Y590" i="20"/>
  <c r="M590" i="20"/>
  <c r="U589" i="20"/>
  <c r="I589" i="20"/>
  <c r="AC588" i="20"/>
  <c r="Q588" i="20"/>
  <c r="E588" i="20"/>
  <c r="Y587" i="20"/>
  <c r="M587" i="20"/>
  <c r="U586" i="20"/>
  <c r="I586" i="20"/>
  <c r="AC585" i="20"/>
  <c r="Q585" i="20"/>
  <c r="E585" i="20"/>
  <c r="Y584" i="20"/>
  <c r="Y592" i="20" s="1"/>
  <c r="M584" i="20"/>
  <c r="U583" i="20"/>
  <c r="I583" i="20"/>
  <c r="Y577" i="20"/>
  <c r="M577" i="20"/>
  <c r="U576" i="20"/>
  <c r="I576" i="20"/>
  <c r="AC575" i="20"/>
  <c r="Q575" i="20"/>
  <c r="E575" i="20"/>
  <c r="Y574" i="20"/>
  <c r="M574" i="20"/>
  <c r="U573" i="20"/>
  <c r="I573" i="20"/>
  <c r="AC572" i="20"/>
  <c r="Q572" i="20"/>
  <c r="E572" i="20"/>
  <c r="Y571" i="20"/>
  <c r="M571" i="20"/>
  <c r="U570" i="20"/>
  <c r="I570" i="20"/>
  <c r="I578" i="20" s="1"/>
  <c r="AC569" i="20"/>
  <c r="Q569" i="20"/>
  <c r="E569" i="20"/>
  <c r="L601" i="20"/>
  <c r="O585" i="20"/>
  <c r="L604" i="20"/>
  <c r="K599" i="20"/>
  <c r="K597" i="20"/>
  <c r="AB591" i="20"/>
  <c r="P591" i="20"/>
  <c r="D591" i="20"/>
  <c r="AF591" i="20" s="1"/>
  <c r="X590" i="20"/>
  <c r="L590" i="20"/>
  <c r="T589" i="20"/>
  <c r="H589" i="20"/>
  <c r="AB588" i="20"/>
  <c r="P588" i="20"/>
  <c r="D588" i="20"/>
  <c r="X587" i="20"/>
  <c r="L587" i="20"/>
  <c r="T586" i="20"/>
  <c r="H586" i="20"/>
  <c r="AB585" i="20"/>
  <c r="P585" i="20"/>
  <c r="D585" i="20"/>
  <c r="X584" i="20"/>
  <c r="L584" i="20"/>
  <c r="T583" i="20"/>
  <c r="H583" i="20"/>
  <c r="X577" i="20"/>
  <c r="L577" i="20"/>
  <c r="T576" i="20"/>
  <c r="H576" i="20"/>
  <c r="AB575" i="20"/>
  <c r="P575" i="20"/>
  <c r="D575" i="20"/>
  <c r="AG575" i="20" s="1"/>
  <c r="X574" i="20"/>
  <c r="L574" i="20"/>
  <c r="T573" i="20"/>
  <c r="H573" i="20"/>
  <c r="AB572" i="20"/>
  <c r="P572" i="20"/>
  <c r="D572" i="20"/>
  <c r="AG572" i="20" s="1"/>
  <c r="X571" i="20"/>
  <c r="L571" i="20"/>
  <c r="T570" i="20"/>
  <c r="H570" i="20"/>
  <c r="H578" i="20" s="1"/>
  <c r="AB569" i="20"/>
  <c r="P569" i="20"/>
  <c r="D569" i="20"/>
  <c r="K604" i="20"/>
  <c r="AA591" i="20"/>
  <c r="O591" i="20"/>
  <c r="C591" i="20"/>
  <c r="W590" i="20"/>
  <c r="K590" i="20"/>
  <c r="AE589" i="20"/>
  <c r="S589" i="20"/>
  <c r="G589" i="20"/>
  <c r="AA588" i="20"/>
  <c r="O588" i="20"/>
  <c r="C588" i="20"/>
  <c r="W587" i="20"/>
  <c r="K587" i="20"/>
  <c r="AE586" i="20"/>
  <c r="S586" i="20"/>
  <c r="G586" i="20"/>
  <c r="AA585" i="20"/>
  <c r="C585" i="20"/>
  <c r="W584" i="20"/>
  <c r="K584" i="20"/>
  <c r="AE583" i="20"/>
  <c r="Y591" i="20"/>
  <c r="M591" i="20"/>
  <c r="U590" i="20"/>
  <c r="I590" i="20"/>
  <c r="AC589" i="20"/>
  <c r="Q589" i="20"/>
  <c r="E589" i="20"/>
  <c r="Y588" i="20"/>
  <c r="M588" i="20"/>
  <c r="U587" i="20"/>
  <c r="I587" i="20"/>
  <c r="AC586" i="20"/>
  <c r="Q586" i="20"/>
  <c r="E586" i="20"/>
  <c r="Y585" i="20"/>
  <c r="M585" i="20"/>
  <c r="U584" i="20"/>
  <c r="I584" i="20"/>
  <c r="AC583" i="20"/>
  <c r="Q583" i="20"/>
  <c r="E583" i="20"/>
  <c r="U577" i="20"/>
  <c r="I577" i="20"/>
  <c r="AC576" i="20"/>
  <c r="Q576" i="20"/>
  <c r="E576" i="20"/>
  <c r="Y575" i="20"/>
  <c r="M575" i="20"/>
  <c r="U574" i="20"/>
  <c r="I574" i="20"/>
  <c r="AC573" i="20"/>
  <c r="Q573" i="20"/>
  <c r="E573" i="20"/>
  <c r="AG573" i="20" s="1"/>
  <c r="Y572" i="20"/>
  <c r="M572" i="20"/>
  <c r="AF572" i="20" s="1"/>
  <c r="U571" i="20"/>
  <c r="I571" i="20"/>
  <c r="AC570" i="20"/>
  <c r="Q570" i="20"/>
  <c r="E570" i="20"/>
  <c r="Y569" i="20"/>
  <c r="M569" i="20"/>
  <c r="L603" i="20"/>
  <c r="L598" i="20"/>
  <c r="X591" i="20"/>
  <c r="L591" i="20"/>
  <c r="T590" i="20"/>
  <c r="K603" i="20"/>
  <c r="K598" i="20"/>
  <c r="W591" i="20"/>
  <c r="K591" i="20"/>
  <c r="AE590" i="20"/>
  <c r="S590" i="20"/>
  <c r="G590" i="20"/>
  <c r="AA589" i="20"/>
  <c r="O589" i="20"/>
  <c r="C589" i="20"/>
  <c r="W588" i="20"/>
  <c r="K588" i="20"/>
  <c r="AE587" i="20"/>
  <c r="S587" i="20"/>
  <c r="G587" i="20"/>
  <c r="AA586" i="20"/>
  <c r="O586" i="20"/>
  <c r="C586" i="20"/>
  <c r="W585" i="20"/>
  <c r="K585" i="20"/>
  <c r="AE584" i="20"/>
  <c r="S584" i="20"/>
  <c r="G584" i="20"/>
  <c r="AA583" i="20"/>
  <c r="O583" i="20"/>
  <c r="O592" i="20" s="1"/>
  <c r="C583" i="20"/>
  <c r="AE577" i="20"/>
  <c r="S577" i="20"/>
  <c r="G577" i="20"/>
  <c r="AA576" i="20"/>
  <c r="O576" i="20"/>
  <c r="C576" i="20"/>
  <c r="W575" i="20"/>
  <c r="K575" i="20"/>
  <c r="AE574" i="20"/>
  <c r="S574" i="20"/>
  <c r="G574" i="20"/>
  <c r="AA573" i="20"/>
  <c r="O573" i="20"/>
  <c r="C573" i="20"/>
  <c r="W572" i="20"/>
  <c r="K572" i="20"/>
  <c r="AE571" i="20"/>
  <c r="S571" i="20"/>
  <c r="G571" i="20"/>
  <c r="AA570" i="20"/>
  <c r="AA578" i="20" s="1"/>
  <c r="O570" i="20"/>
  <c r="O578" i="20" s="1"/>
  <c r="C570" i="20"/>
  <c r="W569" i="20"/>
  <c r="W578" i="20" s="1"/>
  <c r="K569" i="20"/>
  <c r="C569" i="20"/>
  <c r="AF569" i="20" s="1"/>
  <c r="X569" i="20"/>
  <c r="M570" i="20"/>
  <c r="B571" i="20"/>
  <c r="V571" i="20"/>
  <c r="J572" i="20"/>
  <c r="S573" i="20"/>
  <c r="H574" i="20"/>
  <c r="AC574" i="20"/>
  <c r="R575" i="20"/>
  <c r="F576" i="20"/>
  <c r="Z576" i="20"/>
  <c r="P577" i="20"/>
  <c r="M583" i="20"/>
  <c r="E584" i="20"/>
  <c r="Z586" i="20"/>
  <c r="V587" i="20"/>
  <c r="U588" i="20"/>
  <c r="P589" i="20"/>
  <c r="P590" i="20"/>
  <c r="T591" i="20"/>
  <c r="K600" i="20"/>
  <c r="F569" i="20"/>
  <c r="Z569" i="20"/>
  <c r="N570" i="20"/>
  <c r="D571" i="20"/>
  <c r="W571" i="20"/>
  <c r="L572" i="20"/>
  <c r="V573" i="20"/>
  <c r="V578" i="20" s="1"/>
  <c r="J574" i="20"/>
  <c r="AD574" i="20"/>
  <c r="T575" i="20"/>
  <c r="G576" i="20"/>
  <c r="AB576" i="20"/>
  <c r="Q577" i="20"/>
  <c r="N583" i="20"/>
  <c r="F584" i="20"/>
  <c r="B585" i="20"/>
  <c r="AB586" i="20"/>
  <c r="AB587" i="20"/>
  <c r="V588" i="20"/>
  <c r="R589" i="20"/>
  <c r="Q590" i="20"/>
  <c r="U591" i="20"/>
  <c r="K601" i="20"/>
  <c r="D592" i="20"/>
  <c r="J569" i="20"/>
  <c r="S570" i="20"/>
  <c r="H571" i="20"/>
  <c r="AC571" i="20"/>
  <c r="R572" i="20"/>
  <c r="F573" i="20"/>
  <c r="Z573" i="20"/>
  <c r="P574" i="20"/>
  <c r="C575" i="20"/>
  <c r="X575" i="20"/>
  <c r="M576" i="20"/>
  <c r="B577" i="20"/>
  <c r="V577" i="20"/>
  <c r="S583" i="20"/>
  <c r="P584" i="20"/>
  <c r="P592" i="20" s="1"/>
  <c r="J585" i="20"/>
  <c r="F586" i="20"/>
  <c r="AF586" i="20" s="1"/>
  <c r="E587" i="20"/>
  <c r="Z589" i="20"/>
  <c r="AB590" i="20"/>
  <c r="L569" i="20"/>
  <c r="V570" i="20"/>
  <c r="J571" i="20"/>
  <c r="AD571" i="20"/>
  <c r="T572" i="20"/>
  <c r="G573" i="20"/>
  <c r="AB573" i="20"/>
  <c r="Q574" i="20"/>
  <c r="F575" i="20"/>
  <c r="Z575" i="20"/>
  <c r="N576" i="20"/>
  <c r="D577" i="20"/>
  <c r="W577" i="20"/>
  <c r="V583" i="20"/>
  <c r="Q584" i="20"/>
  <c r="L585" i="20"/>
  <c r="L586" i="20"/>
  <c r="F587" i="20"/>
  <c r="B588" i="20"/>
  <c r="AB589" i="20"/>
  <c r="AC590" i="20"/>
  <c r="K596" i="20"/>
  <c r="AG586" i="20"/>
  <c r="H596" i="20"/>
  <c r="H598" i="20" s="1"/>
  <c r="N569" i="20"/>
  <c r="B570" i="20"/>
  <c r="B578" i="20" s="1"/>
  <c r="X570" i="20"/>
  <c r="K571" i="20"/>
  <c r="U572" i="20"/>
  <c r="J573" i="20"/>
  <c r="AD573" i="20"/>
  <c r="R574" i="20"/>
  <c r="H575" i="20"/>
  <c r="AA575" i="20"/>
  <c r="P576" i="20"/>
  <c r="E577" i="20"/>
  <c r="Z577" i="20"/>
  <c r="B583" i="20"/>
  <c r="X583" i="20"/>
  <c r="R584" i="20"/>
  <c r="N585" i="20"/>
  <c r="M586" i="20"/>
  <c r="H587" i="20"/>
  <c r="H588" i="20"/>
  <c r="B589" i="20"/>
  <c r="AD589" i="20"/>
  <c r="AD590" i="20"/>
  <c r="L596" i="20"/>
  <c r="U152" i="38"/>
  <c r="T151" i="38"/>
  <c r="T149" i="38"/>
  <c r="U147" i="38"/>
  <c r="U150" i="38"/>
  <c r="AU18" i="38"/>
  <c r="BF135" i="38" s="1"/>
  <c r="Y133" i="38"/>
  <c r="M135" i="38"/>
  <c r="B137" i="38"/>
  <c r="T138" i="38"/>
  <c r="N141" i="38"/>
  <c r="H134" i="38"/>
  <c r="U136" i="38"/>
  <c r="C139" i="38"/>
  <c r="I140" i="38"/>
  <c r="T152" i="38"/>
  <c r="V152" i="38" s="1"/>
  <c r="C133" i="38"/>
  <c r="I134" i="38"/>
  <c r="C135" i="38"/>
  <c r="J136" i="38"/>
  <c r="D137" i="38"/>
  <c r="AB137" i="38"/>
  <c r="V138" i="38"/>
  <c r="D139" i="38"/>
  <c r="AB139" i="38"/>
  <c r="V140" i="38"/>
  <c r="U151" i="38"/>
  <c r="V151" i="38" s="1"/>
  <c r="AB133" i="38"/>
  <c r="D135" i="38"/>
  <c r="K136" i="38"/>
  <c r="Q137" i="38"/>
  <c r="W138" i="38"/>
  <c r="AC139" i="38"/>
  <c r="Q141" i="38"/>
  <c r="F133" i="38"/>
  <c r="R133" i="38"/>
  <c r="AD133" i="38"/>
  <c r="L134" i="38"/>
  <c r="X134" i="38"/>
  <c r="F135" i="38"/>
  <c r="R135" i="38"/>
  <c r="AD135" i="38"/>
  <c r="M136" i="38"/>
  <c r="Y136" i="38"/>
  <c r="G137" i="38"/>
  <c r="S137" i="38"/>
  <c r="AE137" i="38"/>
  <c r="M138" i="38"/>
  <c r="Y138" i="38"/>
  <c r="G139" i="38"/>
  <c r="S139" i="38"/>
  <c r="AE139" i="38"/>
  <c r="M140" i="38"/>
  <c r="Y140" i="38"/>
  <c r="G141" i="38"/>
  <c r="S141" i="38"/>
  <c r="AE141" i="38"/>
  <c r="T150" i="38"/>
  <c r="S134" i="38"/>
  <c r="T136" i="38"/>
  <c r="H138" i="38"/>
  <c r="Z139" i="38"/>
  <c r="Z141" i="38"/>
  <c r="B133" i="38"/>
  <c r="Z135" i="38"/>
  <c r="I138" i="38"/>
  <c r="AA139" i="38"/>
  <c r="AA141" i="38"/>
  <c r="AA133" i="38"/>
  <c r="O135" i="38"/>
  <c r="P141" i="38"/>
  <c r="D133" i="38"/>
  <c r="J134" i="38"/>
  <c r="P135" i="38"/>
  <c r="W136" i="38"/>
  <c r="AC137" i="38"/>
  <c r="E139" i="38"/>
  <c r="K140" i="38"/>
  <c r="E141" i="38"/>
  <c r="G133" i="38"/>
  <c r="S133" i="38"/>
  <c r="AE133" i="38"/>
  <c r="M134" i="38"/>
  <c r="Y134" i="38"/>
  <c r="G135" i="38"/>
  <c r="S135" i="38"/>
  <c r="AE135" i="38"/>
  <c r="N136" i="38"/>
  <c r="Z136" i="38"/>
  <c r="H137" i="38"/>
  <c r="T137" i="38"/>
  <c r="B138" i="38"/>
  <c r="N138" i="38"/>
  <c r="Z138" i="38"/>
  <c r="H139" i="38"/>
  <c r="T139" i="38"/>
  <c r="B140" i="38"/>
  <c r="N140" i="38"/>
  <c r="Z140" i="38"/>
  <c r="H141" i="38"/>
  <c r="T141" i="38"/>
  <c r="T146" i="38"/>
  <c r="U149" i="38"/>
  <c r="V149" i="38" s="1"/>
  <c r="AE134" i="38"/>
  <c r="H136" i="38"/>
  <c r="Z137" i="38"/>
  <c r="N139" i="38"/>
  <c r="B141" i="38"/>
  <c r="N135" i="38"/>
  <c r="AA137" i="38"/>
  <c r="O139" i="38"/>
  <c r="O141" i="38"/>
  <c r="D141" i="38"/>
  <c r="H133" i="38"/>
  <c r="T133" i="38"/>
  <c r="B134" i="38"/>
  <c r="N134" i="38"/>
  <c r="Z134" i="38"/>
  <c r="H135" i="38"/>
  <c r="T135" i="38"/>
  <c r="B136" i="38"/>
  <c r="O136" i="38"/>
  <c r="AA136" i="38"/>
  <c r="I137" i="38"/>
  <c r="U137" i="38"/>
  <c r="C138" i="38"/>
  <c r="O138" i="38"/>
  <c r="AA138" i="38"/>
  <c r="I139" i="38"/>
  <c r="U139" i="38"/>
  <c r="C140" i="38"/>
  <c r="O140" i="38"/>
  <c r="AA140" i="38"/>
  <c r="I141" i="38"/>
  <c r="U141" i="38"/>
  <c r="U146" i="38"/>
  <c r="V146" i="38" s="1"/>
  <c r="C136" i="38"/>
  <c r="I133" i="38"/>
  <c r="U133" i="38"/>
  <c r="C134" i="38"/>
  <c r="O134" i="38"/>
  <c r="AA134" i="38"/>
  <c r="I135" i="38"/>
  <c r="U135" i="38"/>
  <c r="D136" i="38"/>
  <c r="P136" i="38"/>
  <c r="AB136" i="38"/>
  <c r="J137" i="38"/>
  <c r="V137" i="38"/>
  <c r="D138" i="38"/>
  <c r="P138" i="38"/>
  <c r="AB138" i="38"/>
  <c r="J139" i="38"/>
  <c r="V139" i="38"/>
  <c r="D140" i="38"/>
  <c r="P140" i="38"/>
  <c r="AB140" i="38"/>
  <c r="J141" i="38"/>
  <c r="V141" i="38"/>
  <c r="U154" i="38"/>
  <c r="U148" i="38"/>
  <c r="W148" i="38" s="1"/>
  <c r="M133" i="38"/>
  <c r="H140" i="38"/>
  <c r="Z133" i="38"/>
  <c r="T134" i="38"/>
  <c r="B135" i="38"/>
  <c r="C137" i="38"/>
  <c r="O137" i="38"/>
  <c r="U138" i="38"/>
  <c r="U140" i="38"/>
  <c r="J133" i="38"/>
  <c r="V133" i="38"/>
  <c r="D134" i="38"/>
  <c r="P134" i="38"/>
  <c r="AB134" i="38"/>
  <c r="J135" i="38"/>
  <c r="V135" i="38"/>
  <c r="E136" i="38"/>
  <c r="Q136" i="38"/>
  <c r="AC136" i="38"/>
  <c r="K137" i="38"/>
  <c r="W137" i="38"/>
  <c r="E138" i="38"/>
  <c r="Q138" i="38"/>
  <c r="AC138" i="38"/>
  <c r="K139" i="38"/>
  <c r="W139" i="38"/>
  <c r="E140" i="38"/>
  <c r="Q140" i="38"/>
  <c r="AC140" i="38"/>
  <c r="K141" i="38"/>
  <c r="W141" i="38"/>
  <c r="T154" i="38"/>
  <c r="K133" i="38"/>
  <c r="W133" i="38"/>
  <c r="E134" i="38"/>
  <c r="Q134" i="38"/>
  <c r="AC134" i="38"/>
  <c r="K135" i="38"/>
  <c r="W135" i="38"/>
  <c r="F136" i="38"/>
  <c r="R136" i="38"/>
  <c r="AD136" i="38"/>
  <c r="L137" i="38"/>
  <c r="X137" i="38"/>
  <c r="F138" i="38"/>
  <c r="R138" i="38"/>
  <c r="AD138" i="38"/>
  <c r="L139" i="38"/>
  <c r="X139" i="38"/>
  <c r="F140" i="38"/>
  <c r="R140" i="38"/>
  <c r="AD140" i="38"/>
  <c r="L141" i="38"/>
  <c r="X141" i="38"/>
  <c r="U153" i="38"/>
  <c r="L133" i="38"/>
  <c r="X133" i="38"/>
  <c r="F134" i="38"/>
  <c r="R134" i="38"/>
  <c r="AD134" i="38"/>
  <c r="L135" i="38"/>
  <c r="X135" i="38"/>
  <c r="G136" i="38"/>
  <c r="S136" i="38"/>
  <c r="AE136" i="38"/>
  <c r="M137" i="38"/>
  <c r="Y137" i="38"/>
  <c r="G138" i="38"/>
  <c r="S138" i="38"/>
  <c r="AE138" i="38"/>
  <c r="M139" i="38"/>
  <c r="Y139" i="38"/>
  <c r="G140" i="38"/>
  <c r="S140" i="38"/>
  <c r="AE140" i="38"/>
  <c r="M141" i="38"/>
  <c r="Y141" i="38"/>
  <c r="T153" i="38"/>
  <c r="W153" i="38" s="1"/>
  <c r="T147" i="38"/>
  <c r="W147" i="38" s="1"/>
  <c r="G134" i="38"/>
  <c r="Y135" i="38"/>
  <c r="N137" i="38"/>
  <c r="B139" i="38"/>
  <c r="T140" i="38"/>
  <c r="N133" i="38"/>
  <c r="I136" i="38"/>
  <c r="C141" i="38"/>
  <c r="N153" i="38"/>
  <c r="O133" i="38"/>
  <c r="U134" i="38"/>
  <c r="AA135" i="38"/>
  <c r="V136" i="38"/>
  <c r="P137" i="38"/>
  <c r="J138" i="38"/>
  <c r="P139" i="38"/>
  <c r="J140" i="38"/>
  <c r="AB141" i="38"/>
  <c r="P133" i="38"/>
  <c r="V134" i="38"/>
  <c r="AB135" i="38"/>
  <c r="E137" i="38"/>
  <c r="K138" i="38"/>
  <c r="Q139" i="38"/>
  <c r="W140" i="38"/>
  <c r="AC141" i="38"/>
  <c r="E133" i="38"/>
  <c r="Q133" i="38"/>
  <c r="AC133" i="38"/>
  <c r="K134" i="38"/>
  <c r="W134" i="38"/>
  <c r="E135" i="38"/>
  <c r="Q135" i="38"/>
  <c r="AC135" i="38"/>
  <c r="L136" i="38"/>
  <c r="X136" i="38"/>
  <c r="F137" i="38"/>
  <c r="R137" i="38"/>
  <c r="AD137" i="38"/>
  <c r="L138" i="38"/>
  <c r="X138" i="38"/>
  <c r="F139" i="38"/>
  <c r="R139" i="38"/>
  <c r="AD139" i="38"/>
  <c r="L140" i="38"/>
  <c r="X140" i="38"/>
  <c r="F141" i="38"/>
  <c r="R141" i="38"/>
  <c r="AD141" i="38"/>
  <c r="N152" i="38"/>
  <c r="N151" i="38"/>
  <c r="K149" i="38"/>
  <c r="N150" i="38"/>
  <c r="Q149" i="38"/>
  <c r="Q153" i="38"/>
  <c r="Q152" i="38"/>
  <c r="Q151" i="38"/>
  <c r="N149" i="38"/>
  <c r="K153" i="38"/>
  <c r="Q150" i="38"/>
  <c r="K152" i="38"/>
  <c r="K151" i="38"/>
  <c r="K150" i="38"/>
  <c r="V154" i="38"/>
  <c r="BA130" i="38"/>
  <c r="AZ22" i="38"/>
  <c r="AZ154" i="38" s="1"/>
  <c r="AZ18" i="38"/>
  <c r="BF133" i="38" s="1"/>
  <c r="AX17" i="38"/>
  <c r="BC135" i="38" s="1"/>
  <c r="BD15" i="38"/>
  <c r="AR133" i="38" s="1"/>
  <c r="AX18" i="38"/>
  <c r="BI135" i="38" s="1"/>
  <c r="AW14" i="38"/>
  <c r="AJ135" i="38" s="1"/>
  <c r="BC16" i="38"/>
  <c r="AW133" i="38" s="1"/>
  <c r="BC20" i="38"/>
  <c r="AQ154" i="38" s="1"/>
  <c r="R127" i="38"/>
  <c r="AY18" i="38"/>
  <c r="BJ135" i="38" s="1"/>
  <c r="BD23" i="38"/>
  <c r="BJ154" i="38" s="1"/>
  <c r="AY21" i="38"/>
  <c r="AX156" i="38" s="1"/>
  <c r="AY22" i="38"/>
  <c r="BD156" i="38" s="1"/>
  <c r="AD127" i="38"/>
  <c r="B147" i="38"/>
  <c r="AY14" i="38"/>
  <c r="AL135" i="38" s="1"/>
  <c r="AV16" i="38"/>
  <c r="AU135" i="38" s="1"/>
  <c r="AV20" i="38"/>
  <c r="AO156" i="38" s="1"/>
  <c r="AI130" i="38"/>
  <c r="AI151" i="38"/>
  <c r="AO151" i="38"/>
  <c r="AU14" i="38"/>
  <c r="AH135" i="38" s="1"/>
  <c r="AU22" i="38"/>
  <c r="AZ156" i="38" s="1"/>
  <c r="AU151" i="38"/>
  <c r="BD17" i="38"/>
  <c r="BD133" i="38" s="1"/>
  <c r="AY19" i="38"/>
  <c r="AL156" i="38" s="1"/>
  <c r="BG130" i="38"/>
  <c r="AU23" i="38"/>
  <c r="BF156" i="38" s="1"/>
  <c r="AX15" i="38"/>
  <c r="AQ135" i="38" s="1"/>
  <c r="AW15" i="38"/>
  <c r="AP135" i="38" s="1"/>
  <c r="AV15" i="38"/>
  <c r="AO135" i="38" s="1"/>
  <c r="AX20" i="38"/>
  <c r="AQ156" i="38" s="1"/>
  <c r="L119" i="38"/>
  <c r="N120" i="38"/>
  <c r="R121" i="38"/>
  <c r="F122" i="38"/>
  <c r="R124" i="38"/>
  <c r="N126" i="38"/>
  <c r="AZ14" i="38"/>
  <c r="AH133" i="38" s="1"/>
  <c r="BB16" i="38"/>
  <c r="AV133" i="38" s="1"/>
  <c r="BA18" i="38"/>
  <c r="BG133" i="38" s="1"/>
  <c r="BB22" i="38"/>
  <c r="BB154" i="38" s="1"/>
  <c r="N119" i="38"/>
  <c r="AD119" i="38"/>
  <c r="P120" i="38"/>
  <c r="T121" i="38"/>
  <c r="H122" i="38"/>
  <c r="AD122" i="38"/>
  <c r="M123" i="38"/>
  <c r="W124" i="38"/>
  <c r="H125" i="38"/>
  <c r="AB125" i="38"/>
  <c r="P126" i="38"/>
  <c r="D127" i="38"/>
  <c r="U127" i="38"/>
  <c r="BA14" i="38"/>
  <c r="AI133" i="38" s="1"/>
  <c r="BB18" i="38"/>
  <c r="BH133" i="38" s="1"/>
  <c r="BD20" i="38"/>
  <c r="AR154" i="38" s="1"/>
  <c r="BD22" i="38"/>
  <c r="BD154" i="38" s="1"/>
  <c r="O119" i="38"/>
  <c r="Q120" i="38"/>
  <c r="D121" i="38"/>
  <c r="U121" i="38"/>
  <c r="I122" i="38"/>
  <c r="AE122" i="38"/>
  <c r="P123" i="38"/>
  <c r="B124" i="38"/>
  <c r="X124" i="38"/>
  <c r="L125" i="38"/>
  <c r="AC125" i="38"/>
  <c r="Q126" i="38"/>
  <c r="E127" i="38"/>
  <c r="X127" i="38"/>
  <c r="B151" i="38"/>
  <c r="BA20" i="38"/>
  <c r="AO154" i="38" s="1"/>
  <c r="BA16" i="38"/>
  <c r="AU133" i="38" s="1"/>
  <c r="BC21" i="38"/>
  <c r="AW154" i="38" s="1"/>
  <c r="AZ20" i="38"/>
  <c r="AN154" i="38" s="1"/>
  <c r="BC17" i="38"/>
  <c r="BC133" i="38" s="1"/>
  <c r="AZ16" i="38"/>
  <c r="AT133" i="38" s="1"/>
  <c r="BB21" i="38"/>
  <c r="AV154" i="38" s="1"/>
  <c r="BB17" i="38"/>
  <c r="BB133" i="38" s="1"/>
  <c r="BC22" i="38"/>
  <c r="BC154" i="38" s="1"/>
  <c r="AZ21" i="38"/>
  <c r="AT154" i="38" s="1"/>
  <c r="BC18" i="38"/>
  <c r="BI133" i="38" s="1"/>
  <c r="AZ17" i="38"/>
  <c r="AZ133" i="38" s="1"/>
  <c r="BC14" i="38"/>
  <c r="AK133" i="38" s="1"/>
  <c r="BB14" i="38"/>
  <c r="AJ133" i="38" s="1"/>
  <c r="BD16" i="38"/>
  <c r="AX133" i="38" s="1"/>
  <c r="BD18" i="38"/>
  <c r="BJ133" i="38" s="1"/>
  <c r="AU19" i="38"/>
  <c r="AH156" i="38" s="1"/>
  <c r="AV21" i="38"/>
  <c r="AU156" i="38" s="1"/>
  <c r="AY23" i="38"/>
  <c r="BJ156" i="38" s="1"/>
  <c r="P119" i="38"/>
  <c r="B120" i="38"/>
  <c r="R120" i="38"/>
  <c r="E121" i="38"/>
  <c r="X121" i="38"/>
  <c r="J122" i="38"/>
  <c r="T123" i="38"/>
  <c r="C124" i="38"/>
  <c r="Y124" i="38"/>
  <c r="M125" i="38"/>
  <c r="R126" i="38"/>
  <c r="F127" i="38"/>
  <c r="AB127" i="38"/>
  <c r="AO130" i="38"/>
  <c r="BD14" i="38"/>
  <c r="AL133" i="38" s="1"/>
  <c r="AU15" i="38"/>
  <c r="AN135" i="38" s="1"/>
  <c r="AV17" i="38"/>
  <c r="BA135" i="38" s="1"/>
  <c r="AY20" i="38"/>
  <c r="AR156" i="38" s="1"/>
  <c r="AW20" i="38"/>
  <c r="AP156" i="38" s="1"/>
  <c r="AW21" i="38"/>
  <c r="AV156" i="38" s="1"/>
  <c r="AZ23" i="38"/>
  <c r="BF154" i="38" s="1"/>
  <c r="Q119" i="38"/>
  <c r="C120" i="38"/>
  <c r="S120" i="38"/>
  <c r="F121" i="38"/>
  <c r="AB121" i="38"/>
  <c r="K122" i="38"/>
  <c r="U123" i="38"/>
  <c r="F124" i="38"/>
  <c r="Z124" i="38"/>
  <c r="N125" i="38"/>
  <c r="B126" i="38"/>
  <c r="S126" i="38"/>
  <c r="G127" i="38"/>
  <c r="AC127" i="38"/>
  <c r="AY15" i="38"/>
  <c r="AR135" i="38" s="1"/>
  <c r="AY16" i="38"/>
  <c r="AX135" i="38" s="1"/>
  <c r="AW16" i="38"/>
  <c r="AV135" i="38" s="1"/>
  <c r="AW17" i="38"/>
  <c r="BB135" i="38" s="1"/>
  <c r="AZ19" i="38"/>
  <c r="AH154" i="38" s="1"/>
  <c r="AX21" i="38"/>
  <c r="AW156" i="38" s="1"/>
  <c r="BA23" i="38"/>
  <c r="BG154" i="38" s="1"/>
  <c r="B119" i="38"/>
  <c r="R119" i="38"/>
  <c r="D120" i="38"/>
  <c r="T120" i="38"/>
  <c r="G121" i="38"/>
  <c r="AC121" i="38"/>
  <c r="N122" i="38"/>
  <c r="V123" i="38"/>
  <c r="J124" i="38"/>
  <c r="AA124" i="38"/>
  <c r="O125" i="38"/>
  <c r="C126" i="38"/>
  <c r="V126" i="38"/>
  <c r="H127" i="38"/>
  <c r="AA127" i="38"/>
  <c r="O127" i="38"/>
  <c r="C127" i="38"/>
  <c r="Y126" i="38"/>
  <c r="M126" i="38"/>
  <c r="W125" i="38"/>
  <c r="K125" i="38"/>
  <c r="U124" i="38"/>
  <c r="I124" i="38"/>
  <c r="AE123" i="38"/>
  <c r="S123" i="38"/>
  <c r="G123" i="38"/>
  <c r="AC122" i="38"/>
  <c r="Q122" i="38"/>
  <c r="E122" i="38"/>
  <c r="AA121" i="38"/>
  <c r="O121" i="38"/>
  <c r="C121" i="38"/>
  <c r="Y120" i="38"/>
  <c r="M120" i="38"/>
  <c r="W119" i="38"/>
  <c r="K119" i="38"/>
  <c r="Z127" i="38"/>
  <c r="N127" i="38"/>
  <c r="B127" i="38"/>
  <c r="X126" i="38"/>
  <c r="L126" i="38"/>
  <c r="V125" i="38"/>
  <c r="J125" i="38"/>
  <c r="T124" i="38"/>
  <c r="H124" i="38"/>
  <c r="AD123" i="38"/>
  <c r="R123" i="38"/>
  <c r="F123" i="38"/>
  <c r="AB122" i="38"/>
  <c r="P122" i="38"/>
  <c r="D122" i="38"/>
  <c r="Z121" i="38"/>
  <c r="N121" i="38"/>
  <c r="B121" i="38"/>
  <c r="X120" i="38"/>
  <c r="L120" i="38"/>
  <c r="V119" i="38"/>
  <c r="J119" i="38"/>
  <c r="Y127" i="38"/>
  <c r="M127" i="38"/>
  <c r="W126" i="38"/>
  <c r="K126" i="38"/>
  <c r="U125" i="38"/>
  <c r="I125" i="38"/>
  <c r="AE124" i="38"/>
  <c r="S124" i="38"/>
  <c r="G124" i="38"/>
  <c r="AC123" i="38"/>
  <c r="Q123" i="38"/>
  <c r="E123" i="38"/>
  <c r="AA122" i="38"/>
  <c r="O122" i="38"/>
  <c r="C122" i="38"/>
  <c r="Y121" i="38"/>
  <c r="M121" i="38"/>
  <c r="W120" i="38"/>
  <c r="K120" i="38"/>
  <c r="U119" i="38"/>
  <c r="I119" i="38"/>
  <c r="W127" i="38"/>
  <c r="K127" i="38"/>
  <c r="U126" i="38"/>
  <c r="I126" i="38"/>
  <c r="AE125" i="38"/>
  <c r="S125" i="38"/>
  <c r="G125" i="38"/>
  <c r="AC124" i="38"/>
  <c r="Q124" i="38"/>
  <c r="E124" i="38"/>
  <c r="AA123" i="38"/>
  <c r="O123" i="38"/>
  <c r="C123" i="38"/>
  <c r="Y122" i="38"/>
  <c r="M122" i="38"/>
  <c r="W121" i="38"/>
  <c r="K121" i="38"/>
  <c r="U120" i="38"/>
  <c r="I120" i="38"/>
  <c r="AE119" i="38"/>
  <c r="S119" i="38"/>
  <c r="G119" i="38"/>
  <c r="V127" i="38"/>
  <c r="J127" i="38"/>
  <c r="T126" i="38"/>
  <c r="H126" i="38"/>
  <c r="AD125" i="38"/>
  <c r="R125" i="38"/>
  <c r="F125" i="38"/>
  <c r="AB124" i="38"/>
  <c r="P124" i="38"/>
  <c r="D124" i="38"/>
  <c r="Z123" i="38"/>
  <c r="N123" i="38"/>
  <c r="B123" i="38"/>
  <c r="X122" i="38"/>
  <c r="L122" i="38"/>
  <c r="V121" i="38"/>
  <c r="J121" i="38"/>
  <c r="H146" i="38"/>
  <c r="AX16" i="38"/>
  <c r="AW135" i="38" s="1"/>
  <c r="M119" i="38"/>
  <c r="AE120" i="38"/>
  <c r="Z122" i="38"/>
  <c r="V124" i="38"/>
  <c r="AA125" i="38"/>
  <c r="B150" i="38"/>
  <c r="AZ15" i="38"/>
  <c r="AN133" i="38" s="1"/>
  <c r="E120" i="38"/>
  <c r="R122" i="38"/>
  <c r="K124" i="38"/>
  <c r="D126" i="38"/>
  <c r="I127" i="38"/>
  <c r="BG151" i="38"/>
  <c r="BA151" i="38"/>
  <c r="BA15" i="38"/>
  <c r="AO133" i="38" s="1"/>
  <c r="AY17" i="38"/>
  <c r="BD135" i="38" s="1"/>
  <c r="BB19" i="38"/>
  <c r="AJ154" i="38" s="1"/>
  <c r="BA21" i="38"/>
  <c r="AU154" i="38" s="1"/>
  <c r="AV22" i="38"/>
  <c r="BA156" i="38" s="1"/>
  <c r="BC23" i="38"/>
  <c r="BI154" i="38" s="1"/>
  <c r="D119" i="38"/>
  <c r="X119" i="38"/>
  <c r="F120" i="38"/>
  <c r="Z120" i="38"/>
  <c r="I121" i="38"/>
  <c r="AE121" i="38"/>
  <c r="S122" i="38"/>
  <c r="D123" i="38"/>
  <c r="X123" i="38"/>
  <c r="L124" i="38"/>
  <c r="Q125" i="38"/>
  <c r="E126" i="38"/>
  <c r="AA126" i="38"/>
  <c r="L127" i="38"/>
  <c r="E146" i="38"/>
  <c r="B148" i="38"/>
  <c r="H147" i="38"/>
  <c r="B146" i="38"/>
  <c r="AA119" i="38"/>
  <c r="AC120" i="38"/>
  <c r="B122" i="38"/>
  <c r="J123" i="38"/>
  <c r="C125" i="38"/>
  <c r="J126" i="38"/>
  <c r="AD126" i="38"/>
  <c r="B149" i="38"/>
  <c r="AX14" i="38"/>
  <c r="AK135" i="38" s="1"/>
  <c r="AD120" i="38"/>
  <c r="K123" i="38"/>
  <c r="D125" i="38"/>
  <c r="AE126" i="38"/>
  <c r="BB20" i="38"/>
  <c r="AP154" i="38" s="1"/>
  <c r="BA22" i="38"/>
  <c r="BA154" i="38" s="1"/>
  <c r="O120" i="38"/>
  <c r="G122" i="38"/>
  <c r="O126" i="38"/>
  <c r="BB23" i="38"/>
  <c r="BH154" i="38" s="1"/>
  <c r="T119" i="38"/>
  <c r="H121" i="38"/>
  <c r="W123" i="38"/>
  <c r="P125" i="38"/>
  <c r="AE127" i="38"/>
  <c r="BB15" i="38"/>
  <c r="AP133" i="38" s="1"/>
  <c r="BA17" i="38"/>
  <c r="BA133" i="38" s="1"/>
  <c r="AV18" i="38"/>
  <c r="BG135" i="38" s="1"/>
  <c r="BC19" i="38"/>
  <c r="AK154" i="38" s="1"/>
  <c r="AW22" i="38"/>
  <c r="BB156" i="38" s="1"/>
  <c r="E119" i="38"/>
  <c r="Y119" i="38"/>
  <c r="G120" i="38"/>
  <c r="AA120" i="38"/>
  <c r="L121" i="38"/>
  <c r="T122" i="38"/>
  <c r="H123" i="38"/>
  <c r="Y123" i="38"/>
  <c r="M124" i="38"/>
  <c r="T125" i="38"/>
  <c r="F126" i="38"/>
  <c r="AB126" i="38"/>
  <c r="P127" i="38"/>
  <c r="AU130" i="38"/>
  <c r="AX19" i="38"/>
  <c r="AK156" i="38" s="1"/>
  <c r="AW19" i="38"/>
  <c r="AJ156" i="38" s="1"/>
  <c r="AV19" i="38"/>
  <c r="AI156" i="38" s="1"/>
  <c r="H119" i="38"/>
  <c r="J120" i="38"/>
  <c r="Q121" i="38"/>
  <c r="V122" i="38"/>
  <c r="O124" i="38"/>
  <c r="Y125" i="38"/>
  <c r="AB119" i="38"/>
  <c r="W122" i="38"/>
  <c r="Z125" i="38"/>
  <c r="S127" i="38"/>
  <c r="AC119" i="38"/>
  <c r="S121" i="38"/>
  <c r="L123" i="38"/>
  <c r="E125" i="38"/>
  <c r="T127" i="38"/>
  <c r="BA19" i="38"/>
  <c r="AI154" i="38" s="1"/>
  <c r="C119" i="38"/>
  <c r="V120" i="38"/>
  <c r="AD121" i="38"/>
  <c r="AD124" i="38"/>
  <c r="Z126" i="38"/>
  <c r="AV14" i="38"/>
  <c r="AI135" i="38" s="1"/>
  <c r="BC15" i="38"/>
  <c r="AQ133" i="38" s="1"/>
  <c r="AW18" i="38"/>
  <c r="BH135" i="38" s="1"/>
  <c r="BD19" i="38"/>
  <c r="AL154" i="38" s="1"/>
  <c r="AU20" i="38"/>
  <c r="AN156" i="38" s="1"/>
  <c r="BD21" i="38"/>
  <c r="AX154" i="38" s="1"/>
  <c r="AX22" i="38"/>
  <c r="BC156" i="38" s="1"/>
  <c r="AX23" i="38"/>
  <c r="BI156" i="38" s="1"/>
  <c r="AW23" i="38"/>
  <c r="BH156" i="38" s="1"/>
  <c r="AV23" i="38"/>
  <c r="BG156" i="38" s="1"/>
  <c r="F119" i="38"/>
  <c r="Z119" i="38"/>
  <c r="H120" i="38"/>
  <c r="AB120" i="38"/>
  <c r="P121" i="38"/>
  <c r="U122" i="38"/>
  <c r="I123" i="38"/>
  <c r="AB123" i="38"/>
  <c r="N124" i="38"/>
  <c r="B125" i="38"/>
  <c r="X125" i="38"/>
  <c r="G126" i="38"/>
  <c r="AC126" i="38"/>
  <c r="Q127" i="38"/>
  <c r="E147" i="38"/>
  <c r="B143" i="34"/>
  <c r="C143" i="34"/>
  <c r="D143" i="34"/>
  <c r="E143" i="34"/>
  <c r="B144" i="34"/>
  <c r="C144" i="34"/>
  <c r="D144" i="34"/>
  <c r="E144" i="34"/>
  <c r="B145" i="34"/>
  <c r="C145" i="34"/>
  <c r="D145" i="34"/>
  <c r="E145" i="34"/>
  <c r="B146" i="34"/>
  <c r="C146" i="34"/>
  <c r="D146" i="34"/>
  <c r="E146" i="34"/>
  <c r="B147" i="34"/>
  <c r="C147" i="34"/>
  <c r="D147" i="34"/>
  <c r="E147" i="34"/>
  <c r="B148" i="34"/>
  <c r="C148" i="34"/>
  <c r="D148" i="34"/>
  <c r="E148" i="34"/>
  <c r="B149" i="34"/>
  <c r="C149" i="34"/>
  <c r="D149" i="34"/>
  <c r="E149" i="34"/>
  <c r="B150" i="34"/>
  <c r="C150" i="34"/>
  <c r="D150" i="34"/>
  <c r="E150" i="34"/>
  <c r="B151" i="34"/>
  <c r="C151" i="34"/>
  <c r="D151" i="34"/>
  <c r="E151" i="34"/>
  <c r="B152" i="34"/>
  <c r="C152" i="34"/>
  <c r="D152" i="34"/>
  <c r="E152" i="34"/>
  <c r="A152" i="34"/>
  <c r="A151" i="34"/>
  <c r="A150" i="34"/>
  <c r="A149" i="34"/>
  <c r="A148" i="34"/>
  <c r="A147" i="34"/>
  <c r="A146" i="34"/>
  <c r="A145" i="34"/>
  <c r="A144" i="34"/>
  <c r="A143" i="34"/>
  <c r="K213" i="34"/>
  <c r="K212" i="34"/>
  <c r="K194" i="34"/>
  <c r="K193" i="34"/>
  <c r="K173" i="34"/>
  <c r="K172" i="34"/>
  <c r="K154" i="34"/>
  <c r="K153" i="34"/>
  <c r="N200" i="34"/>
  <c r="F200" i="34"/>
  <c r="N181" i="34"/>
  <c r="F181" i="34"/>
  <c r="N160" i="34"/>
  <c r="F160" i="34"/>
  <c r="N141" i="34"/>
  <c r="F141" i="34"/>
  <c r="I200" i="34"/>
  <c r="A200" i="34"/>
  <c r="I181" i="34"/>
  <c r="A181" i="34"/>
  <c r="I160" i="34"/>
  <c r="I141" i="34"/>
  <c r="A141" i="34"/>
  <c r="I199" i="34"/>
  <c r="A199" i="34"/>
  <c r="I180" i="34"/>
  <c r="A180" i="34"/>
  <c r="I159" i="34"/>
  <c r="A159" i="34"/>
  <c r="I140" i="34"/>
  <c r="A140" i="34"/>
  <c r="L198" i="34"/>
  <c r="D198" i="34"/>
  <c r="L179" i="34"/>
  <c r="D179" i="34"/>
  <c r="L158" i="34"/>
  <c r="D158" i="34"/>
  <c r="L139" i="34"/>
  <c r="D139" i="34"/>
  <c r="M603" i="20" l="1"/>
  <c r="N603" i="20"/>
  <c r="AG576" i="20"/>
  <c r="AF576" i="20"/>
  <c r="S592" i="20"/>
  <c r="M578" i="20"/>
  <c r="I592" i="20"/>
  <c r="AB578" i="20"/>
  <c r="K605" i="20"/>
  <c r="N596" i="20"/>
  <c r="M596" i="20"/>
  <c r="N602" i="20"/>
  <c r="M602" i="20"/>
  <c r="Q592" i="20"/>
  <c r="N597" i="20"/>
  <c r="M597" i="20"/>
  <c r="S578" i="20"/>
  <c r="AC592" i="20"/>
  <c r="X592" i="20"/>
  <c r="AG571" i="20"/>
  <c r="AF571" i="20"/>
  <c r="H592" i="20"/>
  <c r="U592" i="20"/>
  <c r="Z592" i="20"/>
  <c r="AB592" i="20"/>
  <c r="AG587" i="20"/>
  <c r="AF587" i="20"/>
  <c r="E592" i="20"/>
  <c r="G578" i="20"/>
  <c r="AG588" i="20"/>
  <c r="AF588" i="20"/>
  <c r="W592" i="20"/>
  <c r="AG591" i="20"/>
  <c r="N599" i="20"/>
  <c r="M599" i="20"/>
  <c r="AG584" i="20"/>
  <c r="AF584" i="20"/>
  <c r="AE578" i="20"/>
  <c r="R592" i="20"/>
  <c r="Y578" i="20"/>
  <c r="AG583" i="20"/>
  <c r="AF583" i="20"/>
  <c r="B592" i="20"/>
  <c r="AG570" i="20"/>
  <c r="AF570" i="20"/>
  <c r="AF578" i="20" s="1"/>
  <c r="AG577" i="20"/>
  <c r="AF577" i="20"/>
  <c r="J578" i="20"/>
  <c r="AG585" i="20"/>
  <c r="AF585" i="20"/>
  <c r="M592" i="20"/>
  <c r="T592" i="20"/>
  <c r="AD592" i="20"/>
  <c r="G592" i="20"/>
  <c r="N600" i="20"/>
  <c r="M600" i="20"/>
  <c r="N601" i="20"/>
  <c r="M601" i="20"/>
  <c r="N578" i="20"/>
  <c r="V592" i="20"/>
  <c r="F592" i="20"/>
  <c r="X578" i="20"/>
  <c r="N604" i="20"/>
  <c r="M604" i="20"/>
  <c r="E578" i="20"/>
  <c r="AG590" i="20"/>
  <c r="AF590" i="20"/>
  <c r="J592" i="20"/>
  <c r="T578" i="20"/>
  <c r="AE592" i="20"/>
  <c r="AG589" i="20"/>
  <c r="AF589" i="20"/>
  <c r="K592" i="20"/>
  <c r="AF574" i="20"/>
  <c r="L605" i="20"/>
  <c r="L578" i="20"/>
  <c r="AF573" i="20"/>
  <c r="N592" i="20"/>
  <c r="Z578" i="20"/>
  <c r="C578" i="20"/>
  <c r="D578" i="20"/>
  <c r="Q578" i="20"/>
  <c r="U578" i="20"/>
  <c r="AG574" i="20"/>
  <c r="AA592" i="20"/>
  <c r="AF575" i="20"/>
  <c r="F578" i="20"/>
  <c r="K578" i="20"/>
  <c r="C592" i="20"/>
  <c r="M598" i="20"/>
  <c r="N598" i="20"/>
  <c r="P578" i="20"/>
  <c r="AC578" i="20"/>
  <c r="B602" i="20"/>
  <c r="AG569" i="20"/>
  <c r="AG578" i="20" s="1"/>
  <c r="W150" i="38"/>
  <c r="V150" i="38"/>
  <c r="V153" i="38"/>
  <c r="W149" i="38"/>
  <c r="W154" i="38"/>
  <c r="W152" i="38"/>
  <c r="V148" i="38"/>
  <c r="W151" i="38"/>
  <c r="V147" i="38"/>
  <c r="V155" i="38" s="1"/>
  <c r="W146" i="38"/>
  <c r="W155" i="38"/>
  <c r="T142" i="38"/>
  <c r="U142" i="38"/>
  <c r="G142" i="38"/>
  <c r="J142" i="38"/>
  <c r="L142" i="38"/>
  <c r="N154" i="38"/>
  <c r="K142" i="38"/>
  <c r="AE142" i="38"/>
  <c r="X142" i="38"/>
  <c r="C142" i="38"/>
  <c r="Z142" i="38"/>
  <c r="V142" i="38"/>
  <c r="W142" i="38"/>
  <c r="M142" i="38"/>
  <c r="U155" i="38"/>
  <c r="T155" i="38"/>
  <c r="Y142" i="38"/>
  <c r="H142" i="38"/>
  <c r="I142" i="38"/>
  <c r="N142" i="38"/>
  <c r="O142" i="38"/>
  <c r="AA142" i="38"/>
  <c r="S142" i="38"/>
  <c r="AB142" i="38"/>
  <c r="Q142" i="38"/>
  <c r="B142" i="38"/>
  <c r="R142" i="38"/>
  <c r="Q154" i="38"/>
  <c r="F142" i="38"/>
  <c r="P142" i="38"/>
  <c r="Q128" i="38"/>
  <c r="AD142" i="38"/>
  <c r="D142" i="38"/>
  <c r="E142" i="38"/>
  <c r="AC142" i="38"/>
  <c r="AA128" i="38"/>
  <c r="X128" i="38"/>
  <c r="H148" i="38"/>
  <c r="AC128" i="38"/>
  <c r="D128" i="38"/>
  <c r="H128" i="38"/>
  <c r="P128" i="38"/>
  <c r="O128" i="38"/>
  <c r="G128" i="38"/>
  <c r="AB128" i="38"/>
  <c r="Y128" i="38"/>
  <c r="S128" i="38"/>
  <c r="AD128" i="38"/>
  <c r="F128" i="38"/>
  <c r="E128" i="38"/>
  <c r="AE128" i="38"/>
  <c r="N128" i="38"/>
  <c r="J128" i="38"/>
  <c r="K128" i="38"/>
  <c r="K154" i="38"/>
  <c r="B152" i="38"/>
  <c r="I128" i="38"/>
  <c r="V128" i="38"/>
  <c r="W128" i="38"/>
  <c r="R128" i="38"/>
  <c r="T128" i="38"/>
  <c r="B128" i="38"/>
  <c r="L128" i="38"/>
  <c r="C128" i="38"/>
  <c r="E148" i="38"/>
  <c r="M128" i="38"/>
  <c r="Z128" i="38"/>
  <c r="U128" i="38"/>
  <c r="N214" i="34"/>
  <c r="F214" i="34"/>
  <c r="J212" i="34"/>
  <c r="N211" i="34"/>
  <c r="O211" i="34" s="1"/>
  <c r="G211" i="34"/>
  <c r="N210" i="34"/>
  <c r="O210" i="34" s="1"/>
  <c r="G210" i="34"/>
  <c r="N209" i="34"/>
  <c r="O209" i="34" s="1"/>
  <c r="G209" i="34"/>
  <c r="G208" i="34"/>
  <c r="O207" i="34"/>
  <c r="G207" i="34"/>
  <c r="O206" i="34"/>
  <c r="G206" i="34"/>
  <c r="O205" i="34"/>
  <c r="G205" i="34"/>
  <c r="O204" i="34"/>
  <c r="G204" i="34"/>
  <c r="O203" i="34"/>
  <c r="G203" i="34"/>
  <c r="O202" i="34"/>
  <c r="C213" i="34"/>
  <c r="M200" i="34"/>
  <c r="O198" i="34"/>
  <c r="G198" i="34"/>
  <c r="N195" i="34"/>
  <c r="F195" i="34"/>
  <c r="J193" i="34"/>
  <c r="N192" i="34"/>
  <c r="O192" i="34" s="1"/>
  <c r="G192" i="34"/>
  <c r="N191" i="34"/>
  <c r="O191" i="34" s="1"/>
  <c r="G191" i="34"/>
  <c r="N190" i="34"/>
  <c r="O190" i="34" s="1"/>
  <c r="G190" i="34"/>
  <c r="G189" i="34"/>
  <c r="O188" i="34"/>
  <c r="G188" i="34"/>
  <c r="O187" i="34"/>
  <c r="G187" i="34"/>
  <c r="O186" i="34"/>
  <c r="G186" i="34"/>
  <c r="O185" i="34"/>
  <c r="G185" i="34"/>
  <c r="O184" i="34"/>
  <c r="G184" i="34"/>
  <c r="O183" i="34"/>
  <c r="C194" i="34"/>
  <c r="G183" i="34"/>
  <c r="M181" i="34"/>
  <c r="O179" i="34"/>
  <c r="G179" i="34"/>
  <c r="N174" i="34"/>
  <c r="F174" i="34"/>
  <c r="J172" i="34"/>
  <c r="N171" i="34"/>
  <c r="O171" i="34" s="1"/>
  <c r="G171" i="34"/>
  <c r="N170" i="34"/>
  <c r="O170" i="34" s="1"/>
  <c r="G170" i="34"/>
  <c r="N169" i="34"/>
  <c r="O169" i="34" s="1"/>
  <c r="G169" i="34"/>
  <c r="G168" i="34"/>
  <c r="O167" i="34"/>
  <c r="G167" i="34"/>
  <c r="O166" i="34"/>
  <c r="G166" i="34"/>
  <c r="O165" i="34"/>
  <c r="G165" i="34"/>
  <c r="O164" i="34"/>
  <c r="G164" i="34"/>
  <c r="O163" i="34"/>
  <c r="G163" i="34"/>
  <c r="O162" i="34"/>
  <c r="C172" i="34"/>
  <c r="G162" i="34"/>
  <c r="M160" i="34"/>
  <c r="O158" i="34"/>
  <c r="G158" i="34"/>
  <c r="N155" i="34"/>
  <c r="F155" i="34"/>
  <c r="N152" i="34"/>
  <c r="O152" i="34" s="1"/>
  <c r="G152" i="34"/>
  <c r="N151" i="34"/>
  <c r="O151" i="34" s="1"/>
  <c r="G151" i="34"/>
  <c r="J153" i="34"/>
  <c r="N150" i="34"/>
  <c r="O150" i="34" s="1"/>
  <c r="G150" i="34"/>
  <c r="G149" i="34"/>
  <c r="O148" i="34"/>
  <c r="G148" i="34"/>
  <c r="O147" i="34"/>
  <c r="G147" i="34"/>
  <c r="O146" i="34"/>
  <c r="G146" i="34"/>
  <c r="O145" i="34"/>
  <c r="G145" i="34"/>
  <c r="O144" i="34"/>
  <c r="G144" i="34"/>
  <c r="O143" i="34"/>
  <c r="C154" i="34"/>
  <c r="G143" i="34"/>
  <c r="M141" i="34"/>
  <c r="O139" i="34"/>
  <c r="G139" i="34"/>
  <c r="N120" i="34"/>
  <c r="J122" i="34"/>
  <c r="K122" i="34"/>
  <c r="L122" i="34"/>
  <c r="M122" i="34"/>
  <c r="J123" i="34"/>
  <c r="K123" i="34"/>
  <c r="L123" i="34"/>
  <c r="M123" i="34"/>
  <c r="J124" i="34"/>
  <c r="K124" i="34"/>
  <c r="L124" i="34"/>
  <c r="M124" i="34"/>
  <c r="J125" i="34"/>
  <c r="K125" i="34"/>
  <c r="L125" i="34"/>
  <c r="M125" i="34"/>
  <c r="J126" i="34"/>
  <c r="K126" i="34"/>
  <c r="L126" i="34"/>
  <c r="M126" i="34"/>
  <c r="J127" i="34"/>
  <c r="K127" i="34"/>
  <c r="L127" i="34"/>
  <c r="M127" i="34"/>
  <c r="J128" i="34"/>
  <c r="K128" i="34"/>
  <c r="L128" i="34"/>
  <c r="M128" i="34"/>
  <c r="J129" i="34"/>
  <c r="K129" i="34"/>
  <c r="L129" i="34"/>
  <c r="M129" i="34"/>
  <c r="J130" i="34"/>
  <c r="K130" i="34"/>
  <c r="L130" i="34"/>
  <c r="M130" i="34"/>
  <c r="J131" i="34"/>
  <c r="K131" i="34"/>
  <c r="L131" i="34"/>
  <c r="M131" i="34"/>
  <c r="I131" i="34"/>
  <c r="I130" i="34"/>
  <c r="I129" i="34"/>
  <c r="I128" i="34"/>
  <c r="I127" i="34"/>
  <c r="I126" i="34"/>
  <c r="I125" i="34"/>
  <c r="I124" i="34"/>
  <c r="I123" i="34"/>
  <c r="I122" i="34"/>
  <c r="O122" i="34" s="1"/>
  <c r="H158" i="21"/>
  <c r="I158" i="21"/>
  <c r="J158" i="21"/>
  <c r="K158" i="21"/>
  <c r="L158" i="21"/>
  <c r="M158" i="21"/>
  <c r="H159" i="21"/>
  <c r="I159" i="21"/>
  <c r="J159" i="21"/>
  <c r="K159" i="21"/>
  <c r="L159" i="21"/>
  <c r="M159" i="21"/>
  <c r="H160" i="21"/>
  <c r="I160" i="21"/>
  <c r="J160" i="21"/>
  <c r="K160" i="21"/>
  <c r="L160" i="21"/>
  <c r="M160" i="21"/>
  <c r="H161" i="21"/>
  <c r="I161" i="21"/>
  <c r="J161" i="21"/>
  <c r="K161" i="21"/>
  <c r="L161" i="21"/>
  <c r="M161" i="21"/>
  <c r="H162" i="21"/>
  <c r="I162" i="21"/>
  <c r="J162" i="21"/>
  <c r="K162" i="21"/>
  <c r="L162" i="21"/>
  <c r="M162" i="21"/>
  <c r="H163" i="21"/>
  <c r="I163" i="21"/>
  <c r="J163" i="21"/>
  <c r="K163" i="21"/>
  <c r="L163" i="21"/>
  <c r="M163" i="21"/>
  <c r="H164" i="21"/>
  <c r="I164" i="21"/>
  <c r="J164" i="21"/>
  <c r="K164" i="21"/>
  <c r="L164" i="21"/>
  <c r="M164" i="21"/>
  <c r="H165" i="21"/>
  <c r="I165" i="21"/>
  <c r="J165" i="21"/>
  <c r="K165" i="21"/>
  <c r="L165" i="21"/>
  <c r="M165" i="21"/>
  <c r="H166" i="21"/>
  <c r="I166" i="21"/>
  <c r="J166" i="21"/>
  <c r="K166" i="21"/>
  <c r="L166" i="21"/>
  <c r="M166" i="21"/>
  <c r="H167" i="21"/>
  <c r="I167" i="21"/>
  <c r="J167" i="21"/>
  <c r="K167" i="21"/>
  <c r="L167" i="21"/>
  <c r="M167" i="21"/>
  <c r="H168" i="21"/>
  <c r="I168" i="21"/>
  <c r="J168" i="21"/>
  <c r="K168" i="21"/>
  <c r="L168" i="21"/>
  <c r="M168" i="21"/>
  <c r="H169" i="21"/>
  <c r="I169" i="21"/>
  <c r="J169" i="21"/>
  <c r="K169" i="21"/>
  <c r="L169" i="21"/>
  <c r="M169" i="21"/>
  <c r="H170" i="21"/>
  <c r="I170" i="21"/>
  <c r="J170" i="21"/>
  <c r="K170" i="21"/>
  <c r="L170" i="21"/>
  <c r="M170" i="21"/>
  <c r="H171" i="21"/>
  <c r="I171" i="21"/>
  <c r="J171" i="21"/>
  <c r="K171" i="21"/>
  <c r="L171" i="21"/>
  <c r="M171" i="21"/>
  <c r="H172" i="21"/>
  <c r="I172" i="21"/>
  <c r="J172" i="21"/>
  <c r="K172" i="21"/>
  <c r="L172" i="21"/>
  <c r="M172" i="21"/>
  <c r="H173" i="21"/>
  <c r="I173" i="21"/>
  <c r="J173" i="21"/>
  <c r="K173" i="21"/>
  <c r="L173" i="21"/>
  <c r="M173" i="21"/>
  <c r="H174" i="21"/>
  <c r="I174" i="21"/>
  <c r="J174" i="21"/>
  <c r="K174" i="21"/>
  <c r="L174" i="21"/>
  <c r="M174" i="21"/>
  <c r="H175" i="21"/>
  <c r="I175" i="21"/>
  <c r="J175" i="21"/>
  <c r="K175" i="21"/>
  <c r="L175" i="21"/>
  <c r="M175" i="21"/>
  <c r="H176" i="21"/>
  <c r="I176" i="21"/>
  <c r="J176" i="21"/>
  <c r="K176" i="21"/>
  <c r="L176" i="21"/>
  <c r="M176" i="21"/>
  <c r="H177" i="21"/>
  <c r="I177" i="21"/>
  <c r="J177" i="21"/>
  <c r="K177" i="21"/>
  <c r="L177" i="21"/>
  <c r="M177" i="21"/>
  <c r="H178" i="21"/>
  <c r="I178" i="21"/>
  <c r="J178" i="21"/>
  <c r="K178" i="21"/>
  <c r="L178" i="21"/>
  <c r="M178" i="21"/>
  <c r="H179" i="21"/>
  <c r="I179" i="21"/>
  <c r="J179" i="21"/>
  <c r="K179" i="21"/>
  <c r="L179" i="21"/>
  <c r="M179" i="21"/>
  <c r="H180" i="21"/>
  <c r="I180" i="21"/>
  <c r="J180" i="21"/>
  <c r="K180" i="21"/>
  <c r="L180" i="21"/>
  <c r="M180" i="21"/>
  <c r="H181" i="21"/>
  <c r="I181" i="21"/>
  <c r="J181" i="21"/>
  <c r="K181" i="21"/>
  <c r="L181" i="21"/>
  <c r="M181" i="21"/>
  <c r="H182" i="21"/>
  <c r="I182" i="21"/>
  <c r="J182" i="21"/>
  <c r="K182" i="21"/>
  <c r="L182" i="21"/>
  <c r="M182" i="21"/>
  <c r="H183" i="21"/>
  <c r="I183" i="21"/>
  <c r="J183" i="21"/>
  <c r="K183" i="21"/>
  <c r="L183" i="21"/>
  <c r="M183" i="21"/>
  <c r="H184" i="21"/>
  <c r="I184" i="21"/>
  <c r="J184" i="21"/>
  <c r="K184" i="21"/>
  <c r="L184" i="21"/>
  <c r="M184" i="21"/>
  <c r="H185" i="21"/>
  <c r="I185" i="21"/>
  <c r="J185" i="21"/>
  <c r="K185" i="21"/>
  <c r="L185" i="21"/>
  <c r="M185" i="21"/>
  <c r="H186" i="21"/>
  <c r="I186" i="21"/>
  <c r="J186" i="21"/>
  <c r="K186" i="21"/>
  <c r="L186" i="21"/>
  <c r="M186" i="21"/>
  <c r="H187" i="21"/>
  <c r="I187" i="21"/>
  <c r="J187" i="21"/>
  <c r="K187" i="21"/>
  <c r="L187" i="21"/>
  <c r="M187" i="21"/>
  <c r="H188" i="21"/>
  <c r="I188" i="21"/>
  <c r="J188" i="21"/>
  <c r="K188" i="21"/>
  <c r="L188" i="21"/>
  <c r="M188" i="21"/>
  <c r="H189" i="21"/>
  <c r="I189" i="21"/>
  <c r="J189" i="21"/>
  <c r="K189" i="21"/>
  <c r="L189" i="21"/>
  <c r="M189" i="21"/>
  <c r="H190" i="21"/>
  <c r="I190" i="21"/>
  <c r="J190" i="21"/>
  <c r="K190" i="21"/>
  <c r="L190" i="21"/>
  <c r="M190" i="21"/>
  <c r="H191" i="21"/>
  <c r="I191" i="21"/>
  <c r="J191" i="21"/>
  <c r="K191" i="21"/>
  <c r="L191" i="21"/>
  <c r="M191" i="21"/>
  <c r="H192" i="21"/>
  <c r="I192" i="21"/>
  <c r="J192" i="21"/>
  <c r="K192" i="21"/>
  <c r="L192" i="21"/>
  <c r="M192" i="21"/>
  <c r="H193" i="21"/>
  <c r="I193" i="21"/>
  <c r="J193" i="21"/>
  <c r="K193" i="21"/>
  <c r="L193" i="21"/>
  <c r="M193" i="21"/>
  <c r="H194" i="21"/>
  <c r="I194" i="21"/>
  <c r="J194" i="21"/>
  <c r="K194" i="21"/>
  <c r="L194" i="21"/>
  <c r="M194" i="21"/>
  <c r="H195" i="21"/>
  <c r="I195" i="21"/>
  <c r="J195" i="21"/>
  <c r="K195" i="21"/>
  <c r="L195" i="21"/>
  <c r="M195" i="21"/>
  <c r="H196" i="21"/>
  <c r="I196" i="21"/>
  <c r="J196" i="21"/>
  <c r="K196" i="21"/>
  <c r="L196" i="21"/>
  <c r="M196" i="21"/>
  <c r="H197" i="21"/>
  <c r="I197" i="21"/>
  <c r="J197" i="21"/>
  <c r="K197" i="21"/>
  <c r="L197" i="21"/>
  <c r="M197" i="21"/>
  <c r="H198" i="21"/>
  <c r="I198" i="21"/>
  <c r="J198" i="21"/>
  <c r="K198" i="21"/>
  <c r="L198" i="21"/>
  <c r="M198" i="21"/>
  <c r="H199" i="21"/>
  <c r="I199" i="21"/>
  <c r="J199" i="21"/>
  <c r="K199" i="21"/>
  <c r="L199" i="21"/>
  <c r="M199" i="21"/>
  <c r="H200" i="21"/>
  <c r="I200" i="21"/>
  <c r="J200" i="21"/>
  <c r="K200" i="21"/>
  <c r="L200" i="21"/>
  <c r="M200" i="21"/>
  <c r="H201" i="21"/>
  <c r="I201" i="21"/>
  <c r="J201" i="21"/>
  <c r="K201" i="21"/>
  <c r="L201" i="21"/>
  <c r="M201" i="21"/>
  <c r="H202" i="21"/>
  <c r="I202" i="21"/>
  <c r="J202" i="21"/>
  <c r="K202" i="21"/>
  <c r="L202" i="21"/>
  <c r="M202" i="21"/>
  <c r="H203" i="21"/>
  <c r="I203" i="21"/>
  <c r="J203" i="21"/>
  <c r="K203" i="21"/>
  <c r="L203" i="21"/>
  <c r="M203" i="21"/>
  <c r="H204" i="21"/>
  <c r="I204" i="21"/>
  <c r="J204" i="21"/>
  <c r="K204" i="21"/>
  <c r="L204" i="21"/>
  <c r="M204" i="21"/>
  <c r="H205" i="21"/>
  <c r="I205" i="21"/>
  <c r="J205" i="21"/>
  <c r="K205" i="21"/>
  <c r="L205" i="21"/>
  <c r="M205" i="21"/>
  <c r="H206" i="21"/>
  <c r="I206" i="21"/>
  <c r="J206" i="21"/>
  <c r="K206" i="21"/>
  <c r="L206" i="21"/>
  <c r="M206" i="21"/>
  <c r="H207" i="21"/>
  <c r="I207" i="21"/>
  <c r="J207" i="21"/>
  <c r="K207" i="21"/>
  <c r="L207" i="21"/>
  <c r="M207" i="21"/>
  <c r="I157" i="21"/>
  <c r="J157" i="21"/>
  <c r="K157" i="21"/>
  <c r="L157" i="21"/>
  <c r="M157" i="21"/>
  <c r="H515" i="21"/>
  <c r="I515" i="21"/>
  <c r="J515" i="21"/>
  <c r="K515" i="21"/>
  <c r="L515" i="21"/>
  <c r="M515" i="21"/>
  <c r="H516" i="21"/>
  <c r="I516" i="21"/>
  <c r="J516" i="21"/>
  <c r="K516" i="21"/>
  <c r="L516" i="21"/>
  <c r="M516" i="21"/>
  <c r="H517" i="21"/>
  <c r="I517" i="21"/>
  <c r="J517" i="21"/>
  <c r="K517" i="21"/>
  <c r="L517" i="21"/>
  <c r="M517" i="21"/>
  <c r="H518" i="21"/>
  <c r="I518" i="21"/>
  <c r="J518" i="21"/>
  <c r="K518" i="21"/>
  <c r="L518" i="21"/>
  <c r="M518" i="21"/>
  <c r="H519" i="21"/>
  <c r="I519" i="21"/>
  <c r="J519" i="21"/>
  <c r="K519" i="21"/>
  <c r="L519" i="21"/>
  <c r="M519" i="21"/>
  <c r="H520" i="21"/>
  <c r="I520" i="21"/>
  <c r="J520" i="21"/>
  <c r="K520" i="21"/>
  <c r="L520" i="21"/>
  <c r="M520" i="21"/>
  <c r="H521" i="21"/>
  <c r="I521" i="21"/>
  <c r="J521" i="21"/>
  <c r="K521" i="21"/>
  <c r="L521" i="21"/>
  <c r="M521" i="21"/>
  <c r="H522" i="21"/>
  <c r="I522" i="21"/>
  <c r="J522" i="21"/>
  <c r="K522" i="21"/>
  <c r="L522" i="21"/>
  <c r="M522" i="21"/>
  <c r="H523" i="21"/>
  <c r="I523" i="21"/>
  <c r="J523" i="21"/>
  <c r="K523" i="21"/>
  <c r="L523" i="21"/>
  <c r="M523" i="21"/>
  <c r="H524" i="21"/>
  <c r="I524" i="21"/>
  <c r="J524" i="21"/>
  <c r="K524" i="21"/>
  <c r="L524" i="21"/>
  <c r="M524" i="21"/>
  <c r="H525" i="21"/>
  <c r="I525" i="21"/>
  <c r="J525" i="21"/>
  <c r="K525" i="21"/>
  <c r="L525" i="21"/>
  <c r="M525" i="21"/>
  <c r="H526" i="21"/>
  <c r="I526" i="21"/>
  <c r="J526" i="21"/>
  <c r="K526" i="21"/>
  <c r="L526" i="21"/>
  <c r="M526" i="21"/>
  <c r="H527" i="21"/>
  <c r="I527" i="21"/>
  <c r="J527" i="21"/>
  <c r="K527" i="21"/>
  <c r="L527" i="21"/>
  <c r="M527" i="21"/>
  <c r="H528" i="21"/>
  <c r="I528" i="21"/>
  <c r="J528" i="21"/>
  <c r="K528" i="21"/>
  <c r="L528" i="21"/>
  <c r="M528" i="21"/>
  <c r="H529" i="21"/>
  <c r="I529" i="21"/>
  <c r="J529" i="21"/>
  <c r="K529" i="21"/>
  <c r="L529" i="21"/>
  <c r="M529" i="21"/>
  <c r="H530" i="21"/>
  <c r="I530" i="21"/>
  <c r="J530" i="21"/>
  <c r="K530" i="21"/>
  <c r="L530" i="21"/>
  <c r="M530" i="21"/>
  <c r="H531" i="21"/>
  <c r="I531" i="21"/>
  <c r="J531" i="21"/>
  <c r="K531" i="21"/>
  <c r="L531" i="21"/>
  <c r="M531" i="21"/>
  <c r="H532" i="21"/>
  <c r="I532" i="21"/>
  <c r="J532" i="21"/>
  <c r="K532" i="21"/>
  <c r="L532" i="21"/>
  <c r="M532" i="21"/>
  <c r="H533" i="21"/>
  <c r="I533" i="21"/>
  <c r="J533" i="21"/>
  <c r="K533" i="21"/>
  <c r="L533" i="21"/>
  <c r="M533" i="21"/>
  <c r="H534" i="21"/>
  <c r="I534" i="21"/>
  <c r="J534" i="21"/>
  <c r="K534" i="21"/>
  <c r="L534" i="21"/>
  <c r="M534" i="21"/>
  <c r="H535" i="21"/>
  <c r="I535" i="21"/>
  <c r="J535" i="21"/>
  <c r="K535" i="21"/>
  <c r="L535" i="21"/>
  <c r="M535" i="21"/>
  <c r="H536" i="21"/>
  <c r="I536" i="21"/>
  <c r="J536" i="21"/>
  <c r="K536" i="21"/>
  <c r="L536" i="21"/>
  <c r="M536" i="21"/>
  <c r="H537" i="21"/>
  <c r="I537" i="21"/>
  <c r="J537" i="21"/>
  <c r="K537" i="21"/>
  <c r="L537" i="21"/>
  <c r="M537" i="21"/>
  <c r="H538" i="21"/>
  <c r="I538" i="21"/>
  <c r="J538" i="21"/>
  <c r="K538" i="21"/>
  <c r="L538" i="21"/>
  <c r="M538" i="21"/>
  <c r="H539" i="21"/>
  <c r="I539" i="21"/>
  <c r="J539" i="21"/>
  <c r="K539" i="21"/>
  <c r="L539" i="21"/>
  <c r="M539" i="21"/>
  <c r="H540" i="21"/>
  <c r="I540" i="21"/>
  <c r="J540" i="21"/>
  <c r="K540" i="21"/>
  <c r="L540" i="21"/>
  <c r="M540" i="21"/>
  <c r="H541" i="21"/>
  <c r="I541" i="21"/>
  <c r="J541" i="21"/>
  <c r="K541" i="21"/>
  <c r="L541" i="21"/>
  <c r="M541" i="21"/>
  <c r="H542" i="21"/>
  <c r="I542" i="21"/>
  <c r="J542" i="21"/>
  <c r="K542" i="21"/>
  <c r="L542" i="21"/>
  <c r="M542" i="21"/>
  <c r="H543" i="21"/>
  <c r="I543" i="21"/>
  <c r="J543" i="21"/>
  <c r="K543" i="21"/>
  <c r="L543" i="21"/>
  <c r="M543" i="21"/>
  <c r="H544" i="21"/>
  <c r="I544" i="21"/>
  <c r="J544" i="21"/>
  <c r="K544" i="21"/>
  <c r="L544" i="21"/>
  <c r="M544" i="21"/>
  <c r="H545" i="21"/>
  <c r="I545" i="21"/>
  <c r="J545" i="21"/>
  <c r="K545" i="21"/>
  <c r="L545" i="21"/>
  <c r="M545" i="21"/>
  <c r="H546" i="21"/>
  <c r="I546" i="21"/>
  <c r="J546" i="21"/>
  <c r="K546" i="21"/>
  <c r="L546" i="21"/>
  <c r="M546" i="21"/>
  <c r="H547" i="21"/>
  <c r="I547" i="21"/>
  <c r="J547" i="21"/>
  <c r="K547" i="21"/>
  <c r="L547" i="21"/>
  <c r="M547" i="21"/>
  <c r="H548" i="21"/>
  <c r="I548" i="21"/>
  <c r="J548" i="21"/>
  <c r="K548" i="21"/>
  <c r="L548" i="21"/>
  <c r="M548" i="21"/>
  <c r="H549" i="21"/>
  <c r="I549" i="21"/>
  <c r="J549" i="21"/>
  <c r="K549" i="21"/>
  <c r="L549" i="21"/>
  <c r="M549" i="21"/>
  <c r="H550" i="21"/>
  <c r="I550" i="21"/>
  <c r="J550" i="21"/>
  <c r="K550" i="21"/>
  <c r="L550" i="21"/>
  <c r="M550" i="21"/>
  <c r="H551" i="21"/>
  <c r="I551" i="21"/>
  <c r="J551" i="21"/>
  <c r="K551" i="21"/>
  <c r="L551" i="21"/>
  <c r="M551" i="21"/>
  <c r="H552" i="21"/>
  <c r="I552" i="21"/>
  <c r="J552" i="21"/>
  <c r="K552" i="21"/>
  <c r="L552" i="21"/>
  <c r="M552" i="21"/>
  <c r="H553" i="21"/>
  <c r="I553" i="21"/>
  <c r="J553" i="21"/>
  <c r="K553" i="21"/>
  <c r="L553" i="21"/>
  <c r="M553" i="21"/>
  <c r="H554" i="21"/>
  <c r="I554" i="21"/>
  <c r="J554" i="21"/>
  <c r="K554" i="21"/>
  <c r="L554" i="21"/>
  <c r="M554" i="21"/>
  <c r="H555" i="21"/>
  <c r="I555" i="21"/>
  <c r="J555" i="21"/>
  <c r="K555" i="21"/>
  <c r="L555" i="21"/>
  <c r="M555" i="21"/>
  <c r="H556" i="21"/>
  <c r="I556" i="21"/>
  <c r="J556" i="21"/>
  <c r="K556" i="21"/>
  <c r="L556" i="21"/>
  <c r="M556" i="21"/>
  <c r="H557" i="21"/>
  <c r="I557" i="21"/>
  <c r="J557" i="21"/>
  <c r="K557" i="21"/>
  <c r="L557" i="21"/>
  <c r="M557" i="21"/>
  <c r="H558" i="21"/>
  <c r="I558" i="21"/>
  <c r="J558" i="21"/>
  <c r="K558" i="21"/>
  <c r="L558" i="21"/>
  <c r="M558" i="21"/>
  <c r="H559" i="21"/>
  <c r="I559" i="21"/>
  <c r="J559" i="21"/>
  <c r="K559" i="21"/>
  <c r="L559" i="21"/>
  <c r="M559" i="21"/>
  <c r="H560" i="21"/>
  <c r="I560" i="21"/>
  <c r="J560" i="21"/>
  <c r="K560" i="21"/>
  <c r="L560" i="21"/>
  <c r="M560" i="21"/>
  <c r="H561" i="21"/>
  <c r="I561" i="21"/>
  <c r="J561" i="21"/>
  <c r="K561" i="21"/>
  <c r="L561" i="21"/>
  <c r="M561" i="21"/>
  <c r="H562" i="21"/>
  <c r="I562" i="21"/>
  <c r="J562" i="21"/>
  <c r="K562" i="21"/>
  <c r="L562" i="21"/>
  <c r="M562" i="21"/>
  <c r="H563" i="21"/>
  <c r="I563" i="21"/>
  <c r="J563" i="21"/>
  <c r="K563" i="21"/>
  <c r="L563" i="21"/>
  <c r="M563" i="21"/>
  <c r="H564" i="21"/>
  <c r="I564" i="21"/>
  <c r="J564" i="21"/>
  <c r="K564" i="21"/>
  <c r="L564" i="21"/>
  <c r="M564" i="21"/>
  <c r="I514" i="21"/>
  <c r="J514" i="21"/>
  <c r="K514" i="21"/>
  <c r="L514" i="21"/>
  <c r="M514" i="21"/>
  <c r="H514" i="21"/>
  <c r="H464" i="21"/>
  <c r="I464" i="21"/>
  <c r="J464" i="21"/>
  <c r="K464" i="21"/>
  <c r="L464" i="21"/>
  <c r="M464" i="21"/>
  <c r="H465" i="21"/>
  <c r="I465" i="21"/>
  <c r="J465" i="21"/>
  <c r="K465" i="21"/>
  <c r="L465" i="21"/>
  <c r="M465" i="21"/>
  <c r="H466" i="21"/>
  <c r="I466" i="21"/>
  <c r="J466" i="21"/>
  <c r="K466" i="21"/>
  <c r="L466" i="21"/>
  <c r="M466" i="21"/>
  <c r="H467" i="21"/>
  <c r="I467" i="21"/>
  <c r="J467" i="21"/>
  <c r="K467" i="21"/>
  <c r="L467" i="21"/>
  <c r="M467" i="21"/>
  <c r="H468" i="21"/>
  <c r="I468" i="21"/>
  <c r="J468" i="21"/>
  <c r="K468" i="21"/>
  <c r="L468" i="21"/>
  <c r="M468" i="21"/>
  <c r="H469" i="21"/>
  <c r="I469" i="21"/>
  <c r="J469" i="21"/>
  <c r="K469" i="21"/>
  <c r="L469" i="21"/>
  <c r="M469" i="21"/>
  <c r="H470" i="21"/>
  <c r="I470" i="21"/>
  <c r="J470" i="21"/>
  <c r="K470" i="21"/>
  <c r="L470" i="21"/>
  <c r="M470" i="21"/>
  <c r="H471" i="21"/>
  <c r="I471" i="21"/>
  <c r="J471" i="21"/>
  <c r="K471" i="21"/>
  <c r="L471" i="21"/>
  <c r="M471" i="21"/>
  <c r="H472" i="21"/>
  <c r="I472" i="21"/>
  <c r="J472" i="21"/>
  <c r="K472" i="21"/>
  <c r="L472" i="21"/>
  <c r="M472" i="21"/>
  <c r="H473" i="21"/>
  <c r="I473" i="21"/>
  <c r="J473" i="21"/>
  <c r="K473" i="21"/>
  <c r="L473" i="21"/>
  <c r="M473" i="21"/>
  <c r="H474" i="21"/>
  <c r="I474" i="21"/>
  <c r="J474" i="21"/>
  <c r="K474" i="21"/>
  <c r="L474" i="21"/>
  <c r="M474" i="21"/>
  <c r="H475" i="21"/>
  <c r="I475" i="21"/>
  <c r="J475" i="21"/>
  <c r="K475" i="21"/>
  <c r="L475" i="21"/>
  <c r="M475" i="21"/>
  <c r="H476" i="21"/>
  <c r="I476" i="21"/>
  <c r="J476" i="21"/>
  <c r="K476" i="21"/>
  <c r="L476" i="21"/>
  <c r="M476" i="21"/>
  <c r="H477" i="21"/>
  <c r="I477" i="21"/>
  <c r="J477" i="21"/>
  <c r="K477" i="21"/>
  <c r="L477" i="21"/>
  <c r="M477" i="21"/>
  <c r="H478" i="21"/>
  <c r="I478" i="21"/>
  <c r="J478" i="21"/>
  <c r="K478" i="21"/>
  <c r="L478" i="21"/>
  <c r="M478" i="21"/>
  <c r="H479" i="21"/>
  <c r="I479" i="21"/>
  <c r="J479" i="21"/>
  <c r="K479" i="21"/>
  <c r="L479" i="21"/>
  <c r="M479" i="21"/>
  <c r="H480" i="21"/>
  <c r="I480" i="21"/>
  <c r="J480" i="21"/>
  <c r="K480" i="21"/>
  <c r="L480" i="21"/>
  <c r="M480" i="21"/>
  <c r="H481" i="21"/>
  <c r="I481" i="21"/>
  <c r="J481" i="21"/>
  <c r="K481" i="21"/>
  <c r="L481" i="21"/>
  <c r="M481" i="21"/>
  <c r="H482" i="21"/>
  <c r="I482" i="21"/>
  <c r="J482" i="21"/>
  <c r="K482" i="21"/>
  <c r="L482" i="21"/>
  <c r="M482" i="21"/>
  <c r="H483" i="21"/>
  <c r="I483" i="21"/>
  <c r="J483" i="21"/>
  <c r="K483" i="21"/>
  <c r="L483" i="21"/>
  <c r="M483" i="21"/>
  <c r="H484" i="21"/>
  <c r="I484" i="21"/>
  <c r="J484" i="21"/>
  <c r="K484" i="21"/>
  <c r="L484" i="21"/>
  <c r="M484" i="21"/>
  <c r="H485" i="21"/>
  <c r="I485" i="21"/>
  <c r="J485" i="21"/>
  <c r="K485" i="21"/>
  <c r="L485" i="21"/>
  <c r="M485" i="21"/>
  <c r="H486" i="21"/>
  <c r="I486" i="21"/>
  <c r="J486" i="21"/>
  <c r="K486" i="21"/>
  <c r="L486" i="21"/>
  <c r="M486" i="21"/>
  <c r="H487" i="21"/>
  <c r="I487" i="21"/>
  <c r="J487" i="21"/>
  <c r="K487" i="21"/>
  <c r="L487" i="21"/>
  <c r="M487" i="21"/>
  <c r="H488" i="21"/>
  <c r="I488" i="21"/>
  <c r="J488" i="21"/>
  <c r="K488" i="21"/>
  <c r="L488" i="21"/>
  <c r="M488" i="21"/>
  <c r="H489" i="21"/>
  <c r="I489" i="21"/>
  <c r="J489" i="21"/>
  <c r="K489" i="21"/>
  <c r="L489" i="21"/>
  <c r="M489" i="21"/>
  <c r="H490" i="21"/>
  <c r="I490" i="21"/>
  <c r="J490" i="21"/>
  <c r="K490" i="21"/>
  <c r="L490" i="21"/>
  <c r="M490" i="21"/>
  <c r="H491" i="21"/>
  <c r="I491" i="21"/>
  <c r="J491" i="21"/>
  <c r="K491" i="21"/>
  <c r="L491" i="21"/>
  <c r="M491" i="21"/>
  <c r="H492" i="21"/>
  <c r="I492" i="21"/>
  <c r="J492" i="21"/>
  <c r="K492" i="21"/>
  <c r="L492" i="21"/>
  <c r="M492" i="21"/>
  <c r="H493" i="21"/>
  <c r="I493" i="21"/>
  <c r="J493" i="21"/>
  <c r="K493" i="21"/>
  <c r="L493" i="21"/>
  <c r="M493" i="21"/>
  <c r="H494" i="21"/>
  <c r="I494" i="21"/>
  <c r="J494" i="21"/>
  <c r="K494" i="21"/>
  <c r="L494" i="21"/>
  <c r="M494" i="21"/>
  <c r="H495" i="21"/>
  <c r="I495" i="21"/>
  <c r="J495" i="21"/>
  <c r="K495" i="21"/>
  <c r="L495" i="21"/>
  <c r="M495" i="21"/>
  <c r="H496" i="21"/>
  <c r="I496" i="21"/>
  <c r="J496" i="21"/>
  <c r="K496" i="21"/>
  <c r="L496" i="21"/>
  <c r="M496" i="21"/>
  <c r="H497" i="21"/>
  <c r="I497" i="21"/>
  <c r="J497" i="21"/>
  <c r="K497" i="21"/>
  <c r="L497" i="21"/>
  <c r="M497" i="21"/>
  <c r="H498" i="21"/>
  <c r="I498" i="21"/>
  <c r="J498" i="21"/>
  <c r="K498" i="21"/>
  <c r="L498" i="21"/>
  <c r="M498" i="21"/>
  <c r="H499" i="21"/>
  <c r="I499" i="21"/>
  <c r="J499" i="21"/>
  <c r="K499" i="21"/>
  <c r="L499" i="21"/>
  <c r="M499" i="21"/>
  <c r="H500" i="21"/>
  <c r="I500" i="21"/>
  <c r="J500" i="21"/>
  <c r="K500" i="21"/>
  <c r="L500" i="21"/>
  <c r="M500" i="21"/>
  <c r="H501" i="21"/>
  <c r="I501" i="21"/>
  <c r="J501" i="21"/>
  <c r="K501" i="21"/>
  <c r="L501" i="21"/>
  <c r="M501" i="21"/>
  <c r="H502" i="21"/>
  <c r="I502" i="21"/>
  <c r="J502" i="21"/>
  <c r="K502" i="21"/>
  <c r="L502" i="21"/>
  <c r="M502" i="21"/>
  <c r="H503" i="21"/>
  <c r="I503" i="21"/>
  <c r="J503" i="21"/>
  <c r="K503" i="21"/>
  <c r="L503" i="21"/>
  <c r="M503" i="21"/>
  <c r="H504" i="21"/>
  <c r="I504" i="21"/>
  <c r="J504" i="21"/>
  <c r="K504" i="21"/>
  <c r="L504" i="21"/>
  <c r="M504" i="21"/>
  <c r="H505" i="21"/>
  <c r="I505" i="21"/>
  <c r="J505" i="21"/>
  <c r="K505" i="21"/>
  <c r="L505" i="21"/>
  <c r="M505" i="21"/>
  <c r="H506" i="21"/>
  <c r="I506" i="21"/>
  <c r="J506" i="21"/>
  <c r="K506" i="21"/>
  <c r="L506" i="21"/>
  <c r="M506" i="21"/>
  <c r="H507" i="21"/>
  <c r="I507" i="21"/>
  <c r="J507" i="21"/>
  <c r="K507" i="21"/>
  <c r="L507" i="21"/>
  <c r="M507" i="21"/>
  <c r="H508" i="21"/>
  <c r="I508" i="21"/>
  <c r="J508" i="21"/>
  <c r="K508" i="21"/>
  <c r="L508" i="21"/>
  <c r="M508" i="21"/>
  <c r="H509" i="21"/>
  <c r="I509" i="21"/>
  <c r="J509" i="21"/>
  <c r="K509" i="21"/>
  <c r="L509" i="21"/>
  <c r="M509" i="21"/>
  <c r="H510" i="21"/>
  <c r="I510" i="21"/>
  <c r="J510" i="21"/>
  <c r="K510" i="21"/>
  <c r="L510" i="21"/>
  <c r="M510" i="21"/>
  <c r="H511" i="21"/>
  <c r="I511" i="21"/>
  <c r="J511" i="21"/>
  <c r="K511" i="21"/>
  <c r="L511" i="21"/>
  <c r="M511" i="21"/>
  <c r="H512" i="21"/>
  <c r="I512" i="21"/>
  <c r="J512" i="21"/>
  <c r="K512" i="21"/>
  <c r="L512" i="21"/>
  <c r="M512" i="21"/>
  <c r="H513" i="21"/>
  <c r="I513" i="21"/>
  <c r="J513" i="21"/>
  <c r="K513" i="21"/>
  <c r="L513" i="21"/>
  <c r="M513" i="21"/>
  <c r="I463" i="21"/>
  <c r="J463" i="21"/>
  <c r="K463" i="21"/>
  <c r="L463" i="21"/>
  <c r="M463" i="21"/>
  <c r="H463" i="21"/>
  <c r="H413" i="21"/>
  <c r="I413" i="21"/>
  <c r="J413" i="21"/>
  <c r="K413" i="21"/>
  <c r="L413" i="21"/>
  <c r="M413" i="21"/>
  <c r="H414" i="21"/>
  <c r="I414" i="21"/>
  <c r="J414" i="21"/>
  <c r="K414" i="21"/>
  <c r="L414" i="21"/>
  <c r="M414" i="21"/>
  <c r="H415" i="21"/>
  <c r="I415" i="21"/>
  <c r="J415" i="21"/>
  <c r="K415" i="21"/>
  <c r="L415" i="21"/>
  <c r="M415" i="21"/>
  <c r="H416" i="21"/>
  <c r="I416" i="21"/>
  <c r="J416" i="21"/>
  <c r="K416" i="21"/>
  <c r="L416" i="21"/>
  <c r="M416" i="21"/>
  <c r="H417" i="21"/>
  <c r="I417" i="21"/>
  <c r="J417" i="21"/>
  <c r="K417" i="21"/>
  <c r="L417" i="21"/>
  <c r="M417" i="21"/>
  <c r="H418" i="21"/>
  <c r="I418" i="21"/>
  <c r="J418" i="21"/>
  <c r="K418" i="21"/>
  <c r="L418" i="21"/>
  <c r="M418" i="21"/>
  <c r="H419" i="21"/>
  <c r="I419" i="21"/>
  <c r="J419" i="21"/>
  <c r="K419" i="21"/>
  <c r="L419" i="21"/>
  <c r="M419" i="21"/>
  <c r="H420" i="21"/>
  <c r="I420" i="21"/>
  <c r="J420" i="21"/>
  <c r="K420" i="21"/>
  <c r="L420" i="21"/>
  <c r="M420" i="21"/>
  <c r="H421" i="21"/>
  <c r="I421" i="21"/>
  <c r="J421" i="21"/>
  <c r="K421" i="21"/>
  <c r="L421" i="21"/>
  <c r="M421" i="21"/>
  <c r="H422" i="21"/>
  <c r="I422" i="21"/>
  <c r="J422" i="21"/>
  <c r="K422" i="21"/>
  <c r="L422" i="21"/>
  <c r="M422" i="21"/>
  <c r="H423" i="21"/>
  <c r="I423" i="21"/>
  <c r="J423" i="21"/>
  <c r="K423" i="21"/>
  <c r="L423" i="21"/>
  <c r="M423" i="21"/>
  <c r="H424" i="21"/>
  <c r="I424" i="21"/>
  <c r="J424" i="21"/>
  <c r="K424" i="21"/>
  <c r="L424" i="21"/>
  <c r="M424" i="21"/>
  <c r="H425" i="21"/>
  <c r="I425" i="21"/>
  <c r="J425" i="21"/>
  <c r="K425" i="21"/>
  <c r="L425" i="21"/>
  <c r="M425" i="21"/>
  <c r="H426" i="21"/>
  <c r="I426" i="21"/>
  <c r="J426" i="21"/>
  <c r="K426" i="21"/>
  <c r="L426" i="21"/>
  <c r="M426" i="21"/>
  <c r="H427" i="21"/>
  <c r="I427" i="21"/>
  <c r="J427" i="21"/>
  <c r="K427" i="21"/>
  <c r="L427" i="21"/>
  <c r="M427" i="21"/>
  <c r="H428" i="21"/>
  <c r="I428" i="21"/>
  <c r="J428" i="21"/>
  <c r="K428" i="21"/>
  <c r="L428" i="21"/>
  <c r="M428" i="21"/>
  <c r="H429" i="21"/>
  <c r="I429" i="21"/>
  <c r="J429" i="21"/>
  <c r="K429" i="21"/>
  <c r="L429" i="21"/>
  <c r="M429" i="21"/>
  <c r="H430" i="21"/>
  <c r="I430" i="21"/>
  <c r="J430" i="21"/>
  <c r="K430" i="21"/>
  <c r="L430" i="21"/>
  <c r="M430" i="21"/>
  <c r="H431" i="21"/>
  <c r="I431" i="21"/>
  <c r="J431" i="21"/>
  <c r="K431" i="21"/>
  <c r="L431" i="21"/>
  <c r="M431" i="21"/>
  <c r="H432" i="21"/>
  <c r="I432" i="21"/>
  <c r="J432" i="21"/>
  <c r="K432" i="21"/>
  <c r="L432" i="21"/>
  <c r="M432" i="21"/>
  <c r="H433" i="21"/>
  <c r="I433" i="21"/>
  <c r="J433" i="21"/>
  <c r="K433" i="21"/>
  <c r="L433" i="21"/>
  <c r="M433" i="21"/>
  <c r="H434" i="21"/>
  <c r="I434" i="21"/>
  <c r="J434" i="21"/>
  <c r="K434" i="21"/>
  <c r="L434" i="21"/>
  <c r="M434" i="21"/>
  <c r="H435" i="21"/>
  <c r="I435" i="21"/>
  <c r="J435" i="21"/>
  <c r="K435" i="21"/>
  <c r="L435" i="21"/>
  <c r="M435" i="21"/>
  <c r="H436" i="21"/>
  <c r="I436" i="21"/>
  <c r="J436" i="21"/>
  <c r="K436" i="21"/>
  <c r="L436" i="21"/>
  <c r="M436" i="21"/>
  <c r="H437" i="21"/>
  <c r="I437" i="21"/>
  <c r="J437" i="21"/>
  <c r="K437" i="21"/>
  <c r="L437" i="21"/>
  <c r="M437" i="21"/>
  <c r="H438" i="21"/>
  <c r="I438" i="21"/>
  <c r="J438" i="21"/>
  <c r="K438" i="21"/>
  <c r="L438" i="21"/>
  <c r="M438" i="21"/>
  <c r="H439" i="21"/>
  <c r="I439" i="21"/>
  <c r="J439" i="21"/>
  <c r="K439" i="21"/>
  <c r="L439" i="21"/>
  <c r="M439" i="21"/>
  <c r="H440" i="21"/>
  <c r="I440" i="21"/>
  <c r="J440" i="21"/>
  <c r="K440" i="21"/>
  <c r="L440" i="21"/>
  <c r="M440" i="21"/>
  <c r="H441" i="21"/>
  <c r="I441" i="21"/>
  <c r="J441" i="21"/>
  <c r="K441" i="21"/>
  <c r="L441" i="21"/>
  <c r="M441" i="21"/>
  <c r="H442" i="21"/>
  <c r="I442" i="21"/>
  <c r="J442" i="21"/>
  <c r="K442" i="21"/>
  <c r="L442" i="21"/>
  <c r="M442" i="21"/>
  <c r="H443" i="21"/>
  <c r="I443" i="21"/>
  <c r="J443" i="21"/>
  <c r="K443" i="21"/>
  <c r="L443" i="21"/>
  <c r="M443" i="21"/>
  <c r="H444" i="21"/>
  <c r="I444" i="21"/>
  <c r="J444" i="21"/>
  <c r="K444" i="21"/>
  <c r="L444" i="21"/>
  <c r="M444" i="21"/>
  <c r="H445" i="21"/>
  <c r="I445" i="21"/>
  <c r="J445" i="21"/>
  <c r="K445" i="21"/>
  <c r="L445" i="21"/>
  <c r="M445" i="21"/>
  <c r="H446" i="21"/>
  <c r="I446" i="21"/>
  <c r="J446" i="21"/>
  <c r="K446" i="21"/>
  <c r="L446" i="21"/>
  <c r="M446" i="21"/>
  <c r="H447" i="21"/>
  <c r="I447" i="21"/>
  <c r="J447" i="21"/>
  <c r="K447" i="21"/>
  <c r="L447" i="21"/>
  <c r="M447" i="21"/>
  <c r="H448" i="21"/>
  <c r="I448" i="21"/>
  <c r="J448" i="21"/>
  <c r="K448" i="21"/>
  <c r="L448" i="21"/>
  <c r="M448" i="21"/>
  <c r="H449" i="21"/>
  <c r="I449" i="21"/>
  <c r="J449" i="21"/>
  <c r="K449" i="21"/>
  <c r="L449" i="21"/>
  <c r="M449" i="21"/>
  <c r="H450" i="21"/>
  <c r="I450" i="21"/>
  <c r="J450" i="21"/>
  <c r="K450" i="21"/>
  <c r="L450" i="21"/>
  <c r="M450" i="21"/>
  <c r="H451" i="21"/>
  <c r="I451" i="21"/>
  <c r="J451" i="21"/>
  <c r="K451" i="21"/>
  <c r="L451" i="21"/>
  <c r="M451" i="21"/>
  <c r="H452" i="21"/>
  <c r="I452" i="21"/>
  <c r="J452" i="21"/>
  <c r="K452" i="21"/>
  <c r="L452" i="21"/>
  <c r="M452" i="21"/>
  <c r="H453" i="21"/>
  <c r="I453" i="21"/>
  <c r="J453" i="21"/>
  <c r="K453" i="21"/>
  <c r="L453" i="21"/>
  <c r="M453" i="21"/>
  <c r="H454" i="21"/>
  <c r="I454" i="21"/>
  <c r="J454" i="21"/>
  <c r="K454" i="21"/>
  <c r="L454" i="21"/>
  <c r="M454" i="21"/>
  <c r="H455" i="21"/>
  <c r="I455" i="21"/>
  <c r="J455" i="21"/>
  <c r="K455" i="21"/>
  <c r="L455" i="21"/>
  <c r="M455" i="21"/>
  <c r="H456" i="21"/>
  <c r="I456" i="21"/>
  <c r="J456" i="21"/>
  <c r="K456" i="21"/>
  <c r="L456" i="21"/>
  <c r="M456" i="21"/>
  <c r="H457" i="21"/>
  <c r="I457" i="21"/>
  <c r="J457" i="21"/>
  <c r="K457" i="21"/>
  <c r="L457" i="21"/>
  <c r="M457" i="21"/>
  <c r="H458" i="21"/>
  <c r="I458" i="21"/>
  <c r="J458" i="21"/>
  <c r="K458" i="21"/>
  <c r="L458" i="21"/>
  <c r="M458" i="21"/>
  <c r="H459" i="21"/>
  <c r="I459" i="21"/>
  <c r="J459" i="21"/>
  <c r="K459" i="21"/>
  <c r="L459" i="21"/>
  <c r="M459" i="21"/>
  <c r="H460" i="21"/>
  <c r="I460" i="21"/>
  <c r="J460" i="21"/>
  <c r="K460" i="21"/>
  <c r="L460" i="21"/>
  <c r="M460" i="21"/>
  <c r="H461" i="21"/>
  <c r="I461" i="21"/>
  <c r="J461" i="21"/>
  <c r="K461" i="21"/>
  <c r="L461" i="21"/>
  <c r="M461" i="21"/>
  <c r="H462" i="21"/>
  <c r="I462" i="21"/>
  <c r="J462" i="21"/>
  <c r="K462" i="21"/>
  <c r="L462" i="21"/>
  <c r="M462" i="21"/>
  <c r="I412" i="21"/>
  <c r="J412" i="21"/>
  <c r="K412" i="21"/>
  <c r="L412" i="21"/>
  <c r="M412" i="21"/>
  <c r="H412" i="21"/>
  <c r="H362" i="21"/>
  <c r="I362" i="21"/>
  <c r="J362" i="21"/>
  <c r="K362" i="21"/>
  <c r="L362" i="21"/>
  <c r="M362" i="21"/>
  <c r="H363" i="21"/>
  <c r="I363" i="21"/>
  <c r="J363" i="21"/>
  <c r="K363" i="21"/>
  <c r="L363" i="21"/>
  <c r="M363" i="21"/>
  <c r="H364" i="21"/>
  <c r="I364" i="21"/>
  <c r="J364" i="21"/>
  <c r="K364" i="21"/>
  <c r="L364" i="21"/>
  <c r="M364" i="21"/>
  <c r="H365" i="21"/>
  <c r="I365" i="21"/>
  <c r="J365" i="21"/>
  <c r="K365" i="21"/>
  <c r="L365" i="21"/>
  <c r="M365" i="21"/>
  <c r="H366" i="21"/>
  <c r="I366" i="21"/>
  <c r="J366" i="21"/>
  <c r="K366" i="21"/>
  <c r="L366" i="21"/>
  <c r="M366" i="21"/>
  <c r="H367" i="21"/>
  <c r="I367" i="21"/>
  <c r="J367" i="21"/>
  <c r="K367" i="21"/>
  <c r="L367" i="21"/>
  <c r="M367" i="21"/>
  <c r="H368" i="21"/>
  <c r="I368" i="21"/>
  <c r="J368" i="21"/>
  <c r="K368" i="21"/>
  <c r="L368" i="21"/>
  <c r="M368" i="21"/>
  <c r="H369" i="21"/>
  <c r="I369" i="21"/>
  <c r="J369" i="21"/>
  <c r="K369" i="21"/>
  <c r="L369" i="21"/>
  <c r="M369" i="21"/>
  <c r="H370" i="21"/>
  <c r="I370" i="21"/>
  <c r="J370" i="21"/>
  <c r="K370" i="21"/>
  <c r="L370" i="21"/>
  <c r="M370" i="21"/>
  <c r="H371" i="21"/>
  <c r="I371" i="21"/>
  <c r="J371" i="21"/>
  <c r="K371" i="21"/>
  <c r="L371" i="21"/>
  <c r="M371" i="21"/>
  <c r="H372" i="21"/>
  <c r="I372" i="21"/>
  <c r="J372" i="21"/>
  <c r="K372" i="21"/>
  <c r="L372" i="21"/>
  <c r="M372" i="21"/>
  <c r="H373" i="21"/>
  <c r="I373" i="21"/>
  <c r="J373" i="21"/>
  <c r="K373" i="21"/>
  <c r="L373" i="21"/>
  <c r="M373" i="21"/>
  <c r="H374" i="21"/>
  <c r="I374" i="21"/>
  <c r="J374" i="21"/>
  <c r="K374" i="21"/>
  <c r="L374" i="21"/>
  <c r="M374" i="21"/>
  <c r="H375" i="21"/>
  <c r="I375" i="21"/>
  <c r="J375" i="21"/>
  <c r="K375" i="21"/>
  <c r="L375" i="21"/>
  <c r="M375" i="21"/>
  <c r="H376" i="21"/>
  <c r="I376" i="21"/>
  <c r="J376" i="21"/>
  <c r="K376" i="21"/>
  <c r="L376" i="21"/>
  <c r="M376" i="21"/>
  <c r="H377" i="21"/>
  <c r="I377" i="21"/>
  <c r="J377" i="21"/>
  <c r="K377" i="21"/>
  <c r="L377" i="21"/>
  <c r="M377" i="21"/>
  <c r="H378" i="21"/>
  <c r="I378" i="21"/>
  <c r="J378" i="21"/>
  <c r="K378" i="21"/>
  <c r="L378" i="21"/>
  <c r="M378" i="21"/>
  <c r="H379" i="21"/>
  <c r="I379" i="21"/>
  <c r="J379" i="21"/>
  <c r="K379" i="21"/>
  <c r="L379" i="21"/>
  <c r="M379" i="21"/>
  <c r="H380" i="21"/>
  <c r="I380" i="21"/>
  <c r="J380" i="21"/>
  <c r="K380" i="21"/>
  <c r="L380" i="21"/>
  <c r="M380" i="21"/>
  <c r="H381" i="21"/>
  <c r="I381" i="21"/>
  <c r="J381" i="21"/>
  <c r="K381" i="21"/>
  <c r="L381" i="21"/>
  <c r="M381" i="21"/>
  <c r="H382" i="21"/>
  <c r="I382" i="21"/>
  <c r="J382" i="21"/>
  <c r="K382" i="21"/>
  <c r="L382" i="21"/>
  <c r="M382" i="21"/>
  <c r="H383" i="21"/>
  <c r="I383" i="21"/>
  <c r="J383" i="21"/>
  <c r="K383" i="21"/>
  <c r="L383" i="21"/>
  <c r="M383" i="21"/>
  <c r="H384" i="21"/>
  <c r="I384" i="21"/>
  <c r="J384" i="21"/>
  <c r="K384" i="21"/>
  <c r="L384" i="21"/>
  <c r="M384" i="21"/>
  <c r="H385" i="21"/>
  <c r="I385" i="21"/>
  <c r="J385" i="21"/>
  <c r="K385" i="21"/>
  <c r="L385" i="21"/>
  <c r="M385" i="21"/>
  <c r="H386" i="21"/>
  <c r="I386" i="21"/>
  <c r="J386" i="21"/>
  <c r="K386" i="21"/>
  <c r="L386" i="21"/>
  <c r="M386" i="21"/>
  <c r="H387" i="21"/>
  <c r="I387" i="21"/>
  <c r="J387" i="21"/>
  <c r="K387" i="21"/>
  <c r="L387" i="21"/>
  <c r="M387" i="21"/>
  <c r="H388" i="21"/>
  <c r="I388" i="21"/>
  <c r="J388" i="21"/>
  <c r="K388" i="21"/>
  <c r="L388" i="21"/>
  <c r="M388" i="21"/>
  <c r="H389" i="21"/>
  <c r="I389" i="21"/>
  <c r="J389" i="21"/>
  <c r="K389" i="21"/>
  <c r="L389" i="21"/>
  <c r="M389" i="21"/>
  <c r="H390" i="21"/>
  <c r="I390" i="21"/>
  <c r="J390" i="21"/>
  <c r="K390" i="21"/>
  <c r="L390" i="21"/>
  <c r="M390" i="21"/>
  <c r="H391" i="21"/>
  <c r="I391" i="21"/>
  <c r="J391" i="21"/>
  <c r="K391" i="21"/>
  <c r="L391" i="21"/>
  <c r="M391" i="21"/>
  <c r="H392" i="21"/>
  <c r="I392" i="21"/>
  <c r="J392" i="21"/>
  <c r="K392" i="21"/>
  <c r="L392" i="21"/>
  <c r="M392" i="21"/>
  <c r="H393" i="21"/>
  <c r="I393" i="21"/>
  <c r="J393" i="21"/>
  <c r="K393" i="21"/>
  <c r="L393" i="21"/>
  <c r="M393" i="21"/>
  <c r="H394" i="21"/>
  <c r="I394" i="21"/>
  <c r="J394" i="21"/>
  <c r="K394" i="21"/>
  <c r="L394" i="21"/>
  <c r="M394" i="21"/>
  <c r="H395" i="21"/>
  <c r="I395" i="21"/>
  <c r="J395" i="21"/>
  <c r="K395" i="21"/>
  <c r="L395" i="21"/>
  <c r="M395" i="21"/>
  <c r="H396" i="21"/>
  <c r="I396" i="21"/>
  <c r="J396" i="21"/>
  <c r="K396" i="21"/>
  <c r="L396" i="21"/>
  <c r="M396" i="21"/>
  <c r="H397" i="21"/>
  <c r="I397" i="21"/>
  <c r="J397" i="21"/>
  <c r="K397" i="21"/>
  <c r="L397" i="21"/>
  <c r="M397" i="21"/>
  <c r="H398" i="21"/>
  <c r="I398" i="21"/>
  <c r="J398" i="21"/>
  <c r="K398" i="21"/>
  <c r="L398" i="21"/>
  <c r="M398" i="21"/>
  <c r="H399" i="21"/>
  <c r="I399" i="21"/>
  <c r="J399" i="21"/>
  <c r="K399" i="21"/>
  <c r="L399" i="21"/>
  <c r="M399" i="21"/>
  <c r="H400" i="21"/>
  <c r="I400" i="21"/>
  <c r="J400" i="21"/>
  <c r="K400" i="21"/>
  <c r="L400" i="21"/>
  <c r="M400" i="21"/>
  <c r="H401" i="21"/>
  <c r="I401" i="21"/>
  <c r="J401" i="21"/>
  <c r="K401" i="21"/>
  <c r="L401" i="21"/>
  <c r="M401" i="21"/>
  <c r="H402" i="21"/>
  <c r="I402" i="21"/>
  <c r="J402" i="21"/>
  <c r="K402" i="21"/>
  <c r="L402" i="21"/>
  <c r="M402" i="21"/>
  <c r="H403" i="21"/>
  <c r="I403" i="21"/>
  <c r="J403" i="21"/>
  <c r="K403" i="21"/>
  <c r="L403" i="21"/>
  <c r="M403" i="21"/>
  <c r="H404" i="21"/>
  <c r="I404" i="21"/>
  <c r="J404" i="21"/>
  <c r="K404" i="21"/>
  <c r="L404" i="21"/>
  <c r="M404" i="21"/>
  <c r="H405" i="21"/>
  <c r="I405" i="21"/>
  <c r="J405" i="21"/>
  <c r="K405" i="21"/>
  <c r="L405" i="21"/>
  <c r="M405" i="21"/>
  <c r="H406" i="21"/>
  <c r="I406" i="21"/>
  <c r="J406" i="21"/>
  <c r="K406" i="21"/>
  <c r="L406" i="21"/>
  <c r="M406" i="21"/>
  <c r="H407" i="21"/>
  <c r="I407" i="21"/>
  <c r="J407" i="21"/>
  <c r="K407" i="21"/>
  <c r="L407" i="21"/>
  <c r="M407" i="21"/>
  <c r="H408" i="21"/>
  <c r="I408" i="21"/>
  <c r="J408" i="21"/>
  <c r="K408" i="21"/>
  <c r="L408" i="21"/>
  <c r="M408" i="21"/>
  <c r="H409" i="21"/>
  <c r="I409" i="21"/>
  <c r="J409" i="21"/>
  <c r="K409" i="21"/>
  <c r="L409" i="21"/>
  <c r="M409" i="21"/>
  <c r="H410" i="21"/>
  <c r="I410" i="21"/>
  <c r="J410" i="21"/>
  <c r="K410" i="21"/>
  <c r="L410" i="21"/>
  <c r="M410" i="21"/>
  <c r="H411" i="21"/>
  <c r="I411" i="21"/>
  <c r="J411" i="21"/>
  <c r="K411" i="21"/>
  <c r="L411" i="21"/>
  <c r="M411" i="21"/>
  <c r="I361" i="21"/>
  <c r="J361" i="21"/>
  <c r="K361" i="21"/>
  <c r="L361" i="21"/>
  <c r="M361" i="21"/>
  <c r="H361" i="21"/>
  <c r="H311" i="21"/>
  <c r="I311" i="21"/>
  <c r="J311" i="21"/>
  <c r="K311" i="21"/>
  <c r="L311" i="21"/>
  <c r="M311" i="21"/>
  <c r="H312" i="21"/>
  <c r="I312" i="21"/>
  <c r="J312" i="21"/>
  <c r="K312" i="21"/>
  <c r="L312" i="21"/>
  <c r="M312" i="21"/>
  <c r="H313" i="21"/>
  <c r="I313" i="21"/>
  <c r="J313" i="21"/>
  <c r="K313" i="21"/>
  <c r="L313" i="21"/>
  <c r="M313" i="21"/>
  <c r="H314" i="21"/>
  <c r="I314" i="21"/>
  <c r="J314" i="21"/>
  <c r="K314" i="21"/>
  <c r="L314" i="21"/>
  <c r="M314" i="21"/>
  <c r="H315" i="21"/>
  <c r="I315" i="21"/>
  <c r="J315" i="21"/>
  <c r="K315" i="21"/>
  <c r="L315" i="21"/>
  <c r="M315" i="21"/>
  <c r="H316" i="21"/>
  <c r="I316" i="21"/>
  <c r="J316" i="21"/>
  <c r="K316" i="21"/>
  <c r="L316" i="21"/>
  <c r="M316" i="21"/>
  <c r="H317" i="21"/>
  <c r="I317" i="21"/>
  <c r="J317" i="21"/>
  <c r="K317" i="21"/>
  <c r="L317" i="21"/>
  <c r="M317" i="21"/>
  <c r="H318" i="21"/>
  <c r="I318" i="21"/>
  <c r="J318" i="21"/>
  <c r="K318" i="21"/>
  <c r="L318" i="21"/>
  <c r="M318" i="21"/>
  <c r="H319" i="21"/>
  <c r="I319" i="21"/>
  <c r="J319" i="21"/>
  <c r="K319" i="21"/>
  <c r="L319" i="21"/>
  <c r="M319" i="21"/>
  <c r="H320" i="21"/>
  <c r="I320" i="21"/>
  <c r="J320" i="21"/>
  <c r="K320" i="21"/>
  <c r="L320" i="21"/>
  <c r="M320" i="21"/>
  <c r="H321" i="21"/>
  <c r="I321" i="21"/>
  <c r="J321" i="21"/>
  <c r="K321" i="21"/>
  <c r="L321" i="21"/>
  <c r="M321" i="21"/>
  <c r="H322" i="21"/>
  <c r="I322" i="21"/>
  <c r="J322" i="21"/>
  <c r="K322" i="21"/>
  <c r="L322" i="21"/>
  <c r="M322" i="21"/>
  <c r="H323" i="21"/>
  <c r="I323" i="21"/>
  <c r="J323" i="21"/>
  <c r="K323" i="21"/>
  <c r="L323" i="21"/>
  <c r="M323" i="21"/>
  <c r="H324" i="21"/>
  <c r="I324" i="21"/>
  <c r="J324" i="21"/>
  <c r="K324" i="21"/>
  <c r="L324" i="21"/>
  <c r="M324" i="21"/>
  <c r="H325" i="21"/>
  <c r="I325" i="21"/>
  <c r="J325" i="21"/>
  <c r="K325" i="21"/>
  <c r="L325" i="21"/>
  <c r="M325" i="21"/>
  <c r="H326" i="21"/>
  <c r="I326" i="21"/>
  <c r="J326" i="21"/>
  <c r="K326" i="21"/>
  <c r="L326" i="21"/>
  <c r="M326" i="21"/>
  <c r="H327" i="21"/>
  <c r="I327" i="21"/>
  <c r="J327" i="21"/>
  <c r="K327" i="21"/>
  <c r="L327" i="21"/>
  <c r="M327" i="21"/>
  <c r="H328" i="21"/>
  <c r="I328" i="21"/>
  <c r="J328" i="21"/>
  <c r="K328" i="21"/>
  <c r="L328" i="21"/>
  <c r="M328" i="21"/>
  <c r="H329" i="21"/>
  <c r="I329" i="21"/>
  <c r="J329" i="21"/>
  <c r="K329" i="21"/>
  <c r="L329" i="21"/>
  <c r="M329" i="21"/>
  <c r="H330" i="21"/>
  <c r="I330" i="21"/>
  <c r="J330" i="21"/>
  <c r="K330" i="21"/>
  <c r="L330" i="21"/>
  <c r="M330" i="21"/>
  <c r="H331" i="21"/>
  <c r="I331" i="21"/>
  <c r="J331" i="21"/>
  <c r="K331" i="21"/>
  <c r="L331" i="21"/>
  <c r="M331" i="21"/>
  <c r="H332" i="21"/>
  <c r="I332" i="21"/>
  <c r="J332" i="21"/>
  <c r="K332" i="21"/>
  <c r="L332" i="21"/>
  <c r="M332" i="21"/>
  <c r="H333" i="21"/>
  <c r="I333" i="21"/>
  <c r="J333" i="21"/>
  <c r="K333" i="21"/>
  <c r="L333" i="21"/>
  <c r="M333" i="21"/>
  <c r="H334" i="21"/>
  <c r="I334" i="21"/>
  <c r="J334" i="21"/>
  <c r="K334" i="21"/>
  <c r="L334" i="21"/>
  <c r="M334" i="21"/>
  <c r="H335" i="21"/>
  <c r="I335" i="21"/>
  <c r="J335" i="21"/>
  <c r="K335" i="21"/>
  <c r="L335" i="21"/>
  <c r="M335" i="21"/>
  <c r="H336" i="21"/>
  <c r="I336" i="21"/>
  <c r="J336" i="21"/>
  <c r="K336" i="21"/>
  <c r="L336" i="21"/>
  <c r="M336" i="21"/>
  <c r="H337" i="21"/>
  <c r="I337" i="21"/>
  <c r="J337" i="21"/>
  <c r="K337" i="21"/>
  <c r="L337" i="21"/>
  <c r="M337" i="21"/>
  <c r="H338" i="21"/>
  <c r="I338" i="21"/>
  <c r="J338" i="21"/>
  <c r="K338" i="21"/>
  <c r="L338" i="21"/>
  <c r="M338" i="21"/>
  <c r="H339" i="21"/>
  <c r="I339" i="21"/>
  <c r="J339" i="21"/>
  <c r="K339" i="21"/>
  <c r="L339" i="21"/>
  <c r="M339" i="21"/>
  <c r="H340" i="21"/>
  <c r="I340" i="21"/>
  <c r="J340" i="21"/>
  <c r="K340" i="21"/>
  <c r="L340" i="21"/>
  <c r="M340" i="21"/>
  <c r="H341" i="21"/>
  <c r="I341" i="21"/>
  <c r="J341" i="21"/>
  <c r="K341" i="21"/>
  <c r="L341" i="21"/>
  <c r="M341" i="21"/>
  <c r="H342" i="21"/>
  <c r="I342" i="21"/>
  <c r="J342" i="21"/>
  <c r="K342" i="21"/>
  <c r="L342" i="21"/>
  <c r="M342" i="21"/>
  <c r="H343" i="21"/>
  <c r="I343" i="21"/>
  <c r="J343" i="21"/>
  <c r="K343" i="21"/>
  <c r="L343" i="21"/>
  <c r="M343" i="21"/>
  <c r="H344" i="21"/>
  <c r="I344" i="21"/>
  <c r="J344" i="21"/>
  <c r="K344" i="21"/>
  <c r="L344" i="21"/>
  <c r="M344" i="21"/>
  <c r="H345" i="21"/>
  <c r="I345" i="21"/>
  <c r="J345" i="21"/>
  <c r="K345" i="21"/>
  <c r="L345" i="21"/>
  <c r="M345" i="21"/>
  <c r="H346" i="21"/>
  <c r="I346" i="21"/>
  <c r="J346" i="21"/>
  <c r="K346" i="21"/>
  <c r="L346" i="21"/>
  <c r="M346" i="21"/>
  <c r="H347" i="21"/>
  <c r="I347" i="21"/>
  <c r="J347" i="21"/>
  <c r="K347" i="21"/>
  <c r="L347" i="21"/>
  <c r="M347" i="21"/>
  <c r="H348" i="21"/>
  <c r="I348" i="21"/>
  <c r="J348" i="21"/>
  <c r="K348" i="21"/>
  <c r="L348" i="21"/>
  <c r="M348" i="21"/>
  <c r="H349" i="21"/>
  <c r="I349" i="21"/>
  <c r="J349" i="21"/>
  <c r="K349" i="21"/>
  <c r="L349" i="21"/>
  <c r="M349" i="21"/>
  <c r="H350" i="21"/>
  <c r="I350" i="21"/>
  <c r="J350" i="21"/>
  <c r="K350" i="21"/>
  <c r="L350" i="21"/>
  <c r="M350" i="21"/>
  <c r="H351" i="21"/>
  <c r="I351" i="21"/>
  <c r="J351" i="21"/>
  <c r="K351" i="21"/>
  <c r="L351" i="21"/>
  <c r="M351" i="21"/>
  <c r="H352" i="21"/>
  <c r="I352" i="21"/>
  <c r="J352" i="21"/>
  <c r="K352" i="21"/>
  <c r="L352" i="21"/>
  <c r="M352" i="21"/>
  <c r="H353" i="21"/>
  <c r="I353" i="21"/>
  <c r="J353" i="21"/>
  <c r="K353" i="21"/>
  <c r="L353" i="21"/>
  <c r="M353" i="21"/>
  <c r="H354" i="21"/>
  <c r="I354" i="21"/>
  <c r="J354" i="21"/>
  <c r="K354" i="21"/>
  <c r="L354" i="21"/>
  <c r="M354" i="21"/>
  <c r="H355" i="21"/>
  <c r="I355" i="21"/>
  <c r="J355" i="21"/>
  <c r="K355" i="21"/>
  <c r="L355" i="21"/>
  <c r="M355" i="21"/>
  <c r="H356" i="21"/>
  <c r="I356" i="21"/>
  <c r="J356" i="21"/>
  <c r="K356" i="21"/>
  <c r="L356" i="21"/>
  <c r="M356" i="21"/>
  <c r="H357" i="21"/>
  <c r="I357" i="21"/>
  <c r="J357" i="21"/>
  <c r="K357" i="21"/>
  <c r="L357" i="21"/>
  <c r="M357" i="21"/>
  <c r="H358" i="21"/>
  <c r="I358" i="21"/>
  <c r="J358" i="21"/>
  <c r="K358" i="21"/>
  <c r="L358" i="21"/>
  <c r="M358" i="21"/>
  <c r="H359" i="21"/>
  <c r="I359" i="21"/>
  <c r="J359" i="21"/>
  <c r="K359" i="21"/>
  <c r="L359" i="21"/>
  <c r="M359" i="21"/>
  <c r="H360" i="21"/>
  <c r="I360" i="21"/>
  <c r="J360" i="21"/>
  <c r="K360" i="21"/>
  <c r="L360" i="21"/>
  <c r="M360" i="21"/>
  <c r="I310" i="21"/>
  <c r="J310" i="21"/>
  <c r="K310" i="21"/>
  <c r="L310" i="21"/>
  <c r="M310" i="21"/>
  <c r="H310" i="21"/>
  <c r="H260" i="21"/>
  <c r="I260" i="21"/>
  <c r="J260" i="21"/>
  <c r="K260" i="21"/>
  <c r="L260" i="21"/>
  <c r="M260" i="21"/>
  <c r="H261" i="21"/>
  <c r="I261" i="21"/>
  <c r="J261" i="21"/>
  <c r="K261" i="21"/>
  <c r="L261" i="21"/>
  <c r="M261" i="21"/>
  <c r="H262" i="21"/>
  <c r="I262" i="21"/>
  <c r="J262" i="21"/>
  <c r="K262" i="21"/>
  <c r="L262" i="21"/>
  <c r="M262" i="21"/>
  <c r="H263" i="21"/>
  <c r="I263" i="21"/>
  <c r="J263" i="21"/>
  <c r="K263" i="21"/>
  <c r="L263" i="21"/>
  <c r="M263" i="21"/>
  <c r="H264" i="21"/>
  <c r="I264" i="21"/>
  <c r="J264" i="21"/>
  <c r="K264" i="21"/>
  <c r="L264" i="21"/>
  <c r="M264" i="21"/>
  <c r="H265" i="21"/>
  <c r="I265" i="21"/>
  <c r="J265" i="21"/>
  <c r="K265" i="21"/>
  <c r="L265" i="21"/>
  <c r="M265" i="21"/>
  <c r="H266" i="21"/>
  <c r="I266" i="21"/>
  <c r="J266" i="21"/>
  <c r="K266" i="21"/>
  <c r="L266" i="21"/>
  <c r="M266" i="21"/>
  <c r="H267" i="21"/>
  <c r="I267" i="21"/>
  <c r="J267" i="21"/>
  <c r="K267" i="21"/>
  <c r="L267" i="21"/>
  <c r="M267" i="21"/>
  <c r="H268" i="21"/>
  <c r="I268" i="21"/>
  <c r="J268" i="21"/>
  <c r="K268" i="21"/>
  <c r="L268" i="21"/>
  <c r="M268" i="21"/>
  <c r="H269" i="21"/>
  <c r="I269" i="21"/>
  <c r="J269" i="21"/>
  <c r="K269" i="21"/>
  <c r="L269" i="21"/>
  <c r="M269" i="21"/>
  <c r="H270" i="21"/>
  <c r="I270" i="21"/>
  <c r="J270" i="21"/>
  <c r="K270" i="21"/>
  <c r="L270" i="21"/>
  <c r="M270" i="21"/>
  <c r="H271" i="21"/>
  <c r="I271" i="21"/>
  <c r="J271" i="21"/>
  <c r="K271" i="21"/>
  <c r="L271" i="21"/>
  <c r="M271" i="21"/>
  <c r="H272" i="21"/>
  <c r="I272" i="21"/>
  <c r="J272" i="21"/>
  <c r="K272" i="21"/>
  <c r="L272" i="21"/>
  <c r="M272" i="21"/>
  <c r="H273" i="21"/>
  <c r="I273" i="21"/>
  <c r="J273" i="21"/>
  <c r="K273" i="21"/>
  <c r="L273" i="21"/>
  <c r="M273" i="21"/>
  <c r="H274" i="21"/>
  <c r="I274" i="21"/>
  <c r="J274" i="21"/>
  <c r="K274" i="21"/>
  <c r="L274" i="21"/>
  <c r="M274" i="21"/>
  <c r="H275" i="21"/>
  <c r="I275" i="21"/>
  <c r="J275" i="21"/>
  <c r="K275" i="21"/>
  <c r="L275" i="21"/>
  <c r="M275" i="21"/>
  <c r="H276" i="21"/>
  <c r="I276" i="21"/>
  <c r="J276" i="21"/>
  <c r="K276" i="21"/>
  <c r="L276" i="21"/>
  <c r="M276" i="21"/>
  <c r="H277" i="21"/>
  <c r="I277" i="21"/>
  <c r="J277" i="21"/>
  <c r="K277" i="21"/>
  <c r="L277" i="21"/>
  <c r="M277" i="21"/>
  <c r="H278" i="21"/>
  <c r="I278" i="21"/>
  <c r="J278" i="21"/>
  <c r="K278" i="21"/>
  <c r="L278" i="21"/>
  <c r="M278" i="21"/>
  <c r="H279" i="21"/>
  <c r="I279" i="21"/>
  <c r="J279" i="21"/>
  <c r="K279" i="21"/>
  <c r="L279" i="21"/>
  <c r="M279" i="21"/>
  <c r="H280" i="21"/>
  <c r="I280" i="21"/>
  <c r="J280" i="21"/>
  <c r="K280" i="21"/>
  <c r="L280" i="21"/>
  <c r="M280" i="21"/>
  <c r="H281" i="21"/>
  <c r="I281" i="21"/>
  <c r="J281" i="21"/>
  <c r="K281" i="21"/>
  <c r="L281" i="21"/>
  <c r="M281" i="21"/>
  <c r="H282" i="21"/>
  <c r="I282" i="21"/>
  <c r="J282" i="21"/>
  <c r="K282" i="21"/>
  <c r="L282" i="21"/>
  <c r="M282" i="21"/>
  <c r="H283" i="21"/>
  <c r="I283" i="21"/>
  <c r="J283" i="21"/>
  <c r="K283" i="21"/>
  <c r="L283" i="21"/>
  <c r="M283" i="21"/>
  <c r="H284" i="21"/>
  <c r="I284" i="21"/>
  <c r="J284" i="21"/>
  <c r="K284" i="21"/>
  <c r="L284" i="21"/>
  <c r="M284" i="21"/>
  <c r="H285" i="21"/>
  <c r="I285" i="21"/>
  <c r="J285" i="21"/>
  <c r="K285" i="21"/>
  <c r="L285" i="21"/>
  <c r="M285" i="21"/>
  <c r="H286" i="21"/>
  <c r="I286" i="21"/>
  <c r="J286" i="21"/>
  <c r="K286" i="21"/>
  <c r="L286" i="21"/>
  <c r="M286" i="21"/>
  <c r="H287" i="21"/>
  <c r="I287" i="21"/>
  <c r="J287" i="21"/>
  <c r="K287" i="21"/>
  <c r="L287" i="21"/>
  <c r="M287" i="21"/>
  <c r="H288" i="21"/>
  <c r="I288" i="21"/>
  <c r="J288" i="21"/>
  <c r="K288" i="21"/>
  <c r="L288" i="21"/>
  <c r="M288" i="21"/>
  <c r="H289" i="21"/>
  <c r="I289" i="21"/>
  <c r="J289" i="21"/>
  <c r="K289" i="21"/>
  <c r="L289" i="21"/>
  <c r="M289" i="21"/>
  <c r="H290" i="21"/>
  <c r="I290" i="21"/>
  <c r="J290" i="21"/>
  <c r="K290" i="21"/>
  <c r="L290" i="21"/>
  <c r="M290" i="21"/>
  <c r="H291" i="21"/>
  <c r="I291" i="21"/>
  <c r="J291" i="21"/>
  <c r="K291" i="21"/>
  <c r="L291" i="21"/>
  <c r="M291" i="21"/>
  <c r="H292" i="21"/>
  <c r="I292" i="21"/>
  <c r="J292" i="21"/>
  <c r="K292" i="21"/>
  <c r="L292" i="21"/>
  <c r="M292" i="21"/>
  <c r="H293" i="21"/>
  <c r="I293" i="21"/>
  <c r="J293" i="21"/>
  <c r="K293" i="21"/>
  <c r="L293" i="21"/>
  <c r="M293" i="21"/>
  <c r="H294" i="21"/>
  <c r="I294" i="21"/>
  <c r="J294" i="21"/>
  <c r="K294" i="21"/>
  <c r="L294" i="21"/>
  <c r="M294" i="21"/>
  <c r="H295" i="21"/>
  <c r="I295" i="21"/>
  <c r="J295" i="21"/>
  <c r="K295" i="21"/>
  <c r="L295" i="21"/>
  <c r="M295" i="21"/>
  <c r="H296" i="21"/>
  <c r="I296" i="21"/>
  <c r="J296" i="21"/>
  <c r="K296" i="21"/>
  <c r="L296" i="21"/>
  <c r="M296" i="21"/>
  <c r="H297" i="21"/>
  <c r="I297" i="21"/>
  <c r="J297" i="21"/>
  <c r="K297" i="21"/>
  <c r="L297" i="21"/>
  <c r="M297" i="21"/>
  <c r="H298" i="21"/>
  <c r="I298" i="21"/>
  <c r="J298" i="21"/>
  <c r="K298" i="21"/>
  <c r="L298" i="21"/>
  <c r="M298" i="21"/>
  <c r="H299" i="21"/>
  <c r="I299" i="21"/>
  <c r="J299" i="21"/>
  <c r="K299" i="21"/>
  <c r="L299" i="21"/>
  <c r="M299" i="21"/>
  <c r="H300" i="21"/>
  <c r="I300" i="21"/>
  <c r="J300" i="21"/>
  <c r="K300" i="21"/>
  <c r="L300" i="21"/>
  <c r="M300" i="21"/>
  <c r="H301" i="21"/>
  <c r="I301" i="21"/>
  <c r="J301" i="21"/>
  <c r="K301" i="21"/>
  <c r="L301" i="21"/>
  <c r="M301" i="21"/>
  <c r="H302" i="21"/>
  <c r="I302" i="21"/>
  <c r="J302" i="21"/>
  <c r="K302" i="21"/>
  <c r="L302" i="21"/>
  <c r="M302" i="21"/>
  <c r="H303" i="21"/>
  <c r="I303" i="21"/>
  <c r="J303" i="21"/>
  <c r="K303" i="21"/>
  <c r="L303" i="21"/>
  <c r="M303" i="21"/>
  <c r="H304" i="21"/>
  <c r="I304" i="21"/>
  <c r="J304" i="21"/>
  <c r="K304" i="21"/>
  <c r="L304" i="21"/>
  <c r="M304" i="21"/>
  <c r="H305" i="21"/>
  <c r="I305" i="21"/>
  <c r="J305" i="21"/>
  <c r="K305" i="21"/>
  <c r="L305" i="21"/>
  <c r="M305" i="21"/>
  <c r="H306" i="21"/>
  <c r="I306" i="21"/>
  <c r="J306" i="21"/>
  <c r="K306" i="21"/>
  <c r="L306" i="21"/>
  <c r="M306" i="21"/>
  <c r="H307" i="21"/>
  <c r="I307" i="21"/>
  <c r="J307" i="21"/>
  <c r="K307" i="21"/>
  <c r="L307" i="21"/>
  <c r="M307" i="21"/>
  <c r="H308" i="21"/>
  <c r="I308" i="21"/>
  <c r="J308" i="21"/>
  <c r="K308" i="21"/>
  <c r="L308" i="21"/>
  <c r="M308" i="21"/>
  <c r="H309" i="21"/>
  <c r="I309" i="21"/>
  <c r="J309" i="21"/>
  <c r="K309" i="21"/>
  <c r="L309" i="21"/>
  <c r="M309" i="21"/>
  <c r="I259" i="21"/>
  <c r="J259" i="21"/>
  <c r="K259" i="21"/>
  <c r="L259" i="21"/>
  <c r="M259" i="21"/>
  <c r="H259" i="21"/>
  <c r="H209" i="21"/>
  <c r="I209" i="21"/>
  <c r="J209" i="21"/>
  <c r="K209" i="21"/>
  <c r="L209" i="21"/>
  <c r="M209" i="21"/>
  <c r="H210" i="21"/>
  <c r="I210" i="21"/>
  <c r="J210" i="21"/>
  <c r="K210" i="21"/>
  <c r="L210" i="21"/>
  <c r="M210" i="21"/>
  <c r="H211" i="21"/>
  <c r="I211" i="21"/>
  <c r="J211" i="21"/>
  <c r="K211" i="21"/>
  <c r="L211" i="21"/>
  <c r="M211" i="21"/>
  <c r="H212" i="21"/>
  <c r="I212" i="21"/>
  <c r="J212" i="21"/>
  <c r="K212" i="21"/>
  <c r="L212" i="21"/>
  <c r="M212" i="21"/>
  <c r="H213" i="21"/>
  <c r="I213" i="21"/>
  <c r="J213" i="21"/>
  <c r="K213" i="21"/>
  <c r="L213" i="21"/>
  <c r="M213" i="21"/>
  <c r="H214" i="21"/>
  <c r="I214" i="21"/>
  <c r="J214" i="21"/>
  <c r="K214" i="21"/>
  <c r="L214" i="21"/>
  <c r="M214" i="21"/>
  <c r="H215" i="21"/>
  <c r="I215" i="21"/>
  <c r="J215" i="21"/>
  <c r="K215" i="21"/>
  <c r="L215" i="21"/>
  <c r="M215" i="21"/>
  <c r="H216" i="21"/>
  <c r="I216" i="21"/>
  <c r="J216" i="21"/>
  <c r="K216" i="21"/>
  <c r="L216" i="21"/>
  <c r="M216" i="21"/>
  <c r="H217" i="21"/>
  <c r="I217" i="21"/>
  <c r="J217" i="21"/>
  <c r="K217" i="21"/>
  <c r="L217" i="21"/>
  <c r="M217" i="21"/>
  <c r="H218" i="21"/>
  <c r="I218" i="21"/>
  <c r="J218" i="21"/>
  <c r="K218" i="21"/>
  <c r="L218" i="21"/>
  <c r="M218" i="21"/>
  <c r="H219" i="21"/>
  <c r="I219" i="21"/>
  <c r="J219" i="21"/>
  <c r="K219" i="21"/>
  <c r="L219" i="21"/>
  <c r="M219" i="21"/>
  <c r="H220" i="21"/>
  <c r="I220" i="21"/>
  <c r="J220" i="21"/>
  <c r="K220" i="21"/>
  <c r="L220" i="21"/>
  <c r="M220" i="21"/>
  <c r="H221" i="21"/>
  <c r="I221" i="21"/>
  <c r="J221" i="21"/>
  <c r="K221" i="21"/>
  <c r="L221" i="21"/>
  <c r="M221" i="21"/>
  <c r="H222" i="21"/>
  <c r="I222" i="21"/>
  <c r="J222" i="21"/>
  <c r="K222" i="21"/>
  <c r="L222" i="21"/>
  <c r="M222" i="21"/>
  <c r="H223" i="21"/>
  <c r="I223" i="21"/>
  <c r="J223" i="21"/>
  <c r="K223" i="21"/>
  <c r="L223" i="21"/>
  <c r="M223" i="21"/>
  <c r="H224" i="21"/>
  <c r="I224" i="21"/>
  <c r="J224" i="21"/>
  <c r="K224" i="21"/>
  <c r="L224" i="21"/>
  <c r="M224" i="21"/>
  <c r="H225" i="21"/>
  <c r="I225" i="21"/>
  <c r="J225" i="21"/>
  <c r="K225" i="21"/>
  <c r="L225" i="21"/>
  <c r="M225" i="21"/>
  <c r="H226" i="21"/>
  <c r="I226" i="21"/>
  <c r="J226" i="21"/>
  <c r="K226" i="21"/>
  <c r="L226" i="21"/>
  <c r="M226" i="21"/>
  <c r="H227" i="21"/>
  <c r="I227" i="21"/>
  <c r="J227" i="21"/>
  <c r="K227" i="21"/>
  <c r="L227" i="21"/>
  <c r="M227" i="21"/>
  <c r="H228" i="21"/>
  <c r="I228" i="21"/>
  <c r="J228" i="21"/>
  <c r="K228" i="21"/>
  <c r="L228" i="21"/>
  <c r="M228" i="21"/>
  <c r="H229" i="21"/>
  <c r="I229" i="21"/>
  <c r="J229" i="21"/>
  <c r="K229" i="21"/>
  <c r="L229" i="21"/>
  <c r="M229" i="21"/>
  <c r="H230" i="21"/>
  <c r="I230" i="21"/>
  <c r="J230" i="21"/>
  <c r="K230" i="21"/>
  <c r="L230" i="21"/>
  <c r="M230" i="21"/>
  <c r="H231" i="21"/>
  <c r="I231" i="21"/>
  <c r="J231" i="21"/>
  <c r="K231" i="21"/>
  <c r="L231" i="21"/>
  <c r="M231" i="21"/>
  <c r="H232" i="21"/>
  <c r="I232" i="21"/>
  <c r="J232" i="21"/>
  <c r="K232" i="21"/>
  <c r="L232" i="21"/>
  <c r="M232" i="21"/>
  <c r="H233" i="21"/>
  <c r="I233" i="21"/>
  <c r="J233" i="21"/>
  <c r="K233" i="21"/>
  <c r="L233" i="21"/>
  <c r="M233" i="21"/>
  <c r="H234" i="21"/>
  <c r="I234" i="21"/>
  <c r="J234" i="21"/>
  <c r="K234" i="21"/>
  <c r="L234" i="21"/>
  <c r="M234" i="21"/>
  <c r="H235" i="21"/>
  <c r="I235" i="21"/>
  <c r="J235" i="21"/>
  <c r="K235" i="21"/>
  <c r="L235" i="21"/>
  <c r="M235" i="21"/>
  <c r="H236" i="21"/>
  <c r="I236" i="21"/>
  <c r="J236" i="21"/>
  <c r="K236" i="21"/>
  <c r="L236" i="21"/>
  <c r="M236" i="21"/>
  <c r="H237" i="21"/>
  <c r="I237" i="21"/>
  <c r="J237" i="21"/>
  <c r="K237" i="21"/>
  <c r="L237" i="21"/>
  <c r="M237" i="21"/>
  <c r="H238" i="21"/>
  <c r="I238" i="21"/>
  <c r="J238" i="21"/>
  <c r="K238" i="21"/>
  <c r="L238" i="21"/>
  <c r="M238" i="21"/>
  <c r="H239" i="21"/>
  <c r="I239" i="21"/>
  <c r="J239" i="21"/>
  <c r="K239" i="21"/>
  <c r="L239" i="21"/>
  <c r="M239" i="21"/>
  <c r="H240" i="21"/>
  <c r="I240" i="21"/>
  <c r="J240" i="21"/>
  <c r="K240" i="21"/>
  <c r="L240" i="21"/>
  <c r="M240" i="21"/>
  <c r="H241" i="21"/>
  <c r="I241" i="21"/>
  <c r="J241" i="21"/>
  <c r="K241" i="21"/>
  <c r="L241" i="21"/>
  <c r="M241" i="21"/>
  <c r="H242" i="21"/>
  <c r="I242" i="21"/>
  <c r="J242" i="21"/>
  <c r="K242" i="21"/>
  <c r="L242" i="21"/>
  <c r="M242" i="21"/>
  <c r="H243" i="21"/>
  <c r="I243" i="21"/>
  <c r="J243" i="21"/>
  <c r="K243" i="21"/>
  <c r="L243" i="21"/>
  <c r="M243" i="21"/>
  <c r="H244" i="21"/>
  <c r="I244" i="21"/>
  <c r="J244" i="21"/>
  <c r="K244" i="21"/>
  <c r="L244" i="21"/>
  <c r="M244" i="21"/>
  <c r="H245" i="21"/>
  <c r="I245" i="21"/>
  <c r="J245" i="21"/>
  <c r="K245" i="21"/>
  <c r="L245" i="21"/>
  <c r="M245" i="21"/>
  <c r="H246" i="21"/>
  <c r="I246" i="21"/>
  <c r="J246" i="21"/>
  <c r="K246" i="21"/>
  <c r="L246" i="21"/>
  <c r="M246" i="21"/>
  <c r="H247" i="21"/>
  <c r="I247" i="21"/>
  <c r="J247" i="21"/>
  <c r="K247" i="21"/>
  <c r="L247" i="21"/>
  <c r="M247" i="21"/>
  <c r="H248" i="21"/>
  <c r="I248" i="21"/>
  <c r="J248" i="21"/>
  <c r="K248" i="21"/>
  <c r="L248" i="21"/>
  <c r="M248" i="21"/>
  <c r="H249" i="21"/>
  <c r="I249" i="21"/>
  <c r="J249" i="21"/>
  <c r="K249" i="21"/>
  <c r="L249" i="21"/>
  <c r="M249" i="21"/>
  <c r="H250" i="21"/>
  <c r="I250" i="21"/>
  <c r="J250" i="21"/>
  <c r="K250" i="21"/>
  <c r="L250" i="21"/>
  <c r="M250" i="21"/>
  <c r="H251" i="21"/>
  <c r="I251" i="21"/>
  <c r="J251" i="21"/>
  <c r="K251" i="21"/>
  <c r="L251" i="21"/>
  <c r="M251" i="21"/>
  <c r="H252" i="21"/>
  <c r="I252" i="21"/>
  <c r="J252" i="21"/>
  <c r="K252" i="21"/>
  <c r="L252" i="21"/>
  <c r="M252" i="21"/>
  <c r="H253" i="21"/>
  <c r="I253" i="21"/>
  <c r="J253" i="21"/>
  <c r="K253" i="21"/>
  <c r="L253" i="21"/>
  <c r="M253" i="21"/>
  <c r="H254" i="21"/>
  <c r="I254" i="21"/>
  <c r="J254" i="21"/>
  <c r="K254" i="21"/>
  <c r="L254" i="21"/>
  <c r="M254" i="21"/>
  <c r="H255" i="21"/>
  <c r="I255" i="21"/>
  <c r="J255" i="21"/>
  <c r="K255" i="21"/>
  <c r="L255" i="21"/>
  <c r="M255" i="21"/>
  <c r="H256" i="21"/>
  <c r="I256" i="21"/>
  <c r="J256" i="21"/>
  <c r="K256" i="21"/>
  <c r="L256" i="21"/>
  <c r="M256" i="21"/>
  <c r="H257" i="21"/>
  <c r="I257" i="21"/>
  <c r="J257" i="21"/>
  <c r="K257" i="21"/>
  <c r="L257" i="21"/>
  <c r="M257" i="21"/>
  <c r="H258" i="21"/>
  <c r="I258" i="21"/>
  <c r="J258" i="21"/>
  <c r="K258" i="21"/>
  <c r="L258" i="21"/>
  <c r="M258" i="21"/>
  <c r="I208" i="21"/>
  <c r="J208" i="21"/>
  <c r="K208" i="21"/>
  <c r="L208" i="21"/>
  <c r="M208" i="21"/>
  <c r="H208" i="21"/>
  <c r="H157" i="21"/>
  <c r="H107" i="21"/>
  <c r="I107" i="21"/>
  <c r="J107" i="21"/>
  <c r="K107" i="21"/>
  <c r="L107" i="21"/>
  <c r="M107" i="21"/>
  <c r="H108" i="21"/>
  <c r="I108" i="21"/>
  <c r="J108" i="21"/>
  <c r="K108" i="21"/>
  <c r="L108" i="21"/>
  <c r="M108" i="21"/>
  <c r="H109" i="21"/>
  <c r="I109" i="21"/>
  <c r="J109" i="21"/>
  <c r="K109" i="21"/>
  <c r="L109" i="21"/>
  <c r="M109" i="21"/>
  <c r="H110" i="21"/>
  <c r="I110" i="21"/>
  <c r="J110" i="21"/>
  <c r="K110" i="21"/>
  <c r="L110" i="21"/>
  <c r="M110" i="21"/>
  <c r="H111" i="21"/>
  <c r="I111" i="21"/>
  <c r="J111" i="21"/>
  <c r="K111" i="21"/>
  <c r="L111" i="21"/>
  <c r="M111" i="21"/>
  <c r="H112" i="21"/>
  <c r="I112" i="21"/>
  <c r="J112" i="21"/>
  <c r="K112" i="21"/>
  <c r="L112" i="21"/>
  <c r="M112" i="21"/>
  <c r="H113" i="21"/>
  <c r="I113" i="21"/>
  <c r="J113" i="21"/>
  <c r="K113" i="21"/>
  <c r="L113" i="21"/>
  <c r="M113" i="21"/>
  <c r="H114" i="21"/>
  <c r="I114" i="21"/>
  <c r="J114" i="21"/>
  <c r="K114" i="21"/>
  <c r="L114" i="21"/>
  <c r="M114" i="21"/>
  <c r="H115" i="21"/>
  <c r="I115" i="21"/>
  <c r="J115" i="21"/>
  <c r="K115" i="21"/>
  <c r="L115" i="21"/>
  <c r="M115" i="21"/>
  <c r="H116" i="21"/>
  <c r="I116" i="21"/>
  <c r="J116" i="21"/>
  <c r="K116" i="21"/>
  <c r="L116" i="21"/>
  <c r="M116" i="21"/>
  <c r="H117" i="21"/>
  <c r="I117" i="21"/>
  <c r="J117" i="21"/>
  <c r="K117" i="21"/>
  <c r="L117" i="21"/>
  <c r="M117" i="21"/>
  <c r="H118" i="21"/>
  <c r="I118" i="21"/>
  <c r="J118" i="21"/>
  <c r="K118" i="21"/>
  <c r="L118" i="21"/>
  <c r="M118" i="21"/>
  <c r="H119" i="21"/>
  <c r="I119" i="21"/>
  <c r="J119" i="21"/>
  <c r="K119" i="21"/>
  <c r="L119" i="21"/>
  <c r="M119" i="21"/>
  <c r="H120" i="21"/>
  <c r="I120" i="21"/>
  <c r="J120" i="21"/>
  <c r="K120" i="21"/>
  <c r="L120" i="21"/>
  <c r="M120" i="21"/>
  <c r="H121" i="21"/>
  <c r="I121" i="21"/>
  <c r="J121" i="21"/>
  <c r="K121" i="21"/>
  <c r="L121" i="21"/>
  <c r="M121" i="21"/>
  <c r="H122" i="21"/>
  <c r="I122" i="21"/>
  <c r="J122" i="21"/>
  <c r="K122" i="21"/>
  <c r="L122" i="21"/>
  <c r="M122" i="21"/>
  <c r="H123" i="21"/>
  <c r="I123" i="21"/>
  <c r="J123" i="21"/>
  <c r="K123" i="21"/>
  <c r="L123" i="21"/>
  <c r="M123" i="21"/>
  <c r="H124" i="21"/>
  <c r="I124" i="21"/>
  <c r="J124" i="21"/>
  <c r="K124" i="21"/>
  <c r="L124" i="21"/>
  <c r="M124" i="21"/>
  <c r="H125" i="21"/>
  <c r="I125" i="21"/>
  <c r="J125" i="21"/>
  <c r="K125" i="21"/>
  <c r="L125" i="21"/>
  <c r="M125" i="21"/>
  <c r="H126" i="21"/>
  <c r="I126" i="21"/>
  <c r="J126" i="21"/>
  <c r="K126" i="21"/>
  <c r="L126" i="21"/>
  <c r="M126" i="21"/>
  <c r="H127" i="21"/>
  <c r="I127" i="21"/>
  <c r="J127" i="21"/>
  <c r="K127" i="21"/>
  <c r="L127" i="21"/>
  <c r="M127" i="21"/>
  <c r="H128" i="21"/>
  <c r="I128" i="21"/>
  <c r="J128" i="21"/>
  <c r="K128" i="21"/>
  <c r="L128" i="21"/>
  <c r="M128" i="21"/>
  <c r="H129" i="21"/>
  <c r="I129" i="21"/>
  <c r="J129" i="21"/>
  <c r="K129" i="21"/>
  <c r="L129" i="21"/>
  <c r="M129" i="21"/>
  <c r="H130" i="21"/>
  <c r="I130" i="21"/>
  <c r="J130" i="21"/>
  <c r="K130" i="21"/>
  <c r="L130" i="21"/>
  <c r="M130" i="21"/>
  <c r="H131" i="21"/>
  <c r="I131" i="21"/>
  <c r="J131" i="21"/>
  <c r="K131" i="21"/>
  <c r="L131" i="21"/>
  <c r="M131" i="21"/>
  <c r="H132" i="21"/>
  <c r="I132" i="21"/>
  <c r="J132" i="21"/>
  <c r="K132" i="21"/>
  <c r="L132" i="21"/>
  <c r="M132" i="21"/>
  <c r="H133" i="21"/>
  <c r="I133" i="21"/>
  <c r="J133" i="21"/>
  <c r="K133" i="21"/>
  <c r="L133" i="21"/>
  <c r="M133" i="21"/>
  <c r="H134" i="21"/>
  <c r="I134" i="21"/>
  <c r="J134" i="21"/>
  <c r="K134" i="21"/>
  <c r="L134" i="21"/>
  <c r="M134" i="21"/>
  <c r="H135" i="21"/>
  <c r="I135" i="21"/>
  <c r="J135" i="21"/>
  <c r="K135" i="21"/>
  <c r="L135" i="21"/>
  <c r="M135" i="21"/>
  <c r="H136" i="21"/>
  <c r="I136" i="21"/>
  <c r="J136" i="21"/>
  <c r="K136" i="21"/>
  <c r="L136" i="21"/>
  <c r="M136" i="21"/>
  <c r="H137" i="21"/>
  <c r="I137" i="21"/>
  <c r="J137" i="21"/>
  <c r="K137" i="21"/>
  <c r="L137" i="21"/>
  <c r="M137" i="21"/>
  <c r="H138" i="21"/>
  <c r="I138" i="21"/>
  <c r="J138" i="21"/>
  <c r="K138" i="21"/>
  <c r="L138" i="21"/>
  <c r="M138" i="21"/>
  <c r="H139" i="21"/>
  <c r="I139" i="21"/>
  <c r="J139" i="21"/>
  <c r="K139" i="21"/>
  <c r="L139" i="21"/>
  <c r="M139" i="21"/>
  <c r="H140" i="21"/>
  <c r="I140" i="21"/>
  <c r="J140" i="21"/>
  <c r="K140" i="21"/>
  <c r="L140" i="21"/>
  <c r="M140" i="21"/>
  <c r="H141" i="21"/>
  <c r="I141" i="21"/>
  <c r="J141" i="21"/>
  <c r="K141" i="21"/>
  <c r="L141" i="21"/>
  <c r="M141" i="21"/>
  <c r="H142" i="21"/>
  <c r="I142" i="21"/>
  <c r="J142" i="21"/>
  <c r="K142" i="21"/>
  <c r="L142" i="21"/>
  <c r="M142" i="21"/>
  <c r="H143" i="21"/>
  <c r="I143" i="21"/>
  <c r="J143" i="21"/>
  <c r="K143" i="21"/>
  <c r="L143" i="21"/>
  <c r="M143" i="21"/>
  <c r="H144" i="21"/>
  <c r="I144" i="21"/>
  <c r="J144" i="21"/>
  <c r="K144" i="21"/>
  <c r="L144" i="21"/>
  <c r="M144" i="21"/>
  <c r="H145" i="21"/>
  <c r="I145" i="21"/>
  <c r="J145" i="21"/>
  <c r="K145" i="21"/>
  <c r="L145" i="21"/>
  <c r="M145" i="21"/>
  <c r="H146" i="21"/>
  <c r="I146" i="21"/>
  <c r="J146" i="21"/>
  <c r="K146" i="21"/>
  <c r="L146" i="21"/>
  <c r="M146" i="21"/>
  <c r="H147" i="21"/>
  <c r="I147" i="21"/>
  <c r="J147" i="21"/>
  <c r="K147" i="21"/>
  <c r="L147" i="21"/>
  <c r="M147" i="21"/>
  <c r="H148" i="21"/>
  <c r="I148" i="21"/>
  <c r="J148" i="21"/>
  <c r="K148" i="21"/>
  <c r="L148" i="21"/>
  <c r="M148" i="21"/>
  <c r="H149" i="21"/>
  <c r="I149" i="21"/>
  <c r="J149" i="21"/>
  <c r="K149" i="21"/>
  <c r="L149" i="21"/>
  <c r="M149" i="21"/>
  <c r="H150" i="21"/>
  <c r="I150" i="21"/>
  <c r="J150" i="21"/>
  <c r="K150" i="21"/>
  <c r="L150" i="21"/>
  <c r="M150" i="21"/>
  <c r="H151" i="21"/>
  <c r="I151" i="21"/>
  <c r="J151" i="21"/>
  <c r="K151" i="21"/>
  <c r="L151" i="21"/>
  <c r="M151" i="21"/>
  <c r="H152" i="21"/>
  <c r="I152" i="21"/>
  <c r="J152" i="21"/>
  <c r="K152" i="21"/>
  <c r="L152" i="21"/>
  <c r="M152" i="21"/>
  <c r="H153" i="21"/>
  <c r="I153" i="21"/>
  <c r="J153" i="21"/>
  <c r="K153" i="21"/>
  <c r="L153" i="21"/>
  <c r="M153" i="21"/>
  <c r="H154" i="21"/>
  <c r="I154" i="21"/>
  <c r="J154" i="21"/>
  <c r="K154" i="21"/>
  <c r="L154" i="21"/>
  <c r="M154" i="21"/>
  <c r="H155" i="21"/>
  <c r="I155" i="21"/>
  <c r="J155" i="21"/>
  <c r="K155" i="21"/>
  <c r="L155" i="21"/>
  <c r="M155" i="21"/>
  <c r="H156" i="21"/>
  <c r="I156" i="21"/>
  <c r="J156" i="21"/>
  <c r="K156" i="21"/>
  <c r="L156" i="21"/>
  <c r="M156" i="21"/>
  <c r="I106" i="21"/>
  <c r="J106" i="21"/>
  <c r="K106" i="21"/>
  <c r="L106" i="21"/>
  <c r="M106" i="21"/>
  <c r="H106" i="21"/>
  <c r="M55" i="21"/>
  <c r="M56" i="21"/>
  <c r="M57" i="21"/>
  <c r="M58" i="21"/>
  <c r="M59" i="21"/>
  <c r="M60" i="21"/>
  <c r="M61" i="21"/>
  <c r="M62" i="21"/>
  <c r="M63" i="21"/>
  <c r="M64" i="21"/>
  <c r="M65" i="21"/>
  <c r="M66" i="21"/>
  <c r="M67" i="21"/>
  <c r="M68" i="21"/>
  <c r="M69" i="21"/>
  <c r="M70" i="21"/>
  <c r="M71" i="21"/>
  <c r="M72" i="21"/>
  <c r="M73" i="21"/>
  <c r="M74" i="21"/>
  <c r="M75" i="21"/>
  <c r="M76" i="21"/>
  <c r="M77" i="21"/>
  <c r="M78" i="21"/>
  <c r="M79" i="21"/>
  <c r="M80" i="21"/>
  <c r="M81" i="21"/>
  <c r="M82" i="21"/>
  <c r="M83" i="21"/>
  <c r="M84" i="21"/>
  <c r="M85" i="21"/>
  <c r="M86" i="21"/>
  <c r="M87" i="21"/>
  <c r="M88" i="21"/>
  <c r="M89" i="21"/>
  <c r="M90" i="21"/>
  <c r="M91" i="21"/>
  <c r="M92" i="21"/>
  <c r="M93" i="21"/>
  <c r="M94" i="21"/>
  <c r="M95" i="21"/>
  <c r="M96" i="21"/>
  <c r="M97" i="21"/>
  <c r="M98" i="21"/>
  <c r="M99" i="21"/>
  <c r="M100" i="21"/>
  <c r="M101" i="21"/>
  <c r="M102" i="21"/>
  <c r="M103" i="21"/>
  <c r="M104" i="21"/>
  <c r="M105" i="21"/>
  <c r="H55" i="21"/>
  <c r="I55" i="21"/>
  <c r="J55" i="21"/>
  <c r="K55" i="21"/>
  <c r="H56" i="21"/>
  <c r="I56" i="21"/>
  <c r="J56" i="21"/>
  <c r="K56" i="21"/>
  <c r="H57" i="21"/>
  <c r="I57" i="21"/>
  <c r="J57" i="21"/>
  <c r="K57" i="21"/>
  <c r="H58" i="21"/>
  <c r="I58" i="21"/>
  <c r="J58" i="21"/>
  <c r="K58" i="21"/>
  <c r="H59" i="21"/>
  <c r="I59" i="21"/>
  <c r="J59" i="21"/>
  <c r="K59" i="21"/>
  <c r="H60" i="21"/>
  <c r="I60" i="21"/>
  <c r="J60" i="21"/>
  <c r="K60" i="21"/>
  <c r="H61" i="21"/>
  <c r="I61" i="21"/>
  <c r="J61" i="21"/>
  <c r="K61" i="21"/>
  <c r="H62" i="21"/>
  <c r="I62" i="21"/>
  <c r="J62" i="21"/>
  <c r="K62" i="21"/>
  <c r="H63" i="21"/>
  <c r="I63" i="21"/>
  <c r="J63" i="21"/>
  <c r="K63" i="21"/>
  <c r="H64" i="21"/>
  <c r="I64" i="21"/>
  <c r="J64" i="21"/>
  <c r="K64" i="21"/>
  <c r="L55" i="21"/>
  <c r="L56" i="21"/>
  <c r="L57" i="21"/>
  <c r="L58" i="21"/>
  <c r="L59" i="21"/>
  <c r="L60" i="21"/>
  <c r="L61" i="21"/>
  <c r="L62" i="21"/>
  <c r="L63" i="21"/>
  <c r="L64" i="21"/>
  <c r="N134" i="34"/>
  <c r="BT11" i="34"/>
  <c r="BT10" i="34"/>
  <c r="BT9" i="34"/>
  <c r="BT8" i="34"/>
  <c r="BT7" i="34"/>
  <c r="BT6" i="34"/>
  <c r="BT5" i="34"/>
  <c r="BT4" i="34"/>
  <c r="BT3" i="34"/>
  <c r="L118" i="34"/>
  <c r="O118" i="34"/>
  <c r="I119" i="34"/>
  <c r="I120" i="34"/>
  <c r="M120" i="34"/>
  <c r="B122" i="34"/>
  <c r="C122" i="34"/>
  <c r="D122" i="34"/>
  <c r="E122" i="34"/>
  <c r="B123" i="34"/>
  <c r="C123" i="34"/>
  <c r="D123" i="34"/>
  <c r="E123" i="34"/>
  <c r="B124" i="34"/>
  <c r="C124" i="34"/>
  <c r="D124" i="34"/>
  <c r="E124" i="34"/>
  <c r="B125" i="34"/>
  <c r="C125" i="34"/>
  <c r="D125" i="34"/>
  <c r="E125" i="34"/>
  <c r="B126" i="34"/>
  <c r="C126" i="34"/>
  <c r="D126" i="34"/>
  <c r="E126" i="34"/>
  <c r="B127" i="34"/>
  <c r="C127" i="34"/>
  <c r="D127" i="34"/>
  <c r="E127" i="34"/>
  <c r="B128" i="34"/>
  <c r="C128" i="34"/>
  <c r="D128" i="34"/>
  <c r="E128" i="34"/>
  <c r="B129" i="34"/>
  <c r="C129" i="34"/>
  <c r="D129" i="34"/>
  <c r="E129" i="34"/>
  <c r="B130" i="34"/>
  <c r="C130" i="34"/>
  <c r="D130" i="34"/>
  <c r="E130" i="34"/>
  <c r="B131" i="34"/>
  <c r="C131" i="34"/>
  <c r="D131" i="34"/>
  <c r="E131" i="34"/>
  <c r="A131" i="34"/>
  <c r="A130" i="34"/>
  <c r="A129" i="34"/>
  <c r="A128" i="34"/>
  <c r="A127" i="34"/>
  <c r="A126" i="34"/>
  <c r="A125" i="34"/>
  <c r="A124" i="34"/>
  <c r="A123" i="34"/>
  <c r="BT2" i="34"/>
  <c r="A122" i="34"/>
  <c r="I14" i="34"/>
  <c r="I15" i="34"/>
  <c r="I16" i="34"/>
  <c r="I17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I30" i="34"/>
  <c r="I31" i="34"/>
  <c r="I32" i="34"/>
  <c r="I33" i="34"/>
  <c r="I34" i="34"/>
  <c r="I35" i="34"/>
  <c r="I36" i="34"/>
  <c r="I37" i="34"/>
  <c r="I38" i="34"/>
  <c r="I39" i="34"/>
  <c r="I40" i="34"/>
  <c r="I41" i="34"/>
  <c r="I42" i="34"/>
  <c r="I43" i="34"/>
  <c r="I44" i="34"/>
  <c r="I45" i="34"/>
  <c r="I46" i="34"/>
  <c r="I47" i="34"/>
  <c r="I48" i="34"/>
  <c r="I49" i="34"/>
  <c r="I50" i="34"/>
  <c r="I51" i="34"/>
  <c r="I52" i="34"/>
  <c r="I53" i="34"/>
  <c r="I54" i="34"/>
  <c r="I55" i="34"/>
  <c r="I56" i="34"/>
  <c r="I57" i="34"/>
  <c r="I58" i="34"/>
  <c r="I59" i="34"/>
  <c r="I60" i="34"/>
  <c r="I61" i="34"/>
  <c r="I62" i="34"/>
  <c r="I63" i="34"/>
  <c r="I64" i="34"/>
  <c r="I65" i="34"/>
  <c r="I66" i="34"/>
  <c r="I67" i="34"/>
  <c r="I68" i="34"/>
  <c r="I69" i="34"/>
  <c r="I70" i="34"/>
  <c r="I71" i="34"/>
  <c r="I72" i="34"/>
  <c r="I73" i="34"/>
  <c r="I74" i="34"/>
  <c r="I75" i="34"/>
  <c r="I76" i="34"/>
  <c r="I77" i="34"/>
  <c r="I78" i="34"/>
  <c r="I79" i="34"/>
  <c r="I80" i="34"/>
  <c r="I81" i="34"/>
  <c r="I82" i="34"/>
  <c r="I83" i="34"/>
  <c r="I84" i="34"/>
  <c r="I85" i="34"/>
  <c r="I86" i="34"/>
  <c r="I87" i="34"/>
  <c r="I88" i="34"/>
  <c r="I89" i="34"/>
  <c r="I90" i="34"/>
  <c r="I91" i="34"/>
  <c r="I92" i="34"/>
  <c r="I93" i="34"/>
  <c r="I94" i="34"/>
  <c r="I95" i="34"/>
  <c r="I96" i="34"/>
  <c r="I97" i="34"/>
  <c r="I98" i="34"/>
  <c r="I99" i="34"/>
  <c r="I100" i="34"/>
  <c r="I101" i="34"/>
  <c r="I102" i="34"/>
  <c r="I103" i="34"/>
  <c r="I104" i="34"/>
  <c r="I105" i="34"/>
  <c r="I106" i="34"/>
  <c r="I107" i="34"/>
  <c r="I108" i="34"/>
  <c r="I109" i="34"/>
  <c r="I110" i="34"/>
  <c r="I111" i="34"/>
  <c r="I112" i="34"/>
  <c r="I113" i="34"/>
  <c r="N605" i="20" l="1"/>
  <c r="M605" i="20"/>
  <c r="AF592" i="20"/>
  <c r="AG592" i="20"/>
  <c r="AA148" i="38"/>
  <c r="AN158" i="38" s="1"/>
  <c r="AF142" i="38"/>
  <c r="G126" i="34"/>
  <c r="G130" i="34"/>
  <c r="O127" i="34"/>
  <c r="O123" i="34"/>
  <c r="O125" i="34"/>
  <c r="O126" i="34"/>
  <c r="N129" i="34"/>
  <c r="O129" i="34" s="1"/>
  <c r="N128" i="34"/>
  <c r="N131" i="34"/>
  <c r="O131" i="34" s="1"/>
  <c r="K133" i="34"/>
  <c r="K132" i="34"/>
  <c r="J133" i="34"/>
  <c r="N130" i="34"/>
  <c r="O130" i="34" s="1"/>
  <c r="O128" i="34"/>
  <c r="O124" i="34"/>
  <c r="G172" i="34"/>
  <c r="C212" i="34"/>
  <c r="G202" i="34"/>
  <c r="G212" i="34" s="1"/>
  <c r="J213" i="34"/>
  <c r="N208" i="34"/>
  <c r="G193" i="34"/>
  <c r="C193" i="34"/>
  <c r="J194" i="34"/>
  <c r="N189" i="34"/>
  <c r="O189" i="34" s="1"/>
  <c r="O193" i="34" s="1"/>
  <c r="C173" i="34"/>
  <c r="J173" i="34"/>
  <c r="N168" i="34"/>
  <c r="G153" i="34"/>
  <c r="C153" i="34"/>
  <c r="J154" i="34"/>
  <c r="N149" i="34"/>
  <c r="O149" i="34" s="1"/>
  <c r="O153" i="34" s="1"/>
  <c r="J132" i="34"/>
  <c r="G128" i="34"/>
  <c r="G131" i="34"/>
  <c r="G122" i="34"/>
  <c r="C133" i="34"/>
  <c r="G129" i="34"/>
  <c r="G123" i="34"/>
  <c r="G127" i="34"/>
  <c r="G124" i="34"/>
  <c r="G125" i="34"/>
  <c r="C132" i="34"/>
  <c r="AD148" i="38" l="1"/>
  <c r="AP158" i="38" s="1"/>
  <c r="O132" i="34"/>
  <c r="O208" i="34"/>
  <c r="O212" i="34" s="1"/>
  <c r="O168" i="34"/>
  <c r="O172" i="34" s="1"/>
  <c r="BJ30" i="1" l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 l="1"/>
  <c r="BJ63" i="1"/>
  <c r="F134" i="34" l="1"/>
  <c r="D12" i="35" l="1"/>
  <c r="BJ64" i="1" l="1"/>
  <c r="BJ65" i="1"/>
  <c r="BJ66" i="1"/>
  <c r="BJ67" i="1"/>
  <c r="BJ68" i="1"/>
  <c r="BJ69" i="1"/>
  <c r="BJ70" i="1"/>
  <c r="BJ71" i="1"/>
  <c r="BJ72" i="1"/>
  <c r="BJ73" i="1"/>
  <c r="BJ74" i="1"/>
  <c r="G118" i="34" l="1"/>
  <c r="F4" i="36" l="1"/>
  <c r="F3" i="36"/>
  <c r="BC106" i="36"/>
  <c r="BC105" i="36"/>
  <c r="BC104" i="36"/>
  <c r="BC103" i="36"/>
  <c r="BC102" i="36"/>
  <c r="BC101" i="36"/>
  <c r="BC100" i="36"/>
  <c r="BC99" i="36"/>
  <c r="BC98" i="36"/>
  <c r="BC97" i="36"/>
  <c r="BC96" i="36"/>
  <c r="BC95" i="36"/>
  <c r="BC94" i="36"/>
  <c r="BC93" i="36"/>
  <c r="BC92" i="36"/>
  <c r="BC91" i="36"/>
  <c r="BC90" i="36"/>
  <c r="BC89" i="36"/>
  <c r="BC88" i="36"/>
  <c r="BC87" i="36"/>
  <c r="BC86" i="36"/>
  <c r="BC85" i="36"/>
  <c r="BC84" i="36"/>
  <c r="BC83" i="36"/>
  <c r="BC82" i="36"/>
  <c r="BC81" i="36"/>
  <c r="BC80" i="36"/>
  <c r="BC79" i="36"/>
  <c r="BC78" i="36"/>
  <c r="BC77" i="36"/>
  <c r="BC76" i="36"/>
  <c r="BC75" i="36"/>
  <c r="BC74" i="36"/>
  <c r="BC73" i="36"/>
  <c r="BC72" i="36"/>
  <c r="BC71" i="36"/>
  <c r="BC70" i="36"/>
  <c r="BC69" i="36"/>
  <c r="BC68" i="36"/>
  <c r="BC67" i="36"/>
  <c r="BC66" i="36"/>
  <c r="BC65" i="36"/>
  <c r="BC64" i="36"/>
  <c r="BC63" i="36"/>
  <c r="BC62" i="36"/>
  <c r="BC61" i="36"/>
  <c r="BC60" i="36"/>
  <c r="BC59" i="36"/>
  <c r="BC58" i="36"/>
  <c r="BC57" i="36"/>
  <c r="BC56" i="36"/>
  <c r="BC55" i="36"/>
  <c r="BC54" i="36"/>
  <c r="BC53" i="36"/>
  <c r="BC52" i="36"/>
  <c r="BC51" i="36"/>
  <c r="BC50" i="36"/>
  <c r="BC49" i="36"/>
  <c r="BC48" i="36"/>
  <c r="BC47" i="36"/>
  <c r="BC46" i="36"/>
  <c r="BC45" i="36"/>
  <c r="BC44" i="36"/>
  <c r="BC43" i="36"/>
  <c r="BC39" i="36"/>
  <c r="BC38" i="36"/>
  <c r="BC37" i="36"/>
  <c r="BC36" i="36"/>
  <c r="BC33" i="36"/>
  <c r="BC32" i="36"/>
  <c r="BC31" i="36"/>
  <c r="BC30" i="36"/>
  <c r="BC29" i="36"/>
  <c r="BC28" i="36"/>
  <c r="BC27" i="36"/>
  <c r="BC26" i="36"/>
  <c r="BC25" i="36"/>
  <c r="BC24" i="36"/>
  <c r="BC23" i="36"/>
  <c r="BC22" i="36"/>
  <c r="BC21" i="36"/>
  <c r="F10" i="36" l="1"/>
  <c r="L8" i="35" l="1"/>
  <c r="L9" i="35"/>
  <c r="L12" i="35"/>
  <c r="L13" i="35"/>
  <c r="L5" i="35"/>
  <c r="L14" i="35" l="1"/>
  <c r="F120" i="34"/>
  <c r="F79" i="1" l="1"/>
  <c r="BI108" i="35" l="1"/>
  <c r="BI107" i="35"/>
  <c r="BI106" i="35"/>
  <c r="BI105" i="35"/>
  <c r="BI104" i="35"/>
  <c r="BI103" i="35"/>
  <c r="BI102" i="35"/>
  <c r="BI101" i="35"/>
  <c r="BI100" i="35"/>
  <c r="BI99" i="35"/>
  <c r="BI98" i="35"/>
  <c r="BI97" i="35"/>
  <c r="BI96" i="35"/>
  <c r="BI95" i="35"/>
  <c r="BI94" i="35"/>
  <c r="BI93" i="35"/>
  <c r="BI92" i="35"/>
  <c r="BI91" i="35"/>
  <c r="BI90" i="35"/>
  <c r="BI89" i="35"/>
  <c r="BI88" i="35"/>
  <c r="BI87" i="35"/>
  <c r="BI86" i="35"/>
  <c r="BI85" i="35"/>
  <c r="BI84" i="35"/>
  <c r="BI83" i="35"/>
  <c r="BI82" i="35"/>
  <c r="BI81" i="35"/>
  <c r="BI80" i="35"/>
  <c r="BI79" i="35"/>
  <c r="BI78" i="35"/>
  <c r="BI77" i="35"/>
  <c r="BI76" i="35"/>
  <c r="BI75" i="35"/>
  <c r="BI74" i="35"/>
  <c r="BI73" i="35"/>
  <c r="BI72" i="35"/>
  <c r="BI71" i="35"/>
  <c r="BI70" i="35"/>
  <c r="BI69" i="35"/>
  <c r="BI68" i="35"/>
  <c r="BI67" i="35"/>
  <c r="BI66" i="35"/>
  <c r="BI65" i="35"/>
  <c r="BI64" i="35"/>
  <c r="BI63" i="35"/>
  <c r="BI62" i="35"/>
  <c r="BI61" i="35"/>
  <c r="BI60" i="35"/>
  <c r="BI59" i="35"/>
  <c r="BI58" i="35"/>
  <c r="BI57" i="35"/>
  <c r="BI56" i="35"/>
  <c r="BI55" i="35"/>
  <c r="BI54" i="35"/>
  <c r="BI53" i="35"/>
  <c r="BI52" i="35"/>
  <c r="BI51" i="35"/>
  <c r="BI50" i="35"/>
  <c r="BI49" i="35"/>
  <c r="BI48" i="35"/>
  <c r="BI47" i="35"/>
  <c r="BI46" i="35"/>
  <c r="BI45" i="35"/>
  <c r="BI41" i="35"/>
  <c r="BI40" i="35"/>
  <c r="BI39" i="35"/>
  <c r="BI38" i="35"/>
  <c r="BI35" i="35"/>
  <c r="BI34" i="35"/>
  <c r="BI33" i="35"/>
  <c r="BI32" i="35"/>
  <c r="BI31" i="35"/>
  <c r="BI30" i="35"/>
  <c r="BI29" i="35"/>
  <c r="BI28" i="35"/>
  <c r="BI27" i="35"/>
  <c r="BI26" i="35"/>
  <c r="BI25" i="35"/>
  <c r="BI24" i="35"/>
  <c r="BI23" i="35"/>
  <c r="A120" i="34" l="1"/>
  <c r="A119" i="34"/>
  <c r="D118" i="34"/>
  <c r="M113" i="34"/>
  <c r="L113" i="34"/>
  <c r="K113" i="34"/>
  <c r="J113" i="34"/>
  <c r="M112" i="34"/>
  <c r="L112" i="34"/>
  <c r="K112" i="34"/>
  <c r="J112" i="34"/>
  <c r="M111" i="34"/>
  <c r="L111" i="34"/>
  <c r="K111" i="34"/>
  <c r="J111" i="34"/>
  <c r="M110" i="34"/>
  <c r="L110" i="34"/>
  <c r="K110" i="34"/>
  <c r="J110" i="34"/>
  <c r="M109" i="34"/>
  <c r="L109" i="34"/>
  <c r="K109" i="34"/>
  <c r="J109" i="34"/>
  <c r="M108" i="34"/>
  <c r="L108" i="34"/>
  <c r="K108" i="34"/>
  <c r="J108" i="34"/>
  <c r="M107" i="34"/>
  <c r="L107" i="34"/>
  <c r="K107" i="34"/>
  <c r="J107" i="34"/>
  <c r="M106" i="34"/>
  <c r="L106" i="34"/>
  <c r="K106" i="34"/>
  <c r="J106" i="34"/>
  <c r="M105" i="34"/>
  <c r="L105" i="34"/>
  <c r="K105" i="34"/>
  <c r="J105" i="34"/>
  <c r="M104" i="34"/>
  <c r="L104" i="34"/>
  <c r="K104" i="34"/>
  <c r="J104" i="34"/>
  <c r="M103" i="34"/>
  <c r="L103" i="34"/>
  <c r="K103" i="34"/>
  <c r="J103" i="34"/>
  <c r="M102" i="34"/>
  <c r="L102" i="34"/>
  <c r="K102" i="34"/>
  <c r="J102" i="34"/>
  <c r="M101" i="34"/>
  <c r="L101" i="34"/>
  <c r="K101" i="34"/>
  <c r="J101" i="34"/>
  <c r="M100" i="34"/>
  <c r="L100" i="34"/>
  <c r="K100" i="34"/>
  <c r="J100" i="34"/>
  <c r="M99" i="34"/>
  <c r="L99" i="34"/>
  <c r="K99" i="34"/>
  <c r="J99" i="34"/>
  <c r="M98" i="34"/>
  <c r="L98" i="34"/>
  <c r="K98" i="34"/>
  <c r="J98" i="34"/>
  <c r="M97" i="34"/>
  <c r="L97" i="34"/>
  <c r="K97" i="34"/>
  <c r="J97" i="34"/>
  <c r="M96" i="34"/>
  <c r="L96" i="34"/>
  <c r="K96" i="34"/>
  <c r="J96" i="34"/>
  <c r="M95" i="34"/>
  <c r="L95" i="34"/>
  <c r="K95" i="34"/>
  <c r="J95" i="34"/>
  <c r="M94" i="34"/>
  <c r="L94" i="34"/>
  <c r="K94" i="34"/>
  <c r="J94" i="34"/>
  <c r="M93" i="34"/>
  <c r="L93" i="34"/>
  <c r="K93" i="34"/>
  <c r="J93" i="34"/>
  <c r="M92" i="34"/>
  <c r="L92" i="34"/>
  <c r="K92" i="34"/>
  <c r="J92" i="34"/>
  <c r="M91" i="34"/>
  <c r="L91" i="34"/>
  <c r="K91" i="34"/>
  <c r="J91" i="34"/>
  <c r="M90" i="34"/>
  <c r="L90" i="34"/>
  <c r="K90" i="34"/>
  <c r="J90" i="34"/>
  <c r="M89" i="34"/>
  <c r="L89" i="34"/>
  <c r="K89" i="34"/>
  <c r="J89" i="34"/>
  <c r="M88" i="34"/>
  <c r="L88" i="34"/>
  <c r="K88" i="34"/>
  <c r="J88" i="34"/>
  <c r="M87" i="34"/>
  <c r="L87" i="34"/>
  <c r="K87" i="34"/>
  <c r="J87" i="34"/>
  <c r="M86" i="34"/>
  <c r="L86" i="34"/>
  <c r="K86" i="34"/>
  <c r="J86" i="34"/>
  <c r="M85" i="34"/>
  <c r="L85" i="34"/>
  <c r="K85" i="34"/>
  <c r="J85" i="34"/>
  <c r="M84" i="34"/>
  <c r="L84" i="34"/>
  <c r="K84" i="34"/>
  <c r="J84" i="34"/>
  <c r="M83" i="34"/>
  <c r="L83" i="34"/>
  <c r="K83" i="34"/>
  <c r="J83" i="34"/>
  <c r="M82" i="34"/>
  <c r="L82" i="34"/>
  <c r="K82" i="34"/>
  <c r="J82" i="34"/>
  <c r="M81" i="34"/>
  <c r="L81" i="34"/>
  <c r="K81" i="34"/>
  <c r="J81" i="34"/>
  <c r="M80" i="34"/>
  <c r="L80" i="34"/>
  <c r="K80" i="34"/>
  <c r="J80" i="34"/>
  <c r="M79" i="34"/>
  <c r="L79" i="34"/>
  <c r="K79" i="34"/>
  <c r="J79" i="34"/>
  <c r="M78" i="34"/>
  <c r="L78" i="34"/>
  <c r="K78" i="34"/>
  <c r="J78" i="34"/>
  <c r="M77" i="34"/>
  <c r="L77" i="34"/>
  <c r="K77" i="34"/>
  <c r="J77" i="34"/>
  <c r="M76" i="34"/>
  <c r="L76" i="34"/>
  <c r="K76" i="34"/>
  <c r="J76" i="34"/>
  <c r="M75" i="34"/>
  <c r="L75" i="34"/>
  <c r="K75" i="34"/>
  <c r="J75" i="34"/>
  <c r="M74" i="34"/>
  <c r="L74" i="34"/>
  <c r="K74" i="34"/>
  <c r="J74" i="34"/>
  <c r="M73" i="34"/>
  <c r="L73" i="34"/>
  <c r="K73" i="34"/>
  <c r="J73" i="34"/>
  <c r="M72" i="34"/>
  <c r="L72" i="34"/>
  <c r="K72" i="34"/>
  <c r="J72" i="34"/>
  <c r="M71" i="34"/>
  <c r="L71" i="34"/>
  <c r="K71" i="34"/>
  <c r="J71" i="34"/>
  <c r="M70" i="34"/>
  <c r="L70" i="34"/>
  <c r="K70" i="34"/>
  <c r="J70" i="34"/>
  <c r="M69" i="34"/>
  <c r="L69" i="34"/>
  <c r="K69" i="34"/>
  <c r="J69" i="34"/>
  <c r="M68" i="34"/>
  <c r="L68" i="34"/>
  <c r="K68" i="34"/>
  <c r="J68" i="34"/>
  <c r="M67" i="34"/>
  <c r="L67" i="34"/>
  <c r="K67" i="34"/>
  <c r="J67" i="34"/>
  <c r="M66" i="34"/>
  <c r="L66" i="34"/>
  <c r="K66" i="34"/>
  <c r="J66" i="34"/>
  <c r="M65" i="34"/>
  <c r="L65" i="34"/>
  <c r="K65" i="34"/>
  <c r="J65" i="34"/>
  <c r="M64" i="34"/>
  <c r="L64" i="34"/>
  <c r="K64" i="34"/>
  <c r="J64" i="34"/>
  <c r="M63" i="34"/>
  <c r="L63" i="34"/>
  <c r="K63" i="34"/>
  <c r="J63" i="34"/>
  <c r="M62" i="34"/>
  <c r="L62" i="34"/>
  <c r="K62" i="34"/>
  <c r="J62" i="34"/>
  <c r="M61" i="34"/>
  <c r="L61" i="34"/>
  <c r="K61" i="34"/>
  <c r="J61" i="34"/>
  <c r="M60" i="34"/>
  <c r="L60" i="34"/>
  <c r="K60" i="34"/>
  <c r="J60" i="34"/>
  <c r="M59" i="34"/>
  <c r="L59" i="34"/>
  <c r="K59" i="34"/>
  <c r="J59" i="34"/>
  <c r="M58" i="34"/>
  <c r="L58" i="34"/>
  <c r="K58" i="34"/>
  <c r="J58" i="34"/>
  <c r="M57" i="34"/>
  <c r="L57" i="34"/>
  <c r="K57" i="34"/>
  <c r="J57" i="34"/>
  <c r="M56" i="34"/>
  <c r="L56" i="34"/>
  <c r="K56" i="34"/>
  <c r="J56" i="34"/>
  <c r="M55" i="34"/>
  <c r="L55" i="34"/>
  <c r="K55" i="34"/>
  <c r="J55" i="34"/>
  <c r="M54" i="34"/>
  <c r="L54" i="34"/>
  <c r="K54" i="34"/>
  <c r="J54" i="34"/>
  <c r="M53" i="34"/>
  <c r="L53" i="34"/>
  <c r="K53" i="34"/>
  <c r="J53" i="34"/>
  <c r="M52" i="34"/>
  <c r="L52" i="34"/>
  <c r="K52" i="34"/>
  <c r="J52" i="34"/>
  <c r="M51" i="34"/>
  <c r="L51" i="34"/>
  <c r="K51" i="34"/>
  <c r="J51" i="34"/>
  <c r="M50" i="34"/>
  <c r="L50" i="34"/>
  <c r="K50" i="34"/>
  <c r="J50" i="34"/>
  <c r="M49" i="34"/>
  <c r="L49" i="34"/>
  <c r="K49" i="34"/>
  <c r="J49" i="34"/>
  <c r="M48" i="34"/>
  <c r="L48" i="34"/>
  <c r="K48" i="34"/>
  <c r="J48" i="34"/>
  <c r="M47" i="34"/>
  <c r="L47" i="34"/>
  <c r="K47" i="34"/>
  <c r="J47" i="34"/>
  <c r="M46" i="34"/>
  <c r="L46" i="34"/>
  <c r="K46" i="34"/>
  <c r="J46" i="34"/>
  <c r="M45" i="34"/>
  <c r="L45" i="34"/>
  <c r="K45" i="34"/>
  <c r="J45" i="34"/>
  <c r="M44" i="34"/>
  <c r="L44" i="34"/>
  <c r="K44" i="34"/>
  <c r="J44" i="34"/>
  <c r="M43" i="34"/>
  <c r="L43" i="34"/>
  <c r="K43" i="34"/>
  <c r="J43" i="34"/>
  <c r="M42" i="34"/>
  <c r="L42" i="34"/>
  <c r="K42" i="34"/>
  <c r="J42" i="34"/>
  <c r="M41" i="34"/>
  <c r="L41" i="34"/>
  <c r="K41" i="34"/>
  <c r="J41" i="34"/>
  <c r="M40" i="34"/>
  <c r="L40" i="34"/>
  <c r="K40" i="34"/>
  <c r="J40" i="34"/>
  <c r="M39" i="34"/>
  <c r="L39" i="34"/>
  <c r="K39" i="34"/>
  <c r="J39" i="34"/>
  <c r="M38" i="34"/>
  <c r="L38" i="34"/>
  <c r="K38" i="34"/>
  <c r="J38" i="34"/>
  <c r="M37" i="34"/>
  <c r="L37" i="34"/>
  <c r="K37" i="34"/>
  <c r="J37" i="34"/>
  <c r="M36" i="34"/>
  <c r="L36" i="34"/>
  <c r="K36" i="34"/>
  <c r="J36" i="34"/>
  <c r="M35" i="34"/>
  <c r="L35" i="34"/>
  <c r="K35" i="34"/>
  <c r="J35" i="34"/>
  <c r="M34" i="34"/>
  <c r="L34" i="34"/>
  <c r="K34" i="34"/>
  <c r="J34" i="34"/>
  <c r="M33" i="34"/>
  <c r="L33" i="34"/>
  <c r="K33" i="34"/>
  <c r="J33" i="34"/>
  <c r="M32" i="34"/>
  <c r="L32" i="34"/>
  <c r="K32" i="34"/>
  <c r="J32" i="34"/>
  <c r="M31" i="34"/>
  <c r="L31" i="34"/>
  <c r="K31" i="34"/>
  <c r="J31" i="34"/>
  <c r="M30" i="34"/>
  <c r="L30" i="34"/>
  <c r="K30" i="34"/>
  <c r="J30" i="34"/>
  <c r="M29" i="34"/>
  <c r="L29" i="34"/>
  <c r="K29" i="34"/>
  <c r="J29" i="34"/>
  <c r="M28" i="34"/>
  <c r="L28" i="34"/>
  <c r="K28" i="34"/>
  <c r="J28" i="34"/>
  <c r="M27" i="34"/>
  <c r="L27" i="34"/>
  <c r="K27" i="34"/>
  <c r="J27" i="34"/>
  <c r="M26" i="34"/>
  <c r="L26" i="34"/>
  <c r="K26" i="34"/>
  <c r="J26" i="34"/>
  <c r="M25" i="34"/>
  <c r="L25" i="34"/>
  <c r="J25" i="34"/>
  <c r="M24" i="34"/>
  <c r="L24" i="34"/>
  <c r="K24" i="34"/>
  <c r="J24" i="34"/>
  <c r="AI23" i="34"/>
  <c r="AH23" i="34"/>
  <c r="AG23" i="34"/>
  <c r="AF23" i="34"/>
  <c r="AE23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M23" i="34"/>
  <c r="L23" i="34"/>
  <c r="K23" i="34"/>
  <c r="J23" i="34"/>
  <c r="AI22" i="34"/>
  <c r="AH22" i="34"/>
  <c r="AG22" i="34"/>
  <c r="AF22" i="34"/>
  <c r="AE22" i="34"/>
  <c r="AD22" i="34"/>
  <c r="AC22" i="34"/>
  <c r="AB22" i="34"/>
  <c r="AA22" i="34"/>
  <c r="Z22" i="34"/>
  <c r="Y22" i="34"/>
  <c r="X22" i="34"/>
  <c r="W22" i="34"/>
  <c r="V22" i="34"/>
  <c r="U22" i="34"/>
  <c r="T22" i="34"/>
  <c r="S22" i="34"/>
  <c r="R22" i="34"/>
  <c r="Q22" i="34"/>
  <c r="P22" i="34"/>
  <c r="M22" i="34"/>
  <c r="L22" i="34"/>
  <c r="K22" i="34"/>
  <c r="J22" i="34"/>
  <c r="AI21" i="34"/>
  <c r="AH21" i="34"/>
  <c r="AG21" i="34"/>
  <c r="AF21" i="34"/>
  <c r="AE21" i="34"/>
  <c r="AD21" i="34"/>
  <c r="AC21" i="34"/>
  <c r="AB21" i="34"/>
  <c r="AA21" i="34"/>
  <c r="Z21" i="34"/>
  <c r="Y21" i="34"/>
  <c r="X21" i="34"/>
  <c r="W21" i="34"/>
  <c r="V21" i="34"/>
  <c r="U21" i="34"/>
  <c r="T21" i="34"/>
  <c r="S21" i="34"/>
  <c r="R21" i="34"/>
  <c r="Q21" i="34"/>
  <c r="P21" i="34"/>
  <c r="M21" i="34"/>
  <c r="L21" i="34"/>
  <c r="K21" i="34"/>
  <c r="J21" i="34"/>
  <c r="AI20" i="34"/>
  <c r="AH20" i="34"/>
  <c r="AG20" i="34"/>
  <c r="AF20" i="34"/>
  <c r="AE20" i="34"/>
  <c r="AD20" i="34"/>
  <c r="AC20" i="34"/>
  <c r="AB20" i="34"/>
  <c r="AA20" i="34"/>
  <c r="Z20" i="34"/>
  <c r="Y20" i="34"/>
  <c r="X20" i="34"/>
  <c r="W20" i="34"/>
  <c r="V20" i="34"/>
  <c r="U20" i="34"/>
  <c r="T20" i="34"/>
  <c r="S20" i="34"/>
  <c r="R20" i="34"/>
  <c r="Q20" i="34"/>
  <c r="P20" i="34"/>
  <c r="M20" i="34"/>
  <c r="L20" i="34"/>
  <c r="K20" i="34"/>
  <c r="J20" i="34"/>
  <c r="AI19" i="34"/>
  <c r="AH19" i="34"/>
  <c r="AG19" i="34"/>
  <c r="AF19" i="34"/>
  <c r="AE19" i="34"/>
  <c r="AD19" i="34"/>
  <c r="AC19" i="34"/>
  <c r="AB19" i="34"/>
  <c r="AA19" i="34"/>
  <c r="Z19" i="34"/>
  <c r="Y19" i="34"/>
  <c r="X19" i="34"/>
  <c r="W19" i="34"/>
  <c r="V19" i="34"/>
  <c r="U19" i="34"/>
  <c r="T19" i="34"/>
  <c r="S19" i="34"/>
  <c r="R19" i="34"/>
  <c r="Q19" i="34"/>
  <c r="P19" i="34"/>
  <c r="M19" i="34"/>
  <c r="L19" i="34"/>
  <c r="K19" i="34"/>
  <c r="J19" i="34"/>
  <c r="AI18" i="34"/>
  <c r="AH18" i="34"/>
  <c r="AG18" i="34"/>
  <c r="AF18" i="34"/>
  <c r="AE18" i="34"/>
  <c r="AD18" i="34"/>
  <c r="AC18" i="34"/>
  <c r="AB18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M18" i="34"/>
  <c r="L18" i="34"/>
  <c r="K18" i="34"/>
  <c r="J18" i="34"/>
  <c r="AI17" i="34"/>
  <c r="AH17" i="34"/>
  <c r="AG17" i="34"/>
  <c r="AF17" i="34"/>
  <c r="AE17" i="34"/>
  <c r="AD17" i="34"/>
  <c r="AC17" i="34"/>
  <c r="AB17" i="34"/>
  <c r="AA17" i="34"/>
  <c r="Z17" i="34"/>
  <c r="Y17" i="34"/>
  <c r="X17" i="34"/>
  <c r="W17" i="34"/>
  <c r="V17" i="34"/>
  <c r="U17" i="34"/>
  <c r="T17" i="34"/>
  <c r="S17" i="34"/>
  <c r="R17" i="34"/>
  <c r="Q17" i="34"/>
  <c r="P17" i="34"/>
  <c r="M17" i="34"/>
  <c r="L17" i="34"/>
  <c r="K17" i="34"/>
  <c r="J17" i="34"/>
  <c r="AI16" i="34"/>
  <c r="AH16" i="34"/>
  <c r="AG16" i="34"/>
  <c r="AF16" i="34"/>
  <c r="AE16" i="34"/>
  <c r="AD16" i="34"/>
  <c r="AC16" i="34"/>
  <c r="AB16" i="34"/>
  <c r="AA16" i="34"/>
  <c r="Z16" i="34"/>
  <c r="Y16" i="34"/>
  <c r="X16" i="34"/>
  <c r="W16" i="34"/>
  <c r="V16" i="34"/>
  <c r="U16" i="34"/>
  <c r="T16" i="34"/>
  <c r="S16" i="34"/>
  <c r="R16" i="34"/>
  <c r="Q16" i="34"/>
  <c r="P16" i="34"/>
  <c r="M16" i="34"/>
  <c r="L16" i="34"/>
  <c r="K16" i="34"/>
  <c r="J16" i="34"/>
  <c r="AI15" i="34"/>
  <c r="AH15" i="34"/>
  <c r="AG15" i="34"/>
  <c r="AF15" i="34"/>
  <c r="AE15" i="34"/>
  <c r="AD15" i="34"/>
  <c r="AC15" i="34"/>
  <c r="AB15" i="34"/>
  <c r="AA15" i="34"/>
  <c r="Z15" i="34"/>
  <c r="Y15" i="34"/>
  <c r="X15" i="34"/>
  <c r="W15" i="34"/>
  <c r="V15" i="34"/>
  <c r="U15" i="34"/>
  <c r="T15" i="34"/>
  <c r="S15" i="34"/>
  <c r="R15" i="34"/>
  <c r="Q15" i="34"/>
  <c r="P15" i="34"/>
  <c r="M15" i="34"/>
  <c r="L15" i="34"/>
  <c r="K15" i="34"/>
  <c r="J15" i="34"/>
  <c r="AI14" i="34"/>
  <c r="AH14" i="34"/>
  <c r="AG14" i="34"/>
  <c r="AF14" i="34"/>
  <c r="AE14" i="34"/>
  <c r="AD14" i="34"/>
  <c r="AC14" i="34"/>
  <c r="AB14" i="34"/>
  <c r="AA14" i="34"/>
  <c r="Z14" i="34"/>
  <c r="Y14" i="34"/>
  <c r="X14" i="34"/>
  <c r="W14" i="34"/>
  <c r="V14" i="34"/>
  <c r="U14" i="34"/>
  <c r="T14" i="34"/>
  <c r="S14" i="34"/>
  <c r="R14" i="34"/>
  <c r="Q14" i="34"/>
  <c r="P14" i="34"/>
  <c r="M14" i="34"/>
  <c r="L14" i="34"/>
  <c r="K14" i="34"/>
  <c r="J14" i="34"/>
  <c r="AO22" i="34" l="1"/>
  <c r="AP23" i="34"/>
  <c r="AO21" i="34"/>
  <c r="AO23" i="34"/>
  <c r="AO14" i="34"/>
  <c r="AP15" i="34"/>
  <c r="AM16" i="34"/>
  <c r="AO18" i="34"/>
  <c r="AP19" i="34"/>
  <c r="AO19" i="34"/>
  <c r="AM15" i="34"/>
  <c r="AO15" i="34"/>
  <c r="AN18" i="34"/>
  <c r="AN19" i="34"/>
  <c r="AM20" i="34"/>
  <c r="AP21" i="34"/>
  <c r="AM21" i="34"/>
  <c r="AN22" i="34"/>
  <c r="AN23" i="34"/>
  <c r="AP17" i="34"/>
  <c r="AN14" i="34"/>
  <c r="AN15" i="34"/>
  <c r="AO17" i="34"/>
  <c r="AM17" i="34"/>
  <c r="AM19" i="34"/>
  <c r="AM23" i="34"/>
  <c r="AL14" i="34"/>
  <c r="AP14" i="34"/>
  <c r="AN16" i="34"/>
  <c r="AL18" i="34"/>
  <c r="AP18" i="34"/>
  <c r="AN20" i="34"/>
  <c r="AL22" i="34"/>
  <c r="AP22" i="34"/>
  <c r="AM14" i="34"/>
  <c r="AL15" i="34"/>
  <c r="AO16" i="34"/>
  <c r="AN17" i="34"/>
  <c r="AM18" i="34"/>
  <c r="AL19" i="34"/>
  <c r="AO20" i="34"/>
  <c r="AN21" i="34"/>
  <c r="AM22" i="34"/>
  <c r="AL23" i="34"/>
  <c r="AL16" i="34"/>
  <c r="AP16" i="34"/>
  <c r="AL20" i="34"/>
  <c r="AP20" i="34"/>
  <c r="AL17" i="34"/>
  <c r="AL21" i="34"/>
  <c r="G132" i="34" l="1"/>
  <c r="L105" i="21" l="1"/>
  <c r="K105" i="21"/>
  <c r="J105" i="21"/>
  <c r="I105" i="21"/>
  <c r="H105" i="21"/>
  <c r="L104" i="21"/>
  <c r="K104" i="21"/>
  <c r="J104" i="21"/>
  <c r="I104" i="21"/>
  <c r="H104" i="21"/>
  <c r="L103" i="21"/>
  <c r="K103" i="21"/>
  <c r="J103" i="21"/>
  <c r="I103" i="21"/>
  <c r="H103" i="21"/>
  <c r="L102" i="21"/>
  <c r="K102" i="21"/>
  <c r="J102" i="21"/>
  <c r="I102" i="21"/>
  <c r="H102" i="21"/>
  <c r="L101" i="21"/>
  <c r="K101" i="21"/>
  <c r="J101" i="21"/>
  <c r="I101" i="21"/>
  <c r="H101" i="21"/>
  <c r="L100" i="21"/>
  <c r="K100" i="21"/>
  <c r="J100" i="21"/>
  <c r="I100" i="21"/>
  <c r="H100" i="21"/>
  <c r="L99" i="21"/>
  <c r="K99" i="21"/>
  <c r="J99" i="21"/>
  <c r="I99" i="21"/>
  <c r="H99" i="21"/>
  <c r="L98" i="21"/>
  <c r="K98" i="21"/>
  <c r="J98" i="21"/>
  <c r="I98" i="21"/>
  <c r="H98" i="21"/>
  <c r="L97" i="21"/>
  <c r="K97" i="21"/>
  <c r="J97" i="21"/>
  <c r="I97" i="21"/>
  <c r="H97" i="21"/>
  <c r="L96" i="21"/>
  <c r="K96" i="21"/>
  <c r="J96" i="21"/>
  <c r="I96" i="21"/>
  <c r="H96" i="21"/>
  <c r="L95" i="21"/>
  <c r="K95" i="21"/>
  <c r="J95" i="21"/>
  <c r="I95" i="21"/>
  <c r="H95" i="21"/>
  <c r="L94" i="21"/>
  <c r="K94" i="21"/>
  <c r="J94" i="21"/>
  <c r="I94" i="21"/>
  <c r="H94" i="21"/>
  <c r="L93" i="21"/>
  <c r="K93" i="21"/>
  <c r="J93" i="21"/>
  <c r="I93" i="21"/>
  <c r="H93" i="21"/>
  <c r="L92" i="21"/>
  <c r="K92" i="21"/>
  <c r="J92" i="21"/>
  <c r="I92" i="21"/>
  <c r="H92" i="21"/>
  <c r="L91" i="21"/>
  <c r="K91" i="21"/>
  <c r="J91" i="21"/>
  <c r="I91" i="21"/>
  <c r="H91" i="21"/>
  <c r="L90" i="21"/>
  <c r="K90" i="21"/>
  <c r="J90" i="21"/>
  <c r="I90" i="21"/>
  <c r="H90" i="21"/>
  <c r="L89" i="21"/>
  <c r="K89" i="21"/>
  <c r="J89" i="21"/>
  <c r="I89" i="21"/>
  <c r="H89" i="21"/>
  <c r="L88" i="21"/>
  <c r="K88" i="21"/>
  <c r="J88" i="21"/>
  <c r="I88" i="21"/>
  <c r="H88" i="21"/>
  <c r="L87" i="21"/>
  <c r="K87" i="21"/>
  <c r="J87" i="21"/>
  <c r="I87" i="21"/>
  <c r="H87" i="21"/>
  <c r="L86" i="21"/>
  <c r="K86" i="21"/>
  <c r="J86" i="21"/>
  <c r="I86" i="21"/>
  <c r="H86" i="21"/>
  <c r="L85" i="21"/>
  <c r="K85" i="21"/>
  <c r="J85" i="21"/>
  <c r="I85" i="21"/>
  <c r="H85" i="21"/>
  <c r="L84" i="21"/>
  <c r="K84" i="21"/>
  <c r="J84" i="21"/>
  <c r="I84" i="21"/>
  <c r="H84" i="21"/>
  <c r="L83" i="21"/>
  <c r="K83" i="21"/>
  <c r="J83" i="21"/>
  <c r="I83" i="21"/>
  <c r="H83" i="21"/>
  <c r="L82" i="21"/>
  <c r="K82" i="21"/>
  <c r="J82" i="21"/>
  <c r="I82" i="21"/>
  <c r="H82" i="21"/>
  <c r="L81" i="21"/>
  <c r="K81" i="21"/>
  <c r="J81" i="21"/>
  <c r="I81" i="21"/>
  <c r="H81" i="21"/>
  <c r="L80" i="21"/>
  <c r="K80" i="21"/>
  <c r="J80" i="21"/>
  <c r="I80" i="21"/>
  <c r="H80" i="21"/>
  <c r="L79" i="21"/>
  <c r="K79" i="21"/>
  <c r="J79" i="21"/>
  <c r="I79" i="21"/>
  <c r="H79" i="21"/>
  <c r="L78" i="21"/>
  <c r="K78" i="21"/>
  <c r="J78" i="21"/>
  <c r="I78" i="21"/>
  <c r="H78" i="21"/>
  <c r="L77" i="21"/>
  <c r="K77" i="21"/>
  <c r="J77" i="21"/>
  <c r="I77" i="21"/>
  <c r="H77" i="21"/>
  <c r="L76" i="21"/>
  <c r="K76" i="21"/>
  <c r="J76" i="21"/>
  <c r="I76" i="21"/>
  <c r="H76" i="21"/>
  <c r="L75" i="21"/>
  <c r="K75" i="21"/>
  <c r="J75" i="21"/>
  <c r="I75" i="21"/>
  <c r="H75" i="21"/>
  <c r="L74" i="21"/>
  <c r="K74" i="21"/>
  <c r="J74" i="21"/>
  <c r="I74" i="21"/>
  <c r="H74" i="21"/>
  <c r="L73" i="21"/>
  <c r="K73" i="21"/>
  <c r="J73" i="21"/>
  <c r="I73" i="21"/>
  <c r="H73" i="21"/>
  <c r="L72" i="21"/>
  <c r="K72" i="21"/>
  <c r="J72" i="21"/>
  <c r="I72" i="21"/>
  <c r="H72" i="21"/>
  <c r="L71" i="21"/>
  <c r="K71" i="21"/>
  <c r="J71" i="21"/>
  <c r="I71" i="21"/>
  <c r="H71" i="21"/>
  <c r="L70" i="21"/>
  <c r="K70" i="21"/>
  <c r="J70" i="21"/>
  <c r="I70" i="21"/>
  <c r="H70" i="21"/>
  <c r="L69" i="21"/>
  <c r="K69" i="21"/>
  <c r="J69" i="21"/>
  <c r="I69" i="21"/>
  <c r="H69" i="21"/>
  <c r="L68" i="21"/>
  <c r="K68" i="21"/>
  <c r="J68" i="21"/>
  <c r="I68" i="21"/>
  <c r="H68" i="21"/>
  <c r="L67" i="21"/>
  <c r="K67" i="21"/>
  <c r="J67" i="21"/>
  <c r="I67" i="21"/>
  <c r="H67" i="21"/>
  <c r="L66" i="21"/>
  <c r="K66" i="21"/>
  <c r="J66" i="21"/>
  <c r="I66" i="21"/>
  <c r="H66" i="21"/>
  <c r="L65" i="21"/>
  <c r="K65" i="21"/>
  <c r="J65" i="21"/>
  <c r="I65" i="21"/>
  <c r="H65" i="21"/>
  <c r="K596" i="21" l="1"/>
  <c r="Y587" i="21"/>
  <c r="H591" i="21"/>
  <c r="F588" i="21"/>
  <c r="L583" i="21"/>
  <c r="AC588" i="21"/>
  <c r="E584" i="21"/>
  <c r="J589" i="21"/>
  <c r="P584" i="21"/>
  <c r="I589" i="21"/>
  <c r="O584" i="21"/>
  <c r="B588" i="21"/>
  <c r="H583" i="21"/>
  <c r="AE587" i="21"/>
  <c r="AA585" i="21"/>
  <c r="Q587" i="21"/>
  <c r="T586" i="21"/>
  <c r="X584" i="21"/>
  <c r="AC583" i="21"/>
  <c r="AC591" i="21"/>
  <c r="AC589" i="21"/>
  <c r="B589" i="21"/>
  <c r="X588" i="21"/>
  <c r="AC585" i="21"/>
  <c r="P583" i="21"/>
  <c r="S585" i="21"/>
  <c r="C589" i="21"/>
  <c r="AB587" i="21"/>
  <c r="L602" i="21"/>
  <c r="M587" i="21"/>
  <c r="K597" i="21"/>
  <c r="X587" i="21"/>
  <c r="B569" i="21"/>
  <c r="Q588" i="21"/>
  <c r="W583" i="21"/>
  <c r="AB588" i="21"/>
  <c r="D584" i="21"/>
  <c r="AA588" i="21"/>
  <c r="C584" i="21"/>
  <c r="T587" i="21"/>
  <c r="L599" i="21"/>
  <c r="S587" i="21"/>
  <c r="C585" i="21"/>
  <c r="U586" i="21"/>
  <c r="AD583" i="21"/>
  <c r="E583" i="21"/>
  <c r="C591" i="21"/>
  <c r="AC587" i="21"/>
  <c r="E585" i="21"/>
  <c r="Y591" i="21"/>
  <c r="AE586" i="21"/>
  <c r="K603" i="21"/>
  <c r="L587" i="21"/>
  <c r="T591" i="21"/>
  <c r="E588" i="21"/>
  <c r="K583" i="21"/>
  <c r="P588" i="21"/>
  <c r="V583" i="21"/>
  <c r="O588" i="21"/>
  <c r="U583" i="21"/>
  <c r="U592" i="21" s="1"/>
  <c r="H587" i="21"/>
  <c r="AE591" i="21"/>
  <c r="G587" i="21"/>
  <c r="I584" i="21"/>
  <c r="Z585" i="21"/>
  <c r="Y584" i="21"/>
  <c r="F583" i="21"/>
  <c r="AD591" i="21"/>
  <c r="AD589" i="21"/>
  <c r="AD587" i="21"/>
  <c r="C587" i="21"/>
  <c r="B587" i="21"/>
  <c r="K584" i="21"/>
  <c r="M591" i="21"/>
  <c r="S586" i="21"/>
  <c r="X591" i="21"/>
  <c r="AD586" i="21"/>
  <c r="L597" i="21"/>
  <c r="W587" i="21"/>
  <c r="L596" i="21"/>
  <c r="D588" i="21"/>
  <c r="J583" i="21"/>
  <c r="C588" i="21"/>
  <c r="I583" i="21"/>
  <c r="Z586" i="21"/>
  <c r="S591" i="21"/>
  <c r="Y586" i="21"/>
  <c r="O583" i="21"/>
  <c r="B585" i="21"/>
  <c r="AE583" i="21"/>
  <c r="K602" i="21"/>
  <c r="H590" i="21"/>
  <c r="D589" i="21"/>
  <c r="D587" i="21"/>
  <c r="AE585" i="21"/>
  <c r="AD585" i="21"/>
  <c r="Q583" i="21"/>
  <c r="AE590" i="21"/>
  <c r="G586" i="21"/>
  <c r="L591" i="21"/>
  <c r="R586" i="21"/>
  <c r="L603" i="21"/>
  <c r="K587" i="21"/>
  <c r="K598" i="21"/>
  <c r="V587" i="21"/>
  <c r="L598" i="21"/>
  <c r="U587" i="21"/>
  <c r="K599" i="21"/>
  <c r="N586" i="21"/>
  <c r="G591" i="21"/>
  <c r="M586" i="21"/>
  <c r="F591" i="21"/>
  <c r="H584" i="21"/>
  <c r="G583" i="21"/>
  <c r="E591" i="21"/>
  <c r="E589" i="21"/>
  <c r="H588" i="21"/>
  <c r="H586" i="21"/>
  <c r="G585" i="21"/>
  <c r="F585" i="21"/>
  <c r="Q591" i="21"/>
  <c r="S590" i="21"/>
  <c r="Y585" i="21"/>
  <c r="AD590" i="21"/>
  <c r="F586" i="21"/>
  <c r="W591" i="21"/>
  <c r="AC586" i="21"/>
  <c r="K604" i="21"/>
  <c r="J587" i="21"/>
  <c r="L604" i="21"/>
  <c r="I587" i="21"/>
  <c r="Z590" i="21"/>
  <c r="Y590" i="21"/>
  <c r="K600" i="21"/>
  <c r="M589" i="21"/>
  <c r="S584" i="21"/>
  <c r="X589" i="21"/>
  <c r="AD584" i="21"/>
  <c r="Q590" i="21"/>
  <c r="W585" i="21"/>
  <c r="AB590" i="21"/>
  <c r="D586" i="21"/>
  <c r="AA590" i="21"/>
  <c r="C586" i="21"/>
  <c r="T589" i="21"/>
  <c r="Z584" i="21"/>
  <c r="S589" i="21"/>
  <c r="Q589" i="21"/>
  <c r="O591" i="21"/>
  <c r="K590" i="21"/>
  <c r="K588" i="21"/>
  <c r="G590" i="21"/>
  <c r="L589" i="21"/>
  <c r="K589" i="21"/>
  <c r="P586" i="21"/>
  <c r="I585" i="21"/>
  <c r="T583" i="21"/>
  <c r="B591" i="21"/>
  <c r="J590" i="21"/>
  <c r="I588" i="21"/>
  <c r="C583" i="21"/>
  <c r="U590" i="21"/>
  <c r="V588" i="21"/>
  <c r="X590" i="21"/>
  <c r="O589" i="21"/>
  <c r="H585" i="21"/>
  <c r="E590" i="21"/>
  <c r="W589" i="21"/>
  <c r="V590" i="21"/>
  <c r="Y589" i="21"/>
  <c r="AD588" i="21"/>
  <c r="Q586" i="21"/>
  <c r="V585" i="21"/>
  <c r="AA584" i="21"/>
  <c r="M590" i="21"/>
  <c r="L600" i="21"/>
  <c r="N589" i="21"/>
  <c r="F587" i="21"/>
  <c r="AB591" i="21"/>
  <c r="Z591" i="21"/>
  <c r="Z587" i="21"/>
  <c r="R584" i="21"/>
  <c r="AB583" i="21"/>
  <c r="F584" i="21"/>
  <c r="F589" i="21"/>
  <c r="X583" i="21"/>
  <c r="J588" i="21"/>
  <c r="K591" i="21"/>
  <c r="AB589" i="21"/>
  <c r="AC590" i="21"/>
  <c r="M584" i="21"/>
  <c r="O586" i="21"/>
  <c r="X586" i="21"/>
  <c r="U585" i="21"/>
  <c r="AE588" i="21"/>
  <c r="R588" i="21"/>
  <c r="E586" i="21"/>
  <c r="J585" i="21"/>
  <c r="N590" i="21"/>
  <c r="AE589" i="21"/>
  <c r="L590" i="21"/>
  <c r="O587" i="21"/>
  <c r="J586" i="21"/>
  <c r="N585" i="21"/>
  <c r="W590" i="21"/>
  <c r="W586" i="21"/>
  <c r="S588" i="21"/>
  <c r="X585" i="21"/>
  <c r="K585" i="21"/>
  <c r="AB584" i="21"/>
  <c r="B590" i="21"/>
  <c r="G589" i="21"/>
  <c r="P589" i="21"/>
  <c r="L586" i="21"/>
  <c r="P585" i="21"/>
  <c r="T584" i="21"/>
  <c r="AA589" i="21"/>
  <c r="AB585" i="21"/>
  <c r="G588" i="21"/>
  <c r="L585" i="21"/>
  <c r="AC584" i="21"/>
  <c r="U591" i="21"/>
  <c r="H589" i="21"/>
  <c r="Y588" i="21"/>
  <c r="T588" i="21"/>
  <c r="R585" i="21"/>
  <c r="V584" i="21"/>
  <c r="Z583" i="21"/>
  <c r="Z592" i="21" s="1"/>
  <c r="L584" i="21"/>
  <c r="D585" i="21"/>
  <c r="M585" i="21"/>
  <c r="Q584" i="21"/>
  <c r="I591" i="21"/>
  <c r="Z588" i="21"/>
  <c r="M588" i="21"/>
  <c r="N583" i="21"/>
  <c r="I590" i="21"/>
  <c r="B583" i="21"/>
  <c r="R583" i="21"/>
  <c r="R592" i="21" s="1"/>
  <c r="J584" i="21"/>
  <c r="AE584" i="21"/>
  <c r="V591" i="21"/>
  <c r="O590" i="21"/>
  <c r="N588" i="21"/>
  <c r="P591" i="21"/>
  <c r="K601" i="21"/>
  <c r="D583" i="21"/>
  <c r="AA591" i="21"/>
  <c r="R591" i="21"/>
  <c r="G584" i="21"/>
  <c r="J591" i="21"/>
  <c r="C590" i="21"/>
  <c r="B586" i="21"/>
  <c r="T590" i="21"/>
  <c r="N591" i="21"/>
  <c r="E587" i="21"/>
  <c r="Z589" i="21"/>
  <c r="Y583" i="21"/>
  <c r="P590" i="21"/>
  <c r="U589" i="21"/>
  <c r="T585" i="21"/>
  <c r="U588" i="21"/>
  <c r="N587" i="21"/>
  <c r="I586" i="21"/>
  <c r="W588" i="21"/>
  <c r="M583" i="21"/>
  <c r="D590" i="21"/>
  <c r="AA586" i="21"/>
  <c r="R587" i="21"/>
  <c r="L588" i="21"/>
  <c r="K586" i="21"/>
  <c r="O585" i="21"/>
  <c r="AA587" i="21"/>
  <c r="R590" i="21"/>
  <c r="V589" i="21"/>
  <c r="N584" i="21"/>
  <c r="V586" i="21"/>
  <c r="P587" i="21"/>
  <c r="Q585" i="21"/>
  <c r="U584" i="21"/>
  <c r="S583" i="21"/>
  <c r="F590" i="21"/>
  <c r="AB586" i="21"/>
  <c r="B584" i="21"/>
  <c r="D591" i="21"/>
  <c r="L601" i="21"/>
  <c r="W584" i="21"/>
  <c r="AA583" i="21"/>
  <c r="AA592" i="21" s="1"/>
  <c r="R589" i="21"/>
  <c r="AC569" i="21"/>
  <c r="AB569" i="21"/>
  <c r="P569" i="21"/>
  <c r="S569" i="21"/>
  <c r="D569" i="21"/>
  <c r="X569" i="21"/>
  <c r="F569" i="21"/>
  <c r="O569" i="21"/>
  <c r="L569" i="21"/>
  <c r="U569" i="21"/>
  <c r="T569" i="21"/>
  <c r="K569" i="21"/>
  <c r="AE569" i="21"/>
  <c r="E569" i="21"/>
  <c r="AD569" i="21"/>
  <c r="W569" i="21"/>
  <c r="Q569" i="21"/>
  <c r="V569" i="21"/>
  <c r="M569" i="21"/>
  <c r="H569" i="21"/>
  <c r="C569" i="21"/>
  <c r="N569" i="21"/>
  <c r="Y569" i="21"/>
  <c r="G569" i="21"/>
  <c r="R569" i="21"/>
  <c r="AA569" i="21"/>
  <c r="Z569" i="21"/>
  <c r="J569" i="21"/>
  <c r="I569" i="21"/>
  <c r="B571" i="21"/>
  <c r="K571" i="21"/>
  <c r="E570" i="21"/>
  <c r="Z573" i="21"/>
  <c r="C571" i="21"/>
  <c r="AC574" i="21"/>
  <c r="F570" i="21"/>
  <c r="J571" i="21"/>
  <c r="R573" i="21"/>
  <c r="Q573" i="21"/>
  <c r="M572" i="21"/>
  <c r="V570" i="21"/>
  <c r="J574" i="21"/>
  <c r="C576" i="21"/>
  <c r="X573" i="21"/>
  <c r="O571" i="21"/>
  <c r="F572" i="21"/>
  <c r="L570" i="21"/>
  <c r="AD573" i="21"/>
  <c r="S574" i="21"/>
  <c r="Y570" i="21"/>
  <c r="H575" i="21"/>
  <c r="AB570" i="21"/>
  <c r="Q570" i="21"/>
  <c r="B570" i="21"/>
  <c r="U573" i="21"/>
  <c r="V577" i="21"/>
  <c r="D570" i="21"/>
  <c r="E573" i="21"/>
  <c r="O574" i="21"/>
  <c r="P572" i="21"/>
  <c r="AE572" i="21"/>
  <c r="G570" i="21"/>
  <c r="AA574" i="21"/>
  <c r="N571" i="21"/>
  <c r="P576" i="21"/>
  <c r="W575" i="21"/>
  <c r="O576" i="21"/>
  <c r="AC570" i="21"/>
  <c r="E576" i="21"/>
  <c r="E571" i="21"/>
  <c r="R571" i="21"/>
  <c r="H574" i="21"/>
  <c r="S575" i="21"/>
  <c r="T573" i="21"/>
  <c r="F577" i="21"/>
  <c r="W570" i="21"/>
  <c r="Q577" i="21"/>
  <c r="R575" i="21"/>
  <c r="K577" i="21"/>
  <c r="Q575" i="21"/>
  <c r="C570" i="21"/>
  <c r="C574" i="21"/>
  <c r="H577" i="21"/>
  <c r="I576" i="21"/>
  <c r="T575" i="21"/>
  <c r="AA575" i="21"/>
  <c r="G572" i="21"/>
  <c r="N574" i="21"/>
  <c r="W573" i="21"/>
  <c r="R572" i="21"/>
  <c r="G573" i="21"/>
  <c r="AE575" i="21"/>
  <c r="T576" i="21"/>
  <c r="I577" i="21"/>
  <c r="X572" i="21"/>
  <c r="AD572" i="21"/>
  <c r="N572" i="21"/>
  <c r="O572" i="21"/>
  <c r="U572" i="21"/>
  <c r="AA570" i="21"/>
  <c r="C575" i="21"/>
  <c r="P570" i="21"/>
  <c r="AC573" i="21"/>
  <c r="R574" i="21"/>
  <c r="G575" i="21"/>
  <c r="AD574" i="21"/>
  <c r="X571" i="21"/>
  <c r="Y571" i="21"/>
  <c r="AD576" i="21"/>
  <c r="D573" i="21"/>
  <c r="C573" i="21"/>
  <c r="M575" i="21"/>
  <c r="AC576" i="21"/>
  <c r="R577" i="21"/>
  <c r="M574" i="21"/>
  <c r="M576" i="21"/>
  <c r="AB571" i="21"/>
  <c r="B577" i="21"/>
  <c r="Q572" i="21"/>
  <c r="AE571" i="21"/>
  <c r="K572" i="21"/>
  <c r="AD575" i="21"/>
  <c r="S576" i="21"/>
  <c r="D576" i="21"/>
  <c r="S571" i="21"/>
  <c r="Z570" i="21"/>
  <c r="D577" i="21"/>
  <c r="C572" i="21"/>
  <c r="T571" i="21"/>
  <c r="B575" i="21"/>
  <c r="Z572" i="21"/>
  <c r="W577" i="21"/>
  <c r="L575" i="21"/>
  <c r="C577" i="21"/>
  <c r="I571" i="21"/>
  <c r="L577" i="21"/>
  <c r="K575" i="21"/>
  <c r="N570" i="21"/>
  <c r="AA572" i="21"/>
  <c r="E575" i="21"/>
  <c r="G574" i="21"/>
  <c r="H572" i="21"/>
  <c r="Q576" i="21"/>
  <c r="U574" i="21"/>
  <c r="X570" i="21"/>
  <c r="P573" i="21"/>
  <c r="K570" i="21"/>
  <c r="E574" i="21"/>
  <c r="Y577" i="21"/>
  <c r="G576" i="21"/>
  <c r="O570" i="21"/>
  <c r="AB573" i="21"/>
  <c r="Q574" i="21"/>
  <c r="B574" i="21"/>
  <c r="S572" i="21"/>
  <c r="P575" i="21"/>
  <c r="Y574" i="21"/>
  <c r="F573" i="21"/>
  <c r="N573" i="21"/>
  <c r="W572" i="21"/>
  <c r="AE574" i="21"/>
  <c r="AB574" i="21"/>
  <c r="AB575" i="21"/>
  <c r="U575" i="21"/>
  <c r="F574" i="21"/>
  <c r="AE577" i="21"/>
  <c r="Q571" i="21"/>
  <c r="F575" i="21"/>
  <c r="I574" i="21"/>
  <c r="P574" i="21"/>
  <c r="X574" i="21"/>
  <c r="W574" i="21"/>
  <c r="D571" i="21"/>
  <c r="H576" i="21"/>
  <c r="E572" i="21"/>
  <c r="Y575" i="21"/>
  <c r="T574" i="21"/>
  <c r="V576" i="21"/>
  <c r="I575" i="21"/>
  <c r="AD570" i="21"/>
  <c r="V571" i="21"/>
  <c r="L571" i="21"/>
  <c r="D575" i="21"/>
  <c r="F571" i="21"/>
  <c r="Z574" i="21"/>
  <c r="K574" i="21"/>
  <c r="AD577" i="21"/>
  <c r="AB572" i="21"/>
  <c r="I570" i="21"/>
  <c r="I572" i="21"/>
  <c r="W576" i="21"/>
  <c r="Z577" i="21"/>
  <c r="T577" i="21"/>
  <c r="B576" i="21"/>
  <c r="U577" i="21"/>
  <c r="X576" i="21"/>
  <c r="AE576" i="21"/>
  <c r="O577" i="21"/>
  <c r="S573" i="21"/>
  <c r="W571" i="21"/>
  <c r="I573" i="21"/>
  <c r="AB576" i="21"/>
  <c r="D572" i="21"/>
  <c r="X575" i="21"/>
  <c r="H571" i="21"/>
  <c r="L576" i="21"/>
  <c r="AA571" i="21"/>
  <c r="F576" i="21"/>
  <c r="U571" i="21"/>
  <c r="Y573" i="21"/>
  <c r="J572" i="21"/>
  <c r="AC575" i="21"/>
  <c r="N575" i="21"/>
  <c r="AC577" i="21"/>
  <c r="S570" i="21"/>
  <c r="J573" i="21"/>
  <c r="AC571" i="21"/>
  <c r="AE570" i="21"/>
  <c r="M571" i="21"/>
  <c r="B572" i="21"/>
  <c r="P571" i="21"/>
  <c r="U570" i="21"/>
  <c r="K576" i="21"/>
  <c r="AB577" i="21"/>
  <c r="S577" i="21"/>
  <c r="B573" i="21"/>
  <c r="AA576" i="21"/>
  <c r="U576" i="21"/>
  <c r="J577" i="21"/>
  <c r="Z575" i="21"/>
  <c r="M573" i="21"/>
  <c r="P577" i="21"/>
  <c r="J576" i="21"/>
  <c r="Z576" i="21"/>
  <c r="AA577" i="21"/>
  <c r="V572" i="21"/>
  <c r="AC572" i="21"/>
  <c r="G577" i="21"/>
  <c r="V574" i="21"/>
  <c r="G571" i="21"/>
  <c r="AE573" i="21"/>
  <c r="H570" i="21"/>
  <c r="V573" i="21"/>
  <c r="T572" i="21"/>
  <c r="O573" i="21"/>
  <c r="D574" i="21"/>
  <c r="X577" i="21"/>
  <c r="J570" i="21"/>
  <c r="M570" i="21"/>
  <c r="AA573" i="21"/>
  <c r="L573" i="21"/>
  <c r="M577" i="21"/>
  <c r="N577" i="21"/>
  <c r="T570" i="21"/>
  <c r="N576" i="21"/>
  <c r="J575" i="21"/>
  <c r="AD571" i="21"/>
  <c r="K573" i="21"/>
  <c r="V575" i="21"/>
  <c r="O575" i="21"/>
  <c r="E577" i="21"/>
  <c r="R570" i="21"/>
  <c r="Y576" i="21"/>
  <c r="Z571" i="21"/>
  <c r="L574" i="21"/>
  <c r="H573" i="21"/>
  <c r="L572" i="21"/>
  <c r="Y572" i="21"/>
  <c r="R576" i="21"/>
  <c r="E596" i="21"/>
  <c r="H597" i="21"/>
  <c r="B597" i="21"/>
  <c r="E597" i="21"/>
  <c r="H596" i="21"/>
  <c r="B598" i="21"/>
  <c r="B600" i="21"/>
  <c r="B596" i="21"/>
  <c r="B599" i="21"/>
  <c r="B601" i="21"/>
  <c r="W592" i="21" l="1"/>
  <c r="V592" i="21"/>
  <c r="P592" i="21"/>
  <c r="I592" i="21"/>
  <c r="J592" i="21"/>
  <c r="E592" i="21"/>
  <c r="F592" i="21"/>
  <c r="K605" i="21"/>
  <c r="X592" i="21"/>
  <c r="AD592" i="21"/>
  <c r="B592" i="21"/>
  <c r="G592" i="21"/>
  <c r="S592" i="21"/>
  <c r="AC592" i="21"/>
  <c r="L592" i="21"/>
  <c r="O592" i="21"/>
  <c r="K592" i="21"/>
  <c r="AB592" i="21"/>
  <c r="C592" i="21"/>
  <c r="L605" i="21"/>
  <c r="M592" i="21"/>
  <c r="Y592" i="21"/>
  <c r="N592" i="21"/>
  <c r="AE592" i="21"/>
  <c r="T592" i="21"/>
  <c r="Q592" i="21"/>
  <c r="D592" i="21"/>
  <c r="H592" i="21"/>
  <c r="N578" i="21"/>
  <c r="C578" i="21"/>
  <c r="H578" i="21"/>
  <c r="M578" i="21"/>
  <c r="I578" i="21"/>
  <c r="Q578" i="21"/>
  <c r="Z578" i="21"/>
  <c r="W578" i="21"/>
  <c r="D578" i="21"/>
  <c r="AA578" i="21"/>
  <c r="AD578" i="21"/>
  <c r="S578" i="21"/>
  <c r="F578" i="21"/>
  <c r="X578" i="21"/>
  <c r="R578" i="21"/>
  <c r="E578" i="21"/>
  <c r="G578" i="21"/>
  <c r="AE578" i="21"/>
  <c r="P578" i="21"/>
  <c r="B578" i="21"/>
  <c r="K578" i="21"/>
  <c r="AB578" i="21"/>
  <c r="U578" i="21"/>
  <c r="L578" i="21"/>
  <c r="O578" i="21"/>
  <c r="V578" i="21"/>
  <c r="J578" i="21"/>
  <c r="Y578" i="21"/>
  <c r="T578" i="21"/>
  <c r="AC578" i="21"/>
  <c r="H598" i="21"/>
  <c r="E598" i="21"/>
  <c r="B602" i="21"/>
  <c r="F13" i="3" l="1"/>
  <c r="F9" i="3" l="1"/>
  <c r="F10" i="3"/>
  <c r="C23" i="3"/>
  <c r="F12" i="3" s="1"/>
  <c r="K25" i="34"/>
</calcChain>
</file>

<file path=xl/sharedStrings.xml><?xml version="1.0" encoding="utf-8"?>
<sst xmlns="http://schemas.openxmlformats.org/spreadsheetml/2006/main" count="7826" uniqueCount="254">
  <si>
    <t>Order ID</t>
  </si>
  <si>
    <t>Date</t>
  </si>
  <si>
    <t>Sales</t>
  </si>
  <si>
    <t>New Party</t>
  </si>
  <si>
    <t>Route</t>
  </si>
  <si>
    <t>Party Code</t>
  </si>
  <si>
    <t>Party Name</t>
  </si>
  <si>
    <t>Area</t>
  </si>
  <si>
    <t>Size</t>
  </si>
  <si>
    <t>Qty</t>
  </si>
  <si>
    <t>Col</t>
  </si>
  <si>
    <t>Lay</t>
  </si>
  <si>
    <t>Rate</t>
  </si>
  <si>
    <t>Terms</t>
  </si>
  <si>
    <t>Site Delivery</t>
  </si>
  <si>
    <t>Remarks</t>
  </si>
  <si>
    <t>R1</t>
  </si>
  <si>
    <t>Y</t>
  </si>
  <si>
    <t>R5</t>
  </si>
  <si>
    <t>W</t>
  </si>
  <si>
    <t>4L</t>
  </si>
  <si>
    <t>R3</t>
  </si>
  <si>
    <t>3L</t>
  </si>
  <si>
    <t>ROUTE</t>
  </si>
  <si>
    <t>TOTAL</t>
  </si>
  <si>
    <t>ID</t>
  </si>
  <si>
    <t>FUM</t>
  </si>
  <si>
    <t>SIZE</t>
  </si>
  <si>
    <t>QTY.</t>
  </si>
  <si>
    <t>COL.</t>
  </si>
  <si>
    <t>LAY.</t>
  </si>
  <si>
    <t>LITERS</t>
  </si>
  <si>
    <t>B</t>
  </si>
  <si>
    <t>F</t>
  </si>
  <si>
    <t>5L</t>
  </si>
  <si>
    <t>P.CODE</t>
  </si>
  <si>
    <t>Ltrs</t>
  </si>
  <si>
    <t>VEHICLE NO. :</t>
  </si>
  <si>
    <t>R2</t>
  </si>
  <si>
    <t>R6</t>
  </si>
  <si>
    <t>R7</t>
  </si>
  <si>
    <t>R8</t>
  </si>
  <si>
    <t>AP</t>
  </si>
  <si>
    <t>Ball</t>
  </si>
  <si>
    <t>Dave</t>
  </si>
  <si>
    <t>Gaur</t>
  </si>
  <si>
    <t>Hass</t>
  </si>
  <si>
    <t>Hubli</t>
  </si>
  <si>
    <t>Kol</t>
  </si>
  <si>
    <t>Man</t>
  </si>
  <si>
    <t>Mancity</t>
  </si>
  <si>
    <t>Mang</t>
  </si>
  <si>
    <t>Shiv</t>
  </si>
  <si>
    <t>TN</t>
  </si>
  <si>
    <t>TMK</t>
  </si>
  <si>
    <t>Others</t>
  </si>
  <si>
    <t>ROUTE 1</t>
  </si>
  <si>
    <t>ROUTE 2</t>
  </si>
  <si>
    <t>ROUTE 3</t>
  </si>
  <si>
    <t>ROUTE 5</t>
  </si>
  <si>
    <t>ROUTE 6</t>
  </si>
  <si>
    <t>ROUTE 7</t>
  </si>
  <si>
    <t>ROUTE 8</t>
  </si>
  <si>
    <t>BALLARY</t>
  </si>
  <si>
    <t>DAVANGERE</t>
  </si>
  <si>
    <t>GAURIBIDANUR</t>
  </si>
  <si>
    <t>HASSAN</t>
  </si>
  <si>
    <t>HUBLI</t>
  </si>
  <si>
    <t>KOLLAR</t>
  </si>
  <si>
    <t>MANDYA</t>
  </si>
  <si>
    <t>MANDYA CITY</t>
  </si>
  <si>
    <t>MANGALORE</t>
  </si>
  <si>
    <t>SHIVMOGGA</t>
  </si>
  <si>
    <t>TUMKUR</t>
  </si>
  <si>
    <t>OTHERS</t>
  </si>
  <si>
    <t>LTRS.</t>
  </si>
  <si>
    <t>DATE:</t>
  </si>
  <si>
    <t>LOCAL</t>
  </si>
  <si>
    <t>OUTSTATION</t>
  </si>
  <si>
    <t>BANGALORE</t>
  </si>
  <si>
    <t>G</t>
  </si>
  <si>
    <t xml:space="preserve"> </t>
  </si>
  <si>
    <t>DATE</t>
  </si>
  <si>
    <t>TIME</t>
  </si>
  <si>
    <t>PURE</t>
  </si>
  <si>
    <t>DISPATCH DATE:</t>
  </si>
  <si>
    <t>TANKS</t>
  </si>
  <si>
    <t>RATE</t>
  </si>
  <si>
    <t>AMT</t>
  </si>
  <si>
    <t>LTRS</t>
  </si>
  <si>
    <t>No</t>
  </si>
  <si>
    <t>COD</t>
  </si>
  <si>
    <t>DISPATCH DATE</t>
  </si>
  <si>
    <t>PARTY NAME</t>
  </si>
  <si>
    <t>PARTY CODE</t>
  </si>
  <si>
    <t>AMOUNT RECD</t>
  </si>
  <si>
    <t>O.ID</t>
  </si>
  <si>
    <t>S.NO.</t>
  </si>
  <si>
    <t>CREDIT NOTE</t>
  </si>
  <si>
    <t>AMOUNT</t>
  </si>
  <si>
    <t>S.NO</t>
  </si>
  <si>
    <t xml:space="preserve">DATE:  </t>
  </si>
  <si>
    <t>QTY</t>
  </si>
  <si>
    <t>LAYER</t>
  </si>
  <si>
    <t>COLOUR</t>
  </si>
  <si>
    <t>PLASTIC BAGS</t>
  </si>
  <si>
    <t>TYPE</t>
  </si>
  <si>
    <t>REGULAR</t>
  </si>
  <si>
    <t>KHAKEE</t>
  </si>
  <si>
    <t>RATE PER NOS</t>
  </si>
  <si>
    <t>BAGS</t>
  </si>
  <si>
    <t>BILL(PLASTICON)</t>
  </si>
  <si>
    <t>KA05AM1875</t>
  </si>
  <si>
    <t>KA41C4059</t>
  </si>
  <si>
    <t>CASH RECEIPT</t>
  </si>
  <si>
    <t>KD</t>
  </si>
  <si>
    <t>VEHICLE NUMBER</t>
  </si>
  <si>
    <t>P.CODE :</t>
  </si>
  <si>
    <t>Pure</t>
  </si>
  <si>
    <t>BALL08</t>
  </si>
  <si>
    <t>KAVERI ELE/RAMPURA</t>
  </si>
  <si>
    <t>AP08</t>
  </si>
  <si>
    <t>PAWAN PUTRA AGENCY</t>
  </si>
  <si>
    <t>TIRUPATHI</t>
  </si>
  <si>
    <t>3L-0.50&amp;3000-0.60</t>
  </si>
  <si>
    <t>DAVE02</t>
  </si>
  <si>
    <t>SURYA SANITARY</t>
  </si>
  <si>
    <t>6L</t>
  </si>
  <si>
    <t>CAP</t>
  </si>
  <si>
    <t>7L</t>
  </si>
  <si>
    <t>LOFT</t>
  </si>
  <si>
    <t>UT</t>
  </si>
  <si>
    <t>HT</t>
  </si>
  <si>
    <t>Tank</t>
  </si>
  <si>
    <t>AG</t>
  </si>
  <si>
    <t>Loft</t>
  </si>
  <si>
    <t>TANK</t>
  </si>
  <si>
    <t>AP01</t>
  </si>
  <si>
    <t>AP02</t>
  </si>
  <si>
    <t>AP03</t>
  </si>
  <si>
    <t>AP04</t>
  </si>
  <si>
    <t>AP05</t>
  </si>
  <si>
    <t>AP06</t>
  </si>
  <si>
    <t>AP07</t>
  </si>
  <si>
    <t>AP09</t>
  </si>
  <si>
    <t>AP10</t>
  </si>
  <si>
    <t>PAWAN PUTRA AGENCY 1</t>
  </si>
  <si>
    <t>PAWAN PUTRA AGENCY 2</t>
  </si>
  <si>
    <t>PAWAN PUTRA AGENCY 3</t>
  </si>
  <si>
    <t>PAWAN PUTRA AGENCY 4</t>
  </si>
  <si>
    <t>PAWAN PUTRA AGENCY 5</t>
  </si>
  <si>
    <t>PAWAN PUTRA AGENCY 6</t>
  </si>
  <si>
    <t>PAWAN PUTRA AGENCY 7</t>
  </si>
  <si>
    <t>PAWAN PUTRA AGENCY 8</t>
  </si>
  <si>
    <t>PAWAN PUTRA AGENCY 9</t>
  </si>
  <si>
    <t>PAWAN PUTRA AGENCY 10</t>
  </si>
  <si>
    <t>TIRUPATHI 1</t>
  </si>
  <si>
    <t>TIRUPATHI 2</t>
  </si>
  <si>
    <t>TIRUPATHI 3</t>
  </si>
  <si>
    <t>TIRUPATHI 4</t>
  </si>
  <si>
    <t>TIRUPATHI 5</t>
  </si>
  <si>
    <t>TIRUPATHI 6</t>
  </si>
  <si>
    <t>TIRUPATHI 7</t>
  </si>
  <si>
    <t>TIRUPATHI 8</t>
  </si>
  <si>
    <t>TIRUPATHI 9</t>
  </si>
  <si>
    <t>TIRUPATHI 10</t>
  </si>
  <si>
    <t>P</t>
  </si>
  <si>
    <t>BR</t>
  </si>
  <si>
    <t>SHIV18</t>
  </si>
  <si>
    <t>Dhanlaxmi Hw</t>
  </si>
  <si>
    <t>Santebennur</t>
  </si>
  <si>
    <t>7 days</t>
  </si>
  <si>
    <t>RP</t>
  </si>
  <si>
    <t>BALL</t>
  </si>
  <si>
    <t>N R Ball 01</t>
  </si>
  <si>
    <t>Vishnu Agency</t>
  </si>
  <si>
    <t>Parasuramapura</t>
  </si>
  <si>
    <t>0.40 Cod</t>
  </si>
  <si>
    <t>Nagamangala</t>
  </si>
  <si>
    <t>Saraswati enterprise</t>
  </si>
  <si>
    <t>,3.50</t>
  </si>
  <si>
    <t>3.50 +50</t>
  </si>
  <si>
    <t>Kumta</t>
  </si>
  <si>
    <t>Raj granite</t>
  </si>
  <si>
    <t>Kustagi</t>
  </si>
  <si>
    <t>Pawan traders</t>
  </si>
  <si>
    <t>N R 199</t>
  </si>
  <si>
    <t>Mahalakshmi Ele&amp;Hw</t>
  </si>
  <si>
    <t>Doddaballapur</t>
  </si>
  <si>
    <t>R 101</t>
  </si>
  <si>
    <t>Balaji Hw&amp;Ele</t>
  </si>
  <si>
    <t>N R 110</t>
  </si>
  <si>
    <t>Raj Lakshmi Hw&amp;Ele</t>
  </si>
  <si>
    <t>Sadahalli</t>
  </si>
  <si>
    <t>MG</t>
  </si>
  <si>
    <t>Aditya enterprise</t>
  </si>
  <si>
    <t>Jakkur</t>
  </si>
  <si>
    <t>R 129</t>
  </si>
  <si>
    <t>Ramdev Ele&amp;Hw</t>
  </si>
  <si>
    <t>Bagalur</t>
  </si>
  <si>
    <t>N R 107</t>
  </si>
  <si>
    <t>Clty Hw&amp;Ele</t>
  </si>
  <si>
    <t>Hosahalli</t>
  </si>
  <si>
    <t>Ganga traders</t>
  </si>
  <si>
    <t>Boopsandra</t>
  </si>
  <si>
    <t>N R 112</t>
  </si>
  <si>
    <t>Jagdamba Hw/Ele</t>
  </si>
  <si>
    <t>Thammenahalli</t>
  </si>
  <si>
    <t>Sai Shiva traders</t>
  </si>
  <si>
    <t>Soladevanahalli</t>
  </si>
  <si>
    <t>R263</t>
  </si>
  <si>
    <t>Harsha hardware</t>
  </si>
  <si>
    <t>Doddagubi</t>
  </si>
  <si>
    <t>N M101</t>
  </si>
  <si>
    <t>Classic Hw/</t>
  </si>
  <si>
    <t>Doddagubbi</t>
  </si>
  <si>
    <t>D j Halli</t>
  </si>
  <si>
    <t>.40 cod</t>
  </si>
  <si>
    <t>R 232</t>
  </si>
  <si>
    <t>G K Trader</t>
  </si>
  <si>
    <t>K G Halli</t>
  </si>
  <si>
    <t>Sai ceramic</t>
  </si>
  <si>
    <t>T s Halli</t>
  </si>
  <si>
    <t>Laggere</t>
  </si>
  <si>
    <t>BR 301</t>
  </si>
  <si>
    <t>Mahendra Hw</t>
  </si>
  <si>
    <t>Bolare kanakpura mn road</t>
  </si>
  <si>
    <t>SB</t>
  </si>
  <si>
    <t>G721</t>
  </si>
  <si>
    <t>Ppsh/w&amp; paints</t>
  </si>
  <si>
    <t>Mysore road.guddadahalli</t>
  </si>
  <si>
    <t>9980475875.Aslam.guddadahalli.mysore road</t>
  </si>
  <si>
    <t>Pps h/w&amp;paints</t>
  </si>
  <si>
    <t>Gangondanahalli main road</t>
  </si>
  <si>
    <t>Lakshmi h/w</t>
  </si>
  <si>
    <t>Hegganahalli</t>
  </si>
  <si>
    <t>BR 704</t>
  </si>
  <si>
    <t>Mahaveer Hw</t>
  </si>
  <si>
    <t>Gollarahatti</t>
  </si>
  <si>
    <t>A/C</t>
  </si>
  <si>
    <t>EESHWARA ENT</t>
  </si>
  <si>
    <t>BOMMANAHALLI</t>
  </si>
  <si>
    <t>SITE DELIVERY</t>
  </si>
  <si>
    <t>Chikanayakanahalli</t>
  </si>
  <si>
    <t>Mylara traders</t>
  </si>
  <si>
    <t>N R Tmk 01</t>
  </si>
  <si>
    <t>Indian pipes&amp;Hw</t>
  </si>
  <si>
    <t>Tumkur</t>
  </si>
  <si>
    <t>ARKA GANGA</t>
  </si>
  <si>
    <t>NAMO GANGA</t>
  </si>
  <si>
    <t>CAP 16 INCH SINGLE LAYER</t>
  </si>
  <si>
    <t>CAP 16 INCH DOUBLE LAYER</t>
  </si>
  <si>
    <t>CAP 19 INCH</t>
  </si>
  <si>
    <t>3L-0.50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</si>
</sst>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dd/mm/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6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2">
    <xf numFmtId="0" fontId="0" fillId="0" borderId="0" xfId="0"/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0" fillId="0" borderId="3" xfId="0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0" fillId="0" borderId="3" xfId="0" applyBorder="1"/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8" fillId="0" borderId="3" xfId="0" applyFont="1" applyBorder="1"/>
    <xf numFmtId="0" fontId="9" fillId="0" borderId="3" xfId="0" applyFont="1" applyBorder="1"/>
    <xf numFmtId="164" fontId="8" fillId="0" borderId="3" xfId="0" applyNumberFormat="1" applyFont="1" applyBorder="1"/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wrapText="1"/>
    </xf>
    <xf numFmtId="164" fontId="0" fillId="0" borderId="0" xfId="0" applyNumberFormat="1"/>
    <xf numFmtId="0" fontId="3" fillId="3" borderId="1" xfId="0" applyFont="1" applyFill="1" applyBorder="1"/>
    <xf numFmtId="0" fontId="0" fillId="3" borderId="0" xfId="0" applyFill="1"/>
    <xf numFmtId="0" fontId="3" fillId="0" borderId="3" xfId="0" applyFont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2" fillId="0" borderId="2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right" wrapText="1"/>
    </xf>
    <xf numFmtId="0" fontId="3" fillId="0" borderId="1" xfId="0" applyFont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0" fontId="3" fillId="3" borderId="25" xfId="0" applyFont="1" applyFill="1" applyBorder="1"/>
    <xf numFmtId="0" fontId="2" fillId="3" borderId="3" xfId="0" applyFont="1" applyFill="1" applyBorder="1"/>
    <xf numFmtId="0" fontId="0" fillId="3" borderId="3" xfId="0" applyFill="1" applyBorder="1"/>
    <xf numFmtId="0" fontId="11" fillId="3" borderId="0" xfId="0" applyFont="1" applyFill="1"/>
    <xf numFmtId="0" fontId="2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11" fillId="0" borderId="0" xfId="0" applyFont="1"/>
    <xf numFmtId="0" fontId="10" fillId="0" borderId="1" xfId="0" applyFont="1" applyBorder="1" applyAlignment="1">
      <alignment horizontal="center"/>
    </xf>
    <xf numFmtId="0" fontId="2" fillId="0" borderId="23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4" fontId="0" fillId="0" borderId="3" xfId="1" applyNumberFormat="1" applyFont="1" applyBorder="1" applyAlignment="1">
      <alignment vertical="center"/>
    </xf>
    <xf numFmtId="0" fontId="2" fillId="0" borderId="27" xfId="0" applyFont="1" applyBorder="1" applyAlignment="1">
      <alignment horizontal="right" vertical="center"/>
    </xf>
    <xf numFmtId="43" fontId="0" fillId="0" borderId="3" xfId="1" applyFont="1" applyBorder="1" applyAlignment="1">
      <alignment vertical="center"/>
    </xf>
    <xf numFmtId="2" fontId="0" fillId="0" borderId="3" xfId="0" applyNumberFormat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14" fontId="2" fillId="0" borderId="28" xfId="0" applyNumberFormat="1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13" fillId="0" borderId="0" xfId="0" applyFont="1"/>
    <xf numFmtId="0" fontId="0" fillId="0" borderId="3" xfId="0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right" wrapText="1"/>
    </xf>
    <xf numFmtId="43" fontId="2" fillId="0" borderId="3" xfId="1" applyFont="1" applyBorder="1" applyAlignment="1">
      <alignment vertical="center"/>
    </xf>
    <xf numFmtId="0" fontId="4" fillId="0" borderId="25" xfId="0" applyFont="1" applyBorder="1" applyAlignment="1">
      <alignment horizontal="center"/>
    </xf>
    <xf numFmtId="164" fontId="0" fillId="3" borderId="3" xfId="1" applyNumberFormat="1" applyFont="1" applyFill="1" applyBorder="1"/>
    <xf numFmtId="0" fontId="2" fillId="0" borderId="48" xfId="0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right"/>
    </xf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0" fontId="15" fillId="0" borderId="12" xfId="0" applyFont="1" applyBorder="1" applyAlignment="1">
      <alignment horizontal="center" vertical="center"/>
    </xf>
    <xf numFmtId="165" fontId="15" fillId="0" borderId="11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164" fontId="16" fillId="0" borderId="6" xfId="1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164" fontId="16" fillId="0" borderId="7" xfId="1" applyNumberFormat="1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64" fontId="16" fillId="0" borderId="32" xfId="1" applyNumberFormat="1" applyFont="1" applyBorder="1" applyAlignment="1">
      <alignment horizontal="center" vertical="center"/>
    </xf>
    <xf numFmtId="164" fontId="15" fillId="0" borderId="0" xfId="1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6" fillId="0" borderId="13" xfId="0" applyNumberFormat="1" applyFont="1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7" fillId="0" borderId="0" xfId="0" applyFont="1"/>
    <xf numFmtId="0" fontId="17" fillId="0" borderId="3" xfId="0" applyFont="1" applyBorder="1"/>
    <xf numFmtId="0" fontId="11" fillId="0" borderId="3" xfId="0" applyFont="1" applyBorder="1"/>
    <xf numFmtId="14" fontId="2" fillId="0" borderId="0" xfId="0" applyNumberFormat="1" applyFont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36" xfId="0" applyNumberFormat="1" applyBorder="1" applyAlignment="1">
      <alignment horizontal="center"/>
    </xf>
    <xf numFmtId="14" fontId="0" fillId="0" borderId="37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14" fontId="15" fillId="0" borderId="47" xfId="0" applyNumberFormat="1" applyFont="1" applyBorder="1" applyAlignment="1">
      <alignment horizontal="center" vertical="center"/>
    </xf>
    <xf numFmtId="164" fontId="15" fillId="0" borderId="39" xfId="1" applyNumberFormat="1" applyFont="1" applyBorder="1" applyAlignment="1">
      <alignment horizontal="center" vertical="center"/>
    </xf>
    <xf numFmtId="164" fontId="15" fillId="0" borderId="40" xfId="1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164" fontId="15" fillId="0" borderId="24" xfId="1" applyNumberFormat="1" applyFont="1" applyBorder="1" applyAlignment="1">
      <alignment horizontal="center" vertical="center"/>
    </xf>
    <xf numFmtId="164" fontId="15" fillId="0" borderId="23" xfId="1" applyNumberFormat="1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15" fillId="0" borderId="53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left" vertical="center"/>
    </xf>
    <xf numFmtId="14" fontId="5" fillId="0" borderId="11" xfId="0" applyNumberFormat="1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14" fontId="2" fillId="0" borderId="27" xfId="0" applyNumberFormat="1" applyFont="1" applyBorder="1" applyAlignment="1">
      <alignment horizontal="center" vertical="center"/>
    </xf>
    <xf numFmtId="14" fontId="2" fillId="0" borderId="2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38" xfId="0" applyNumberFormat="1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3" fillId="0" borderId="3" xfId="0" applyFont="1" applyBorder="1" applyAlignment="1">
      <alignment horizontal="right" wrapText="1"/>
    </xf>
    <xf numFmtId="14" fontId="3" fillId="0" borderId="3" xfId="0" applyNumberFormat="1" applyFont="1" applyBorder="1" applyAlignment="1">
      <alignment horizontal="right" wrapText="1"/>
    </xf>
    <xf numFmtId="0" fontId="2" fillId="0" borderId="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59" xfId="0" applyBorder="1" applyAlignment="1">
      <alignment horizontal="center"/>
    </xf>
    <xf numFmtId="18" fontId="0" fillId="0" borderId="30" xfId="0" applyNumberFormat="1" applyBorder="1" applyAlignment="1">
      <alignment horizontal="center"/>
    </xf>
    <xf numFmtId="18" fontId="0" fillId="0" borderId="0" xfId="0" applyNumberForma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79"/>
  <sheetViews>
    <sheetView showZeros="0" tabSelected="1" topLeftCell="AJ1" zoomScaleNormal="100" workbookViewId="0">
      <selection activeCell="AV21" sqref="AV21"/>
    </sheetView>
  </sheetViews>
  <sheetFormatPr defaultColWidth="9.140625" defaultRowHeight="15" x14ac:dyDescent="0.25"/>
  <cols>
    <col min="1" max="1" width="9.140625" style="56"/>
    <col min="2" max="2" width="10.140625" style="56" bestFit="1" customWidth="1"/>
    <col min="3" max="5" width="9.140625" style="56"/>
    <col min="6" max="6" width="10.85546875" style="56" bestFit="1" customWidth="1"/>
    <col min="7" max="7" width="24.85546875" style="56" bestFit="1" customWidth="1"/>
    <col min="8" max="8" width="38" style="56" bestFit="1" customWidth="1"/>
    <col min="9" max="9" width="26.140625" style="56" bestFit="1" customWidth="1"/>
    <col min="10" max="10" width="5.85546875" style="56" bestFit="1" customWidth="1"/>
    <col min="11" max="11" width="5.42578125" style="56" bestFit="1" customWidth="1"/>
    <col min="12" max="12" width="4.5703125" style="56" bestFit="1" customWidth="1"/>
    <col min="13" max="14" width="6" style="56" bestFit="1" customWidth="1"/>
    <col min="15" max="15" width="5.140625" style="56" bestFit="1" customWidth="1"/>
    <col min="16" max="16" width="5.85546875" style="56" bestFit="1" customWidth="1"/>
    <col min="17" max="17" width="5.42578125" style="56" bestFit="1" customWidth="1"/>
    <col min="18" max="18" width="4.5703125" style="56" customWidth="1"/>
    <col min="19" max="20" width="6" style="56" bestFit="1" customWidth="1"/>
    <col min="21" max="21" width="5.140625" style="56" bestFit="1" customWidth="1"/>
    <col min="22" max="22" width="5.85546875" style="56" bestFit="1" customWidth="1"/>
    <col min="23" max="23" width="5.42578125" style="56" bestFit="1" customWidth="1"/>
    <col min="24" max="24" width="4.5703125" style="56" bestFit="1" customWidth="1"/>
    <col min="25" max="26" width="6" style="56" bestFit="1" customWidth="1"/>
    <col min="27" max="27" width="5.140625" style="56" bestFit="1" customWidth="1"/>
    <col min="28" max="28" width="5.85546875" style="56" bestFit="1" customWidth="1"/>
    <col min="29" max="29" width="5.42578125" style="56" bestFit="1" customWidth="1"/>
    <col min="30" max="30" width="4.5703125" style="56" bestFit="1" customWidth="1"/>
    <col min="31" max="32" width="6" style="56" bestFit="1" customWidth="1"/>
    <col min="33" max="33" width="5.140625" style="56" bestFit="1" customWidth="1"/>
    <col min="34" max="34" width="5.85546875" style="56" bestFit="1" customWidth="1"/>
    <col min="35" max="35" width="5.42578125" style="56" bestFit="1" customWidth="1"/>
    <col min="36" max="36" width="4.5703125" style="56" customWidth="1"/>
    <col min="37" max="38" width="6" style="56" bestFit="1" customWidth="1"/>
    <col min="39" max="39" width="5.140625" style="56" bestFit="1" customWidth="1"/>
    <col min="40" max="40" width="5.85546875" style="56" bestFit="1" customWidth="1"/>
    <col min="41" max="41" width="5.42578125" style="56" bestFit="1" customWidth="1"/>
    <col min="42" max="42" width="4.5703125" style="56" customWidth="1"/>
    <col min="43" max="44" width="6" style="56" bestFit="1" customWidth="1"/>
    <col min="45" max="45" width="5.140625" style="56" bestFit="1" customWidth="1"/>
    <col min="46" max="46" width="5.85546875" style="56" bestFit="1" customWidth="1"/>
    <col min="47" max="47" width="5.42578125" style="56" bestFit="1" customWidth="1"/>
    <col min="48" max="48" width="4.5703125" style="56" customWidth="1"/>
    <col min="49" max="50" width="6" style="56" bestFit="1" customWidth="1"/>
    <col min="51" max="51" width="5.140625" style="56" bestFit="1" customWidth="1"/>
    <col min="52" max="52" width="5.85546875" style="56" bestFit="1" customWidth="1"/>
    <col min="53" max="53" width="5.42578125" style="56" bestFit="1" customWidth="1"/>
    <col min="54" max="54" width="4.5703125" style="56" customWidth="1"/>
    <col min="55" max="56" width="6" style="56" bestFit="1" customWidth="1"/>
    <col min="57" max="57" width="5.140625" style="56" bestFit="1" customWidth="1"/>
    <col min="58" max="58" width="5.85546875" style="56" bestFit="1" customWidth="1"/>
    <col min="59" max="59" width="5.42578125" style="56" bestFit="1" customWidth="1"/>
    <col min="60" max="60" width="4.5703125" style="56" bestFit="1" customWidth="1"/>
    <col min="61" max="62" width="6" style="56" bestFit="1" customWidth="1"/>
    <col min="63" max="63" width="5.140625" style="56" bestFit="1" customWidth="1"/>
    <col min="64" max="64" width="6.85546875" style="56" bestFit="1" customWidth="1"/>
    <col min="65" max="65" width="6.42578125" style="56" bestFit="1" customWidth="1"/>
    <col min="66" max="66" width="5.5703125" style="56" bestFit="1" customWidth="1"/>
    <col min="67" max="68" width="7" style="56" bestFit="1" customWidth="1"/>
    <col min="69" max="69" width="6.140625" style="56" bestFit="1" customWidth="1"/>
    <col min="70" max="70" width="6.5703125" style="56" bestFit="1" customWidth="1"/>
    <col min="71" max="71" width="12.5703125" style="56" bestFit="1" customWidth="1"/>
    <col min="72" max="16384" width="9.140625" style="56"/>
  </cols>
  <sheetData>
    <row r="1" spans="1:72" s="107" customFormat="1" ht="16.5" customHeight="1" x14ac:dyDescent="0.25">
      <c r="A1" s="108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  <c r="G1" s="108" t="s">
        <v>6</v>
      </c>
      <c r="H1" s="108" t="s">
        <v>7</v>
      </c>
      <c r="I1" s="108" t="s">
        <v>15</v>
      </c>
      <c r="J1" s="108" t="s">
        <v>133</v>
      </c>
      <c r="K1" s="108" t="s">
        <v>8</v>
      </c>
      <c r="L1" s="108" t="s">
        <v>9</v>
      </c>
      <c r="M1" s="108" t="s">
        <v>10</v>
      </c>
      <c r="N1" s="108" t="s">
        <v>11</v>
      </c>
      <c r="O1" s="108" t="s">
        <v>12</v>
      </c>
      <c r="P1" s="108" t="s">
        <v>133</v>
      </c>
      <c r="Q1" s="108" t="s">
        <v>8</v>
      </c>
      <c r="R1" s="108" t="s">
        <v>9</v>
      </c>
      <c r="S1" s="108" t="s">
        <v>10</v>
      </c>
      <c r="T1" s="108" t="s">
        <v>11</v>
      </c>
      <c r="U1" s="108" t="s">
        <v>12</v>
      </c>
      <c r="V1" s="108" t="s">
        <v>133</v>
      </c>
      <c r="W1" s="108" t="s">
        <v>8</v>
      </c>
      <c r="X1" s="108" t="s">
        <v>9</v>
      </c>
      <c r="Y1" s="108" t="s">
        <v>10</v>
      </c>
      <c r="Z1" s="108" t="s">
        <v>11</v>
      </c>
      <c r="AA1" s="108" t="s">
        <v>12</v>
      </c>
      <c r="AB1" s="108" t="s">
        <v>133</v>
      </c>
      <c r="AC1" s="108" t="s">
        <v>8</v>
      </c>
      <c r="AD1" s="108" t="s">
        <v>9</v>
      </c>
      <c r="AE1" s="108" t="s">
        <v>10</v>
      </c>
      <c r="AF1" s="108" t="s">
        <v>11</v>
      </c>
      <c r="AG1" s="108" t="s">
        <v>12</v>
      </c>
      <c r="AH1" s="108" t="s">
        <v>133</v>
      </c>
      <c r="AI1" s="108" t="s">
        <v>8</v>
      </c>
      <c r="AJ1" s="108" t="s">
        <v>9</v>
      </c>
      <c r="AK1" s="108" t="s">
        <v>10</v>
      </c>
      <c r="AL1" s="108" t="s">
        <v>11</v>
      </c>
      <c r="AM1" s="108" t="s">
        <v>12</v>
      </c>
      <c r="AN1" s="108" t="s">
        <v>133</v>
      </c>
      <c r="AO1" s="108" t="s">
        <v>8</v>
      </c>
      <c r="AP1" s="108" t="s">
        <v>9</v>
      </c>
      <c r="AQ1" s="108" t="s">
        <v>10</v>
      </c>
      <c r="AR1" s="108" t="s">
        <v>11</v>
      </c>
      <c r="AS1" s="108" t="s">
        <v>12</v>
      </c>
      <c r="AT1" s="108" t="s">
        <v>133</v>
      </c>
      <c r="AU1" s="108" t="s">
        <v>8</v>
      </c>
      <c r="AV1" s="108" t="s">
        <v>9</v>
      </c>
      <c r="AW1" s="108" t="s">
        <v>10</v>
      </c>
      <c r="AX1" s="108" t="s">
        <v>11</v>
      </c>
      <c r="AY1" s="108" t="s">
        <v>12</v>
      </c>
      <c r="AZ1" s="108" t="s">
        <v>133</v>
      </c>
      <c r="BA1" s="108" t="s">
        <v>8</v>
      </c>
      <c r="BB1" s="108" t="s">
        <v>9</v>
      </c>
      <c r="BC1" s="108" t="s">
        <v>10</v>
      </c>
      <c r="BD1" s="108" t="s">
        <v>11</v>
      </c>
      <c r="BE1" s="108" t="s">
        <v>12</v>
      </c>
      <c r="BF1" s="108" t="s">
        <v>133</v>
      </c>
      <c r="BG1" s="108" t="s">
        <v>8</v>
      </c>
      <c r="BH1" s="108" t="s">
        <v>9</v>
      </c>
      <c r="BI1" s="108" t="s">
        <v>10</v>
      </c>
      <c r="BJ1" s="108" t="s">
        <v>11</v>
      </c>
      <c r="BK1" s="108" t="s">
        <v>12</v>
      </c>
      <c r="BL1" s="108" t="s">
        <v>133</v>
      </c>
      <c r="BM1" s="108" t="s">
        <v>8</v>
      </c>
      <c r="BN1" s="108" t="s">
        <v>9</v>
      </c>
      <c r="BO1" s="108" t="s">
        <v>10</v>
      </c>
      <c r="BP1" s="108" t="s">
        <v>11</v>
      </c>
      <c r="BQ1" s="108" t="s">
        <v>12</v>
      </c>
      <c r="BR1" s="108" t="s">
        <v>13</v>
      </c>
      <c r="BS1" s="108" t="s">
        <v>14</v>
      </c>
      <c r="BT1" s="108" t="e">
        <f>K1*L1+Q1*R1+W1*X1+AC1*AD1+AI1*AJ1+AO1*AP1+AU1*AV1+BA1*BB1+BG1*BH1+BM1*BN1</f>
        <v>#VALUE!</v>
      </c>
    </row>
    <row r="2" spans="1:72" x14ac:dyDescent="0.25">
      <c r="A2" s="109">
        <v>21175</v>
      </c>
      <c r="B2" s="109">
        <v>46020</v>
      </c>
      <c r="C2" s="109" t="s">
        <v>167</v>
      </c>
      <c r="D2" s="109" t="s">
        <v>90</v>
      </c>
      <c r="E2" s="109" t="s">
        <v>44</v>
      </c>
      <c r="F2" s="109" t="s">
        <v>168</v>
      </c>
      <c r="G2" s="109" t="s">
        <v>169</v>
      </c>
      <c r="H2" s="109" t="s">
        <v>170</v>
      </c>
      <c r="I2" s="109"/>
      <c r="J2" s="109" t="s">
        <v>134</v>
      </c>
      <c r="K2" s="109">
        <v>500</v>
      </c>
      <c r="L2" s="109">
        <v>2</v>
      </c>
      <c r="M2" s="109" t="s">
        <v>17</v>
      </c>
      <c r="N2" s="109" t="s">
        <v>22</v>
      </c>
      <c r="O2" s="109">
        <v>4.2</v>
      </c>
      <c r="P2" s="109" t="s">
        <v>134</v>
      </c>
      <c r="Q2" s="109">
        <v>500</v>
      </c>
      <c r="R2" s="109">
        <v>2</v>
      </c>
      <c r="S2" s="109" t="s">
        <v>19</v>
      </c>
      <c r="T2" s="109" t="s">
        <v>22</v>
      </c>
      <c r="U2" s="109">
        <v>4.2</v>
      </c>
      <c r="V2" s="109" t="s">
        <v>134</v>
      </c>
      <c r="W2" s="109">
        <v>750</v>
      </c>
      <c r="X2" s="109">
        <v>2</v>
      </c>
      <c r="Y2" s="109" t="s">
        <v>19</v>
      </c>
      <c r="Z2" s="109" t="s">
        <v>22</v>
      </c>
      <c r="AA2" s="109">
        <v>4.2</v>
      </c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  <c r="BL2" s="109"/>
      <c r="BM2" s="109"/>
      <c r="BN2" s="109"/>
      <c r="BO2" s="109"/>
      <c r="BP2" s="109"/>
      <c r="BQ2" s="109"/>
      <c r="BR2" s="109" t="s">
        <v>171</v>
      </c>
      <c r="BS2" s="109"/>
      <c r="BT2" s="108">
        <f t="shared" ref="BT2:BT29" si="0">K2*L2+Q2*R2+W2*X2+AC2*AD2+AI2*AJ2+AO2*AP2+AU2*AV2+BA2*BB2+BG2*BH2+BM2*BN2</f>
        <v>3500</v>
      </c>
    </row>
    <row r="3" spans="1:72" x14ac:dyDescent="0.25">
      <c r="A3" s="109">
        <v>21225</v>
      </c>
      <c r="B3" s="109">
        <v>46023</v>
      </c>
      <c r="C3" s="109" t="s">
        <v>172</v>
      </c>
      <c r="D3" s="109" t="s">
        <v>90</v>
      </c>
      <c r="E3" s="109" t="s">
        <v>173</v>
      </c>
      <c r="F3" s="109" t="s">
        <v>174</v>
      </c>
      <c r="G3" s="109" t="s">
        <v>175</v>
      </c>
      <c r="H3" s="109" t="s">
        <v>176</v>
      </c>
      <c r="I3" s="109" t="s">
        <v>177</v>
      </c>
      <c r="J3" s="109" t="s">
        <v>134</v>
      </c>
      <c r="K3" s="109">
        <v>500</v>
      </c>
      <c r="L3" s="109">
        <v>5</v>
      </c>
      <c r="M3" s="109" t="s">
        <v>17</v>
      </c>
      <c r="N3" s="109" t="s">
        <v>22</v>
      </c>
      <c r="O3" s="109">
        <v>3.6</v>
      </c>
      <c r="P3" s="109" t="s">
        <v>134</v>
      </c>
      <c r="Q3" s="109">
        <v>500</v>
      </c>
      <c r="R3" s="109">
        <v>5</v>
      </c>
      <c r="S3" s="109" t="s">
        <v>19</v>
      </c>
      <c r="T3" s="109" t="s">
        <v>22</v>
      </c>
      <c r="U3" s="109">
        <v>3.6</v>
      </c>
      <c r="V3" s="109" t="s">
        <v>134</v>
      </c>
      <c r="W3" s="109">
        <v>750</v>
      </c>
      <c r="X3" s="109">
        <v>3</v>
      </c>
      <c r="Y3" s="109" t="s">
        <v>19</v>
      </c>
      <c r="Z3" s="109" t="s">
        <v>22</v>
      </c>
      <c r="AA3" s="109">
        <v>3.6</v>
      </c>
      <c r="AB3" s="109" t="s">
        <v>134</v>
      </c>
      <c r="AC3" s="109">
        <v>750</v>
      </c>
      <c r="AD3" s="109">
        <v>3</v>
      </c>
      <c r="AE3" s="109" t="s">
        <v>17</v>
      </c>
      <c r="AF3" s="109" t="s">
        <v>22</v>
      </c>
      <c r="AG3" s="109">
        <v>3.6</v>
      </c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 t="s">
        <v>171</v>
      </c>
      <c r="BS3" s="109"/>
      <c r="BT3" s="108">
        <f t="shared" si="0"/>
        <v>9500</v>
      </c>
    </row>
    <row r="4" spans="1:72" ht="18.75" customHeight="1" x14ac:dyDescent="0.25">
      <c r="A4" s="109">
        <v>21223</v>
      </c>
      <c r="B4" s="109">
        <v>46022</v>
      </c>
      <c r="C4" s="109" t="s">
        <v>167</v>
      </c>
      <c r="D4" s="109" t="s">
        <v>90</v>
      </c>
      <c r="E4" s="109" t="s">
        <v>46</v>
      </c>
      <c r="F4" s="109" t="s">
        <v>178</v>
      </c>
      <c r="G4" s="109" t="s">
        <v>179</v>
      </c>
      <c r="H4" s="109" t="s">
        <v>178</v>
      </c>
      <c r="I4" s="109"/>
      <c r="J4" s="109" t="s">
        <v>134</v>
      </c>
      <c r="K4" s="109">
        <v>1000</v>
      </c>
      <c r="L4" s="109">
        <v>3</v>
      </c>
      <c r="M4" s="109" t="s">
        <v>19</v>
      </c>
      <c r="N4" s="109" t="s">
        <v>22</v>
      </c>
      <c r="O4" s="109">
        <v>3.5</v>
      </c>
      <c r="P4" s="109" t="s">
        <v>134</v>
      </c>
      <c r="Q4" s="109">
        <v>500</v>
      </c>
      <c r="R4" s="109">
        <v>2</v>
      </c>
      <c r="S4" s="109" t="s">
        <v>19</v>
      </c>
      <c r="T4" s="109" t="s">
        <v>22</v>
      </c>
      <c r="U4" s="109">
        <v>3.5</v>
      </c>
      <c r="V4" s="109" t="s">
        <v>134</v>
      </c>
      <c r="W4" s="109">
        <v>1500</v>
      </c>
      <c r="X4" s="109">
        <v>1</v>
      </c>
      <c r="Y4" s="109" t="s">
        <v>19</v>
      </c>
      <c r="Z4" s="109" t="s">
        <v>22</v>
      </c>
      <c r="AA4" s="109" t="s">
        <v>180</v>
      </c>
      <c r="AB4" s="109" t="s">
        <v>134</v>
      </c>
      <c r="AC4" s="109">
        <v>2000</v>
      </c>
      <c r="AD4" s="109">
        <v>1</v>
      </c>
      <c r="AE4" s="109" t="s">
        <v>19</v>
      </c>
      <c r="AF4" s="109" t="s">
        <v>22</v>
      </c>
      <c r="AG4" s="109">
        <v>3.5</v>
      </c>
      <c r="AH4" s="109" t="s">
        <v>134</v>
      </c>
      <c r="AI4" s="109">
        <v>1000</v>
      </c>
      <c r="AJ4" s="109">
        <v>2</v>
      </c>
      <c r="AK4" s="109" t="s">
        <v>17</v>
      </c>
      <c r="AL4" s="109" t="s">
        <v>22</v>
      </c>
      <c r="AM4" s="109">
        <v>3.5</v>
      </c>
      <c r="AN4" s="109" t="s">
        <v>134</v>
      </c>
      <c r="AO4" s="109">
        <v>500</v>
      </c>
      <c r="AP4" s="109">
        <v>3</v>
      </c>
      <c r="AQ4" s="109" t="s">
        <v>17</v>
      </c>
      <c r="AR4" s="109" t="s">
        <v>22</v>
      </c>
      <c r="AS4" s="109">
        <v>3.5</v>
      </c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 t="s">
        <v>91</v>
      </c>
      <c r="BS4" s="109" t="s">
        <v>181</v>
      </c>
      <c r="BT4" s="108">
        <f t="shared" si="0"/>
        <v>11000</v>
      </c>
    </row>
    <row r="5" spans="1:72" ht="17.45" customHeight="1" x14ac:dyDescent="0.25">
      <c r="A5" s="109">
        <v>21178</v>
      </c>
      <c r="B5" s="109">
        <v>46021</v>
      </c>
      <c r="C5" s="109" t="s">
        <v>167</v>
      </c>
      <c r="D5" s="109" t="s">
        <v>90</v>
      </c>
      <c r="E5" s="109" t="s">
        <v>47</v>
      </c>
      <c r="F5" s="109" t="s">
        <v>182</v>
      </c>
      <c r="G5" s="109" t="s">
        <v>183</v>
      </c>
      <c r="H5" s="109" t="s">
        <v>182</v>
      </c>
      <c r="I5" s="109"/>
      <c r="J5" s="109" t="s">
        <v>134</v>
      </c>
      <c r="K5" s="109">
        <v>1000</v>
      </c>
      <c r="L5" s="109">
        <v>10</v>
      </c>
      <c r="M5" s="109" t="s">
        <v>17</v>
      </c>
      <c r="N5" s="109" t="s">
        <v>22</v>
      </c>
      <c r="O5" s="109">
        <v>3.8</v>
      </c>
      <c r="P5" s="109" t="s">
        <v>134</v>
      </c>
      <c r="Q5" s="109">
        <v>1000</v>
      </c>
      <c r="R5" s="109">
        <v>8</v>
      </c>
      <c r="S5" s="109" t="s">
        <v>33</v>
      </c>
      <c r="T5" s="109" t="s">
        <v>22</v>
      </c>
      <c r="U5" s="109">
        <v>3.8</v>
      </c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 t="s">
        <v>91</v>
      </c>
      <c r="BS5" s="109"/>
      <c r="BT5" s="108">
        <f t="shared" si="0"/>
        <v>18000</v>
      </c>
    </row>
    <row r="6" spans="1:72" ht="15.75" customHeight="1" x14ac:dyDescent="0.25">
      <c r="A6" s="109">
        <v>21185</v>
      </c>
      <c r="B6" s="109">
        <v>46021</v>
      </c>
      <c r="C6" s="109" t="s">
        <v>167</v>
      </c>
      <c r="D6" s="109" t="s">
        <v>90</v>
      </c>
      <c r="E6" s="109" t="s">
        <v>47</v>
      </c>
      <c r="F6" s="109" t="s">
        <v>184</v>
      </c>
      <c r="G6" s="109" t="s">
        <v>185</v>
      </c>
      <c r="H6" s="109" t="s">
        <v>184</v>
      </c>
      <c r="I6" s="109"/>
      <c r="J6" s="109" t="s">
        <v>134</v>
      </c>
      <c r="K6" s="109">
        <v>750</v>
      </c>
      <c r="L6" s="109">
        <v>10</v>
      </c>
      <c r="M6" s="109" t="s">
        <v>17</v>
      </c>
      <c r="N6" s="109" t="s">
        <v>22</v>
      </c>
      <c r="O6" s="109">
        <v>3.8</v>
      </c>
      <c r="P6" s="109" t="s">
        <v>134</v>
      </c>
      <c r="Q6" s="109">
        <v>1000</v>
      </c>
      <c r="R6" s="109">
        <v>10</v>
      </c>
      <c r="S6" s="109" t="s">
        <v>17</v>
      </c>
      <c r="T6" s="109" t="s">
        <v>22</v>
      </c>
      <c r="U6" s="109">
        <v>3.8</v>
      </c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 t="s">
        <v>91</v>
      </c>
      <c r="BS6" s="109"/>
      <c r="BT6" s="108">
        <f t="shared" si="0"/>
        <v>17500</v>
      </c>
    </row>
    <row r="7" spans="1:72" x14ac:dyDescent="0.25">
      <c r="A7" s="109">
        <v>21226</v>
      </c>
      <c r="B7" s="109">
        <v>46023</v>
      </c>
      <c r="C7" s="109" t="s">
        <v>172</v>
      </c>
      <c r="D7" s="109" t="s">
        <v>90</v>
      </c>
      <c r="E7" s="109" t="s">
        <v>16</v>
      </c>
      <c r="F7" s="109" t="s">
        <v>186</v>
      </c>
      <c r="G7" s="109" t="s">
        <v>187</v>
      </c>
      <c r="H7" s="109" t="s">
        <v>188</v>
      </c>
      <c r="I7" s="109"/>
      <c r="J7" s="109" t="s">
        <v>134</v>
      </c>
      <c r="K7" s="109">
        <v>1000</v>
      </c>
      <c r="L7" s="109">
        <v>2</v>
      </c>
      <c r="M7" s="109" t="s">
        <v>19</v>
      </c>
      <c r="N7" s="109" t="s">
        <v>22</v>
      </c>
      <c r="O7" s="109">
        <v>4.3</v>
      </c>
      <c r="P7" s="109" t="s">
        <v>134</v>
      </c>
      <c r="Q7" s="109">
        <v>1000</v>
      </c>
      <c r="R7" s="109">
        <v>1</v>
      </c>
      <c r="S7" s="109" t="s">
        <v>17</v>
      </c>
      <c r="T7" s="109" t="s">
        <v>22</v>
      </c>
      <c r="U7" s="109">
        <v>4.3</v>
      </c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 t="s">
        <v>171</v>
      </c>
      <c r="BS7" s="109"/>
      <c r="BT7" s="108">
        <f t="shared" si="0"/>
        <v>3000</v>
      </c>
    </row>
    <row r="8" spans="1:72" x14ac:dyDescent="0.25">
      <c r="A8" s="109">
        <v>21227</v>
      </c>
      <c r="B8" s="109">
        <v>46023</v>
      </c>
      <c r="C8" s="109" t="s">
        <v>172</v>
      </c>
      <c r="D8" s="109" t="s">
        <v>90</v>
      </c>
      <c r="E8" s="109" t="s">
        <v>16</v>
      </c>
      <c r="F8" s="109" t="s">
        <v>189</v>
      </c>
      <c r="G8" s="109" t="s">
        <v>190</v>
      </c>
      <c r="H8" s="109" t="s">
        <v>188</v>
      </c>
      <c r="I8" s="109" t="s">
        <v>177</v>
      </c>
      <c r="J8" s="109" t="s">
        <v>134</v>
      </c>
      <c r="K8" s="109">
        <v>1500</v>
      </c>
      <c r="L8" s="109">
        <v>1</v>
      </c>
      <c r="M8" s="109" t="s">
        <v>17</v>
      </c>
      <c r="N8" s="109" t="s">
        <v>22</v>
      </c>
      <c r="O8" s="109">
        <v>3.7</v>
      </c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 t="s">
        <v>171</v>
      </c>
      <c r="BS8" s="109">
        <v>8867438103</v>
      </c>
      <c r="BT8" s="108">
        <f t="shared" si="0"/>
        <v>1500</v>
      </c>
    </row>
    <row r="9" spans="1:72" ht="15" customHeight="1" x14ac:dyDescent="0.25">
      <c r="A9" s="109">
        <v>21228</v>
      </c>
      <c r="B9" s="109">
        <v>46023</v>
      </c>
      <c r="C9" s="109" t="s">
        <v>172</v>
      </c>
      <c r="D9" s="109" t="s">
        <v>90</v>
      </c>
      <c r="E9" s="109" t="s">
        <v>16</v>
      </c>
      <c r="F9" s="109" t="s">
        <v>191</v>
      </c>
      <c r="G9" s="109" t="s">
        <v>192</v>
      </c>
      <c r="H9" s="109" t="s">
        <v>193</v>
      </c>
      <c r="I9" s="109" t="s">
        <v>177</v>
      </c>
      <c r="J9" s="109" t="s">
        <v>134</v>
      </c>
      <c r="K9" s="109">
        <v>1000</v>
      </c>
      <c r="L9" s="109">
        <v>1</v>
      </c>
      <c r="M9" s="109" t="s">
        <v>17</v>
      </c>
      <c r="N9" s="109" t="s">
        <v>22</v>
      </c>
      <c r="O9" s="109">
        <v>3.7</v>
      </c>
      <c r="P9" s="109" t="s">
        <v>134</v>
      </c>
      <c r="Q9" s="109">
        <v>500</v>
      </c>
      <c r="R9" s="109">
        <v>1</v>
      </c>
      <c r="S9" s="109" t="s">
        <v>17</v>
      </c>
      <c r="T9" s="109" t="s">
        <v>22</v>
      </c>
      <c r="U9" s="109">
        <v>3.7</v>
      </c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 t="s">
        <v>171</v>
      </c>
      <c r="BS9" s="109"/>
      <c r="BT9" s="108">
        <f t="shared" si="0"/>
        <v>1500</v>
      </c>
    </row>
    <row r="10" spans="1:72" x14ac:dyDescent="0.25">
      <c r="A10" s="109">
        <v>21232</v>
      </c>
      <c r="B10" s="109">
        <v>46023</v>
      </c>
      <c r="C10" s="109" t="s">
        <v>194</v>
      </c>
      <c r="D10" s="109" t="s">
        <v>90</v>
      </c>
      <c r="E10" s="109" t="s">
        <v>16</v>
      </c>
      <c r="F10" s="109">
        <v>218</v>
      </c>
      <c r="G10" s="109" t="s">
        <v>195</v>
      </c>
      <c r="H10" s="109" t="s">
        <v>196</v>
      </c>
      <c r="I10" s="109"/>
      <c r="J10" s="109" t="s">
        <v>134</v>
      </c>
      <c r="K10" s="109">
        <v>1500</v>
      </c>
      <c r="L10" s="109">
        <v>1</v>
      </c>
      <c r="M10" s="109" t="s">
        <v>17</v>
      </c>
      <c r="N10" s="109" t="s">
        <v>22</v>
      </c>
      <c r="O10" s="109">
        <v>4.2</v>
      </c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 t="s">
        <v>171</v>
      </c>
      <c r="BS10" s="109"/>
      <c r="BT10" s="108">
        <f t="shared" si="0"/>
        <v>1500</v>
      </c>
    </row>
    <row r="11" spans="1:72" x14ac:dyDescent="0.25">
      <c r="A11" s="109">
        <v>21233</v>
      </c>
      <c r="B11" s="109">
        <v>46023</v>
      </c>
      <c r="C11" s="109" t="s">
        <v>172</v>
      </c>
      <c r="D11" s="109" t="s">
        <v>90</v>
      </c>
      <c r="E11" s="109" t="s">
        <v>16</v>
      </c>
      <c r="F11" s="109" t="s">
        <v>197</v>
      </c>
      <c r="G11" s="109" t="s">
        <v>198</v>
      </c>
      <c r="H11" s="109" t="s">
        <v>199</v>
      </c>
      <c r="I11" s="109" t="s">
        <v>177</v>
      </c>
      <c r="J11" s="109" t="s">
        <v>134</v>
      </c>
      <c r="K11" s="109">
        <v>1000</v>
      </c>
      <c r="L11" s="109">
        <v>1</v>
      </c>
      <c r="M11" s="109" t="s">
        <v>17</v>
      </c>
      <c r="N11" s="109" t="s">
        <v>22</v>
      </c>
      <c r="O11" s="109">
        <v>3.7</v>
      </c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 t="s">
        <v>171</v>
      </c>
      <c r="BS11" s="109"/>
      <c r="BT11" s="108">
        <f t="shared" si="0"/>
        <v>1000</v>
      </c>
    </row>
    <row r="12" spans="1:72" x14ac:dyDescent="0.25">
      <c r="A12" s="109">
        <v>21234</v>
      </c>
      <c r="B12" s="109">
        <v>46023</v>
      </c>
      <c r="C12" s="109" t="s">
        <v>172</v>
      </c>
      <c r="D12" s="109" t="s">
        <v>90</v>
      </c>
      <c r="E12" s="109" t="s">
        <v>16</v>
      </c>
      <c r="F12" s="109" t="s">
        <v>200</v>
      </c>
      <c r="G12" s="109" t="s">
        <v>201</v>
      </c>
      <c r="H12" s="109" t="s">
        <v>202</v>
      </c>
      <c r="I12" s="109" t="s">
        <v>177</v>
      </c>
      <c r="J12" s="109" t="s">
        <v>134</v>
      </c>
      <c r="K12" s="109">
        <v>1000</v>
      </c>
      <c r="L12" s="109">
        <v>2</v>
      </c>
      <c r="M12" s="109" t="s">
        <v>17</v>
      </c>
      <c r="N12" s="109" t="s">
        <v>22</v>
      </c>
      <c r="O12" s="109">
        <v>3.7</v>
      </c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 t="s">
        <v>171</v>
      </c>
      <c r="BS12" s="109"/>
      <c r="BT12" s="108">
        <f t="shared" si="0"/>
        <v>2000</v>
      </c>
    </row>
    <row r="13" spans="1:72" ht="17.45" customHeight="1" x14ac:dyDescent="0.25">
      <c r="A13" s="109">
        <v>21235</v>
      </c>
      <c r="B13" s="109">
        <v>46024</v>
      </c>
      <c r="C13" s="109" t="s">
        <v>167</v>
      </c>
      <c r="D13" s="109" t="s">
        <v>90</v>
      </c>
      <c r="E13" s="109" t="s">
        <v>16</v>
      </c>
      <c r="F13" s="109">
        <v>137</v>
      </c>
      <c r="G13" s="109" t="s">
        <v>203</v>
      </c>
      <c r="H13" s="109" t="s">
        <v>204</v>
      </c>
      <c r="I13" s="109"/>
      <c r="J13" s="109" t="s">
        <v>134</v>
      </c>
      <c r="K13" s="109">
        <v>1000</v>
      </c>
      <c r="L13" s="109">
        <v>1</v>
      </c>
      <c r="M13" s="109" t="s">
        <v>17</v>
      </c>
      <c r="N13" s="109" t="s">
        <v>22</v>
      </c>
      <c r="O13" s="109">
        <v>4.2</v>
      </c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 t="s">
        <v>91</v>
      </c>
      <c r="BS13" s="109"/>
      <c r="BT13" s="108">
        <f t="shared" si="0"/>
        <v>1000</v>
      </c>
    </row>
    <row r="14" spans="1:72" x14ac:dyDescent="0.25">
      <c r="A14" s="109">
        <v>21219</v>
      </c>
      <c r="B14" s="109">
        <v>46022</v>
      </c>
      <c r="C14" s="109" t="s">
        <v>172</v>
      </c>
      <c r="D14" s="109" t="s">
        <v>90</v>
      </c>
      <c r="E14" s="109" t="s">
        <v>16</v>
      </c>
      <c r="F14" s="109" t="s">
        <v>205</v>
      </c>
      <c r="G14" s="109" t="s">
        <v>206</v>
      </c>
      <c r="H14" s="109" t="s">
        <v>207</v>
      </c>
      <c r="I14" s="109"/>
      <c r="J14" s="109" t="s">
        <v>134</v>
      </c>
      <c r="K14" s="109">
        <v>1000</v>
      </c>
      <c r="L14" s="109">
        <v>2</v>
      </c>
      <c r="M14" s="109" t="s">
        <v>19</v>
      </c>
      <c r="N14" s="109" t="s">
        <v>34</v>
      </c>
      <c r="O14" s="109">
        <v>5.2</v>
      </c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 t="s">
        <v>171</v>
      </c>
      <c r="BS14" s="109">
        <v>9606138634</v>
      </c>
      <c r="BT14" s="108">
        <f t="shared" si="0"/>
        <v>2000</v>
      </c>
    </row>
    <row r="15" spans="1:72" x14ac:dyDescent="0.25">
      <c r="A15" s="109">
        <v>21241</v>
      </c>
      <c r="B15" s="109">
        <v>46024</v>
      </c>
      <c r="C15" s="109" t="s">
        <v>194</v>
      </c>
      <c r="D15" s="109" t="s">
        <v>90</v>
      </c>
      <c r="E15" s="109" t="s">
        <v>16</v>
      </c>
      <c r="F15" s="109">
        <v>125</v>
      </c>
      <c r="G15" s="109" t="s">
        <v>208</v>
      </c>
      <c r="H15" s="109" t="s">
        <v>209</v>
      </c>
      <c r="I15" s="109">
        <v>9980931990</v>
      </c>
      <c r="J15" s="109" t="s">
        <v>134</v>
      </c>
      <c r="K15" s="109">
        <v>2000</v>
      </c>
      <c r="L15" s="109">
        <v>1</v>
      </c>
      <c r="M15" s="109" t="s">
        <v>19</v>
      </c>
      <c r="N15" s="109" t="s">
        <v>22</v>
      </c>
      <c r="O15" s="109">
        <v>4.2</v>
      </c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 t="s">
        <v>171</v>
      </c>
      <c r="BS15" s="109"/>
      <c r="BT15" s="108">
        <f t="shared" si="0"/>
        <v>2000</v>
      </c>
    </row>
    <row r="16" spans="1:72" x14ac:dyDescent="0.25">
      <c r="A16" s="109">
        <v>21221</v>
      </c>
      <c r="B16" s="109">
        <v>46022</v>
      </c>
      <c r="C16" s="109" t="s">
        <v>194</v>
      </c>
      <c r="D16" s="109" t="s">
        <v>90</v>
      </c>
      <c r="E16" s="109" t="s">
        <v>38</v>
      </c>
      <c r="F16" s="109" t="s">
        <v>210</v>
      </c>
      <c r="G16" s="109" t="s">
        <v>211</v>
      </c>
      <c r="H16" s="109" t="s">
        <v>212</v>
      </c>
      <c r="I16" s="109"/>
      <c r="J16" s="109" t="s">
        <v>134</v>
      </c>
      <c r="K16" s="109">
        <v>1000</v>
      </c>
      <c r="L16" s="109">
        <v>1</v>
      </c>
      <c r="M16" s="109" t="s">
        <v>17</v>
      </c>
      <c r="N16" s="109" t="s">
        <v>22</v>
      </c>
      <c r="O16" s="109">
        <v>4.2</v>
      </c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 t="s">
        <v>171</v>
      </c>
      <c r="BS16" s="109"/>
      <c r="BT16" s="108">
        <f t="shared" si="0"/>
        <v>1000</v>
      </c>
    </row>
    <row r="17" spans="1:72" x14ac:dyDescent="0.25">
      <c r="A17" s="109">
        <v>21229</v>
      </c>
      <c r="B17" s="109">
        <v>46023</v>
      </c>
      <c r="C17" s="109" t="s">
        <v>172</v>
      </c>
      <c r="D17" s="109" t="s">
        <v>90</v>
      </c>
      <c r="E17" s="109" t="s">
        <v>38</v>
      </c>
      <c r="F17" s="109" t="s">
        <v>213</v>
      </c>
      <c r="G17" s="109" t="s">
        <v>214</v>
      </c>
      <c r="H17" s="109" t="s">
        <v>215</v>
      </c>
      <c r="I17" s="109" t="s">
        <v>177</v>
      </c>
      <c r="J17" s="109" t="s">
        <v>134</v>
      </c>
      <c r="K17" s="109">
        <v>1000</v>
      </c>
      <c r="L17" s="109">
        <v>2</v>
      </c>
      <c r="M17" s="109" t="s">
        <v>19</v>
      </c>
      <c r="N17" s="109" t="s">
        <v>22</v>
      </c>
      <c r="O17" s="109">
        <v>3.7</v>
      </c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 t="s">
        <v>171</v>
      </c>
      <c r="BS17" s="109">
        <v>8220310360</v>
      </c>
      <c r="BT17" s="108">
        <f t="shared" si="0"/>
        <v>2000</v>
      </c>
    </row>
    <row r="18" spans="1:72" x14ac:dyDescent="0.25">
      <c r="A18" s="109">
        <v>21231</v>
      </c>
      <c r="B18" s="109">
        <v>46023</v>
      </c>
      <c r="C18" s="109" t="s">
        <v>194</v>
      </c>
      <c r="D18" s="109" t="s">
        <v>90</v>
      </c>
      <c r="E18" s="109" t="s">
        <v>38</v>
      </c>
      <c r="F18" s="109">
        <v>218</v>
      </c>
      <c r="G18" s="109" t="s">
        <v>195</v>
      </c>
      <c r="H18" s="109" t="s">
        <v>216</v>
      </c>
      <c r="I18" s="109" t="s">
        <v>217</v>
      </c>
      <c r="J18" s="109" t="s">
        <v>134</v>
      </c>
      <c r="K18" s="109">
        <v>750</v>
      </c>
      <c r="L18" s="109">
        <v>4</v>
      </c>
      <c r="M18" s="109" t="s">
        <v>17</v>
      </c>
      <c r="N18" s="109" t="s">
        <v>22</v>
      </c>
      <c r="O18" s="109">
        <v>3.55</v>
      </c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 t="s">
        <v>171</v>
      </c>
      <c r="BS18" s="109"/>
      <c r="BT18" s="108">
        <f t="shared" si="0"/>
        <v>3000</v>
      </c>
    </row>
    <row r="19" spans="1:72" x14ac:dyDescent="0.25">
      <c r="A19" s="109">
        <v>21237</v>
      </c>
      <c r="B19" s="109">
        <v>46024</v>
      </c>
      <c r="C19" s="109" t="s">
        <v>172</v>
      </c>
      <c r="D19" s="109" t="s">
        <v>90</v>
      </c>
      <c r="E19" s="109" t="s">
        <v>38</v>
      </c>
      <c r="F19" s="109" t="s">
        <v>218</v>
      </c>
      <c r="G19" s="109" t="s">
        <v>219</v>
      </c>
      <c r="H19" s="109" t="s">
        <v>220</v>
      </c>
      <c r="I19" s="109" t="s">
        <v>177</v>
      </c>
      <c r="J19" s="109" t="s">
        <v>134</v>
      </c>
      <c r="K19" s="109">
        <v>1000</v>
      </c>
      <c r="L19" s="109">
        <v>2</v>
      </c>
      <c r="M19" s="109" t="s">
        <v>17</v>
      </c>
      <c r="N19" s="109" t="s">
        <v>22</v>
      </c>
      <c r="O19" s="109">
        <v>3.7</v>
      </c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 t="s">
        <v>171</v>
      </c>
      <c r="BS19" s="109"/>
      <c r="BT19" s="108">
        <f t="shared" si="0"/>
        <v>2000</v>
      </c>
    </row>
    <row r="20" spans="1:72" x14ac:dyDescent="0.25">
      <c r="A20" s="109">
        <v>21239</v>
      </c>
      <c r="B20" s="109">
        <v>46024</v>
      </c>
      <c r="C20" s="109" t="s">
        <v>194</v>
      </c>
      <c r="D20" s="109" t="s">
        <v>90</v>
      </c>
      <c r="E20" s="109" t="s">
        <v>38</v>
      </c>
      <c r="F20" s="109">
        <v>248</v>
      </c>
      <c r="G20" s="109" t="s">
        <v>221</v>
      </c>
      <c r="H20" s="109" t="s">
        <v>222</v>
      </c>
      <c r="I20" s="109" t="s">
        <v>217</v>
      </c>
      <c r="J20" s="109" t="s">
        <v>134</v>
      </c>
      <c r="K20" s="109">
        <v>2000</v>
      </c>
      <c r="L20" s="109">
        <v>1</v>
      </c>
      <c r="M20" s="109" t="s">
        <v>17</v>
      </c>
      <c r="N20" s="109" t="s">
        <v>22</v>
      </c>
      <c r="O20" s="109">
        <v>3.8</v>
      </c>
      <c r="P20" s="109" t="s">
        <v>134</v>
      </c>
      <c r="Q20" s="109">
        <v>1000</v>
      </c>
      <c r="R20" s="109">
        <v>2</v>
      </c>
      <c r="S20" s="109" t="s">
        <v>17</v>
      </c>
      <c r="T20" s="109" t="s">
        <v>22</v>
      </c>
      <c r="U20" s="109">
        <v>3.8</v>
      </c>
      <c r="V20" s="109" t="s">
        <v>134</v>
      </c>
      <c r="W20" s="109">
        <v>500</v>
      </c>
      <c r="X20" s="109">
        <v>2</v>
      </c>
      <c r="Y20" s="109" t="s">
        <v>17</v>
      </c>
      <c r="Z20" s="109" t="s">
        <v>22</v>
      </c>
      <c r="AA20" s="109">
        <v>3.8</v>
      </c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 t="s">
        <v>171</v>
      </c>
      <c r="BS20" s="109"/>
      <c r="BT20" s="108">
        <f t="shared" si="0"/>
        <v>5000</v>
      </c>
    </row>
    <row r="21" spans="1:72" x14ac:dyDescent="0.25">
      <c r="A21" s="109">
        <v>21240</v>
      </c>
      <c r="B21" s="109">
        <v>46024</v>
      </c>
      <c r="C21" s="109" t="s">
        <v>194</v>
      </c>
      <c r="D21" s="109" t="s">
        <v>90</v>
      </c>
      <c r="E21" s="109" t="s">
        <v>38</v>
      </c>
      <c r="F21" s="109">
        <v>125</v>
      </c>
      <c r="G21" s="109" t="s">
        <v>208</v>
      </c>
      <c r="H21" s="109" t="s">
        <v>223</v>
      </c>
      <c r="I21" s="109"/>
      <c r="J21" s="109" t="s">
        <v>134</v>
      </c>
      <c r="K21" s="109">
        <v>1000</v>
      </c>
      <c r="L21" s="109">
        <v>1</v>
      </c>
      <c r="M21" s="109" t="s">
        <v>19</v>
      </c>
      <c r="N21" s="109" t="s">
        <v>22</v>
      </c>
      <c r="O21" s="109">
        <v>4.2</v>
      </c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 t="s">
        <v>171</v>
      </c>
      <c r="BS21" s="109">
        <v>9980931990</v>
      </c>
      <c r="BT21" s="108">
        <f t="shared" si="0"/>
        <v>1000</v>
      </c>
    </row>
    <row r="22" spans="1:72" x14ac:dyDescent="0.25">
      <c r="A22" s="109">
        <v>21236</v>
      </c>
      <c r="B22" s="109">
        <v>46024</v>
      </c>
      <c r="C22" s="109" t="s">
        <v>167</v>
      </c>
      <c r="D22" s="109" t="s">
        <v>90</v>
      </c>
      <c r="E22" s="109" t="s">
        <v>21</v>
      </c>
      <c r="F22" s="109" t="s">
        <v>224</v>
      </c>
      <c r="G22" s="109" t="s">
        <v>225</v>
      </c>
      <c r="H22" s="109" t="s">
        <v>226</v>
      </c>
      <c r="I22" s="109"/>
      <c r="J22" s="109" t="s">
        <v>134</v>
      </c>
      <c r="K22" s="109">
        <v>1000</v>
      </c>
      <c r="L22" s="109">
        <v>2</v>
      </c>
      <c r="M22" s="109" t="s">
        <v>17</v>
      </c>
      <c r="N22" s="109" t="s">
        <v>22</v>
      </c>
      <c r="O22" s="109">
        <v>4.2</v>
      </c>
      <c r="P22" s="109" t="s">
        <v>134</v>
      </c>
      <c r="Q22" s="109">
        <v>500</v>
      </c>
      <c r="R22" s="109">
        <v>1</v>
      </c>
      <c r="S22" s="109" t="s">
        <v>17</v>
      </c>
      <c r="T22" s="109" t="s">
        <v>22</v>
      </c>
      <c r="U22" s="109">
        <v>4.2</v>
      </c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09"/>
      <c r="BG22" s="109"/>
      <c r="BH22" s="109"/>
      <c r="BI22" s="109"/>
      <c r="BJ22" s="109"/>
      <c r="BK22" s="109"/>
      <c r="BL22" s="109"/>
      <c r="BM22" s="109"/>
      <c r="BN22" s="109"/>
      <c r="BO22" s="109"/>
      <c r="BP22" s="109"/>
      <c r="BQ22" s="109"/>
      <c r="BR22" s="109" t="s">
        <v>91</v>
      </c>
      <c r="BS22" s="109"/>
      <c r="BT22" s="108">
        <f t="shared" si="0"/>
        <v>2500</v>
      </c>
    </row>
    <row r="23" spans="1:72" x14ac:dyDescent="0.25">
      <c r="A23" s="109">
        <v>21208</v>
      </c>
      <c r="B23" s="109">
        <v>46022</v>
      </c>
      <c r="C23" s="109" t="s">
        <v>227</v>
      </c>
      <c r="D23" s="109" t="s">
        <v>90</v>
      </c>
      <c r="E23" s="109" t="s">
        <v>18</v>
      </c>
      <c r="F23" s="109" t="s">
        <v>228</v>
      </c>
      <c r="G23" s="109" t="s">
        <v>229</v>
      </c>
      <c r="H23" s="109" t="s">
        <v>230</v>
      </c>
      <c r="I23" s="109"/>
      <c r="J23" s="109" t="s">
        <v>134</v>
      </c>
      <c r="K23" s="109">
        <v>1500</v>
      </c>
      <c r="L23" s="109">
        <v>3</v>
      </c>
      <c r="M23" s="109" t="s">
        <v>17</v>
      </c>
      <c r="N23" s="109" t="s">
        <v>22</v>
      </c>
      <c r="O23" s="109">
        <v>4.2</v>
      </c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  <c r="BF23" s="109"/>
      <c r="BG23" s="109"/>
      <c r="BH23" s="109"/>
      <c r="BI23" s="109"/>
      <c r="BJ23" s="109"/>
      <c r="BK23" s="109"/>
      <c r="BL23" s="109"/>
      <c r="BM23" s="109"/>
      <c r="BN23" s="109"/>
      <c r="BO23" s="109"/>
      <c r="BP23" s="109"/>
      <c r="BQ23" s="109"/>
      <c r="BR23" s="109" t="s">
        <v>171</v>
      </c>
      <c r="BS23" s="109" t="s">
        <v>231</v>
      </c>
      <c r="BT23" s="108">
        <f t="shared" si="0"/>
        <v>4500</v>
      </c>
    </row>
    <row r="24" spans="1:72" x14ac:dyDescent="0.25">
      <c r="A24" s="109">
        <v>21209</v>
      </c>
      <c r="B24" s="109">
        <v>46022</v>
      </c>
      <c r="C24" s="109" t="s">
        <v>227</v>
      </c>
      <c r="D24" s="109" t="s">
        <v>90</v>
      </c>
      <c r="E24" s="109" t="s">
        <v>18</v>
      </c>
      <c r="F24" s="109" t="s">
        <v>228</v>
      </c>
      <c r="G24" s="109" t="s">
        <v>232</v>
      </c>
      <c r="H24" s="109" t="s">
        <v>233</v>
      </c>
      <c r="I24" s="109"/>
      <c r="J24" s="109" t="s">
        <v>134</v>
      </c>
      <c r="K24" s="109">
        <v>1000</v>
      </c>
      <c r="L24" s="109">
        <v>2</v>
      </c>
      <c r="M24" s="109" t="s">
        <v>17</v>
      </c>
      <c r="N24" s="109" t="s">
        <v>22</v>
      </c>
      <c r="O24" s="109">
        <v>4.2</v>
      </c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09"/>
      <c r="BJ24" s="109"/>
      <c r="BK24" s="109"/>
      <c r="BL24" s="109"/>
      <c r="BM24" s="109"/>
      <c r="BN24" s="109"/>
      <c r="BO24" s="109"/>
      <c r="BP24" s="109"/>
      <c r="BQ24" s="109"/>
      <c r="BR24" s="109" t="s">
        <v>171</v>
      </c>
      <c r="BS24" s="109"/>
      <c r="BT24" s="108">
        <f t="shared" si="0"/>
        <v>2000</v>
      </c>
    </row>
    <row r="25" spans="1:72" x14ac:dyDescent="0.25">
      <c r="A25" s="109">
        <v>21222</v>
      </c>
      <c r="B25" s="109">
        <v>46022</v>
      </c>
      <c r="C25" s="109" t="s">
        <v>227</v>
      </c>
      <c r="D25" s="109" t="s">
        <v>90</v>
      </c>
      <c r="E25" s="109" t="s">
        <v>40</v>
      </c>
      <c r="F25" s="109">
        <v>726</v>
      </c>
      <c r="G25" s="109" t="s">
        <v>234</v>
      </c>
      <c r="H25" s="109" t="s">
        <v>235</v>
      </c>
      <c r="I25" s="109"/>
      <c r="J25" s="109" t="s">
        <v>134</v>
      </c>
      <c r="K25" s="109">
        <v>1000</v>
      </c>
      <c r="L25" s="109">
        <v>1</v>
      </c>
      <c r="M25" s="109" t="s">
        <v>17</v>
      </c>
      <c r="N25" s="109" t="s">
        <v>22</v>
      </c>
      <c r="O25" s="109">
        <v>4.2</v>
      </c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109"/>
      <c r="BJ25" s="109"/>
      <c r="BK25" s="109"/>
      <c r="BL25" s="109"/>
      <c r="BM25" s="109"/>
      <c r="BN25" s="109"/>
      <c r="BO25" s="109"/>
      <c r="BP25" s="109"/>
      <c r="BQ25" s="109"/>
      <c r="BR25" s="109" t="s">
        <v>171</v>
      </c>
      <c r="BS25" s="109"/>
      <c r="BT25" s="108">
        <f t="shared" si="0"/>
        <v>1000</v>
      </c>
    </row>
    <row r="26" spans="1:72" x14ac:dyDescent="0.25">
      <c r="A26" s="109">
        <v>21224</v>
      </c>
      <c r="B26" s="109">
        <v>46022</v>
      </c>
      <c r="C26" s="109" t="s">
        <v>167</v>
      </c>
      <c r="D26" s="109" t="s">
        <v>90</v>
      </c>
      <c r="E26" s="109" t="s">
        <v>40</v>
      </c>
      <c r="F26" s="109" t="s">
        <v>236</v>
      </c>
      <c r="G26" s="109" t="s">
        <v>237</v>
      </c>
      <c r="H26" s="109" t="s">
        <v>238</v>
      </c>
      <c r="I26" s="109"/>
      <c r="J26" s="109" t="s">
        <v>134</v>
      </c>
      <c r="K26" s="109">
        <v>1000</v>
      </c>
      <c r="L26" s="109">
        <v>1</v>
      </c>
      <c r="M26" s="109" t="s">
        <v>17</v>
      </c>
      <c r="N26" s="109" t="s">
        <v>22</v>
      </c>
      <c r="O26" s="109">
        <v>4.2</v>
      </c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  <c r="BM26" s="109"/>
      <c r="BN26" s="109"/>
      <c r="BO26" s="109"/>
      <c r="BP26" s="109"/>
      <c r="BQ26" s="109"/>
      <c r="BR26" s="109" t="s">
        <v>91</v>
      </c>
      <c r="BS26" s="109"/>
      <c r="BT26" s="108">
        <f t="shared" si="0"/>
        <v>1000</v>
      </c>
    </row>
    <row r="27" spans="1:72" x14ac:dyDescent="0.25">
      <c r="A27" s="109">
        <v>21220</v>
      </c>
      <c r="B27" s="109">
        <v>46022</v>
      </c>
      <c r="C27" s="109" t="s">
        <v>239</v>
      </c>
      <c r="D27" s="109" t="s">
        <v>90</v>
      </c>
      <c r="E27" s="109" t="s">
        <v>41</v>
      </c>
      <c r="F27" s="109">
        <v>803</v>
      </c>
      <c r="G27" s="109" t="s">
        <v>240</v>
      </c>
      <c r="H27" s="109" t="s">
        <v>241</v>
      </c>
      <c r="I27" s="109"/>
      <c r="J27" s="109" t="s">
        <v>134</v>
      </c>
      <c r="K27" s="109">
        <v>3000</v>
      </c>
      <c r="L27" s="109">
        <v>1</v>
      </c>
      <c r="M27" s="109" t="s">
        <v>17</v>
      </c>
      <c r="N27" s="109" t="s">
        <v>22</v>
      </c>
      <c r="O27" s="109">
        <v>4.3</v>
      </c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 t="s">
        <v>91</v>
      </c>
      <c r="BS27" s="109" t="s">
        <v>242</v>
      </c>
      <c r="BT27" s="108">
        <f t="shared" si="0"/>
        <v>3000</v>
      </c>
    </row>
    <row r="28" spans="1:72" x14ac:dyDescent="0.25">
      <c r="A28" s="109">
        <v>21122</v>
      </c>
      <c r="B28" s="109">
        <v>46018</v>
      </c>
      <c r="C28" s="109" t="s">
        <v>167</v>
      </c>
      <c r="D28" s="109" t="s">
        <v>90</v>
      </c>
      <c r="E28" s="109" t="s">
        <v>54</v>
      </c>
      <c r="F28" s="109" t="s">
        <v>243</v>
      </c>
      <c r="G28" s="109" t="s">
        <v>244</v>
      </c>
      <c r="H28" s="109" t="s">
        <v>243</v>
      </c>
      <c r="I28" s="109"/>
      <c r="J28" s="109" t="s">
        <v>134</v>
      </c>
      <c r="K28" s="109">
        <v>2000</v>
      </c>
      <c r="L28" s="109">
        <v>1</v>
      </c>
      <c r="M28" s="109" t="s">
        <v>17</v>
      </c>
      <c r="N28" s="109" t="s">
        <v>22</v>
      </c>
      <c r="O28" s="109">
        <v>4.2</v>
      </c>
      <c r="P28" s="109" t="s">
        <v>134</v>
      </c>
      <c r="Q28" s="109">
        <v>1000</v>
      </c>
      <c r="R28" s="109">
        <v>2</v>
      </c>
      <c r="S28" s="109" t="s">
        <v>19</v>
      </c>
      <c r="T28" s="109" t="s">
        <v>22</v>
      </c>
      <c r="U28" s="109">
        <v>4.2</v>
      </c>
      <c r="V28" s="109" t="s">
        <v>134</v>
      </c>
      <c r="W28" s="109">
        <v>1000</v>
      </c>
      <c r="X28" s="109">
        <v>1</v>
      </c>
      <c r="Y28" s="109" t="s">
        <v>17</v>
      </c>
      <c r="Z28" s="109" t="s">
        <v>22</v>
      </c>
      <c r="AA28" s="109">
        <v>4.2</v>
      </c>
      <c r="AB28" s="109" t="s">
        <v>134</v>
      </c>
      <c r="AC28" s="109">
        <v>750</v>
      </c>
      <c r="AD28" s="109">
        <v>1</v>
      </c>
      <c r="AE28" s="109" t="s">
        <v>17</v>
      </c>
      <c r="AF28" s="109" t="s">
        <v>22</v>
      </c>
      <c r="AG28" s="109">
        <v>4.2</v>
      </c>
      <c r="AH28" s="109" t="s">
        <v>134</v>
      </c>
      <c r="AI28" s="109">
        <v>750</v>
      </c>
      <c r="AJ28" s="109">
        <v>1</v>
      </c>
      <c r="AK28" s="109" t="s">
        <v>19</v>
      </c>
      <c r="AL28" s="109" t="s">
        <v>22</v>
      </c>
      <c r="AM28" s="109">
        <v>4.2</v>
      </c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 t="s">
        <v>91</v>
      </c>
      <c r="BS28" s="109"/>
      <c r="BT28" s="108">
        <f t="shared" si="0"/>
        <v>6500</v>
      </c>
    </row>
    <row r="29" spans="1:72" x14ac:dyDescent="0.25">
      <c r="A29" s="109">
        <v>21230</v>
      </c>
      <c r="B29" s="109">
        <v>46023</v>
      </c>
      <c r="C29" s="109" t="s">
        <v>172</v>
      </c>
      <c r="D29" s="109" t="s">
        <v>90</v>
      </c>
      <c r="E29" s="109" t="s">
        <v>54</v>
      </c>
      <c r="F29" s="109" t="s">
        <v>245</v>
      </c>
      <c r="G29" s="109" t="s">
        <v>246</v>
      </c>
      <c r="H29" s="109" t="s">
        <v>247</v>
      </c>
      <c r="I29" s="109" t="s">
        <v>177</v>
      </c>
      <c r="J29" s="109" t="s">
        <v>134</v>
      </c>
      <c r="K29" s="109">
        <v>750</v>
      </c>
      <c r="L29" s="109">
        <v>5</v>
      </c>
      <c r="M29" s="109" t="s">
        <v>19</v>
      </c>
      <c r="N29" s="109" t="s">
        <v>22</v>
      </c>
      <c r="O29" s="109">
        <v>3.7</v>
      </c>
      <c r="P29" s="109" t="s">
        <v>134</v>
      </c>
      <c r="Q29" s="109">
        <v>1000</v>
      </c>
      <c r="R29" s="109">
        <v>1</v>
      </c>
      <c r="S29" s="109" t="s">
        <v>19</v>
      </c>
      <c r="T29" s="109" t="s">
        <v>22</v>
      </c>
      <c r="U29" s="109">
        <v>3.7</v>
      </c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  <c r="BO29" s="109"/>
      <c r="BP29" s="109"/>
      <c r="BQ29" s="109"/>
      <c r="BR29" s="109" t="s">
        <v>171</v>
      </c>
      <c r="BS29" s="109"/>
      <c r="BT29" s="108">
        <f t="shared" si="0"/>
        <v>4750</v>
      </c>
    </row>
    <row r="30" spans="1:72" x14ac:dyDescent="0.25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>
        <f t="shared" ref="BJ30:BJ37" si="1">J30*K30+O30*P30+T30*U30+Y30*Z30+AD30*AE30+AI30*AJ30+AN30*AO30+AS30*AT30+AX30*AY30+BC30*BD30</f>
        <v>0</v>
      </c>
      <c r="BK30" s="109"/>
      <c r="BL30" s="109"/>
      <c r="BM30" s="109"/>
      <c r="BN30" s="109"/>
      <c r="BO30" s="109"/>
      <c r="BP30" s="109"/>
      <c r="BQ30" s="109"/>
      <c r="BR30" s="109"/>
      <c r="BS30" s="109"/>
      <c r="BT30" s="109"/>
    </row>
    <row r="31" spans="1:72" x14ac:dyDescent="0.25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>
        <f t="shared" si="1"/>
        <v>0</v>
      </c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</row>
    <row r="32" spans="1:72" x14ac:dyDescent="0.25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>
        <f t="shared" si="1"/>
        <v>0</v>
      </c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</row>
    <row r="33" spans="1:72" x14ac:dyDescent="0.25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>
        <f t="shared" si="1"/>
        <v>0</v>
      </c>
      <c r="BK33" s="109"/>
      <c r="BL33" s="109"/>
      <c r="BM33" s="109"/>
      <c r="BN33" s="109"/>
      <c r="BO33" s="109"/>
      <c r="BP33" s="109"/>
      <c r="BQ33" s="109"/>
      <c r="BR33" s="109"/>
      <c r="BS33" s="109"/>
      <c r="BT33" s="109"/>
    </row>
    <row r="34" spans="1:72" x14ac:dyDescent="0.25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>
        <f t="shared" si="1"/>
        <v>0</v>
      </c>
      <c r="BK34" s="109"/>
      <c r="BL34" s="109"/>
      <c r="BM34" s="109"/>
      <c r="BN34" s="109"/>
      <c r="BO34" s="109"/>
      <c r="BP34" s="109"/>
      <c r="BQ34" s="109"/>
      <c r="BR34" s="109"/>
      <c r="BS34" s="109"/>
      <c r="BT34" s="109"/>
    </row>
    <row r="35" spans="1:72" x14ac:dyDescent="0.25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>
        <f t="shared" si="1"/>
        <v>0</v>
      </c>
      <c r="BK35" s="109"/>
      <c r="BL35" s="109"/>
      <c r="BM35" s="109"/>
      <c r="BN35" s="109"/>
      <c r="BO35" s="109"/>
      <c r="BP35" s="109"/>
      <c r="BQ35" s="109"/>
      <c r="BR35" s="109"/>
      <c r="BS35" s="109"/>
      <c r="BT35" s="109"/>
    </row>
    <row r="36" spans="1:72" x14ac:dyDescent="0.25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>
        <f t="shared" si="1"/>
        <v>0</v>
      </c>
      <c r="BK36" s="109"/>
      <c r="BL36" s="109"/>
      <c r="BM36" s="109"/>
      <c r="BN36" s="109"/>
      <c r="BO36" s="109"/>
      <c r="BP36" s="109"/>
      <c r="BQ36" s="109"/>
      <c r="BR36" s="109"/>
      <c r="BS36" s="109"/>
      <c r="BT36" s="109"/>
    </row>
    <row r="37" spans="1:72" x14ac:dyDescent="0.25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>
        <f t="shared" si="1"/>
        <v>0</v>
      </c>
      <c r="BK37" s="109"/>
      <c r="BL37" s="109"/>
      <c r="BM37" s="109"/>
      <c r="BN37" s="109"/>
      <c r="BO37" s="109"/>
      <c r="BP37" s="109"/>
      <c r="BQ37" s="109"/>
      <c r="BR37" s="109"/>
      <c r="BS37" s="109"/>
      <c r="BT37" s="109"/>
    </row>
    <row r="38" spans="1:72" x14ac:dyDescent="0.25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>
        <f t="shared" ref="BJ38:BJ61" si="2">J38*K38+O38*P38+T38*U38+Y38*Z38+AD38*AE38+AI38*AJ38+AN38*AO38+AS38*AT38+AX38*AY38+BC38*BD38</f>
        <v>0</v>
      </c>
      <c r="BK38" s="109"/>
      <c r="BL38" s="109"/>
      <c r="BM38" s="109"/>
      <c r="BN38" s="109"/>
      <c r="BO38" s="109"/>
      <c r="BP38" s="109"/>
      <c r="BQ38" s="109"/>
      <c r="BR38" s="109"/>
      <c r="BS38" s="109"/>
      <c r="BT38" s="109"/>
    </row>
    <row r="39" spans="1:72" x14ac:dyDescent="0.25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>
        <f t="shared" si="2"/>
        <v>0</v>
      </c>
      <c r="BK39" s="109"/>
      <c r="BL39" s="109"/>
      <c r="BM39" s="109"/>
      <c r="BN39" s="109"/>
      <c r="BO39" s="109"/>
      <c r="BP39" s="109"/>
      <c r="BQ39" s="109"/>
      <c r="BR39" s="109"/>
      <c r="BS39" s="109"/>
      <c r="BT39" s="109"/>
    </row>
    <row r="40" spans="1:72" x14ac:dyDescent="0.25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>
        <f t="shared" si="2"/>
        <v>0</v>
      </c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</row>
    <row r="41" spans="1:72" x14ac:dyDescent="0.25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>
        <f t="shared" si="2"/>
        <v>0</v>
      </c>
      <c r="BK41" s="109"/>
      <c r="BL41" s="109"/>
      <c r="BM41" s="109"/>
      <c r="BN41" s="109"/>
      <c r="BO41" s="109"/>
      <c r="BP41" s="109"/>
      <c r="BQ41" s="109"/>
      <c r="BR41" s="109"/>
      <c r="BS41" s="109"/>
      <c r="BT41" s="109"/>
    </row>
    <row r="42" spans="1:72" x14ac:dyDescent="0.25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/>
      <c r="AU42" s="109"/>
      <c r="AV42" s="109"/>
      <c r="AW42" s="109"/>
      <c r="AX42" s="109"/>
      <c r="AY42" s="109"/>
      <c r="AZ42" s="109"/>
      <c r="BA42" s="109"/>
      <c r="BB42" s="109"/>
      <c r="BC42" s="109"/>
      <c r="BD42" s="109"/>
      <c r="BE42" s="109"/>
      <c r="BF42" s="109"/>
      <c r="BG42" s="109"/>
      <c r="BH42" s="109"/>
      <c r="BI42" s="109"/>
      <c r="BJ42" s="109">
        <f t="shared" si="2"/>
        <v>0</v>
      </c>
      <c r="BK42" s="109"/>
      <c r="BL42" s="109"/>
      <c r="BM42" s="109"/>
      <c r="BN42" s="109"/>
      <c r="BO42" s="109"/>
      <c r="BP42" s="109"/>
      <c r="BQ42" s="109"/>
      <c r="BR42" s="109"/>
      <c r="BS42" s="109"/>
      <c r="BT42" s="109"/>
    </row>
    <row r="43" spans="1:72" x14ac:dyDescent="0.25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09"/>
      <c r="AV43" s="109"/>
      <c r="AW43" s="109"/>
      <c r="AX43" s="109"/>
      <c r="AY43" s="109"/>
      <c r="AZ43" s="109"/>
      <c r="BA43" s="109"/>
      <c r="BB43" s="109"/>
      <c r="BC43" s="109"/>
      <c r="BD43" s="109"/>
      <c r="BE43" s="109"/>
      <c r="BF43" s="109"/>
      <c r="BG43" s="109"/>
      <c r="BH43" s="109"/>
      <c r="BI43" s="109"/>
      <c r="BJ43" s="109">
        <f t="shared" si="2"/>
        <v>0</v>
      </c>
      <c r="BK43" s="109"/>
      <c r="BL43" s="109"/>
      <c r="BM43" s="109"/>
      <c r="BN43" s="109"/>
      <c r="BO43" s="109"/>
      <c r="BP43" s="109"/>
      <c r="BQ43" s="109"/>
      <c r="BR43" s="109"/>
      <c r="BS43" s="109"/>
      <c r="BT43" s="109"/>
    </row>
    <row r="44" spans="1:72" x14ac:dyDescent="0.25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>
        <f t="shared" si="2"/>
        <v>0</v>
      </c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</row>
    <row r="45" spans="1:72" x14ac:dyDescent="0.25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W45" s="109"/>
      <c r="AX45" s="109"/>
      <c r="AY45" s="109"/>
      <c r="AZ45" s="109"/>
      <c r="BA45" s="109"/>
      <c r="BB45" s="109"/>
      <c r="BC45" s="109"/>
      <c r="BD45" s="109"/>
      <c r="BE45" s="109"/>
      <c r="BF45" s="109"/>
      <c r="BG45" s="109"/>
      <c r="BH45" s="109"/>
      <c r="BI45" s="109"/>
      <c r="BJ45" s="109">
        <f t="shared" si="2"/>
        <v>0</v>
      </c>
      <c r="BK45" s="109"/>
      <c r="BL45" s="109"/>
      <c r="BM45" s="109"/>
      <c r="BN45" s="109"/>
      <c r="BO45" s="109"/>
      <c r="BP45" s="109"/>
      <c r="BQ45" s="109"/>
      <c r="BR45" s="109"/>
      <c r="BS45" s="109"/>
      <c r="BT45" s="109"/>
    </row>
    <row r="46" spans="1:72" x14ac:dyDescent="0.25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>
        <f t="shared" si="2"/>
        <v>0</v>
      </c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</row>
    <row r="47" spans="1:72" x14ac:dyDescent="0.25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>
        <f t="shared" si="2"/>
        <v>0</v>
      </c>
      <c r="BK47" s="109"/>
      <c r="BL47" s="109"/>
      <c r="BM47" s="109"/>
      <c r="BN47" s="109"/>
      <c r="BO47" s="109"/>
      <c r="BP47" s="109"/>
      <c r="BQ47" s="109"/>
      <c r="BR47" s="109"/>
      <c r="BS47" s="109"/>
      <c r="BT47" s="109"/>
    </row>
    <row r="48" spans="1:72" x14ac:dyDescent="0.25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>
        <f t="shared" si="2"/>
        <v>0</v>
      </c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</row>
    <row r="49" spans="1:72" x14ac:dyDescent="0.25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>
        <f t="shared" si="2"/>
        <v>0</v>
      </c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</row>
    <row r="50" spans="1:72" x14ac:dyDescent="0.25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>
        <f t="shared" si="2"/>
        <v>0</v>
      </c>
      <c r="BK50" s="109"/>
      <c r="BL50" s="109"/>
      <c r="BM50" s="109"/>
      <c r="BN50" s="109"/>
      <c r="BO50" s="109"/>
      <c r="BP50" s="109"/>
      <c r="BQ50" s="109"/>
      <c r="BR50" s="109"/>
      <c r="BS50" s="109"/>
      <c r="BT50" s="109"/>
    </row>
    <row r="51" spans="1:72" x14ac:dyDescent="0.25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>
        <f t="shared" si="2"/>
        <v>0</v>
      </c>
      <c r="BK51" s="109"/>
      <c r="BL51" s="109"/>
      <c r="BM51" s="109"/>
      <c r="BN51" s="109"/>
      <c r="BO51" s="109"/>
      <c r="BP51" s="109"/>
      <c r="BQ51" s="109"/>
      <c r="BR51" s="109"/>
      <c r="BS51" s="109"/>
      <c r="BT51" s="109"/>
    </row>
    <row r="52" spans="1:72" x14ac:dyDescent="0.25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>
        <f t="shared" si="2"/>
        <v>0</v>
      </c>
      <c r="BK52" s="109"/>
      <c r="BL52" s="109"/>
      <c r="BM52" s="109"/>
      <c r="BN52" s="109"/>
      <c r="BO52" s="109"/>
      <c r="BP52" s="109"/>
      <c r="BQ52" s="109"/>
      <c r="BR52" s="109"/>
      <c r="BS52" s="109"/>
      <c r="BT52" s="109"/>
    </row>
    <row r="53" spans="1:72" x14ac:dyDescent="0.25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>
        <f t="shared" si="2"/>
        <v>0</v>
      </c>
      <c r="BK53" s="109"/>
      <c r="BL53" s="109"/>
      <c r="BM53" s="109"/>
      <c r="BN53" s="109"/>
      <c r="BO53" s="109"/>
      <c r="BP53" s="109"/>
      <c r="BQ53" s="109"/>
      <c r="BR53" s="109"/>
      <c r="BS53" s="109"/>
      <c r="BT53" s="109"/>
    </row>
    <row r="54" spans="1:72" x14ac:dyDescent="0.25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>
        <f t="shared" si="2"/>
        <v>0</v>
      </c>
      <c r="BK54" s="109"/>
      <c r="BL54" s="109"/>
      <c r="BM54" s="109"/>
      <c r="BN54" s="109"/>
      <c r="BO54" s="109"/>
      <c r="BP54" s="109"/>
      <c r="BQ54" s="109"/>
      <c r="BR54" s="109"/>
      <c r="BS54" s="109"/>
      <c r="BT54" s="109"/>
    </row>
    <row r="55" spans="1:72" x14ac:dyDescent="0.25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>
        <f t="shared" si="2"/>
        <v>0</v>
      </c>
      <c r="BK55" s="109"/>
      <c r="BL55" s="109"/>
      <c r="BM55" s="109"/>
      <c r="BN55" s="109"/>
      <c r="BO55" s="109"/>
      <c r="BP55" s="109"/>
      <c r="BQ55" s="109"/>
      <c r="BR55" s="109"/>
      <c r="BS55" s="109"/>
      <c r="BT55" s="109"/>
    </row>
    <row r="56" spans="1:72" x14ac:dyDescent="0.25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>
        <f t="shared" si="2"/>
        <v>0</v>
      </c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</row>
    <row r="57" spans="1:72" x14ac:dyDescent="0.25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>
        <f t="shared" si="2"/>
        <v>0</v>
      </c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</row>
    <row r="58" spans="1:72" x14ac:dyDescent="0.25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>
        <f t="shared" si="2"/>
        <v>0</v>
      </c>
      <c r="BK58" s="109"/>
      <c r="BL58" s="109"/>
      <c r="BM58" s="109"/>
      <c r="BN58" s="109"/>
      <c r="BO58" s="109"/>
      <c r="BP58" s="109"/>
      <c r="BQ58" s="109"/>
      <c r="BR58" s="109"/>
      <c r="BS58" s="109"/>
      <c r="BT58" s="109"/>
    </row>
    <row r="59" spans="1:72" x14ac:dyDescent="0.25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>
        <f t="shared" si="2"/>
        <v>0</v>
      </c>
      <c r="BK59" s="109"/>
      <c r="BL59" s="109"/>
      <c r="BM59" s="109"/>
      <c r="BN59" s="109"/>
      <c r="BO59" s="109"/>
      <c r="BP59" s="109"/>
      <c r="BQ59" s="109"/>
      <c r="BR59" s="109"/>
      <c r="BS59" s="109"/>
      <c r="BT59" s="109"/>
    </row>
    <row r="60" spans="1:72" x14ac:dyDescent="0.25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  <c r="AX60" s="109"/>
      <c r="AY60" s="109"/>
      <c r="AZ60" s="109"/>
      <c r="BA60" s="109"/>
      <c r="BB60" s="109"/>
      <c r="BC60" s="109"/>
      <c r="BD60" s="109"/>
      <c r="BE60" s="109"/>
      <c r="BF60" s="109"/>
      <c r="BG60" s="109"/>
      <c r="BH60" s="109"/>
      <c r="BI60" s="109"/>
      <c r="BJ60" s="109">
        <f t="shared" si="2"/>
        <v>0</v>
      </c>
      <c r="BK60" s="109"/>
      <c r="BL60" s="109"/>
      <c r="BM60" s="109"/>
      <c r="BN60" s="109"/>
      <c r="BO60" s="109"/>
      <c r="BP60" s="109"/>
      <c r="BQ60" s="109"/>
      <c r="BR60" s="109"/>
      <c r="BS60" s="109"/>
      <c r="BT60" s="109"/>
    </row>
    <row r="61" spans="1:72" x14ac:dyDescent="0.25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09"/>
      <c r="AX61" s="109"/>
      <c r="AY61" s="109"/>
      <c r="AZ61" s="109"/>
      <c r="BA61" s="109"/>
      <c r="BB61" s="109"/>
      <c r="BC61" s="109"/>
      <c r="BD61" s="109"/>
      <c r="BE61" s="109"/>
      <c r="BF61" s="109"/>
      <c r="BG61" s="109"/>
      <c r="BH61" s="109"/>
      <c r="BI61" s="109"/>
      <c r="BJ61" s="109">
        <f t="shared" si="2"/>
        <v>0</v>
      </c>
      <c r="BK61" s="109"/>
      <c r="BL61" s="109"/>
      <c r="BM61" s="109"/>
      <c r="BN61" s="109"/>
      <c r="BO61" s="109"/>
      <c r="BP61" s="109"/>
      <c r="BQ61" s="109"/>
      <c r="BR61" s="109"/>
      <c r="BS61" s="109"/>
      <c r="BT61" s="109"/>
    </row>
    <row r="62" spans="1:72" x14ac:dyDescent="0.25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  <c r="AW62" s="109"/>
      <c r="AX62" s="109"/>
      <c r="AY62" s="109"/>
      <c r="AZ62" s="109"/>
      <c r="BA62" s="109"/>
      <c r="BB62" s="109"/>
      <c r="BC62" s="109"/>
      <c r="BD62" s="109"/>
      <c r="BE62" s="109"/>
      <c r="BF62" s="109"/>
      <c r="BG62" s="109"/>
      <c r="BH62" s="109"/>
      <c r="BI62" s="109"/>
      <c r="BJ62" s="109">
        <f>J62*K62+O62*P62+T62*U62+Y62*Z62+AD62*AE62+AI62*AJ62+AN62*AO62+AS62*AT62+AX62*AY62+BC62*BD62</f>
        <v>0</v>
      </c>
      <c r="BK62" s="109"/>
      <c r="BL62" s="109"/>
      <c r="BM62" s="109"/>
      <c r="BN62" s="109"/>
      <c r="BO62" s="109"/>
      <c r="BP62" s="109"/>
      <c r="BQ62" s="109"/>
      <c r="BR62" s="109"/>
      <c r="BS62" s="109"/>
      <c r="BT62" s="109"/>
    </row>
    <row r="63" spans="1:72" x14ac:dyDescent="0.25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09"/>
      <c r="AR63" s="109"/>
      <c r="AS63" s="109"/>
      <c r="AT63" s="109"/>
      <c r="AU63" s="109"/>
      <c r="AV63" s="109"/>
      <c r="AW63" s="109"/>
      <c r="AX63" s="109"/>
      <c r="AY63" s="109"/>
      <c r="AZ63" s="109"/>
      <c r="BA63" s="109"/>
      <c r="BB63" s="109"/>
      <c r="BC63" s="109"/>
      <c r="BD63" s="109"/>
      <c r="BE63" s="109"/>
      <c r="BF63" s="109"/>
      <c r="BG63" s="109"/>
      <c r="BH63" s="109"/>
      <c r="BI63" s="109"/>
      <c r="BJ63" s="109">
        <f>J63*K63+O63*P63+T63*U63+Y63*Z63+AD63*AE63+AI63*AJ63+AN63*AO63+AS63*AT63+AX63*AY63+BC63*BD63</f>
        <v>0</v>
      </c>
      <c r="BK63" s="109"/>
      <c r="BL63" s="109"/>
      <c r="BM63" s="109"/>
      <c r="BN63" s="109"/>
      <c r="BO63" s="109"/>
      <c r="BP63" s="109"/>
      <c r="BQ63" s="109"/>
      <c r="BR63" s="109"/>
      <c r="BS63" s="109"/>
      <c r="BT63" s="109"/>
    </row>
    <row r="64" spans="1:72" x14ac:dyDescent="0.25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09"/>
      <c r="AX64" s="109"/>
      <c r="AY64" s="109"/>
      <c r="AZ64" s="109"/>
      <c r="BA64" s="109"/>
      <c r="BB64" s="109"/>
      <c r="BC64" s="109"/>
      <c r="BD64" s="109"/>
      <c r="BE64" s="109"/>
      <c r="BF64" s="109"/>
      <c r="BG64" s="109"/>
      <c r="BH64" s="109"/>
      <c r="BI64" s="109"/>
      <c r="BJ64" s="109">
        <f t="shared" ref="BJ64:BJ74" si="3">J64*K64+O64*P64+T64*U64+Y64*Z64+AD64*AE64+AI64*AJ64+AN64*AO64+AS64*AT64+AX64*AY64+BC64*BD64</f>
        <v>0</v>
      </c>
      <c r="BK64" s="109"/>
      <c r="BL64" s="109"/>
      <c r="BM64" s="109"/>
      <c r="BN64" s="109"/>
      <c r="BO64" s="109"/>
      <c r="BP64" s="109"/>
      <c r="BQ64" s="109"/>
      <c r="BR64" s="109"/>
      <c r="BS64" s="109"/>
      <c r="BT64" s="109"/>
    </row>
    <row r="65" spans="1:72" x14ac:dyDescent="0.25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>
        <f t="shared" si="3"/>
        <v>0</v>
      </c>
      <c r="BK65" s="109"/>
      <c r="BL65" s="109"/>
      <c r="BM65" s="109"/>
      <c r="BN65" s="109"/>
      <c r="BO65" s="109"/>
      <c r="BP65" s="109"/>
      <c r="BQ65" s="109"/>
      <c r="BR65" s="109"/>
      <c r="BS65" s="109"/>
      <c r="BT65" s="109"/>
    </row>
    <row r="66" spans="1:72" x14ac:dyDescent="0.25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>
        <f t="shared" si="3"/>
        <v>0</v>
      </c>
      <c r="BK66" s="109"/>
      <c r="BL66" s="109"/>
      <c r="BM66" s="109"/>
      <c r="BN66" s="109"/>
      <c r="BO66" s="109"/>
      <c r="BP66" s="109"/>
      <c r="BQ66" s="109"/>
      <c r="BR66" s="109"/>
      <c r="BS66" s="109"/>
      <c r="BT66" s="109"/>
    </row>
    <row r="67" spans="1:72" x14ac:dyDescent="0.25">
      <c r="BJ67" s="56">
        <f t="shared" si="3"/>
        <v>0</v>
      </c>
    </row>
    <row r="68" spans="1:72" x14ac:dyDescent="0.25">
      <c r="BJ68" s="56">
        <f t="shared" si="3"/>
        <v>0</v>
      </c>
    </row>
    <row r="69" spans="1:72" x14ac:dyDescent="0.25">
      <c r="BJ69" s="56">
        <f t="shared" si="3"/>
        <v>0</v>
      </c>
    </row>
    <row r="70" spans="1:72" x14ac:dyDescent="0.25">
      <c r="BJ70" s="56">
        <f t="shared" si="3"/>
        <v>0</v>
      </c>
    </row>
    <row r="71" spans="1:72" x14ac:dyDescent="0.25">
      <c r="BJ71" s="56">
        <f t="shared" si="3"/>
        <v>0</v>
      </c>
    </row>
    <row r="72" spans="1:72" x14ac:dyDescent="0.25">
      <c r="BJ72" s="56">
        <f t="shared" si="3"/>
        <v>0</v>
      </c>
    </row>
    <row r="73" spans="1:72" x14ac:dyDescent="0.25">
      <c r="BJ73" s="56">
        <f t="shared" si="3"/>
        <v>0</v>
      </c>
    </row>
    <row r="74" spans="1:72" x14ac:dyDescent="0.25">
      <c r="BJ74" s="56">
        <f t="shared" si="3"/>
        <v>0</v>
      </c>
    </row>
    <row r="79" spans="1:72" x14ac:dyDescent="0.25">
      <c r="F79" s="56" t="e">
        <f>-_xlfn.SINGLE(ORDERS!#REF!)</f>
        <v>#REF!</v>
      </c>
    </row>
  </sheetData>
  <pageMargins left="0" right="0" top="0" bottom="0" header="0" footer="0"/>
  <pageSetup paperSize="9" orientation="landscape" r:id="rId1"/>
  <headerFooter>
    <oddFooter>&amp;LPRINTED ON &amp;D AT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N33"/>
  <sheetViews>
    <sheetView showGridLines="0" workbookViewId="0">
      <selection activeCell="F28" sqref="F28"/>
    </sheetView>
  </sheetViews>
  <sheetFormatPr defaultRowHeight="15" x14ac:dyDescent="0.25"/>
  <cols>
    <col min="1" max="1" width="15.28515625" bestFit="1" customWidth="1"/>
    <col min="2" max="2" width="8.140625" bestFit="1" customWidth="1"/>
    <col min="3" max="3" width="10.140625" bestFit="1" customWidth="1"/>
    <col min="4" max="4" width="1.85546875" customWidth="1"/>
    <col min="5" max="5" width="12.42578125" bestFit="1" customWidth="1"/>
  </cols>
  <sheetData>
    <row r="1" spans="1:6" ht="18.75" x14ac:dyDescent="0.3">
      <c r="A1" s="18" t="s">
        <v>23</v>
      </c>
      <c r="B1" s="18" t="s">
        <v>4</v>
      </c>
      <c r="C1" s="18" t="s">
        <v>75</v>
      </c>
    </row>
    <row r="2" spans="1:6" ht="14.25" customHeight="1" x14ac:dyDescent="0.25">
      <c r="A2" s="51" t="s">
        <v>56</v>
      </c>
      <c r="B2" s="52" t="s">
        <v>16</v>
      </c>
      <c r="C2" s="78">
        <f>SUMIF(ORDERS!$E:$E,PENDING!B2,ORDERS!$BT:$BT)</f>
        <v>15500</v>
      </c>
    </row>
    <row r="3" spans="1:6" ht="14.25" customHeight="1" x14ac:dyDescent="0.25">
      <c r="A3" s="5" t="s">
        <v>57</v>
      </c>
      <c r="B3" s="7" t="s">
        <v>38</v>
      </c>
      <c r="C3" s="78">
        <f>SUMIF(ORDERS!$E:$E,PENDING!B3,ORDERS!$BT:$BT)</f>
        <v>14000</v>
      </c>
    </row>
    <row r="4" spans="1:6" ht="14.25" customHeight="1" x14ac:dyDescent="0.25">
      <c r="A4" s="5" t="s">
        <v>58</v>
      </c>
      <c r="B4" s="7" t="s">
        <v>21</v>
      </c>
      <c r="C4" s="78">
        <f>SUMIF(ORDERS!$E:$E,PENDING!B4,ORDERS!$BT:$BT)</f>
        <v>2500</v>
      </c>
    </row>
    <row r="5" spans="1:6" ht="14.25" customHeight="1" x14ac:dyDescent="0.25">
      <c r="A5" s="5" t="s">
        <v>59</v>
      </c>
      <c r="B5" s="7" t="s">
        <v>18</v>
      </c>
      <c r="C5" s="78">
        <f>SUMIF(ORDERS!$E:$E,PENDING!B5,ORDERS!$BT:$BT)</f>
        <v>6500</v>
      </c>
    </row>
    <row r="6" spans="1:6" ht="14.25" customHeight="1" x14ac:dyDescent="0.25">
      <c r="A6" s="5" t="s">
        <v>60</v>
      </c>
      <c r="B6" s="7" t="s">
        <v>39</v>
      </c>
      <c r="C6" s="78">
        <f>SUMIF(ORDERS!$E:$E,PENDING!B6,ORDERS!$BT:$BT)</f>
        <v>0</v>
      </c>
    </row>
    <row r="7" spans="1:6" ht="14.25" customHeight="1" x14ac:dyDescent="0.25">
      <c r="A7" s="5" t="s">
        <v>61</v>
      </c>
      <c r="B7" s="7" t="s">
        <v>40</v>
      </c>
      <c r="C7" s="78">
        <f>SUMIF(ORDERS!$E:$E,PENDING!B7,ORDERS!$BT:$BT)</f>
        <v>2000</v>
      </c>
    </row>
    <row r="8" spans="1:6" ht="14.25" customHeight="1" x14ac:dyDescent="0.25">
      <c r="A8" s="5" t="s">
        <v>62</v>
      </c>
      <c r="B8" s="7" t="s">
        <v>41</v>
      </c>
      <c r="C8" s="78">
        <f>SUMIF(ORDERS!$E:$E,PENDING!B8,ORDERS!$BT:$BT)</f>
        <v>3000</v>
      </c>
    </row>
    <row r="9" spans="1:6" ht="14.25" customHeight="1" x14ac:dyDescent="0.25">
      <c r="A9" s="5" t="s">
        <v>42</v>
      </c>
      <c r="B9" s="7" t="s">
        <v>42</v>
      </c>
      <c r="C9" s="78">
        <f>SUMIF(ORDERS!$E:$E,PENDING!B9,ORDERS!$BT:$BT)</f>
        <v>0</v>
      </c>
      <c r="E9" s="6" t="s">
        <v>77</v>
      </c>
      <c r="F9" s="36">
        <f>SUM(C2:C8,C22)</f>
        <v>43500</v>
      </c>
    </row>
    <row r="10" spans="1:6" ht="14.25" customHeight="1" x14ac:dyDescent="0.25">
      <c r="A10" s="5" t="s">
        <v>63</v>
      </c>
      <c r="B10" s="7" t="s">
        <v>43</v>
      </c>
      <c r="C10" s="78">
        <f>SUMIF(ORDERS!$E:$E,PENDING!B10,ORDERS!$BT:$BT)</f>
        <v>9500</v>
      </c>
      <c r="E10" s="6" t="s">
        <v>78</v>
      </c>
      <c r="F10" s="36">
        <f>SUM(C9:C21)-C14</f>
        <v>35250</v>
      </c>
    </row>
    <row r="11" spans="1:6" ht="14.25" customHeight="1" x14ac:dyDescent="0.25">
      <c r="A11" s="5" t="s">
        <v>64</v>
      </c>
      <c r="B11" s="7" t="s">
        <v>44</v>
      </c>
      <c r="C11" s="78">
        <f>SUMIF(ORDERS!$E:$E,PENDING!B11,ORDERS!$BT:$BT)</f>
        <v>3500</v>
      </c>
    </row>
    <row r="12" spans="1:6" ht="14.25" customHeight="1" x14ac:dyDescent="0.25">
      <c r="A12" s="5" t="s">
        <v>65</v>
      </c>
      <c r="B12" s="7" t="s">
        <v>45</v>
      </c>
      <c r="C12" s="78">
        <f>SUMIF(ORDERS!$E:$E,PENDING!B12,ORDERS!$BT:$BT)</f>
        <v>0</v>
      </c>
      <c r="E12" s="6" t="s">
        <v>79</v>
      </c>
      <c r="F12" s="36">
        <f>C23-F13</f>
        <v>78750</v>
      </c>
    </row>
    <row r="13" spans="1:6" ht="14.25" customHeight="1" x14ac:dyDescent="0.25">
      <c r="A13" s="5" t="s">
        <v>66</v>
      </c>
      <c r="B13" s="7" t="s">
        <v>46</v>
      </c>
      <c r="C13" s="78">
        <f>SUMIF(ORDERS!$E:$E,PENDING!B13,ORDERS!$BT:$BT)</f>
        <v>11000</v>
      </c>
      <c r="E13" s="6" t="s">
        <v>67</v>
      </c>
      <c r="F13" s="36">
        <f>C14</f>
        <v>35500</v>
      </c>
    </row>
    <row r="14" spans="1:6" ht="14.25" customHeight="1" x14ac:dyDescent="0.25">
      <c r="A14" s="5" t="s">
        <v>67</v>
      </c>
      <c r="B14" s="7" t="s">
        <v>47</v>
      </c>
      <c r="C14" s="78">
        <f>SUMIF(ORDERS!$E:$E,PENDING!B14,ORDERS!$BT:$BT)</f>
        <v>35500</v>
      </c>
      <c r="F14" s="38"/>
    </row>
    <row r="15" spans="1:6" ht="14.25" customHeight="1" x14ac:dyDescent="0.25">
      <c r="A15" s="5" t="s">
        <v>68</v>
      </c>
      <c r="B15" s="7" t="s">
        <v>48</v>
      </c>
      <c r="C15" s="78">
        <f>SUMIF(ORDERS!$E:$E,PENDING!B15,ORDERS!$BT:$BT)</f>
        <v>0</v>
      </c>
    </row>
    <row r="16" spans="1:6" ht="14.25" customHeight="1" x14ac:dyDescent="0.25">
      <c r="A16" s="5" t="s">
        <v>69</v>
      </c>
      <c r="B16" s="7" t="s">
        <v>49</v>
      </c>
      <c r="C16" s="78">
        <f>SUMIF(ORDERS!$E:$E,PENDING!B16,ORDERS!$BT:$BT)</f>
        <v>0</v>
      </c>
    </row>
    <row r="17" spans="1:7" ht="14.25" customHeight="1" x14ac:dyDescent="0.25">
      <c r="A17" s="5" t="s">
        <v>70</v>
      </c>
      <c r="B17" s="7" t="s">
        <v>50</v>
      </c>
      <c r="C17" s="78">
        <f>SUMIF(ORDERS!$E:$E,PENDING!B17,ORDERS!$BT:$BT)</f>
        <v>0</v>
      </c>
    </row>
    <row r="18" spans="1:7" ht="14.25" customHeight="1" x14ac:dyDescent="0.25">
      <c r="A18" s="5" t="s">
        <v>71</v>
      </c>
      <c r="B18" s="7" t="s">
        <v>51</v>
      </c>
      <c r="C18" s="78">
        <f>SUMIF(ORDERS!$E:$E,PENDING!B18,ORDERS!$BT:$BT)</f>
        <v>0</v>
      </c>
    </row>
    <row r="19" spans="1:7" ht="14.25" customHeight="1" x14ac:dyDescent="0.25">
      <c r="A19" s="5" t="s">
        <v>72</v>
      </c>
      <c r="B19" s="7" t="s">
        <v>52</v>
      </c>
      <c r="C19" s="78">
        <f>SUMIF(ORDERS!$E:$E,PENDING!B19,ORDERS!$BT:$BT)</f>
        <v>0</v>
      </c>
    </row>
    <row r="20" spans="1:7" ht="14.25" customHeight="1" x14ac:dyDescent="0.25">
      <c r="A20" s="5" t="s">
        <v>53</v>
      </c>
      <c r="B20" s="7" t="s">
        <v>53</v>
      </c>
      <c r="C20" s="78">
        <f>SUMIF(ORDERS!$E:$E,PENDING!B20,ORDERS!$BT:$BT)</f>
        <v>0</v>
      </c>
    </row>
    <row r="21" spans="1:7" ht="14.25" customHeight="1" x14ac:dyDescent="0.25">
      <c r="A21" s="5" t="s">
        <v>73</v>
      </c>
      <c r="B21" s="7" t="s">
        <v>54</v>
      </c>
      <c r="C21" s="78">
        <f>SUMIF(ORDERS!$E:$E,PENDING!B21,ORDERS!$BT:$BT)</f>
        <v>11250</v>
      </c>
      <c r="G21" t="s">
        <v>81</v>
      </c>
    </row>
    <row r="22" spans="1:7" ht="14.25" customHeight="1" x14ac:dyDescent="0.25">
      <c r="A22" s="5" t="s">
        <v>74</v>
      </c>
      <c r="B22" s="7" t="s">
        <v>55</v>
      </c>
      <c r="C22" s="78">
        <f>SUMIF(ORDERS!$E:$E,PENDING!B22,ORDERS!$BT:$BT)</f>
        <v>0</v>
      </c>
    </row>
    <row r="23" spans="1:7" ht="14.25" customHeight="1" x14ac:dyDescent="0.25">
      <c r="A23" s="21" t="s">
        <v>24</v>
      </c>
      <c r="B23" s="22"/>
      <c r="C23" s="23">
        <f>SUM(C2:C22)</f>
        <v>114250</v>
      </c>
    </row>
    <row r="33" spans="14:14" x14ac:dyDescent="0.25">
      <c r="N33" t="s">
        <v>81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&amp;LPRINTED ON &amp;D AT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BY609"/>
  <sheetViews>
    <sheetView showZeros="0" workbookViewId="0">
      <pane ySplit="1" topLeftCell="A52" activePane="bottomLeft" state="frozen"/>
      <selection pane="bottomLeft" activeCell="AF569" sqref="AF569:AF578"/>
    </sheetView>
  </sheetViews>
  <sheetFormatPr defaultRowHeight="15" x14ac:dyDescent="0.25"/>
  <cols>
    <col min="1" max="1" width="6.85546875" customWidth="1"/>
    <col min="2" max="2" width="5.140625" bestFit="1" customWidth="1"/>
    <col min="3" max="3" width="4.42578125" customWidth="1"/>
    <col min="4" max="4" width="6.85546875" customWidth="1"/>
    <col min="5" max="5" width="5.42578125" customWidth="1"/>
    <col min="6" max="6" width="4.42578125" customWidth="1"/>
    <col min="7" max="7" width="6.85546875" customWidth="1"/>
    <col min="8" max="8" width="5.42578125" customWidth="1"/>
    <col min="9" max="9" width="4.42578125" customWidth="1"/>
    <col min="10" max="10" width="6.85546875" customWidth="1"/>
    <col min="11" max="12" width="4.7109375" customWidth="1"/>
    <col min="13" max="14" width="6.7109375" customWidth="1"/>
    <col min="15" max="31" width="4.42578125" customWidth="1"/>
    <col min="32" max="33" width="6.85546875" customWidth="1"/>
    <col min="34" max="34" width="7" bestFit="1" customWidth="1"/>
    <col min="35" max="35" width="6.85546875" bestFit="1" customWidth="1"/>
    <col min="36" max="58" width="3.85546875" customWidth="1"/>
  </cols>
  <sheetData>
    <row r="1" spans="1:77" s="28" customFormat="1" ht="16.5" customHeight="1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15</v>
      </c>
      <c r="J1" s="24" t="s">
        <v>133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133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133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12</v>
      </c>
      <c r="AB1" s="24" t="s">
        <v>133</v>
      </c>
      <c r="AC1" s="24" t="s">
        <v>8</v>
      </c>
      <c r="AD1" s="24" t="s">
        <v>9</v>
      </c>
      <c r="AE1" s="24" t="s">
        <v>10</v>
      </c>
      <c r="AF1" s="24" t="s">
        <v>11</v>
      </c>
      <c r="AG1" s="24" t="s">
        <v>12</v>
      </c>
      <c r="AH1" s="24" t="s">
        <v>133</v>
      </c>
      <c r="AI1" s="24" t="s">
        <v>8</v>
      </c>
      <c r="AJ1" s="24" t="s">
        <v>9</v>
      </c>
      <c r="AK1" s="24" t="s">
        <v>10</v>
      </c>
      <c r="AL1" s="24" t="s">
        <v>11</v>
      </c>
      <c r="AM1" s="24" t="s">
        <v>12</v>
      </c>
      <c r="AN1" s="24" t="s">
        <v>133</v>
      </c>
      <c r="AO1" s="24" t="s">
        <v>8</v>
      </c>
      <c r="AP1" s="24" t="s">
        <v>9</v>
      </c>
      <c r="AQ1" s="24" t="s">
        <v>10</v>
      </c>
      <c r="AR1" s="24" t="s">
        <v>11</v>
      </c>
      <c r="AS1" s="24" t="s">
        <v>12</v>
      </c>
      <c r="AT1" s="24" t="s">
        <v>133</v>
      </c>
      <c r="AU1" s="24" t="s">
        <v>8</v>
      </c>
      <c r="AV1" s="24" t="s">
        <v>9</v>
      </c>
      <c r="AW1" s="24" t="s">
        <v>10</v>
      </c>
      <c r="AX1" s="24" t="s">
        <v>11</v>
      </c>
      <c r="AY1" s="24" t="s">
        <v>12</v>
      </c>
      <c r="AZ1" s="24" t="s">
        <v>133</v>
      </c>
      <c r="BA1" s="24" t="s">
        <v>8</v>
      </c>
      <c r="BB1" s="24" t="s">
        <v>9</v>
      </c>
      <c r="BC1" s="24" t="s">
        <v>10</v>
      </c>
      <c r="BD1" s="24" t="s">
        <v>11</v>
      </c>
      <c r="BE1" s="24" t="s">
        <v>12</v>
      </c>
      <c r="BF1" s="24" t="s">
        <v>133</v>
      </c>
      <c r="BG1" s="24" t="s">
        <v>8</v>
      </c>
      <c r="BH1" s="24" t="s">
        <v>9</v>
      </c>
      <c r="BI1" s="24" t="s">
        <v>10</v>
      </c>
      <c r="BJ1" s="24" t="s">
        <v>11</v>
      </c>
      <c r="BK1" s="24" t="s">
        <v>12</v>
      </c>
      <c r="BL1" s="24" t="s">
        <v>133</v>
      </c>
      <c r="BM1" s="24" t="s">
        <v>8</v>
      </c>
      <c r="BN1" s="24" t="s">
        <v>9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36</v>
      </c>
      <c r="BU1" s="26"/>
      <c r="BV1" s="27"/>
      <c r="BW1" s="27"/>
      <c r="BX1" s="27"/>
      <c r="BY1" s="27"/>
    </row>
    <row r="2" spans="1:77" s="53" customFormat="1" ht="18.75" customHeight="1" thickBot="1" x14ac:dyDescent="0.3"/>
    <row r="3" spans="1:77" s="56" customFormat="1" ht="15.75" thickBot="1" x14ac:dyDescent="0.3">
      <c r="A3" s="48"/>
      <c r="B3" s="49"/>
      <c r="C3" s="20"/>
      <c r="D3" s="20"/>
      <c r="E3" s="20"/>
      <c r="F3" s="20"/>
      <c r="G3" s="20"/>
      <c r="H3" s="20"/>
      <c r="I3" s="20"/>
      <c r="J3" s="48"/>
      <c r="K3" s="48"/>
      <c r="L3" s="48"/>
      <c r="M3" s="20"/>
      <c r="N3" s="20"/>
      <c r="O3" s="48"/>
      <c r="P3" s="48"/>
      <c r="Q3" s="48"/>
      <c r="R3" s="48"/>
      <c r="S3" s="20"/>
      <c r="T3" s="20"/>
      <c r="U3" s="48"/>
      <c r="V3" s="48"/>
      <c r="W3" s="48"/>
      <c r="X3" s="48"/>
      <c r="Y3" s="20"/>
      <c r="Z3" s="20"/>
      <c r="AA3" s="48"/>
      <c r="AB3" s="48"/>
      <c r="AC3" s="48"/>
      <c r="AD3" s="48"/>
      <c r="AE3" s="20"/>
      <c r="AF3" s="20"/>
      <c r="AG3" s="48"/>
      <c r="AH3" s="48"/>
      <c r="AI3" s="48"/>
      <c r="AJ3" s="48"/>
      <c r="AK3" s="20"/>
      <c r="AL3" s="20"/>
      <c r="AM3" s="48"/>
      <c r="AN3" s="48"/>
      <c r="AO3" s="20"/>
      <c r="AP3" s="20"/>
      <c r="AQ3" s="20"/>
      <c r="AR3" s="20"/>
      <c r="AS3" s="20"/>
      <c r="AT3" s="48"/>
      <c r="AU3" s="20"/>
      <c r="AV3" s="20"/>
      <c r="AW3" s="20"/>
      <c r="AX3" s="20"/>
      <c r="AY3" s="20"/>
      <c r="AZ3" s="48"/>
      <c r="BA3" s="20"/>
      <c r="BB3" s="20"/>
      <c r="BC3" s="20"/>
      <c r="BD3" s="20"/>
      <c r="BE3" s="20"/>
      <c r="BF3" s="48"/>
      <c r="BG3" s="20"/>
      <c r="BH3" s="20"/>
      <c r="BI3" s="20"/>
      <c r="BJ3" s="20"/>
      <c r="BK3" s="20"/>
      <c r="BL3" s="48"/>
      <c r="BM3" s="20"/>
      <c r="BN3" s="20"/>
      <c r="BO3" s="20"/>
      <c r="BP3" s="20"/>
      <c r="BQ3" s="20"/>
      <c r="BR3" s="20"/>
      <c r="BS3" s="20"/>
      <c r="BT3" s="55"/>
      <c r="BU3" s="20"/>
      <c r="BV3" s="20"/>
      <c r="BW3" s="20"/>
      <c r="BX3" s="20"/>
      <c r="BY3" s="20"/>
    </row>
    <row r="4" spans="1:77" s="56" customFormat="1" ht="15.75" thickBot="1" x14ac:dyDescent="0.3">
      <c r="A4" s="48"/>
      <c r="B4" s="49"/>
      <c r="C4" s="20"/>
      <c r="D4" s="20"/>
      <c r="E4" s="20"/>
      <c r="F4" s="20"/>
      <c r="G4" s="20"/>
      <c r="H4" s="20"/>
      <c r="I4" s="20"/>
      <c r="J4" s="48"/>
      <c r="K4" s="48"/>
      <c r="L4" s="48"/>
      <c r="M4" s="20"/>
      <c r="N4" s="20"/>
      <c r="O4" s="48"/>
      <c r="P4" s="48"/>
      <c r="Q4" s="48"/>
      <c r="R4" s="48"/>
      <c r="S4" s="20"/>
      <c r="T4" s="20"/>
      <c r="U4" s="48"/>
      <c r="V4" s="48"/>
      <c r="W4" s="48"/>
      <c r="X4" s="48"/>
      <c r="Y4" s="20"/>
      <c r="Z4" s="20"/>
      <c r="AA4" s="48"/>
      <c r="AB4" s="48"/>
      <c r="AC4" s="48"/>
      <c r="AD4" s="48"/>
      <c r="AE4" s="20"/>
      <c r="AF4" s="20"/>
      <c r="AG4" s="48"/>
      <c r="AH4" s="48"/>
      <c r="AI4" s="48"/>
      <c r="AJ4" s="48"/>
      <c r="AK4" s="20"/>
      <c r="AL4" s="20"/>
      <c r="AM4" s="48"/>
      <c r="AN4" s="48"/>
      <c r="AO4" s="20"/>
      <c r="AP4" s="20"/>
      <c r="AQ4" s="20"/>
      <c r="AR4" s="20"/>
      <c r="AS4" s="20"/>
      <c r="AT4" s="48"/>
      <c r="AU4" s="20"/>
      <c r="AV4" s="20"/>
      <c r="AW4" s="20"/>
      <c r="AX4" s="20"/>
      <c r="AY4" s="20"/>
      <c r="AZ4" s="48"/>
      <c r="BA4" s="20"/>
      <c r="BB4" s="20"/>
      <c r="BC4" s="20"/>
      <c r="BD4" s="20"/>
      <c r="BE4" s="20"/>
      <c r="BF4" s="48"/>
      <c r="BG4" s="20"/>
      <c r="BH4" s="20"/>
      <c r="BI4" s="20"/>
      <c r="BJ4" s="20"/>
      <c r="BK4" s="20"/>
      <c r="BL4" s="48"/>
      <c r="BM4" s="20"/>
      <c r="BN4" s="20"/>
      <c r="BO4" s="20"/>
      <c r="BP4" s="20"/>
      <c r="BQ4" s="20"/>
      <c r="BR4" s="20"/>
      <c r="BS4" s="20"/>
      <c r="BT4" s="55"/>
      <c r="BU4" s="20"/>
      <c r="BV4" s="20"/>
      <c r="BW4" s="20"/>
      <c r="BX4" s="20"/>
      <c r="BY4" s="20"/>
    </row>
    <row r="5" spans="1:77" s="56" customFormat="1" ht="15.75" thickBot="1" x14ac:dyDescent="0.3">
      <c r="A5" s="48"/>
      <c r="B5" s="49"/>
      <c r="C5" s="20"/>
      <c r="D5" s="20"/>
      <c r="E5" s="20"/>
      <c r="F5" s="20"/>
      <c r="G5" s="20"/>
      <c r="H5" s="20"/>
      <c r="I5" s="20"/>
      <c r="J5" s="48"/>
      <c r="K5" s="48"/>
      <c r="L5" s="48"/>
      <c r="M5" s="20"/>
      <c r="N5" s="20"/>
      <c r="O5" s="48"/>
      <c r="P5" s="48"/>
      <c r="Q5" s="48"/>
      <c r="R5" s="48"/>
      <c r="S5" s="20"/>
      <c r="T5" s="20"/>
      <c r="U5" s="48"/>
      <c r="V5" s="48"/>
      <c r="W5" s="48"/>
      <c r="X5" s="48"/>
      <c r="Y5" s="20"/>
      <c r="Z5" s="20"/>
      <c r="AA5" s="48"/>
      <c r="AB5" s="48"/>
      <c r="AC5" s="48"/>
      <c r="AD5" s="48"/>
      <c r="AE5" s="20"/>
      <c r="AF5" s="20"/>
      <c r="AG5" s="48"/>
      <c r="AH5" s="48"/>
      <c r="AI5" s="48"/>
      <c r="AJ5" s="48"/>
      <c r="AK5" s="20"/>
      <c r="AL5" s="20"/>
      <c r="AM5" s="48"/>
      <c r="AN5" s="48"/>
      <c r="AO5" s="20"/>
      <c r="AP5" s="20"/>
      <c r="AQ5" s="20"/>
      <c r="AR5" s="20"/>
      <c r="AS5" s="20"/>
      <c r="AT5" s="48"/>
      <c r="AU5" s="20"/>
      <c r="AV5" s="20"/>
      <c r="AW5" s="20"/>
      <c r="AX5" s="20"/>
      <c r="AY5" s="20"/>
      <c r="AZ5" s="48"/>
      <c r="BA5" s="20"/>
      <c r="BB5" s="20"/>
      <c r="BC5" s="20"/>
      <c r="BD5" s="20"/>
      <c r="BE5" s="20"/>
      <c r="BF5" s="48"/>
      <c r="BG5" s="20"/>
      <c r="BH5" s="20"/>
      <c r="BI5" s="20"/>
      <c r="BJ5" s="20"/>
      <c r="BK5" s="20"/>
      <c r="BL5" s="48"/>
      <c r="BM5" s="20"/>
      <c r="BN5" s="20"/>
      <c r="BO5" s="20"/>
      <c r="BP5" s="20"/>
      <c r="BQ5" s="20"/>
      <c r="BR5" s="20"/>
      <c r="BS5" s="20"/>
      <c r="BT5" s="55"/>
      <c r="BU5" s="20"/>
      <c r="BV5" s="20"/>
      <c r="BW5" s="20"/>
      <c r="BX5" s="20"/>
      <c r="BY5" s="20"/>
    </row>
    <row r="6" spans="1:77" s="56" customFormat="1" ht="15.75" thickBot="1" x14ac:dyDescent="0.3">
      <c r="A6" s="48"/>
      <c r="B6" s="49"/>
      <c r="C6" s="20"/>
      <c r="D6" s="20"/>
      <c r="E6" s="20"/>
      <c r="F6" s="20"/>
      <c r="G6" s="20"/>
      <c r="H6" s="20"/>
      <c r="I6" s="20"/>
      <c r="J6" s="48"/>
      <c r="K6" s="48"/>
      <c r="L6" s="48"/>
      <c r="M6" s="20"/>
      <c r="N6" s="20"/>
      <c r="O6" s="48"/>
      <c r="P6" s="48"/>
      <c r="Q6" s="48"/>
      <c r="R6" s="48"/>
      <c r="S6" s="20"/>
      <c r="T6" s="20"/>
      <c r="U6" s="48"/>
      <c r="V6" s="48"/>
      <c r="W6" s="48"/>
      <c r="X6" s="48"/>
      <c r="Y6" s="20"/>
      <c r="Z6" s="20"/>
      <c r="AA6" s="48"/>
      <c r="AB6" s="48"/>
      <c r="AC6" s="48"/>
      <c r="AD6" s="48"/>
      <c r="AE6" s="20"/>
      <c r="AF6" s="20"/>
      <c r="AG6" s="48"/>
      <c r="AH6" s="48"/>
      <c r="AI6" s="48"/>
      <c r="AJ6" s="48"/>
      <c r="AK6" s="20"/>
      <c r="AL6" s="20"/>
      <c r="AM6" s="48"/>
      <c r="AN6" s="48"/>
      <c r="AO6" s="20"/>
      <c r="AP6" s="20"/>
      <c r="AQ6" s="20"/>
      <c r="AR6" s="20"/>
      <c r="AS6" s="20"/>
      <c r="AT6" s="48"/>
      <c r="AU6" s="20"/>
      <c r="AV6" s="20"/>
      <c r="AW6" s="20"/>
      <c r="AX6" s="20"/>
      <c r="AY6" s="20"/>
      <c r="AZ6" s="48"/>
      <c r="BA6" s="20"/>
      <c r="BB6" s="20"/>
      <c r="BC6" s="20"/>
      <c r="BD6" s="20"/>
      <c r="BE6" s="20"/>
      <c r="BF6" s="48"/>
      <c r="BG6" s="20"/>
      <c r="BH6" s="20"/>
      <c r="BI6" s="20"/>
      <c r="BJ6" s="20"/>
      <c r="BK6" s="20"/>
      <c r="BL6" s="48"/>
      <c r="BM6" s="20"/>
      <c r="BN6" s="20"/>
      <c r="BO6" s="20"/>
      <c r="BP6" s="20"/>
      <c r="BQ6" s="20"/>
      <c r="BR6" s="20"/>
      <c r="BS6" s="20"/>
      <c r="BT6" s="55"/>
      <c r="BU6" s="20"/>
      <c r="BV6" s="20"/>
      <c r="BW6" s="20"/>
      <c r="BX6" s="20"/>
      <c r="BY6" s="20"/>
    </row>
    <row r="7" spans="1:77" s="56" customFormat="1" ht="15.75" thickBot="1" x14ac:dyDescent="0.3">
      <c r="A7" s="48"/>
      <c r="B7" s="49"/>
      <c r="C7" s="20"/>
      <c r="D7" s="20"/>
      <c r="E7" s="20"/>
      <c r="F7" s="20"/>
      <c r="G7" s="20"/>
      <c r="H7" s="20"/>
      <c r="I7" s="20"/>
      <c r="J7" s="48"/>
      <c r="K7" s="48"/>
      <c r="L7" s="48"/>
      <c r="M7" s="20"/>
      <c r="N7" s="20"/>
      <c r="O7" s="48"/>
      <c r="P7" s="48"/>
      <c r="Q7" s="48"/>
      <c r="R7" s="48"/>
      <c r="S7" s="20"/>
      <c r="T7" s="20"/>
      <c r="U7" s="48"/>
      <c r="V7" s="48"/>
      <c r="W7" s="48"/>
      <c r="X7" s="48"/>
      <c r="Y7" s="20"/>
      <c r="Z7" s="20"/>
      <c r="AA7" s="48"/>
      <c r="AB7" s="48"/>
      <c r="AC7" s="48"/>
      <c r="AD7" s="48"/>
      <c r="AE7" s="20"/>
      <c r="AF7" s="20"/>
      <c r="AG7" s="48"/>
      <c r="AH7" s="48"/>
      <c r="AI7" s="48"/>
      <c r="AJ7" s="48"/>
      <c r="AK7" s="20"/>
      <c r="AL7" s="20"/>
      <c r="AM7" s="48"/>
      <c r="AN7" s="48"/>
      <c r="AO7" s="20"/>
      <c r="AP7" s="20"/>
      <c r="AQ7" s="20"/>
      <c r="AR7" s="20"/>
      <c r="AS7" s="20"/>
      <c r="AT7" s="48"/>
      <c r="AU7" s="20"/>
      <c r="AV7" s="20"/>
      <c r="AW7" s="20"/>
      <c r="AX7" s="20"/>
      <c r="AY7" s="20"/>
      <c r="AZ7" s="48"/>
      <c r="BA7" s="20"/>
      <c r="BB7" s="20"/>
      <c r="BC7" s="20"/>
      <c r="BD7" s="20"/>
      <c r="BE7" s="20"/>
      <c r="BF7" s="48"/>
      <c r="BG7" s="20"/>
      <c r="BH7" s="20"/>
      <c r="BI7" s="20"/>
      <c r="BJ7" s="20"/>
      <c r="BK7" s="20"/>
      <c r="BL7" s="48"/>
      <c r="BM7" s="20"/>
      <c r="BN7" s="20"/>
      <c r="BO7" s="20"/>
      <c r="BP7" s="20"/>
      <c r="BQ7" s="20"/>
      <c r="BR7" s="20"/>
      <c r="BS7" s="20"/>
      <c r="BT7" s="55"/>
      <c r="BU7" s="20"/>
      <c r="BV7" s="20"/>
      <c r="BW7" s="20"/>
      <c r="BX7" s="20"/>
      <c r="BY7" s="20"/>
    </row>
    <row r="8" spans="1:77" s="56" customFormat="1" ht="15.75" thickBot="1" x14ac:dyDescent="0.3">
      <c r="A8" s="48"/>
      <c r="B8" s="49"/>
      <c r="C8" s="20"/>
      <c r="D8" s="20"/>
      <c r="E8" s="20"/>
      <c r="F8" s="20"/>
      <c r="G8" s="20"/>
      <c r="H8" s="20"/>
      <c r="I8" s="20"/>
      <c r="J8" s="48"/>
      <c r="K8" s="48"/>
      <c r="L8" s="48"/>
      <c r="M8" s="20"/>
      <c r="N8" s="20"/>
      <c r="O8" s="48"/>
      <c r="P8" s="48"/>
      <c r="Q8" s="48"/>
      <c r="R8" s="48"/>
      <c r="S8" s="20"/>
      <c r="T8" s="20"/>
      <c r="U8" s="48"/>
      <c r="V8" s="48"/>
      <c r="W8" s="48"/>
      <c r="X8" s="48"/>
      <c r="Y8" s="20"/>
      <c r="Z8" s="20"/>
      <c r="AA8" s="48"/>
      <c r="AB8" s="48"/>
      <c r="AC8" s="48"/>
      <c r="AD8" s="48"/>
      <c r="AE8" s="20"/>
      <c r="AF8" s="20"/>
      <c r="AG8" s="48"/>
      <c r="AH8" s="48"/>
      <c r="AI8" s="48"/>
      <c r="AJ8" s="48"/>
      <c r="AK8" s="20"/>
      <c r="AL8" s="20"/>
      <c r="AM8" s="48"/>
      <c r="AN8" s="48"/>
      <c r="AO8" s="20"/>
      <c r="AP8" s="20"/>
      <c r="AQ8" s="20"/>
      <c r="AR8" s="20"/>
      <c r="AS8" s="20"/>
      <c r="AT8" s="48"/>
      <c r="AU8" s="20"/>
      <c r="AV8" s="20"/>
      <c r="AW8" s="20"/>
      <c r="AX8" s="20"/>
      <c r="AY8" s="20"/>
      <c r="AZ8" s="48"/>
      <c r="BA8" s="20"/>
      <c r="BB8" s="20"/>
      <c r="BC8" s="20"/>
      <c r="BD8" s="20"/>
      <c r="BE8" s="20"/>
      <c r="BF8" s="48"/>
      <c r="BG8" s="20"/>
      <c r="BH8" s="20"/>
      <c r="BI8" s="20"/>
      <c r="BJ8" s="20"/>
      <c r="BK8" s="20"/>
      <c r="BL8" s="48"/>
      <c r="BM8" s="20"/>
      <c r="BN8" s="20"/>
      <c r="BO8" s="20"/>
      <c r="BP8" s="20"/>
      <c r="BQ8" s="20"/>
      <c r="BR8" s="20"/>
      <c r="BS8" s="20"/>
      <c r="BT8" s="55"/>
      <c r="BU8" s="20"/>
      <c r="BV8" s="20"/>
      <c r="BW8" s="20"/>
      <c r="BX8" s="20"/>
      <c r="BY8" s="20"/>
    </row>
    <row r="9" spans="1:77" s="56" customFormat="1" ht="15.75" thickBot="1" x14ac:dyDescent="0.3">
      <c r="A9" s="48"/>
      <c r="B9" s="49"/>
      <c r="C9" s="20"/>
      <c r="D9" s="20"/>
      <c r="E9" s="20"/>
      <c r="F9" s="20"/>
      <c r="G9" s="20"/>
      <c r="H9" s="20"/>
      <c r="I9" s="20"/>
      <c r="J9" s="48"/>
      <c r="K9" s="48"/>
      <c r="L9" s="48"/>
      <c r="M9" s="20"/>
      <c r="N9" s="20"/>
      <c r="O9" s="48"/>
      <c r="P9" s="48"/>
      <c r="Q9" s="48"/>
      <c r="R9" s="48"/>
      <c r="S9" s="20"/>
      <c r="T9" s="20"/>
      <c r="U9" s="48"/>
      <c r="V9" s="48"/>
      <c r="W9" s="48"/>
      <c r="X9" s="48"/>
      <c r="Y9" s="20"/>
      <c r="Z9" s="20"/>
      <c r="AA9" s="48"/>
      <c r="AB9" s="48"/>
      <c r="AC9" s="48"/>
      <c r="AD9" s="48"/>
      <c r="AE9" s="20"/>
      <c r="AF9" s="20"/>
      <c r="AG9" s="48"/>
      <c r="AH9" s="48"/>
      <c r="AI9" s="48"/>
      <c r="AJ9" s="48"/>
      <c r="AK9" s="20"/>
      <c r="AL9" s="20"/>
      <c r="AM9" s="48"/>
      <c r="AN9" s="48"/>
      <c r="AO9" s="20"/>
      <c r="AP9" s="20"/>
      <c r="AQ9" s="20"/>
      <c r="AR9" s="20"/>
      <c r="AS9" s="20"/>
      <c r="AT9" s="48"/>
      <c r="AU9" s="20"/>
      <c r="AV9" s="20"/>
      <c r="AW9" s="20"/>
      <c r="AX9" s="20"/>
      <c r="AY9" s="20"/>
      <c r="AZ9" s="48"/>
      <c r="BA9" s="20"/>
      <c r="BB9" s="20"/>
      <c r="BC9" s="20"/>
      <c r="BD9" s="20"/>
      <c r="BE9" s="20"/>
      <c r="BF9" s="48"/>
      <c r="BG9" s="20"/>
      <c r="BH9" s="20"/>
      <c r="BI9" s="20"/>
      <c r="BJ9" s="20"/>
      <c r="BK9" s="20"/>
      <c r="BL9" s="48"/>
      <c r="BM9" s="20"/>
      <c r="BN9" s="20"/>
      <c r="BO9" s="20"/>
      <c r="BP9" s="20"/>
      <c r="BQ9" s="20"/>
      <c r="BR9" s="20"/>
      <c r="BS9" s="20"/>
      <c r="BT9" s="55"/>
      <c r="BU9" s="20"/>
      <c r="BV9" s="20"/>
      <c r="BW9" s="20"/>
      <c r="BX9" s="20"/>
      <c r="BY9" s="20"/>
    </row>
    <row r="10" spans="1:77" s="56" customFormat="1" ht="15.75" thickBot="1" x14ac:dyDescent="0.3">
      <c r="A10" s="48"/>
      <c r="B10" s="49"/>
      <c r="C10" s="20"/>
      <c r="D10" s="20"/>
      <c r="E10" s="20"/>
      <c r="F10" s="20"/>
      <c r="G10" s="20"/>
      <c r="H10" s="20"/>
      <c r="I10" s="20"/>
      <c r="J10" s="48"/>
      <c r="K10" s="48"/>
      <c r="L10" s="48"/>
      <c r="M10" s="20"/>
      <c r="N10" s="20"/>
      <c r="O10" s="48"/>
      <c r="P10" s="48"/>
      <c r="Q10" s="48"/>
      <c r="R10" s="48"/>
      <c r="S10" s="20"/>
      <c r="T10" s="20"/>
      <c r="U10" s="48"/>
      <c r="V10" s="48"/>
      <c r="W10" s="48"/>
      <c r="X10" s="48"/>
      <c r="Y10" s="20"/>
      <c r="Z10" s="20"/>
      <c r="AA10" s="48"/>
      <c r="AB10" s="48"/>
      <c r="AC10" s="48"/>
      <c r="AD10" s="48"/>
      <c r="AE10" s="20"/>
      <c r="AF10" s="20"/>
      <c r="AG10" s="48"/>
      <c r="AH10" s="48"/>
      <c r="AI10" s="48"/>
      <c r="AJ10" s="48"/>
      <c r="AK10" s="20"/>
      <c r="AL10" s="20"/>
      <c r="AM10" s="48"/>
      <c r="AN10" s="48"/>
      <c r="AO10" s="20"/>
      <c r="AP10" s="20"/>
      <c r="AQ10" s="20"/>
      <c r="AR10" s="20"/>
      <c r="AS10" s="20"/>
      <c r="AT10" s="48"/>
      <c r="AU10" s="20"/>
      <c r="AV10" s="20"/>
      <c r="AW10" s="20"/>
      <c r="AX10" s="20"/>
      <c r="AY10" s="20"/>
      <c r="AZ10" s="48"/>
      <c r="BA10" s="20"/>
      <c r="BB10" s="20"/>
      <c r="BC10" s="20"/>
      <c r="BD10" s="20"/>
      <c r="BE10" s="20"/>
      <c r="BF10" s="48"/>
      <c r="BG10" s="20"/>
      <c r="BH10" s="20"/>
      <c r="BI10" s="20"/>
      <c r="BJ10" s="20"/>
      <c r="BK10" s="20"/>
      <c r="BL10" s="48"/>
      <c r="BM10" s="20"/>
      <c r="BN10" s="20"/>
      <c r="BO10" s="20"/>
      <c r="BP10" s="20"/>
      <c r="BQ10" s="20"/>
      <c r="BR10" s="20"/>
      <c r="BS10" s="20"/>
      <c r="BT10" s="55"/>
      <c r="BU10" s="20"/>
      <c r="BV10" s="20"/>
      <c r="BW10" s="20"/>
      <c r="BX10" s="20"/>
      <c r="BY10" s="20"/>
    </row>
    <row r="11" spans="1:77" s="56" customFormat="1" ht="15.75" thickBot="1" x14ac:dyDescent="0.3">
      <c r="A11" s="48"/>
      <c r="B11" s="49"/>
      <c r="C11" s="20"/>
      <c r="D11" s="20"/>
      <c r="E11" s="20"/>
      <c r="F11" s="20"/>
      <c r="G11" s="20"/>
      <c r="H11" s="20"/>
      <c r="I11" s="20"/>
      <c r="J11" s="48"/>
      <c r="K11" s="48"/>
      <c r="L11" s="48"/>
      <c r="M11" s="20"/>
      <c r="N11" s="20"/>
      <c r="O11" s="48"/>
      <c r="P11" s="48"/>
      <c r="Q11" s="48"/>
      <c r="R11" s="48"/>
      <c r="S11" s="20"/>
      <c r="T11" s="20"/>
      <c r="U11" s="48"/>
      <c r="V11" s="48"/>
      <c r="W11" s="48"/>
      <c r="X11" s="48"/>
      <c r="Y11" s="20"/>
      <c r="Z11" s="20"/>
      <c r="AA11" s="48"/>
      <c r="AB11" s="48"/>
      <c r="AC11" s="48"/>
      <c r="AD11" s="48"/>
      <c r="AE11" s="20"/>
      <c r="AF11" s="20"/>
      <c r="AG11" s="48"/>
      <c r="AH11" s="48"/>
      <c r="AI11" s="48"/>
      <c r="AJ11" s="48"/>
      <c r="AK11" s="20"/>
      <c r="AL11" s="20"/>
      <c r="AM11" s="48"/>
      <c r="AN11" s="48"/>
      <c r="AO11" s="20"/>
      <c r="AP11" s="20"/>
      <c r="AQ11" s="20"/>
      <c r="AR11" s="20"/>
      <c r="AS11" s="20"/>
      <c r="AT11" s="48"/>
      <c r="AU11" s="20"/>
      <c r="AV11" s="20"/>
      <c r="AW11" s="20"/>
      <c r="AX11" s="20"/>
      <c r="AY11" s="20"/>
      <c r="AZ11" s="48"/>
      <c r="BA11" s="20"/>
      <c r="BB11" s="20"/>
      <c r="BC11" s="20"/>
      <c r="BD11" s="20"/>
      <c r="BE11" s="20"/>
      <c r="BF11" s="48"/>
      <c r="BG11" s="20"/>
      <c r="BH11" s="20"/>
      <c r="BI11" s="20"/>
      <c r="BJ11" s="20"/>
      <c r="BK11" s="20"/>
      <c r="BL11" s="48"/>
      <c r="BM11" s="20"/>
      <c r="BN11" s="20"/>
      <c r="BO11" s="20"/>
      <c r="BP11" s="20"/>
      <c r="BQ11" s="20"/>
      <c r="BR11" s="20"/>
      <c r="BS11" s="20"/>
      <c r="BT11" s="55"/>
      <c r="BU11" s="20"/>
      <c r="BV11" s="20"/>
      <c r="BW11" s="20"/>
      <c r="BX11" s="20"/>
      <c r="BY11" s="20"/>
    </row>
    <row r="12" spans="1:77" s="56" customFormat="1" ht="15.75" thickBot="1" x14ac:dyDescent="0.3">
      <c r="A12" s="3"/>
      <c r="B12" s="2"/>
      <c r="C12" s="1"/>
      <c r="D12" s="1"/>
      <c r="E12" s="1"/>
      <c r="F12" s="1"/>
      <c r="G12" s="1"/>
      <c r="H12" s="1"/>
      <c r="I12" s="1"/>
      <c r="J12" s="3"/>
      <c r="K12" s="3"/>
      <c r="L12" s="1"/>
      <c r="M12" s="1"/>
      <c r="N12" s="3"/>
      <c r="O12" s="3"/>
      <c r="P12" s="3"/>
      <c r="Q12" s="1"/>
      <c r="R12" s="1"/>
      <c r="S12" s="3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9"/>
      <c r="BI12" s="1"/>
      <c r="BJ12" s="77"/>
      <c r="BK12" s="1"/>
      <c r="BL12" s="1"/>
      <c r="BM12" s="1"/>
      <c r="BN12" s="1"/>
      <c r="BO12" s="1"/>
      <c r="BP12" s="1"/>
    </row>
    <row r="13" spans="1:77" s="56" customFormat="1" ht="15.75" thickBot="1" x14ac:dyDescent="0.3">
      <c r="A13" s="3"/>
      <c r="B13" s="2"/>
      <c r="C13" s="1"/>
      <c r="D13" s="1"/>
      <c r="E13" s="1"/>
      <c r="F13" s="1"/>
      <c r="G13" s="1"/>
      <c r="H13" s="1"/>
      <c r="I13" s="1"/>
      <c r="J13" s="3"/>
      <c r="K13" s="3"/>
      <c r="L13" s="1"/>
      <c r="M13" s="1"/>
      <c r="N13" s="3"/>
      <c r="O13" s="3"/>
      <c r="P13" s="3"/>
      <c r="Q13" s="1"/>
      <c r="R13" s="1"/>
      <c r="S13" s="3"/>
      <c r="T13" s="3"/>
      <c r="U13" s="3"/>
      <c r="V13" s="1"/>
      <c r="W13" s="1"/>
      <c r="X13" s="1"/>
      <c r="Y13" s="3"/>
      <c r="Z13" s="3"/>
      <c r="AA13" s="1"/>
      <c r="AB13" s="1"/>
      <c r="AC13" s="3"/>
      <c r="AD13" s="3"/>
      <c r="AE13" s="3"/>
      <c r="AF13" s="1"/>
      <c r="AG13" s="1"/>
      <c r="AH13" s="3"/>
      <c r="AI13" s="3"/>
      <c r="AJ13" s="3"/>
      <c r="AK13" s="1"/>
      <c r="AL13" s="1"/>
      <c r="AM13" s="3"/>
      <c r="AN13" s="3"/>
      <c r="AO13" s="3"/>
      <c r="AP13" s="1"/>
      <c r="AQ13" s="1"/>
      <c r="AR13" s="3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77"/>
      <c r="BK13" s="1"/>
      <c r="BL13" s="1"/>
      <c r="BM13" s="1"/>
      <c r="BN13" s="1"/>
      <c r="BO13" s="1"/>
      <c r="BP13" s="1"/>
    </row>
    <row r="14" spans="1:77" s="56" customFormat="1" ht="15.75" thickBot="1" x14ac:dyDescent="0.3">
      <c r="A14" s="3"/>
      <c r="B14" s="2"/>
      <c r="C14" s="1"/>
      <c r="D14" s="1"/>
      <c r="E14" s="1"/>
      <c r="F14" s="1"/>
      <c r="G14" s="1"/>
      <c r="H14" s="1"/>
      <c r="I14" s="1"/>
      <c r="J14" s="3"/>
      <c r="K14" s="3"/>
      <c r="L14" s="1"/>
      <c r="M14" s="1"/>
      <c r="N14" s="3"/>
      <c r="O14" s="3"/>
      <c r="P14" s="3"/>
      <c r="Q14" s="1"/>
      <c r="R14" s="1"/>
      <c r="S14" s="3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9"/>
      <c r="BI14" s="1"/>
      <c r="BJ14" s="77"/>
      <c r="BK14" s="1"/>
      <c r="BL14" s="1"/>
      <c r="BM14" s="1"/>
      <c r="BN14" s="1"/>
      <c r="BO14" s="1"/>
      <c r="BP14" s="1"/>
    </row>
    <row r="15" spans="1:77" s="56" customFormat="1" ht="18" customHeight="1" thickBot="1" x14ac:dyDescent="0.3">
      <c r="A15" s="3"/>
      <c r="B15" s="2"/>
      <c r="C15" s="1"/>
      <c r="D15" s="1"/>
      <c r="E15" s="1"/>
      <c r="F15" s="1"/>
      <c r="G15" s="1"/>
      <c r="H15" s="1"/>
      <c r="I15" s="1"/>
      <c r="J15" s="3"/>
      <c r="K15" s="3"/>
      <c r="L15" s="1"/>
      <c r="M15" s="1"/>
      <c r="N15" s="3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9"/>
      <c r="BI15" s="1"/>
      <c r="BJ15" s="77"/>
      <c r="BK15" s="1"/>
      <c r="BL15" s="1"/>
      <c r="BM15" s="1"/>
      <c r="BN15" s="1"/>
      <c r="BO15" s="1"/>
      <c r="BP15" s="1"/>
    </row>
    <row r="16" spans="1:77" s="56" customFormat="1" ht="17.25" customHeight="1" thickBot="1" x14ac:dyDescent="0.3">
      <c r="A16" s="3"/>
      <c r="B16" s="2"/>
      <c r="C16" s="1"/>
      <c r="D16" s="1"/>
      <c r="E16" s="1"/>
      <c r="F16" s="1"/>
      <c r="G16" s="1"/>
      <c r="H16" s="1"/>
      <c r="I16" s="1"/>
      <c r="J16" s="3"/>
      <c r="K16" s="3"/>
      <c r="L16" s="1"/>
      <c r="M16" s="1"/>
      <c r="N16" s="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9"/>
      <c r="BI16" s="1"/>
      <c r="BJ16" s="77"/>
      <c r="BK16" s="1"/>
      <c r="BL16" s="1"/>
      <c r="BM16" s="1"/>
      <c r="BN16" s="1"/>
      <c r="BO16" s="1"/>
      <c r="BP16" s="1"/>
    </row>
    <row r="17" spans="1:68" s="56" customFormat="1" ht="15.75" thickBot="1" x14ac:dyDescent="0.3">
      <c r="A17" s="3"/>
      <c r="B17" s="2"/>
      <c r="C17" s="1"/>
      <c r="D17" s="1"/>
      <c r="E17" s="1"/>
      <c r="F17" s="1"/>
      <c r="G17" s="1"/>
      <c r="H17" s="1"/>
      <c r="I17" s="1"/>
      <c r="J17" s="3"/>
      <c r="K17" s="3"/>
      <c r="L17" s="1"/>
      <c r="M17" s="1"/>
      <c r="N17" s="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77"/>
      <c r="BK17" s="1"/>
      <c r="BL17" s="1"/>
      <c r="BM17" s="1"/>
      <c r="BN17" s="1"/>
      <c r="BO17" s="1"/>
      <c r="BP17" s="1"/>
    </row>
    <row r="18" spans="1:68" s="56" customFormat="1" ht="18.75" customHeight="1" thickBot="1" x14ac:dyDescent="0.3">
      <c r="A18" s="3"/>
      <c r="B18" s="2"/>
      <c r="C18" s="1"/>
      <c r="D18" s="1"/>
      <c r="E18" s="1"/>
      <c r="F18" s="3"/>
      <c r="G18" s="1"/>
      <c r="H18" s="1"/>
      <c r="I18" s="1"/>
      <c r="J18" s="3"/>
      <c r="K18" s="3"/>
      <c r="L18" s="1"/>
      <c r="M18" s="1"/>
      <c r="N18" s="3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77"/>
      <c r="BK18" s="1"/>
      <c r="BL18" s="1"/>
      <c r="BM18" s="1"/>
      <c r="BN18" s="1"/>
      <c r="BO18" s="1"/>
      <c r="BP18" s="1"/>
    </row>
    <row r="19" spans="1:68" ht="15.75" thickBot="1" x14ac:dyDescent="0.3">
      <c r="A19" s="3"/>
      <c r="B19" s="2"/>
      <c r="C19" s="1"/>
      <c r="D19" s="1"/>
      <c r="E19" s="1"/>
      <c r="F19" s="1"/>
      <c r="G19" s="1"/>
      <c r="H19" s="1"/>
      <c r="I19" s="1"/>
      <c r="J19" s="3"/>
      <c r="K19" s="3"/>
      <c r="L19" s="1"/>
      <c r="M19" s="1"/>
      <c r="N19" s="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77"/>
      <c r="BK19" s="1"/>
      <c r="BL19" s="1"/>
      <c r="BM19" s="1"/>
      <c r="BN19" s="1"/>
      <c r="BO19" s="1"/>
      <c r="BP19" s="1"/>
    </row>
    <row r="20" spans="1:68" s="73" customFormat="1" ht="15.75" thickBot="1" x14ac:dyDescent="0.3">
      <c r="A20" s="3"/>
      <c r="B20" s="2"/>
      <c r="C20" s="1"/>
      <c r="D20" s="1"/>
      <c r="E20" s="1"/>
      <c r="F20" s="3"/>
      <c r="G20" s="1"/>
      <c r="H20" s="1"/>
      <c r="I20" s="1"/>
      <c r="J20" s="3"/>
      <c r="K20" s="3"/>
      <c r="L20" s="1"/>
      <c r="M20" s="1"/>
      <c r="N20" s="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77"/>
      <c r="BK20" s="1"/>
      <c r="BL20" s="1"/>
      <c r="BM20" s="1"/>
      <c r="BN20" s="1"/>
      <c r="BO20" s="1"/>
      <c r="BP20" s="1"/>
    </row>
    <row r="21" spans="1:68" s="73" customFormat="1" ht="39" customHeight="1" thickBot="1" x14ac:dyDescent="0.3">
      <c r="A21" s="3"/>
      <c r="B21" s="2"/>
      <c r="C21" s="1"/>
      <c r="D21" s="1"/>
      <c r="E21" s="1"/>
      <c r="F21" s="1"/>
      <c r="G21" s="1"/>
      <c r="H21" s="1"/>
      <c r="I21" s="1"/>
      <c r="J21" s="3"/>
      <c r="K21" s="3"/>
      <c r="L21" s="1"/>
      <c r="M21" s="1"/>
      <c r="N21" s="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77"/>
      <c r="BK21" s="1"/>
      <c r="BL21" s="1"/>
      <c r="BM21" s="1"/>
      <c r="BN21" s="1"/>
      <c r="BO21" s="1"/>
      <c r="BP21" s="1"/>
    </row>
    <row r="22" spans="1:68" s="56" customFormat="1" ht="39" customHeight="1" thickBot="1" x14ac:dyDescent="0.3">
      <c r="A22" s="3"/>
      <c r="B22" s="2"/>
      <c r="C22" s="1"/>
      <c r="D22" s="1"/>
      <c r="E22" s="1"/>
      <c r="F22" s="1"/>
      <c r="G22" s="1"/>
      <c r="H22" s="1"/>
      <c r="I22" s="1"/>
      <c r="J22" s="3"/>
      <c r="K22" s="3"/>
      <c r="L22" s="1"/>
      <c r="M22" s="1"/>
      <c r="N22" s="3"/>
      <c r="O22" s="3"/>
      <c r="P22" s="3"/>
      <c r="Q22" s="1"/>
      <c r="R22" s="1"/>
      <c r="S22" s="3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9"/>
      <c r="BI22" s="1"/>
      <c r="BJ22" s="77"/>
      <c r="BK22" s="1"/>
      <c r="BL22" s="1"/>
      <c r="BM22" s="1"/>
      <c r="BN22" s="1"/>
      <c r="BO22" s="1"/>
      <c r="BP22" s="1"/>
    </row>
    <row r="23" spans="1:68" s="56" customFormat="1" ht="18.75" customHeight="1" thickBot="1" x14ac:dyDescent="0.3">
      <c r="A23" s="3"/>
      <c r="B23" s="2"/>
      <c r="C23" s="1"/>
      <c r="D23" s="1"/>
      <c r="E23" s="1"/>
      <c r="F23" s="1"/>
      <c r="G23" s="1"/>
      <c r="H23" s="1"/>
      <c r="I23" s="1"/>
      <c r="J23" s="3"/>
      <c r="K23" s="3"/>
      <c r="L23" s="1"/>
      <c r="M23" s="1"/>
      <c r="N23" s="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9"/>
      <c r="BI23" s="1"/>
      <c r="BJ23" s="77"/>
      <c r="BK23" s="1"/>
      <c r="BL23" s="1"/>
      <c r="BM23" s="1"/>
      <c r="BN23" s="1"/>
      <c r="BO23" s="1"/>
      <c r="BP23" s="1"/>
    </row>
    <row r="24" spans="1:68" s="73" customFormat="1" ht="17.25" customHeight="1" thickBot="1" x14ac:dyDescent="0.3">
      <c r="A24" s="3"/>
      <c r="B24" s="2"/>
      <c r="C24" s="1"/>
      <c r="D24" s="1"/>
      <c r="E24" s="1"/>
      <c r="F24" s="1"/>
      <c r="G24" s="1"/>
      <c r="H24" s="1"/>
      <c r="I24" s="1"/>
      <c r="J24" s="3"/>
      <c r="K24" s="3"/>
      <c r="L24" s="1"/>
      <c r="M24" s="1"/>
      <c r="N24" s="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9"/>
      <c r="BI24" s="1"/>
      <c r="BJ24" s="77"/>
      <c r="BK24" s="1"/>
      <c r="BL24" s="1"/>
      <c r="BM24" s="1"/>
      <c r="BN24" s="1"/>
      <c r="BO24" s="1"/>
      <c r="BP24" s="1"/>
    </row>
    <row r="25" spans="1:68" s="56" customFormat="1" ht="17.45" customHeight="1" thickBot="1" x14ac:dyDescent="0.3">
      <c r="A25" s="75"/>
      <c r="B25" s="49"/>
      <c r="C25" s="20"/>
      <c r="D25" s="20"/>
      <c r="E25" s="20"/>
      <c r="F25" s="20"/>
      <c r="G25" s="20"/>
      <c r="H25" s="20"/>
      <c r="I25" s="20"/>
      <c r="J25" s="48"/>
      <c r="K25" s="48"/>
      <c r="L25" s="20"/>
      <c r="M25" s="20"/>
      <c r="N25" s="48"/>
      <c r="O25" s="48"/>
      <c r="P25" s="48"/>
      <c r="Q25" s="20"/>
      <c r="R25" s="20"/>
      <c r="S25" s="48"/>
      <c r="T25" s="48"/>
      <c r="U25" s="48"/>
      <c r="V25" s="20"/>
      <c r="W25" s="20"/>
      <c r="X25" s="48"/>
      <c r="Y25" s="48"/>
      <c r="Z25" s="48"/>
      <c r="AA25" s="20"/>
      <c r="AB25" s="20"/>
      <c r="AC25" s="48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19"/>
      <c r="BI25" s="20"/>
      <c r="BJ25" s="55"/>
      <c r="BK25" s="20"/>
      <c r="BL25" s="20"/>
      <c r="BM25" s="20"/>
      <c r="BN25" s="20"/>
      <c r="BO25" s="20"/>
      <c r="BP25" s="20"/>
    </row>
    <row r="26" spans="1:68" s="56" customFormat="1" ht="15.75" customHeight="1" thickBot="1" x14ac:dyDescent="0.3">
      <c r="A26" s="75"/>
      <c r="B26" s="49"/>
      <c r="C26" s="20"/>
      <c r="D26" s="20"/>
      <c r="E26" s="20"/>
      <c r="F26" s="20"/>
      <c r="G26" s="20"/>
      <c r="H26" s="20"/>
      <c r="I26" s="20"/>
      <c r="J26" s="48"/>
      <c r="K26" s="48"/>
      <c r="L26" s="20"/>
      <c r="M26" s="20"/>
      <c r="N26" s="48"/>
      <c r="O26" s="48"/>
      <c r="P26" s="48"/>
      <c r="Q26" s="20"/>
      <c r="R26" s="20"/>
      <c r="S26" s="48"/>
      <c r="T26" s="48"/>
      <c r="U26" s="48"/>
      <c r="V26" s="20"/>
      <c r="W26" s="20"/>
      <c r="X26" s="48"/>
      <c r="Y26" s="48"/>
      <c r="Z26" s="48"/>
      <c r="AA26" s="20"/>
      <c r="AB26" s="20"/>
      <c r="AC26" s="48"/>
      <c r="AD26" s="48"/>
      <c r="AE26" s="48"/>
      <c r="AF26" s="20"/>
      <c r="AG26" s="20"/>
      <c r="AH26" s="48"/>
      <c r="AI26" s="48"/>
      <c r="AJ26" s="48"/>
      <c r="AK26" s="20"/>
      <c r="AL26" s="20"/>
      <c r="AM26" s="48"/>
      <c r="AN26" s="48"/>
      <c r="AO26" s="48"/>
      <c r="AP26" s="20"/>
      <c r="AQ26" s="20"/>
      <c r="AR26" s="48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19"/>
      <c r="BJ26" s="55"/>
      <c r="BK26" s="20"/>
      <c r="BL26" s="20"/>
      <c r="BM26" s="20"/>
      <c r="BN26" s="20"/>
      <c r="BO26" s="20"/>
      <c r="BP26" s="20"/>
    </row>
    <row r="27" spans="1:68" s="56" customFormat="1" ht="16.5" customHeight="1" thickBot="1" x14ac:dyDescent="0.3">
      <c r="A27" s="75"/>
      <c r="B27" s="49"/>
      <c r="C27" s="20"/>
      <c r="D27" s="20"/>
      <c r="E27" s="20"/>
      <c r="F27" s="20"/>
      <c r="G27" s="20"/>
      <c r="H27" s="20"/>
      <c r="I27" s="20"/>
      <c r="J27" s="48"/>
      <c r="K27" s="48"/>
      <c r="L27" s="20"/>
      <c r="M27" s="20"/>
      <c r="N27" s="48"/>
      <c r="O27" s="48"/>
      <c r="P27" s="48"/>
      <c r="Q27" s="20"/>
      <c r="R27" s="20"/>
      <c r="S27" s="48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55"/>
      <c r="BK27" s="20"/>
      <c r="BL27" s="20"/>
      <c r="BM27" s="20"/>
      <c r="BN27" s="20"/>
      <c r="BO27" s="20"/>
      <c r="BP27" s="20"/>
    </row>
    <row r="28" spans="1:68" s="56" customFormat="1" ht="17.25" customHeight="1" thickBot="1" x14ac:dyDescent="0.3">
      <c r="A28" s="75"/>
      <c r="B28" s="49"/>
      <c r="C28" s="20"/>
      <c r="D28" s="20"/>
      <c r="E28" s="20"/>
      <c r="F28" s="20"/>
      <c r="G28" s="20"/>
      <c r="H28" s="20"/>
      <c r="I28" s="20"/>
      <c r="J28" s="48"/>
      <c r="K28" s="48"/>
      <c r="L28" s="20"/>
      <c r="M28" s="20"/>
      <c r="N28" s="48"/>
      <c r="O28" s="48"/>
      <c r="P28" s="48"/>
      <c r="Q28" s="20"/>
      <c r="R28" s="20"/>
      <c r="S28" s="48"/>
      <c r="T28" s="48"/>
      <c r="U28" s="48"/>
      <c r="V28" s="20"/>
      <c r="W28" s="20"/>
      <c r="X28" s="48"/>
      <c r="Y28" s="48"/>
      <c r="Z28" s="48"/>
      <c r="AA28" s="20"/>
      <c r="AB28" s="20"/>
      <c r="AC28" s="48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55"/>
      <c r="BK28" s="20"/>
      <c r="BL28" s="20"/>
      <c r="BM28" s="20"/>
      <c r="BN28" s="20"/>
      <c r="BO28" s="20"/>
      <c r="BP28" s="20"/>
    </row>
    <row r="29" spans="1:68" s="56" customFormat="1" ht="18.75" customHeight="1" thickBot="1" x14ac:dyDescent="0.3">
      <c r="A29" s="75"/>
      <c r="B29" s="49"/>
      <c r="C29" s="20"/>
      <c r="D29" s="20"/>
      <c r="E29" s="20"/>
      <c r="F29" s="72"/>
      <c r="G29" s="20"/>
      <c r="H29" s="20"/>
      <c r="I29" s="20"/>
      <c r="J29" s="48"/>
      <c r="K29" s="48"/>
      <c r="L29" s="20"/>
      <c r="M29" s="20"/>
      <c r="N29" s="48"/>
      <c r="O29" s="48"/>
      <c r="P29" s="48"/>
      <c r="Q29" s="20"/>
      <c r="R29" s="20"/>
      <c r="S29" s="48"/>
      <c r="T29" s="48"/>
      <c r="U29" s="48"/>
      <c r="V29" s="20"/>
      <c r="W29" s="20"/>
      <c r="X29" s="19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55"/>
      <c r="BK29" s="20"/>
      <c r="BL29" s="20"/>
      <c r="BM29" s="20"/>
      <c r="BN29" s="20"/>
      <c r="BO29" s="20"/>
      <c r="BP29" s="20"/>
    </row>
    <row r="30" spans="1:68" s="56" customFormat="1" ht="15.75" thickBot="1" x14ac:dyDescent="0.3">
      <c r="A30" s="75"/>
      <c r="B30" s="49"/>
      <c r="C30" s="20"/>
      <c r="D30" s="20"/>
      <c r="E30" s="20"/>
      <c r="F30" s="72"/>
      <c r="G30" s="20"/>
      <c r="H30" s="20"/>
      <c r="I30" s="20"/>
      <c r="J30" s="48"/>
      <c r="K30" s="48"/>
      <c r="L30" s="20"/>
      <c r="M30" s="20"/>
      <c r="N30" s="48"/>
      <c r="O30" s="48"/>
      <c r="P30" s="48"/>
      <c r="Q30" s="20"/>
      <c r="R30" s="20"/>
      <c r="S30" s="48"/>
      <c r="T30" s="48"/>
      <c r="U30" s="48"/>
      <c r="V30" s="20"/>
      <c r="W30" s="20"/>
      <c r="X30" s="48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19"/>
      <c r="BI30" s="20"/>
      <c r="BJ30" s="55"/>
      <c r="BK30" s="20"/>
      <c r="BL30" s="20"/>
      <c r="BM30" s="20"/>
      <c r="BN30" s="20"/>
      <c r="BO30" s="20"/>
      <c r="BP30" s="20"/>
    </row>
    <row r="31" spans="1:68" s="56" customFormat="1" ht="16.5" customHeight="1" thickBot="1" x14ac:dyDescent="0.3">
      <c r="A31" s="75"/>
      <c r="B31" s="49"/>
      <c r="C31" s="20"/>
      <c r="D31" s="20"/>
      <c r="E31" s="20"/>
      <c r="F31" s="20"/>
      <c r="G31" s="20"/>
      <c r="H31" s="20"/>
      <c r="I31" s="20"/>
      <c r="J31" s="48"/>
      <c r="K31" s="48"/>
      <c r="L31" s="20"/>
      <c r="M31" s="20"/>
      <c r="N31" s="48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19"/>
      <c r="BI31" s="20"/>
      <c r="BJ31" s="55"/>
      <c r="BK31" s="20"/>
      <c r="BL31" s="20"/>
      <c r="BM31" s="20"/>
      <c r="BN31" s="20"/>
      <c r="BO31" s="20"/>
      <c r="BP31" s="20"/>
    </row>
    <row r="32" spans="1:68" s="56" customFormat="1" ht="15.75" customHeight="1" thickBot="1" x14ac:dyDescent="0.3">
      <c r="A32" s="75"/>
      <c r="B32" s="49"/>
      <c r="C32" s="20"/>
      <c r="D32" s="20"/>
      <c r="E32" s="20"/>
      <c r="F32" s="20"/>
      <c r="G32" s="20"/>
      <c r="H32" s="20"/>
      <c r="I32" s="20"/>
      <c r="J32" s="48"/>
      <c r="K32" s="48"/>
      <c r="L32" s="20"/>
      <c r="M32" s="20"/>
      <c r="N32" s="48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19"/>
      <c r="BI32" s="20"/>
      <c r="BJ32" s="55"/>
      <c r="BK32" s="20"/>
      <c r="BL32" s="20"/>
      <c r="BM32" s="20"/>
      <c r="BN32" s="20"/>
      <c r="BO32" s="20"/>
      <c r="BP32" s="20"/>
    </row>
    <row r="33" spans="1:68" s="56" customFormat="1" ht="17.45" customHeight="1" thickBot="1" x14ac:dyDescent="0.3">
      <c r="A33" s="75"/>
      <c r="B33" s="49"/>
      <c r="C33" s="20"/>
      <c r="D33" s="20"/>
      <c r="E33" s="20"/>
      <c r="F33" s="20"/>
      <c r="G33" s="20"/>
      <c r="H33" s="20"/>
      <c r="I33" s="20"/>
      <c r="J33" s="48"/>
      <c r="K33" s="48"/>
      <c r="L33" s="20"/>
      <c r="M33" s="20"/>
      <c r="N33" s="48"/>
      <c r="O33" s="48"/>
      <c r="P33" s="48"/>
      <c r="Q33" s="20"/>
      <c r="R33" s="20"/>
      <c r="S33" s="48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19"/>
      <c r="BI33" s="20"/>
      <c r="BJ33" s="55"/>
      <c r="BK33" s="20"/>
      <c r="BL33" s="20"/>
      <c r="BM33" s="20"/>
      <c r="BN33" s="20"/>
      <c r="BO33" s="20"/>
      <c r="BP33" s="20"/>
    </row>
    <row r="34" spans="1:68" s="56" customFormat="1" ht="17.25" customHeight="1" thickBot="1" x14ac:dyDescent="0.3">
      <c r="A34" s="75"/>
      <c r="B34" s="49"/>
      <c r="C34" s="20"/>
      <c r="D34" s="20"/>
      <c r="E34" s="20"/>
      <c r="F34" s="20"/>
      <c r="G34" s="20"/>
      <c r="H34" s="20"/>
      <c r="I34" s="20"/>
      <c r="J34" s="48"/>
      <c r="K34" s="48"/>
      <c r="L34" s="20"/>
      <c r="M34" s="20"/>
      <c r="N34" s="48"/>
      <c r="O34" s="48"/>
      <c r="P34" s="48"/>
      <c r="Q34" s="20"/>
      <c r="R34" s="20"/>
      <c r="S34" s="48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19"/>
      <c r="BI34" s="20"/>
      <c r="BJ34" s="55"/>
      <c r="BK34" s="20"/>
      <c r="BL34" s="20"/>
      <c r="BM34" s="20"/>
      <c r="BN34" s="20"/>
      <c r="BO34" s="20"/>
      <c r="BP34" s="20"/>
    </row>
    <row r="35" spans="1:68" s="56" customFormat="1" ht="17.25" customHeight="1" thickBot="1" x14ac:dyDescent="0.3">
      <c r="A35" s="75"/>
      <c r="B35" s="49"/>
      <c r="C35" s="20"/>
      <c r="D35" s="20"/>
      <c r="E35" s="20"/>
      <c r="F35" s="72"/>
      <c r="G35" s="20"/>
      <c r="H35" s="20"/>
      <c r="I35" s="20"/>
      <c r="J35" s="48"/>
      <c r="K35" s="48"/>
      <c r="L35" s="20"/>
      <c r="M35" s="20"/>
      <c r="N35" s="48"/>
      <c r="O35" s="48"/>
      <c r="P35" s="48"/>
      <c r="Q35" s="20"/>
      <c r="R35" s="20"/>
      <c r="S35" s="48"/>
      <c r="T35" s="48"/>
      <c r="U35" s="48"/>
      <c r="V35" s="20"/>
      <c r="W35" s="20"/>
      <c r="X35" s="48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19"/>
      <c r="BI35" s="20"/>
      <c r="BJ35" s="55"/>
      <c r="BK35" s="20"/>
      <c r="BL35" s="20"/>
      <c r="BM35" s="20"/>
      <c r="BN35" s="20"/>
      <c r="BO35" s="20"/>
      <c r="BP35" s="20"/>
    </row>
    <row r="36" spans="1:68" s="56" customFormat="1" ht="16.5" customHeight="1" thickBot="1" x14ac:dyDescent="0.3">
      <c r="A36" s="75"/>
      <c r="B36" s="49"/>
      <c r="C36" s="20"/>
      <c r="D36" s="20"/>
      <c r="E36" s="20"/>
      <c r="F36" s="20"/>
      <c r="G36" s="20"/>
      <c r="H36" s="20"/>
      <c r="I36" s="20"/>
      <c r="J36" s="48"/>
      <c r="K36" s="48"/>
      <c r="L36" s="20"/>
      <c r="M36" s="20"/>
      <c r="N36" s="48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48"/>
      <c r="BJ36" s="55"/>
      <c r="BK36" s="20"/>
      <c r="BL36" s="20"/>
      <c r="BM36" s="20"/>
      <c r="BN36" s="20"/>
      <c r="BO36" s="20"/>
      <c r="BP36" s="20"/>
    </row>
    <row r="37" spans="1:68" s="56" customFormat="1" ht="15.75" thickBot="1" x14ac:dyDescent="0.3">
      <c r="A37" s="75"/>
      <c r="B37" s="49"/>
      <c r="C37" s="20"/>
      <c r="D37" s="20"/>
      <c r="E37" s="20"/>
      <c r="F37" s="72"/>
      <c r="G37" s="20"/>
      <c r="H37" s="20"/>
      <c r="I37" s="20"/>
      <c r="J37" s="48"/>
      <c r="K37" s="48"/>
      <c r="L37" s="20"/>
      <c r="M37" s="20"/>
      <c r="N37" s="48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55"/>
      <c r="BK37" s="20"/>
      <c r="BL37" s="20"/>
      <c r="BM37" s="20"/>
      <c r="BN37" s="20"/>
      <c r="BO37" s="20"/>
      <c r="BP37" s="20"/>
    </row>
    <row r="38" spans="1:68" s="56" customFormat="1" ht="15.75" customHeight="1" thickBot="1" x14ac:dyDescent="0.3">
      <c r="A38" s="75"/>
      <c r="B38" s="49"/>
      <c r="C38" s="20"/>
      <c r="D38" s="20"/>
      <c r="E38" s="20"/>
      <c r="F38" s="20"/>
      <c r="G38" s="20"/>
      <c r="H38" s="20"/>
      <c r="I38" s="20"/>
      <c r="J38" s="48"/>
      <c r="K38" s="48"/>
      <c r="L38" s="20"/>
      <c r="M38" s="20"/>
      <c r="N38" s="48"/>
      <c r="O38" s="48"/>
      <c r="P38" s="48"/>
      <c r="Q38" s="20"/>
      <c r="R38" s="20"/>
      <c r="S38" s="48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19"/>
      <c r="BI38" s="20"/>
      <c r="BJ38" s="55"/>
      <c r="BK38" s="20"/>
      <c r="BL38" s="20"/>
      <c r="BM38" s="20"/>
      <c r="BN38" s="20"/>
      <c r="BO38" s="20"/>
      <c r="BP38" s="20"/>
    </row>
    <row r="39" spans="1:68" s="56" customFormat="1" ht="16.5" customHeight="1" thickBot="1" x14ac:dyDescent="0.3">
      <c r="A39" s="75"/>
      <c r="B39" s="49"/>
      <c r="C39" s="20"/>
      <c r="D39" s="20"/>
      <c r="E39" s="20"/>
      <c r="F39" s="20"/>
      <c r="G39" s="20"/>
      <c r="H39" s="20"/>
      <c r="I39" s="20"/>
      <c r="J39" s="48"/>
      <c r="K39" s="48"/>
      <c r="L39" s="20"/>
      <c r="M39" s="20"/>
      <c r="N39" s="48"/>
      <c r="O39" s="48"/>
      <c r="P39" s="48"/>
      <c r="Q39" s="20"/>
      <c r="R39" s="20"/>
      <c r="S39" s="48"/>
      <c r="T39" s="48"/>
      <c r="U39" s="48"/>
      <c r="V39" s="20"/>
      <c r="W39" s="20"/>
      <c r="X39" s="48"/>
      <c r="Y39" s="48"/>
      <c r="Z39" s="48"/>
      <c r="AA39" s="20"/>
      <c r="AB39" s="20"/>
      <c r="AC39" s="48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19"/>
      <c r="BJ39" s="55"/>
      <c r="BK39" s="20"/>
      <c r="BL39" s="20"/>
      <c r="BM39" s="20"/>
      <c r="BN39" s="20"/>
      <c r="BO39" s="20"/>
      <c r="BP39" s="20"/>
    </row>
    <row r="40" spans="1:68" s="56" customFormat="1" ht="15.75" thickBot="1" x14ac:dyDescent="0.3">
      <c r="A40" s="75"/>
      <c r="B40" s="49"/>
      <c r="C40" s="20"/>
      <c r="D40" s="20"/>
      <c r="E40" s="20"/>
      <c r="F40" s="20"/>
      <c r="G40" s="20"/>
      <c r="H40" s="20"/>
      <c r="I40" s="20"/>
      <c r="J40" s="48"/>
      <c r="K40" s="48"/>
      <c r="L40" s="20"/>
      <c r="M40" s="20"/>
      <c r="N40" s="48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19"/>
      <c r="BI40" s="20"/>
      <c r="BJ40" s="55"/>
      <c r="BK40" s="20"/>
      <c r="BL40" s="20"/>
      <c r="BM40" s="20"/>
      <c r="BN40" s="20"/>
      <c r="BO40" s="20"/>
      <c r="BP40" s="20"/>
    </row>
    <row r="41" spans="1:68" s="73" customFormat="1" ht="16.5" customHeight="1" thickBot="1" x14ac:dyDescent="0.3">
      <c r="A41" s="75"/>
      <c r="B41" s="49"/>
      <c r="C41" s="20"/>
      <c r="D41" s="20"/>
      <c r="E41" s="20"/>
      <c r="F41" s="20"/>
      <c r="G41" s="20"/>
      <c r="H41" s="20"/>
      <c r="I41" s="20"/>
      <c r="J41" s="48"/>
      <c r="K41" s="48"/>
      <c r="L41" s="20"/>
      <c r="M41" s="20"/>
      <c r="N41" s="48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19"/>
      <c r="BI41" s="20"/>
      <c r="BJ41" s="55"/>
      <c r="BK41" s="20"/>
      <c r="BL41" s="20"/>
      <c r="BM41" s="20"/>
      <c r="BN41" s="20"/>
      <c r="BO41" s="20"/>
      <c r="BP41" s="20"/>
    </row>
    <row r="42" spans="1:68" s="56" customFormat="1" ht="15.75" thickBot="1" x14ac:dyDescent="0.3">
      <c r="A42" s="75"/>
      <c r="B42" s="49"/>
      <c r="C42" s="20"/>
      <c r="D42" s="20"/>
      <c r="E42" s="20"/>
      <c r="F42" s="20"/>
      <c r="G42" s="20"/>
      <c r="H42" s="20"/>
      <c r="I42" s="20"/>
      <c r="J42" s="48"/>
      <c r="K42" s="48"/>
      <c r="L42" s="20"/>
      <c r="M42" s="20"/>
      <c r="N42" s="48"/>
      <c r="O42" s="48"/>
      <c r="P42" s="48"/>
      <c r="Q42" s="20"/>
      <c r="R42" s="20"/>
      <c r="S42" s="48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19"/>
      <c r="BI42" s="20"/>
      <c r="BJ42" s="57"/>
      <c r="BK42" s="20"/>
      <c r="BL42" s="20"/>
      <c r="BM42" s="20"/>
      <c r="BN42" s="20"/>
      <c r="BO42" s="20"/>
      <c r="BP42" s="20"/>
    </row>
    <row r="43" spans="1:68" s="56" customFormat="1" ht="15.75" thickBot="1" x14ac:dyDescent="0.3">
      <c r="A43" s="75"/>
      <c r="B43" s="49"/>
      <c r="C43" s="20"/>
      <c r="D43" s="20"/>
      <c r="E43" s="20"/>
      <c r="F43" s="20"/>
      <c r="G43" s="20"/>
      <c r="H43" s="20"/>
      <c r="I43" s="20"/>
      <c r="J43" s="48"/>
      <c r="K43" s="48"/>
      <c r="L43" s="20"/>
      <c r="M43" s="20"/>
      <c r="N43" s="48"/>
      <c r="O43" s="48"/>
      <c r="P43" s="48"/>
      <c r="Q43" s="20"/>
      <c r="R43" s="20"/>
      <c r="S43" s="48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19"/>
      <c r="BI43" s="20"/>
      <c r="BJ43" s="57"/>
      <c r="BK43" s="20"/>
      <c r="BL43" s="20"/>
      <c r="BM43" s="20"/>
      <c r="BN43" s="20"/>
      <c r="BO43" s="20"/>
      <c r="BP43" s="20"/>
    </row>
    <row r="44" spans="1:68" s="56" customFormat="1" ht="15.75" thickBot="1" x14ac:dyDescent="0.3">
      <c r="A44" s="75"/>
      <c r="B44" s="2"/>
      <c r="C44" s="1"/>
      <c r="D44" s="1"/>
      <c r="E44" s="1"/>
      <c r="F44" s="1"/>
      <c r="G44" s="1"/>
      <c r="H44" s="1"/>
      <c r="I44" s="1"/>
      <c r="J44" s="3"/>
      <c r="K44" s="3"/>
      <c r="L44" s="1"/>
      <c r="M44" s="1"/>
      <c r="N44" s="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9"/>
      <c r="BJ44" s="55"/>
      <c r="BK44" s="1"/>
      <c r="BL44" s="1"/>
      <c r="BM44" s="1"/>
      <c r="BN44" s="1"/>
      <c r="BO44" s="1"/>
    </row>
    <row r="45" spans="1:68" ht="15.75" thickBot="1" x14ac:dyDescent="0.3">
      <c r="A45" s="75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</row>
    <row r="46" spans="1:68" ht="15.75" thickBot="1" x14ac:dyDescent="0.3">
      <c r="A46" s="75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</row>
    <row r="47" spans="1:68" ht="15.75" thickBot="1" x14ac:dyDescent="0.3">
      <c r="A47" s="75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</row>
    <row r="48" spans="1:68" ht="15.75" thickBot="1" x14ac:dyDescent="0.3">
      <c r="A48" s="75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</row>
    <row r="49" spans="1:62" ht="15.75" thickBot="1" x14ac:dyDescent="0.3">
      <c r="A49" s="75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</row>
    <row r="50" spans="1:62" ht="15.75" thickBot="1" x14ac:dyDescent="0.3">
      <c r="A50" s="75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</row>
    <row r="51" spans="1:62" ht="15.75" thickBot="1" x14ac:dyDescent="0.3">
      <c r="A51" s="75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</row>
    <row r="52" spans="1:62" ht="15.75" thickBot="1" x14ac:dyDescent="0.3">
      <c r="A52" s="75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</row>
    <row r="53" spans="1:62" hidden="1" x14ac:dyDescent="0.25">
      <c r="T53" s="121" t="s">
        <v>82</v>
      </c>
      <c r="U53" s="122"/>
      <c r="V53" s="119">
        <v>45999</v>
      </c>
      <c r="W53" s="120"/>
      <c r="X53" s="120"/>
    </row>
    <row r="54" spans="1:62" ht="26.25" hidden="1" x14ac:dyDescent="0.25">
      <c r="H54" s="42" t="s">
        <v>133</v>
      </c>
      <c r="I54" s="42" t="s">
        <v>8</v>
      </c>
      <c r="J54" s="41" t="s">
        <v>9</v>
      </c>
      <c r="K54" s="41" t="s">
        <v>10</v>
      </c>
      <c r="L54" s="41" t="s">
        <v>11</v>
      </c>
      <c r="M54" s="41" t="s">
        <v>12</v>
      </c>
      <c r="U54" s="7"/>
      <c r="V54" s="7"/>
    </row>
    <row r="55" spans="1:62" hidden="1" x14ac:dyDescent="0.25">
      <c r="H55" s="41" t="e">
        <f>#REF!</f>
        <v>#REF!</v>
      </c>
      <c r="I55" s="41" t="e">
        <f>#REF!</f>
        <v>#REF!</v>
      </c>
      <c r="J55" s="41" t="e">
        <f>#REF!</f>
        <v>#REF!</v>
      </c>
      <c r="K55" s="41" t="e">
        <f>#REF!</f>
        <v>#REF!</v>
      </c>
      <c r="L55" s="41" t="e">
        <f>#REF!</f>
        <v>#REF!</v>
      </c>
      <c r="M55" s="41" t="e">
        <f>#REF!</f>
        <v>#REF!</v>
      </c>
      <c r="U55" s="7"/>
      <c r="V55" s="7"/>
    </row>
    <row r="56" spans="1:62" hidden="1" x14ac:dyDescent="0.25">
      <c r="H56" s="41">
        <f t="shared" ref="H56:H86" si="0">J3</f>
        <v>0</v>
      </c>
      <c r="I56" s="41">
        <f t="shared" ref="I56:I86" si="1">K3</f>
        <v>0</v>
      </c>
      <c r="J56" s="41">
        <f t="shared" ref="J56:J86" si="2">L3</f>
        <v>0</v>
      </c>
      <c r="K56" s="41">
        <f t="shared" ref="K56:K86" si="3">M3</f>
        <v>0</v>
      </c>
      <c r="L56" s="41">
        <f t="shared" ref="L56:L86" si="4">N3</f>
        <v>0</v>
      </c>
      <c r="M56" s="41">
        <f t="shared" ref="M56:M86" si="5">O3</f>
        <v>0</v>
      </c>
      <c r="U56" s="7"/>
      <c r="V56" s="7"/>
    </row>
    <row r="57" spans="1:62" hidden="1" x14ac:dyDescent="0.25">
      <c r="H57" s="41">
        <f t="shared" si="0"/>
        <v>0</v>
      </c>
      <c r="I57" s="41">
        <f t="shared" si="1"/>
        <v>0</v>
      </c>
      <c r="J57" s="41">
        <f t="shared" si="2"/>
        <v>0</v>
      </c>
      <c r="K57" s="41">
        <f t="shared" si="3"/>
        <v>0</v>
      </c>
      <c r="L57" s="41">
        <f t="shared" si="4"/>
        <v>0</v>
      </c>
      <c r="M57" s="41">
        <f t="shared" si="5"/>
        <v>0</v>
      </c>
      <c r="U57" s="7"/>
      <c r="V57" s="7"/>
    </row>
    <row r="58" spans="1:62" hidden="1" x14ac:dyDescent="0.25">
      <c r="H58" s="41">
        <f t="shared" si="0"/>
        <v>0</v>
      </c>
      <c r="I58" s="41">
        <f t="shared" si="1"/>
        <v>0</v>
      </c>
      <c r="J58" s="41">
        <f t="shared" si="2"/>
        <v>0</v>
      </c>
      <c r="K58" s="41">
        <f t="shared" si="3"/>
        <v>0</v>
      </c>
      <c r="L58" s="41">
        <f t="shared" si="4"/>
        <v>0</v>
      </c>
      <c r="M58" s="41">
        <f t="shared" si="5"/>
        <v>0</v>
      </c>
      <c r="U58" s="7"/>
      <c r="V58" s="7"/>
    </row>
    <row r="59" spans="1:62" hidden="1" x14ac:dyDescent="0.25">
      <c r="H59" s="41">
        <f t="shared" si="0"/>
        <v>0</v>
      </c>
      <c r="I59" s="41">
        <f t="shared" si="1"/>
        <v>0</v>
      </c>
      <c r="J59" s="41">
        <f t="shared" si="2"/>
        <v>0</v>
      </c>
      <c r="K59" s="41">
        <f t="shared" si="3"/>
        <v>0</v>
      </c>
      <c r="L59" s="41">
        <f t="shared" si="4"/>
        <v>0</v>
      </c>
      <c r="M59" s="41">
        <f t="shared" si="5"/>
        <v>0</v>
      </c>
      <c r="U59" s="7"/>
      <c r="V59" s="7"/>
    </row>
    <row r="60" spans="1:62" hidden="1" x14ac:dyDescent="0.25">
      <c r="H60" s="41">
        <f t="shared" si="0"/>
        <v>0</v>
      </c>
      <c r="I60" s="41">
        <f t="shared" si="1"/>
        <v>0</v>
      </c>
      <c r="J60" s="41">
        <f t="shared" si="2"/>
        <v>0</v>
      </c>
      <c r="K60" s="41">
        <f t="shared" si="3"/>
        <v>0</v>
      </c>
      <c r="L60" s="41">
        <f t="shared" si="4"/>
        <v>0</v>
      </c>
      <c r="M60" s="41">
        <f t="shared" si="5"/>
        <v>0</v>
      </c>
      <c r="U60" s="7"/>
      <c r="V60" s="7"/>
    </row>
    <row r="61" spans="1:62" hidden="1" x14ac:dyDescent="0.25">
      <c r="H61" s="41">
        <f t="shared" si="0"/>
        <v>0</v>
      </c>
      <c r="I61" s="41">
        <f t="shared" si="1"/>
        <v>0</v>
      </c>
      <c r="J61" s="41">
        <f t="shared" si="2"/>
        <v>0</v>
      </c>
      <c r="K61" s="41">
        <f t="shared" si="3"/>
        <v>0</v>
      </c>
      <c r="L61" s="41">
        <f t="shared" si="4"/>
        <v>0</v>
      </c>
      <c r="M61" s="41">
        <f t="shared" si="5"/>
        <v>0</v>
      </c>
      <c r="U61" s="7"/>
      <c r="V61" s="7"/>
    </row>
    <row r="62" spans="1:62" hidden="1" x14ac:dyDescent="0.25">
      <c r="H62" s="41">
        <f t="shared" si="0"/>
        <v>0</v>
      </c>
      <c r="I62" s="41">
        <f t="shared" si="1"/>
        <v>0</v>
      </c>
      <c r="J62" s="41">
        <f t="shared" si="2"/>
        <v>0</v>
      </c>
      <c r="K62" s="41">
        <f t="shared" si="3"/>
        <v>0</v>
      </c>
      <c r="L62" s="41">
        <f t="shared" si="4"/>
        <v>0</v>
      </c>
      <c r="M62" s="41">
        <f t="shared" si="5"/>
        <v>0</v>
      </c>
      <c r="U62" s="7"/>
      <c r="V62" s="7"/>
    </row>
    <row r="63" spans="1:62" hidden="1" x14ac:dyDescent="0.25">
      <c r="H63" s="41">
        <f t="shared" si="0"/>
        <v>0</v>
      </c>
      <c r="I63" s="41">
        <f t="shared" si="1"/>
        <v>0</v>
      </c>
      <c r="J63" s="41">
        <f t="shared" si="2"/>
        <v>0</v>
      </c>
      <c r="K63" s="41">
        <f t="shared" si="3"/>
        <v>0</v>
      </c>
      <c r="L63" s="41">
        <f t="shared" si="4"/>
        <v>0</v>
      </c>
      <c r="M63" s="41">
        <f t="shared" si="5"/>
        <v>0</v>
      </c>
      <c r="U63" s="7"/>
      <c r="V63" s="7"/>
    </row>
    <row r="64" spans="1:62" hidden="1" x14ac:dyDescent="0.25">
      <c r="H64" s="41">
        <f t="shared" si="0"/>
        <v>0</v>
      </c>
      <c r="I64" s="41">
        <f t="shared" si="1"/>
        <v>0</v>
      </c>
      <c r="J64" s="41">
        <f t="shared" si="2"/>
        <v>0</v>
      </c>
      <c r="K64" s="41">
        <f t="shared" si="3"/>
        <v>0</v>
      </c>
      <c r="L64" s="41">
        <f t="shared" si="4"/>
        <v>0</v>
      </c>
      <c r="M64" s="41">
        <f t="shared" si="5"/>
        <v>0</v>
      </c>
      <c r="U64" s="7"/>
      <c r="V64" s="7"/>
    </row>
    <row r="65" spans="8:22" hidden="1" x14ac:dyDescent="0.25">
      <c r="H65" s="41">
        <f t="shared" si="0"/>
        <v>0</v>
      </c>
      <c r="I65" s="41">
        <f t="shared" si="1"/>
        <v>0</v>
      </c>
      <c r="J65" s="41">
        <f t="shared" si="2"/>
        <v>0</v>
      </c>
      <c r="K65" s="41">
        <f t="shared" si="3"/>
        <v>0</v>
      </c>
      <c r="L65" s="41">
        <f t="shared" si="4"/>
        <v>0</v>
      </c>
      <c r="M65" s="41">
        <f t="shared" si="5"/>
        <v>0</v>
      </c>
      <c r="U65" s="7"/>
      <c r="V65" s="7"/>
    </row>
    <row r="66" spans="8:22" hidden="1" x14ac:dyDescent="0.25">
      <c r="H66" s="41">
        <f t="shared" si="0"/>
        <v>0</v>
      </c>
      <c r="I66" s="41">
        <f t="shared" si="1"/>
        <v>0</v>
      </c>
      <c r="J66" s="41">
        <f t="shared" si="2"/>
        <v>0</v>
      </c>
      <c r="K66" s="41">
        <f t="shared" si="3"/>
        <v>0</v>
      </c>
      <c r="L66" s="41">
        <f t="shared" si="4"/>
        <v>0</v>
      </c>
      <c r="M66" s="41">
        <f t="shared" si="5"/>
        <v>0</v>
      </c>
      <c r="U66" s="7"/>
      <c r="V66" s="7"/>
    </row>
    <row r="67" spans="8:22" hidden="1" x14ac:dyDescent="0.25">
      <c r="H67" s="41">
        <f t="shared" si="0"/>
        <v>0</v>
      </c>
      <c r="I67" s="41">
        <f t="shared" si="1"/>
        <v>0</v>
      </c>
      <c r="J67" s="41">
        <f t="shared" si="2"/>
        <v>0</v>
      </c>
      <c r="K67" s="41">
        <f t="shared" si="3"/>
        <v>0</v>
      </c>
      <c r="L67" s="41">
        <f t="shared" si="4"/>
        <v>0</v>
      </c>
      <c r="M67" s="41">
        <f t="shared" si="5"/>
        <v>0</v>
      </c>
      <c r="U67" s="7"/>
      <c r="V67" s="7"/>
    </row>
    <row r="68" spans="8:22" hidden="1" x14ac:dyDescent="0.25">
      <c r="H68" s="41">
        <f t="shared" si="0"/>
        <v>0</v>
      </c>
      <c r="I68" s="41">
        <f t="shared" si="1"/>
        <v>0</v>
      </c>
      <c r="J68" s="41">
        <f t="shared" si="2"/>
        <v>0</v>
      </c>
      <c r="K68" s="41">
        <f t="shared" si="3"/>
        <v>0</v>
      </c>
      <c r="L68" s="41">
        <f t="shared" si="4"/>
        <v>0</v>
      </c>
      <c r="M68" s="41">
        <f t="shared" si="5"/>
        <v>0</v>
      </c>
      <c r="U68" s="7"/>
      <c r="V68" s="7"/>
    </row>
    <row r="69" spans="8:22" hidden="1" x14ac:dyDescent="0.25">
      <c r="H69" s="41">
        <f t="shared" si="0"/>
        <v>0</v>
      </c>
      <c r="I69" s="41">
        <f t="shared" si="1"/>
        <v>0</v>
      </c>
      <c r="J69" s="41">
        <f t="shared" si="2"/>
        <v>0</v>
      </c>
      <c r="K69" s="41">
        <f t="shared" si="3"/>
        <v>0</v>
      </c>
      <c r="L69" s="41">
        <f t="shared" si="4"/>
        <v>0</v>
      </c>
      <c r="M69" s="41">
        <f t="shared" si="5"/>
        <v>0</v>
      </c>
      <c r="U69" s="7"/>
      <c r="V69" s="7"/>
    </row>
    <row r="70" spans="8:22" hidden="1" x14ac:dyDescent="0.25">
      <c r="H70" s="41">
        <f t="shared" si="0"/>
        <v>0</v>
      </c>
      <c r="I70" s="41">
        <f t="shared" si="1"/>
        <v>0</v>
      </c>
      <c r="J70" s="41">
        <f t="shared" si="2"/>
        <v>0</v>
      </c>
      <c r="K70" s="41">
        <f t="shared" si="3"/>
        <v>0</v>
      </c>
      <c r="L70" s="41">
        <f t="shared" si="4"/>
        <v>0</v>
      </c>
      <c r="M70" s="41">
        <f t="shared" si="5"/>
        <v>0</v>
      </c>
      <c r="U70" s="7"/>
      <c r="V70" s="7"/>
    </row>
    <row r="71" spans="8:22" hidden="1" x14ac:dyDescent="0.25">
      <c r="H71" s="41">
        <f t="shared" si="0"/>
        <v>0</v>
      </c>
      <c r="I71" s="41">
        <f t="shared" si="1"/>
        <v>0</v>
      </c>
      <c r="J71" s="41">
        <f t="shared" si="2"/>
        <v>0</v>
      </c>
      <c r="K71" s="41">
        <f t="shared" si="3"/>
        <v>0</v>
      </c>
      <c r="L71" s="41">
        <f t="shared" si="4"/>
        <v>0</v>
      </c>
      <c r="M71" s="41">
        <f t="shared" si="5"/>
        <v>0</v>
      </c>
      <c r="U71" s="7"/>
      <c r="V71" s="7"/>
    </row>
    <row r="72" spans="8:22" hidden="1" x14ac:dyDescent="0.25">
      <c r="H72" s="41">
        <f t="shared" si="0"/>
        <v>0</v>
      </c>
      <c r="I72" s="41">
        <f t="shared" si="1"/>
        <v>0</v>
      </c>
      <c r="J72" s="41">
        <f t="shared" si="2"/>
        <v>0</v>
      </c>
      <c r="K72" s="41">
        <f t="shared" si="3"/>
        <v>0</v>
      </c>
      <c r="L72" s="41">
        <f t="shared" si="4"/>
        <v>0</v>
      </c>
      <c r="M72" s="41">
        <f t="shared" si="5"/>
        <v>0</v>
      </c>
      <c r="U72" s="7"/>
      <c r="V72" s="7"/>
    </row>
    <row r="73" spans="8:22" hidden="1" x14ac:dyDescent="0.25">
      <c r="H73" s="41">
        <f t="shared" si="0"/>
        <v>0</v>
      </c>
      <c r="I73" s="41">
        <f t="shared" si="1"/>
        <v>0</v>
      </c>
      <c r="J73" s="41">
        <f t="shared" si="2"/>
        <v>0</v>
      </c>
      <c r="K73" s="41">
        <f t="shared" si="3"/>
        <v>0</v>
      </c>
      <c r="L73" s="41">
        <f t="shared" si="4"/>
        <v>0</v>
      </c>
      <c r="M73" s="41">
        <f t="shared" si="5"/>
        <v>0</v>
      </c>
      <c r="U73" s="7"/>
      <c r="V73" s="7"/>
    </row>
    <row r="74" spans="8:22" hidden="1" x14ac:dyDescent="0.25">
      <c r="H74" s="41">
        <f t="shared" si="0"/>
        <v>0</v>
      </c>
      <c r="I74" s="41">
        <f t="shared" si="1"/>
        <v>0</v>
      </c>
      <c r="J74" s="41">
        <f t="shared" si="2"/>
        <v>0</v>
      </c>
      <c r="K74" s="41">
        <f t="shared" si="3"/>
        <v>0</v>
      </c>
      <c r="L74" s="41">
        <f t="shared" si="4"/>
        <v>0</v>
      </c>
      <c r="M74" s="41">
        <f t="shared" si="5"/>
        <v>0</v>
      </c>
      <c r="U74" s="7"/>
      <c r="V74" s="7"/>
    </row>
    <row r="75" spans="8:22" hidden="1" x14ac:dyDescent="0.25">
      <c r="H75" s="41">
        <f t="shared" si="0"/>
        <v>0</v>
      </c>
      <c r="I75" s="41">
        <f t="shared" si="1"/>
        <v>0</v>
      </c>
      <c r="J75" s="41">
        <f t="shared" si="2"/>
        <v>0</v>
      </c>
      <c r="K75" s="41">
        <f t="shared" si="3"/>
        <v>0</v>
      </c>
      <c r="L75" s="41">
        <f t="shared" si="4"/>
        <v>0</v>
      </c>
      <c r="M75" s="41">
        <f t="shared" si="5"/>
        <v>0</v>
      </c>
      <c r="U75" s="7"/>
      <c r="V75" s="7"/>
    </row>
    <row r="76" spans="8:22" hidden="1" x14ac:dyDescent="0.25">
      <c r="H76" s="41">
        <f t="shared" si="0"/>
        <v>0</v>
      </c>
      <c r="I76" s="41">
        <f t="shared" si="1"/>
        <v>0</v>
      </c>
      <c r="J76" s="41">
        <f t="shared" si="2"/>
        <v>0</v>
      </c>
      <c r="K76" s="41">
        <f t="shared" si="3"/>
        <v>0</v>
      </c>
      <c r="L76" s="41">
        <f t="shared" si="4"/>
        <v>0</v>
      </c>
      <c r="M76" s="41">
        <f t="shared" si="5"/>
        <v>0</v>
      </c>
      <c r="U76" s="7"/>
      <c r="V76" s="7"/>
    </row>
    <row r="77" spans="8:22" hidden="1" x14ac:dyDescent="0.25">
      <c r="H77" s="41">
        <f t="shared" si="0"/>
        <v>0</v>
      </c>
      <c r="I77" s="41">
        <f t="shared" si="1"/>
        <v>0</v>
      </c>
      <c r="J77" s="41">
        <f t="shared" si="2"/>
        <v>0</v>
      </c>
      <c r="K77" s="41">
        <f t="shared" si="3"/>
        <v>0</v>
      </c>
      <c r="L77" s="41">
        <f t="shared" si="4"/>
        <v>0</v>
      </c>
      <c r="M77" s="41">
        <f t="shared" si="5"/>
        <v>0</v>
      </c>
      <c r="U77" s="7"/>
      <c r="V77" s="7"/>
    </row>
    <row r="78" spans="8:22" hidden="1" x14ac:dyDescent="0.25">
      <c r="H78" s="41">
        <f t="shared" si="0"/>
        <v>0</v>
      </c>
      <c r="I78" s="41">
        <f t="shared" si="1"/>
        <v>0</v>
      </c>
      <c r="J78" s="41">
        <f t="shared" si="2"/>
        <v>0</v>
      </c>
      <c r="K78" s="41">
        <f t="shared" si="3"/>
        <v>0</v>
      </c>
      <c r="L78" s="41">
        <f t="shared" si="4"/>
        <v>0</v>
      </c>
      <c r="M78" s="41">
        <f t="shared" si="5"/>
        <v>0</v>
      </c>
      <c r="U78" s="7"/>
      <c r="V78" s="7"/>
    </row>
    <row r="79" spans="8:22" hidden="1" x14ac:dyDescent="0.25">
      <c r="H79" s="41">
        <f t="shared" si="0"/>
        <v>0</v>
      </c>
      <c r="I79" s="41">
        <f t="shared" si="1"/>
        <v>0</v>
      </c>
      <c r="J79" s="41">
        <f t="shared" si="2"/>
        <v>0</v>
      </c>
      <c r="K79" s="41">
        <f t="shared" si="3"/>
        <v>0</v>
      </c>
      <c r="L79" s="41">
        <f t="shared" si="4"/>
        <v>0</v>
      </c>
      <c r="M79" s="41">
        <f t="shared" si="5"/>
        <v>0</v>
      </c>
      <c r="U79" s="7"/>
      <c r="V79" s="7"/>
    </row>
    <row r="80" spans="8:22" hidden="1" x14ac:dyDescent="0.25">
      <c r="H80" s="41">
        <f t="shared" si="0"/>
        <v>0</v>
      </c>
      <c r="I80" s="41">
        <f t="shared" si="1"/>
        <v>0</v>
      </c>
      <c r="J80" s="41">
        <f t="shared" si="2"/>
        <v>0</v>
      </c>
      <c r="K80" s="41">
        <f t="shared" si="3"/>
        <v>0</v>
      </c>
      <c r="L80" s="41">
        <f t="shared" si="4"/>
        <v>0</v>
      </c>
      <c r="M80" s="41">
        <f t="shared" si="5"/>
        <v>0</v>
      </c>
      <c r="U80" s="7"/>
      <c r="V80" s="7"/>
    </row>
    <row r="81" spans="8:22" hidden="1" x14ac:dyDescent="0.25">
      <c r="H81" s="41">
        <f t="shared" si="0"/>
        <v>0</v>
      </c>
      <c r="I81" s="41">
        <f t="shared" si="1"/>
        <v>0</v>
      </c>
      <c r="J81" s="41">
        <f t="shared" si="2"/>
        <v>0</v>
      </c>
      <c r="K81" s="41">
        <f t="shared" si="3"/>
        <v>0</v>
      </c>
      <c r="L81" s="41">
        <f t="shared" si="4"/>
        <v>0</v>
      </c>
      <c r="M81" s="41">
        <f t="shared" si="5"/>
        <v>0</v>
      </c>
      <c r="U81" s="7"/>
      <c r="V81" s="7"/>
    </row>
    <row r="82" spans="8:22" hidden="1" x14ac:dyDescent="0.25">
      <c r="H82" s="41">
        <f t="shared" si="0"/>
        <v>0</v>
      </c>
      <c r="I82" s="41">
        <f t="shared" si="1"/>
        <v>0</v>
      </c>
      <c r="J82" s="41">
        <f t="shared" si="2"/>
        <v>0</v>
      </c>
      <c r="K82" s="41">
        <f t="shared" si="3"/>
        <v>0</v>
      </c>
      <c r="L82" s="41">
        <f t="shared" si="4"/>
        <v>0</v>
      </c>
      <c r="M82" s="41">
        <f t="shared" si="5"/>
        <v>0</v>
      </c>
      <c r="U82" s="7"/>
      <c r="V82" s="7"/>
    </row>
    <row r="83" spans="8:22" hidden="1" x14ac:dyDescent="0.25">
      <c r="H83" s="41">
        <f t="shared" si="0"/>
        <v>0</v>
      </c>
      <c r="I83" s="41">
        <f t="shared" si="1"/>
        <v>0</v>
      </c>
      <c r="J83" s="41">
        <f t="shared" si="2"/>
        <v>0</v>
      </c>
      <c r="K83" s="41">
        <f t="shared" si="3"/>
        <v>0</v>
      </c>
      <c r="L83" s="41">
        <f t="shared" si="4"/>
        <v>0</v>
      </c>
      <c r="M83" s="41">
        <f t="shared" si="5"/>
        <v>0</v>
      </c>
      <c r="U83" s="7"/>
      <c r="V83" s="7"/>
    </row>
    <row r="84" spans="8:22" hidden="1" x14ac:dyDescent="0.25">
      <c r="H84" s="41">
        <f t="shared" si="0"/>
        <v>0</v>
      </c>
      <c r="I84" s="41">
        <f t="shared" si="1"/>
        <v>0</v>
      </c>
      <c r="J84" s="41">
        <f t="shared" si="2"/>
        <v>0</v>
      </c>
      <c r="K84" s="41">
        <f t="shared" si="3"/>
        <v>0</v>
      </c>
      <c r="L84" s="41">
        <f t="shared" si="4"/>
        <v>0</v>
      </c>
      <c r="M84" s="41">
        <f t="shared" si="5"/>
        <v>0</v>
      </c>
      <c r="U84" s="7"/>
      <c r="V84" s="7"/>
    </row>
    <row r="85" spans="8:22" hidden="1" x14ac:dyDescent="0.25">
      <c r="H85" s="41">
        <f t="shared" si="0"/>
        <v>0</v>
      </c>
      <c r="I85" s="41">
        <f t="shared" si="1"/>
        <v>0</v>
      </c>
      <c r="J85" s="41">
        <f t="shared" si="2"/>
        <v>0</v>
      </c>
      <c r="K85" s="41">
        <f t="shared" si="3"/>
        <v>0</v>
      </c>
      <c r="L85" s="41">
        <f t="shared" si="4"/>
        <v>0</v>
      </c>
      <c r="M85" s="41">
        <f t="shared" si="5"/>
        <v>0</v>
      </c>
      <c r="U85" s="7"/>
      <c r="V85" s="7"/>
    </row>
    <row r="86" spans="8:22" hidden="1" x14ac:dyDescent="0.25">
      <c r="H86" s="41">
        <f t="shared" si="0"/>
        <v>0</v>
      </c>
      <c r="I86" s="41">
        <f t="shared" si="1"/>
        <v>0</v>
      </c>
      <c r="J86" s="41">
        <f t="shared" si="2"/>
        <v>0</v>
      </c>
      <c r="K86" s="41">
        <f t="shared" si="3"/>
        <v>0</v>
      </c>
      <c r="L86" s="41">
        <f t="shared" si="4"/>
        <v>0</v>
      </c>
      <c r="M86" s="41">
        <f t="shared" si="5"/>
        <v>0</v>
      </c>
      <c r="U86" s="7"/>
      <c r="V86" s="7"/>
    </row>
    <row r="87" spans="8:22" hidden="1" x14ac:dyDescent="0.25">
      <c r="H87" s="41">
        <f t="shared" ref="H87:H105" si="6">J34</f>
        <v>0</v>
      </c>
      <c r="I87" s="41">
        <f t="shared" ref="I87:I105" si="7">K34</f>
        <v>0</v>
      </c>
      <c r="J87" s="41">
        <f t="shared" ref="J87:J105" si="8">L34</f>
        <v>0</v>
      </c>
      <c r="K87" s="41">
        <f t="shared" ref="K87:K105" si="9">M34</f>
        <v>0</v>
      </c>
      <c r="L87" s="41">
        <f t="shared" ref="L87:L105" si="10">N34</f>
        <v>0</v>
      </c>
      <c r="M87" s="41">
        <f t="shared" ref="M87:M105" si="11">O34</f>
        <v>0</v>
      </c>
      <c r="U87" s="7"/>
      <c r="V87" s="7"/>
    </row>
    <row r="88" spans="8:22" hidden="1" x14ac:dyDescent="0.25">
      <c r="H88" s="41">
        <f t="shared" si="6"/>
        <v>0</v>
      </c>
      <c r="I88" s="41">
        <f t="shared" si="7"/>
        <v>0</v>
      </c>
      <c r="J88" s="41">
        <f t="shared" si="8"/>
        <v>0</v>
      </c>
      <c r="K88" s="41">
        <f t="shared" si="9"/>
        <v>0</v>
      </c>
      <c r="L88" s="41">
        <f t="shared" si="10"/>
        <v>0</v>
      </c>
      <c r="M88" s="41">
        <f t="shared" si="11"/>
        <v>0</v>
      </c>
      <c r="U88" s="7"/>
      <c r="V88" s="7"/>
    </row>
    <row r="89" spans="8:22" hidden="1" x14ac:dyDescent="0.25">
      <c r="H89" s="41">
        <f t="shared" si="6"/>
        <v>0</v>
      </c>
      <c r="I89" s="41">
        <f t="shared" si="7"/>
        <v>0</v>
      </c>
      <c r="J89" s="41">
        <f t="shared" si="8"/>
        <v>0</v>
      </c>
      <c r="K89" s="41">
        <f t="shared" si="9"/>
        <v>0</v>
      </c>
      <c r="L89" s="41">
        <f t="shared" si="10"/>
        <v>0</v>
      </c>
      <c r="M89" s="41">
        <f t="shared" si="11"/>
        <v>0</v>
      </c>
      <c r="U89" s="7"/>
      <c r="V89" s="7"/>
    </row>
    <row r="90" spans="8:22" hidden="1" x14ac:dyDescent="0.25">
      <c r="H90" s="41">
        <f t="shared" si="6"/>
        <v>0</v>
      </c>
      <c r="I90" s="41">
        <f t="shared" si="7"/>
        <v>0</v>
      </c>
      <c r="J90" s="41">
        <f t="shared" si="8"/>
        <v>0</v>
      </c>
      <c r="K90" s="41">
        <f t="shared" si="9"/>
        <v>0</v>
      </c>
      <c r="L90" s="41">
        <f t="shared" si="10"/>
        <v>0</v>
      </c>
      <c r="M90" s="41">
        <f t="shared" si="11"/>
        <v>0</v>
      </c>
      <c r="U90" s="7"/>
      <c r="V90" s="7"/>
    </row>
    <row r="91" spans="8:22" hidden="1" x14ac:dyDescent="0.25">
      <c r="H91" s="41">
        <f t="shared" si="6"/>
        <v>0</v>
      </c>
      <c r="I91" s="41">
        <f t="shared" si="7"/>
        <v>0</v>
      </c>
      <c r="J91" s="41">
        <f t="shared" si="8"/>
        <v>0</v>
      </c>
      <c r="K91" s="41">
        <f t="shared" si="9"/>
        <v>0</v>
      </c>
      <c r="L91" s="41">
        <f t="shared" si="10"/>
        <v>0</v>
      </c>
      <c r="M91" s="41">
        <f t="shared" si="11"/>
        <v>0</v>
      </c>
      <c r="U91" s="7"/>
      <c r="V91" s="7"/>
    </row>
    <row r="92" spans="8:22" hidden="1" x14ac:dyDescent="0.25">
      <c r="H92" s="41">
        <f t="shared" si="6"/>
        <v>0</v>
      </c>
      <c r="I92" s="41">
        <f t="shared" si="7"/>
        <v>0</v>
      </c>
      <c r="J92" s="41">
        <f t="shared" si="8"/>
        <v>0</v>
      </c>
      <c r="K92" s="41">
        <f t="shared" si="9"/>
        <v>0</v>
      </c>
      <c r="L92" s="41">
        <f t="shared" si="10"/>
        <v>0</v>
      </c>
      <c r="M92" s="41">
        <f t="shared" si="11"/>
        <v>0</v>
      </c>
      <c r="U92" s="7"/>
      <c r="V92" s="7"/>
    </row>
    <row r="93" spans="8:22" hidden="1" x14ac:dyDescent="0.25">
      <c r="H93" s="41">
        <f t="shared" si="6"/>
        <v>0</v>
      </c>
      <c r="I93" s="41">
        <f t="shared" si="7"/>
        <v>0</v>
      </c>
      <c r="J93" s="41">
        <f t="shared" si="8"/>
        <v>0</v>
      </c>
      <c r="K93" s="41">
        <f t="shared" si="9"/>
        <v>0</v>
      </c>
      <c r="L93" s="41">
        <f t="shared" si="10"/>
        <v>0</v>
      </c>
      <c r="M93" s="41">
        <f t="shared" si="11"/>
        <v>0</v>
      </c>
      <c r="U93" s="7"/>
      <c r="V93" s="7"/>
    </row>
    <row r="94" spans="8:22" hidden="1" x14ac:dyDescent="0.25">
      <c r="H94" s="41">
        <f t="shared" si="6"/>
        <v>0</v>
      </c>
      <c r="I94" s="41">
        <f t="shared" si="7"/>
        <v>0</v>
      </c>
      <c r="J94" s="41">
        <f t="shared" si="8"/>
        <v>0</v>
      </c>
      <c r="K94" s="41">
        <f t="shared" si="9"/>
        <v>0</v>
      </c>
      <c r="L94" s="41">
        <f t="shared" si="10"/>
        <v>0</v>
      </c>
      <c r="M94" s="41">
        <f t="shared" si="11"/>
        <v>0</v>
      </c>
      <c r="U94" s="7"/>
      <c r="V94" s="7"/>
    </row>
    <row r="95" spans="8:22" hidden="1" x14ac:dyDescent="0.25">
      <c r="H95" s="41">
        <f t="shared" si="6"/>
        <v>0</v>
      </c>
      <c r="I95" s="41">
        <f t="shared" si="7"/>
        <v>0</v>
      </c>
      <c r="J95" s="41">
        <f t="shared" si="8"/>
        <v>0</v>
      </c>
      <c r="K95" s="41">
        <f t="shared" si="9"/>
        <v>0</v>
      </c>
      <c r="L95" s="41">
        <f t="shared" si="10"/>
        <v>0</v>
      </c>
      <c r="M95" s="41">
        <f t="shared" si="11"/>
        <v>0</v>
      </c>
      <c r="U95" s="7"/>
      <c r="V95" s="7"/>
    </row>
    <row r="96" spans="8:22" hidden="1" x14ac:dyDescent="0.25">
      <c r="H96" s="41">
        <f t="shared" si="6"/>
        <v>0</v>
      </c>
      <c r="I96" s="41">
        <f t="shared" si="7"/>
        <v>0</v>
      </c>
      <c r="J96" s="41">
        <f t="shared" si="8"/>
        <v>0</v>
      </c>
      <c r="K96" s="41">
        <f t="shared" si="9"/>
        <v>0</v>
      </c>
      <c r="L96" s="41">
        <f t="shared" si="10"/>
        <v>0</v>
      </c>
      <c r="M96" s="41">
        <f t="shared" si="11"/>
        <v>0</v>
      </c>
      <c r="U96" s="7"/>
      <c r="V96" s="7"/>
    </row>
    <row r="97" spans="8:22" hidden="1" x14ac:dyDescent="0.25">
      <c r="H97" s="41">
        <f t="shared" si="6"/>
        <v>0</v>
      </c>
      <c r="I97" s="41">
        <f t="shared" si="7"/>
        <v>0</v>
      </c>
      <c r="J97" s="41">
        <f t="shared" si="8"/>
        <v>0</v>
      </c>
      <c r="K97" s="41">
        <f t="shared" si="9"/>
        <v>0</v>
      </c>
      <c r="L97" s="41">
        <f t="shared" si="10"/>
        <v>0</v>
      </c>
      <c r="M97" s="41">
        <f t="shared" si="11"/>
        <v>0</v>
      </c>
      <c r="U97" s="7"/>
      <c r="V97" s="7"/>
    </row>
    <row r="98" spans="8:22" hidden="1" x14ac:dyDescent="0.25">
      <c r="H98" s="41">
        <f t="shared" si="6"/>
        <v>0</v>
      </c>
      <c r="I98" s="41">
        <f t="shared" si="7"/>
        <v>0</v>
      </c>
      <c r="J98" s="41">
        <f t="shared" si="8"/>
        <v>0</v>
      </c>
      <c r="K98" s="41">
        <f t="shared" si="9"/>
        <v>0</v>
      </c>
      <c r="L98" s="41">
        <f t="shared" si="10"/>
        <v>0</v>
      </c>
      <c r="M98" s="41">
        <f t="shared" si="11"/>
        <v>0</v>
      </c>
      <c r="U98" s="7"/>
      <c r="V98" s="7"/>
    </row>
    <row r="99" spans="8:22" hidden="1" x14ac:dyDescent="0.25">
      <c r="H99" s="41">
        <f t="shared" si="6"/>
        <v>0</v>
      </c>
      <c r="I99" s="41">
        <f t="shared" si="7"/>
        <v>0</v>
      </c>
      <c r="J99" s="41">
        <f t="shared" si="8"/>
        <v>0</v>
      </c>
      <c r="K99" s="41">
        <f t="shared" si="9"/>
        <v>0</v>
      </c>
      <c r="L99" s="41">
        <f t="shared" si="10"/>
        <v>0</v>
      </c>
      <c r="M99" s="41">
        <f t="shared" si="11"/>
        <v>0</v>
      </c>
      <c r="U99" s="7"/>
      <c r="V99" s="7"/>
    </row>
    <row r="100" spans="8:22" hidden="1" x14ac:dyDescent="0.25">
      <c r="H100" s="41">
        <f t="shared" si="6"/>
        <v>0</v>
      </c>
      <c r="I100" s="41">
        <f t="shared" si="7"/>
        <v>0</v>
      </c>
      <c r="J100" s="41">
        <f t="shared" si="8"/>
        <v>0</v>
      </c>
      <c r="K100" s="41">
        <f t="shared" si="9"/>
        <v>0</v>
      </c>
      <c r="L100" s="41">
        <f t="shared" si="10"/>
        <v>0</v>
      </c>
      <c r="M100" s="41">
        <f t="shared" si="11"/>
        <v>0</v>
      </c>
      <c r="U100" s="7"/>
      <c r="V100" s="7"/>
    </row>
    <row r="101" spans="8:22" hidden="1" x14ac:dyDescent="0.25">
      <c r="H101" s="41">
        <f t="shared" si="6"/>
        <v>0</v>
      </c>
      <c r="I101" s="41">
        <f t="shared" si="7"/>
        <v>0</v>
      </c>
      <c r="J101" s="41">
        <f t="shared" si="8"/>
        <v>0</v>
      </c>
      <c r="K101" s="41">
        <f t="shared" si="9"/>
        <v>0</v>
      </c>
      <c r="L101" s="41">
        <f t="shared" si="10"/>
        <v>0</v>
      </c>
      <c r="M101" s="41">
        <f t="shared" si="11"/>
        <v>0</v>
      </c>
      <c r="U101" s="7"/>
      <c r="V101" s="7"/>
    </row>
    <row r="102" spans="8:22" hidden="1" x14ac:dyDescent="0.25">
      <c r="H102" s="41">
        <f t="shared" si="6"/>
        <v>0</v>
      </c>
      <c r="I102" s="41">
        <f t="shared" si="7"/>
        <v>0</v>
      </c>
      <c r="J102" s="41">
        <f t="shared" si="8"/>
        <v>0</v>
      </c>
      <c r="K102" s="41">
        <f t="shared" si="9"/>
        <v>0</v>
      </c>
      <c r="L102" s="41">
        <f t="shared" si="10"/>
        <v>0</v>
      </c>
      <c r="M102" s="41">
        <f t="shared" si="11"/>
        <v>0</v>
      </c>
      <c r="U102" s="7"/>
      <c r="V102" s="7"/>
    </row>
    <row r="103" spans="8:22" hidden="1" x14ac:dyDescent="0.25">
      <c r="H103" s="41">
        <f t="shared" si="6"/>
        <v>0</v>
      </c>
      <c r="I103" s="41">
        <f t="shared" si="7"/>
        <v>0</v>
      </c>
      <c r="J103" s="41">
        <f t="shared" si="8"/>
        <v>0</v>
      </c>
      <c r="K103" s="41">
        <f t="shared" si="9"/>
        <v>0</v>
      </c>
      <c r="L103" s="41">
        <f t="shared" si="10"/>
        <v>0</v>
      </c>
      <c r="M103" s="41">
        <f t="shared" si="11"/>
        <v>0</v>
      </c>
      <c r="U103" s="7"/>
      <c r="V103" s="7"/>
    </row>
    <row r="104" spans="8:22" hidden="1" x14ac:dyDescent="0.25">
      <c r="H104" s="41">
        <f t="shared" si="6"/>
        <v>0</v>
      </c>
      <c r="I104" s="41">
        <f t="shared" si="7"/>
        <v>0</v>
      </c>
      <c r="J104" s="41">
        <f t="shared" si="8"/>
        <v>0</v>
      </c>
      <c r="K104" s="41">
        <f t="shared" si="9"/>
        <v>0</v>
      </c>
      <c r="L104" s="41">
        <f t="shared" si="10"/>
        <v>0</v>
      </c>
      <c r="M104" s="41">
        <f t="shared" si="11"/>
        <v>0</v>
      </c>
      <c r="U104" s="7"/>
      <c r="V104" s="7"/>
    </row>
    <row r="105" spans="8:22" hidden="1" x14ac:dyDescent="0.25">
      <c r="H105" s="41">
        <f t="shared" si="6"/>
        <v>0</v>
      </c>
      <c r="I105" s="41">
        <f t="shared" si="7"/>
        <v>0</v>
      </c>
      <c r="J105" s="41">
        <f t="shared" si="8"/>
        <v>0</v>
      </c>
      <c r="K105" s="41">
        <f t="shared" si="9"/>
        <v>0</v>
      </c>
      <c r="L105" s="41">
        <f t="shared" si="10"/>
        <v>0</v>
      </c>
      <c r="M105" s="41">
        <f t="shared" si="11"/>
        <v>0</v>
      </c>
      <c r="U105" s="7"/>
      <c r="V105" s="7"/>
    </row>
    <row r="106" spans="8:22" hidden="1" x14ac:dyDescent="0.25">
      <c r="H106" s="41" t="e">
        <f>#REF!</f>
        <v>#REF!</v>
      </c>
      <c r="I106" s="41" t="e">
        <f>#REF!</f>
        <v>#REF!</v>
      </c>
      <c r="J106" s="41" t="e">
        <f>#REF!</f>
        <v>#REF!</v>
      </c>
      <c r="K106" s="41" t="e">
        <f>#REF!</f>
        <v>#REF!</v>
      </c>
      <c r="L106" s="41" t="e">
        <f>#REF!</f>
        <v>#REF!</v>
      </c>
      <c r="M106" s="41" t="e">
        <f>#REF!</f>
        <v>#REF!</v>
      </c>
      <c r="U106" s="7"/>
      <c r="V106" s="7"/>
    </row>
    <row r="107" spans="8:22" hidden="1" x14ac:dyDescent="0.25">
      <c r="H107" s="41">
        <f t="shared" ref="H107:H137" si="12">P3</f>
        <v>0</v>
      </c>
      <c r="I107" s="41">
        <f t="shared" ref="I107:I137" si="13">Q3</f>
        <v>0</v>
      </c>
      <c r="J107" s="41">
        <f t="shared" ref="J107:J137" si="14">R3</f>
        <v>0</v>
      </c>
      <c r="K107" s="41">
        <f t="shared" ref="K107:K137" si="15">S3</f>
        <v>0</v>
      </c>
      <c r="L107" s="41">
        <f t="shared" ref="L107:L137" si="16">T3</f>
        <v>0</v>
      </c>
      <c r="M107" s="41">
        <f t="shared" ref="M107:M137" si="17">U3</f>
        <v>0</v>
      </c>
      <c r="U107" s="7"/>
      <c r="V107" s="7"/>
    </row>
    <row r="108" spans="8:22" hidden="1" x14ac:dyDescent="0.25">
      <c r="H108" s="41">
        <f t="shared" si="12"/>
        <v>0</v>
      </c>
      <c r="I108" s="41">
        <f t="shared" si="13"/>
        <v>0</v>
      </c>
      <c r="J108" s="41">
        <f t="shared" si="14"/>
        <v>0</v>
      </c>
      <c r="K108" s="41">
        <f t="shared" si="15"/>
        <v>0</v>
      </c>
      <c r="L108" s="41">
        <f t="shared" si="16"/>
        <v>0</v>
      </c>
      <c r="M108" s="41">
        <f t="shared" si="17"/>
        <v>0</v>
      </c>
      <c r="U108" s="7"/>
      <c r="V108" s="7"/>
    </row>
    <row r="109" spans="8:22" hidden="1" x14ac:dyDescent="0.25">
      <c r="H109" s="41">
        <f t="shared" si="12"/>
        <v>0</v>
      </c>
      <c r="I109" s="41">
        <f t="shared" si="13"/>
        <v>0</v>
      </c>
      <c r="J109" s="41">
        <f t="shared" si="14"/>
        <v>0</v>
      </c>
      <c r="K109" s="41">
        <f t="shared" si="15"/>
        <v>0</v>
      </c>
      <c r="L109" s="41">
        <f t="shared" si="16"/>
        <v>0</v>
      </c>
      <c r="M109" s="41">
        <f t="shared" si="17"/>
        <v>0</v>
      </c>
      <c r="U109" s="7"/>
      <c r="V109" s="7"/>
    </row>
    <row r="110" spans="8:22" hidden="1" x14ac:dyDescent="0.25">
      <c r="H110" s="41">
        <f t="shared" si="12"/>
        <v>0</v>
      </c>
      <c r="I110" s="41">
        <f t="shared" si="13"/>
        <v>0</v>
      </c>
      <c r="J110" s="41">
        <f t="shared" si="14"/>
        <v>0</v>
      </c>
      <c r="K110" s="41">
        <f t="shared" si="15"/>
        <v>0</v>
      </c>
      <c r="L110" s="41">
        <f t="shared" si="16"/>
        <v>0</v>
      </c>
      <c r="M110" s="41">
        <f t="shared" si="17"/>
        <v>0</v>
      </c>
      <c r="U110" s="7"/>
      <c r="V110" s="7"/>
    </row>
    <row r="111" spans="8:22" hidden="1" x14ac:dyDescent="0.25">
      <c r="H111" s="41">
        <f t="shared" si="12"/>
        <v>0</v>
      </c>
      <c r="I111" s="41">
        <f t="shared" si="13"/>
        <v>0</v>
      </c>
      <c r="J111" s="41">
        <f t="shared" si="14"/>
        <v>0</v>
      </c>
      <c r="K111" s="41">
        <f t="shared" si="15"/>
        <v>0</v>
      </c>
      <c r="L111" s="41">
        <f t="shared" si="16"/>
        <v>0</v>
      </c>
      <c r="M111" s="41">
        <f t="shared" si="17"/>
        <v>0</v>
      </c>
      <c r="U111" s="7"/>
      <c r="V111" s="7"/>
    </row>
    <row r="112" spans="8:22" hidden="1" x14ac:dyDescent="0.25">
      <c r="H112" s="41">
        <f t="shared" si="12"/>
        <v>0</v>
      </c>
      <c r="I112" s="41">
        <f t="shared" si="13"/>
        <v>0</v>
      </c>
      <c r="J112" s="41">
        <f t="shared" si="14"/>
        <v>0</v>
      </c>
      <c r="K112" s="41">
        <f t="shared" si="15"/>
        <v>0</v>
      </c>
      <c r="L112" s="41">
        <f t="shared" si="16"/>
        <v>0</v>
      </c>
      <c r="M112" s="41">
        <f t="shared" si="17"/>
        <v>0</v>
      </c>
      <c r="U112" s="7"/>
      <c r="V112" s="7"/>
    </row>
    <row r="113" spans="8:22" hidden="1" x14ac:dyDescent="0.25">
      <c r="H113" s="41">
        <f t="shared" si="12"/>
        <v>0</v>
      </c>
      <c r="I113" s="41">
        <f t="shared" si="13"/>
        <v>0</v>
      </c>
      <c r="J113" s="41">
        <f t="shared" si="14"/>
        <v>0</v>
      </c>
      <c r="K113" s="41">
        <f t="shared" si="15"/>
        <v>0</v>
      </c>
      <c r="L113" s="41">
        <f t="shared" si="16"/>
        <v>0</v>
      </c>
      <c r="M113" s="41">
        <f t="shared" si="17"/>
        <v>0</v>
      </c>
      <c r="U113" s="7"/>
      <c r="V113" s="7"/>
    </row>
    <row r="114" spans="8:22" hidden="1" x14ac:dyDescent="0.25">
      <c r="H114" s="41">
        <f t="shared" si="12"/>
        <v>0</v>
      </c>
      <c r="I114" s="41">
        <f t="shared" si="13"/>
        <v>0</v>
      </c>
      <c r="J114" s="41">
        <f t="shared" si="14"/>
        <v>0</v>
      </c>
      <c r="K114" s="41">
        <f t="shared" si="15"/>
        <v>0</v>
      </c>
      <c r="L114" s="41">
        <f t="shared" si="16"/>
        <v>0</v>
      </c>
      <c r="M114" s="41">
        <f t="shared" si="17"/>
        <v>0</v>
      </c>
      <c r="U114" s="7"/>
      <c r="V114" s="7"/>
    </row>
    <row r="115" spans="8:22" hidden="1" x14ac:dyDescent="0.25">
      <c r="H115" s="41">
        <f t="shared" si="12"/>
        <v>0</v>
      </c>
      <c r="I115" s="41">
        <f t="shared" si="13"/>
        <v>0</v>
      </c>
      <c r="J115" s="41">
        <f t="shared" si="14"/>
        <v>0</v>
      </c>
      <c r="K115" s="41">
        <f t="shared" si="15"/>
        <v>0</v>
      </c>
      <c r="L115" s="41">
        <f t="shared" si="16"/>
        <v>0</v>
      </c>
      <c r="M115" s="41">
        <f t="shared" si="17"/>
        <v>0</v>
      </c>
      <c r="U115" s="7"/>
      <c r="V115" s="7"/>
    </row>
    <row r="116" spans="8:22" hidden="1" x14ac:dyDescent="0.25">
      <c r="H116" s="41">
        <f t="shared" si="12"/>
        <v>0</v>
      </c>
      <c r="I116" s="41">
        <f t="shared" si="13"/>
        <v>0</v>
      </c>
      <c r="J116" s="41">
        <f t="shared" si="14"/>
        <v>0</v>
      </c>
      <c r="K116" s="41">
        <f t="shared" si="15"/>
        <v>0</v>
      </c>
      <c r="L116" s="41">
        <f t="shared" si="16"/>
        <v>0</v>
      </c>
      <c r="M116" s="41">
        <f t="shared" si="17"/>
        <v>0</v>
      </c>
      <c r="U116" s="7"/>
      <c r="V116" s="7"/>
    </row>
    <row r="117" spans="8:22" hidden="1" x14ac:dyDescent="0.25">
      <c r="H117" s="41">
        <f t="shared" si="12"/>
        <v>0</v>
      </c>
      <c r="I117" s="41">
        <f t="shared" si="13"/>
        <v>0</v>
      </c>
      <c r="J117" s="41">
        <f t="shared" si="14"/>
        <v>0</v>
      </c>
      <c r="K117" s="41">
        <f t="shared" si="15"/>
        <v>0</v>
      </c>
      <c r="L117" s="41">
        <f t="shared" si="16"/>
        <v>0</v>
      </c>
      <c r="M117" s="41">
        <f t="shared" si="17"/>
        <v>0</v>
      </c>
      <c r="U117" s="7"/>
      <c r="V117" s="7"/>
    </row>
    <row r="118" spans="8:22" hidden="1" x14ac:dyDescent="0.25">
      <c r="H118" s="41">
        <f t="shared" si="12"/>
        <v>0</v>
      </c>
      <c r="I118" s="41">
        <f t="shared" si="13"/>
        <v>0</v>
      </c>
      <c r="J118" s="41">
        <f t="shared" si="14"/>
        <v>0</v>
      </c>
      <c r="K118" s="41">
        <f t="shared" si="15"/>
        <v>0</v>
      </c>
      <c r="L118" s="41">
        <f t="shared" si="16"/>
        <v>0</v>
      </c>
      <c r="M118" s="41">
        <f t="shared" si="17"/>
        <v>0</v>
      </c>
      <c r="U118" s="7"/>
      <c r="V118" s="7"/>
    </row>
    <row r="119" spans="8:22" hidden="1" x14ac:dyDescent="0.25">
      <c r="H119" s="41">
        <f t="shared" si="12"/>
        <v>0</v>
      </c>
      <c r="I119" s="41">
        <f t="shared" si="13"/>
        <v>0</v>
      </c>
      <c r="J119" s="41">
        <f t="shared" si="14"/>
        <v>0</v>
      </c>
      <c r="K119" s="41">
        <f t="shared" si="15"/>
        <v>0</v>
      </c>
      <c r="L119" s="41">
        <f t="shared" si="16"/>
        <v>0</v>
      </c>
      <c r="M119" s="41">
        <f t="shared" si="17"/>
        <v>0</v>
      </c>
      <c r="U119" s="7"/>
      <c r="V119" s="7"/>
    </row>
    <row r="120" spans="8:22" hidden="1" x14ac:dyDescent="0.25">
      <c r="H120" s="41">
        <f t="shared" si="12"/>
        <v>0</v>
      </c>
      <c r="I120" s="41">
        <f t="shared" si="13"/>
        <v>0</v>
      </c>
      <c r="J120" s="41">
        <f t="shared" si="14"/>
        <v>0</v>
      </c>
      <c r="K120" s="41">
        <f t="shared" si="15"/>
        <v>0</v>
      </c>
      <c r="L120" s="41">
        <f t="shared" si="16"/>
        <v>0</v>
      </c>
      <c r="M120" s="41">
        <f t="shared" si="17"/>
        <v>0</v>
      </c>
      <c r="U120" s="7"/>
      <c r="V120" s="7"/>
    </row>
    <row r="121" spans="8:22" hidden="1" x14ac:dyDescent="0.25">
      <c r="H121" s="41">
        <f t="shared" si="12"/>
        <v>0</v>
      </c>
      <c r="I121" s="41">
        <f t="shared" si="13"/>
        <v>0</v>
      </c>
      <c r="J121" s="41">
        <f t="shared" si="14"/>
        <v>0</v>
      </c>
      <c r="K121" s="41">
        <f t="shared" si="15"/>
        <v>0</v>
      </c>
      <c r="L121" s="41">
        <f t="shared" si="16"/>
        <v>0</v>
      </c>
      <c r="M121" s="41">
        <f t="shared" si="17"/>
        <v>0</v>
      </c>
      <c r="U121" s="7"/>
      <c r="V121" s="7"/>
    </row>
    <row r="122" spans="8:22" hidden="1" x14ac:dyDescent="0.25">
      <c r="H122" s="41">
        <f t="shared" si="12"/>
        <v>0</v>
      </c>
      <c r="I122" s="41">
        <f t="shared" si="13"/>
        <v>0</v>
      </c>
      <c r="J122" s="41">
        <f t="shared" si="14"/>
        <v>0</v>
      </c>
      <c r="K122" s="41">
        <f t="shared" si="15"/>
        <v>0</v>
      </c>
      <c r="L122" s="41">
        <f t="shared" si="16"/>
        <v>0</v>
      </c>
      <c r="M122" s="41">
        <f t="shared" si="17"/>
        <v>0</v>
      </c>
      <c r="U122" s="7"/>
      <c r="V122" s="7"/>
    </row>
    <row r="123" spans="8:22" hidden="1" x14ac:dyDescent="0.25">
      <c r="H123" s="41">
        <f t="shared" si="12"/>
        <v>0</v>
      </c>
      <c r="I123" s="41">
        <f t="shared" si="13"/>
        <v>0</v>
      </c>
      <c r="J123" s="41">
        <f t="shared" si="14"/>
        <v>0</v>
      </c>
      <c r="K123" s="41">
        <f t="shared" si="15"/>
        <v>0</v>
      </c>
      <c r="L123" s="41">
        <f t="shared" si="16"/>
        <v>0</v>
      </c>
      <c r="M123" s="41">
        <f t="shared" si="17"/>
        <v>0</v>
      </c>
      <c r="U123" s="7"/>
      <c r="V123" s="7"/>
    </row>
    <row r="124" spans="8:22" hidden="1" x14ac:dyDescent="0.25">
      <c r="H124" s="41">
        <f t="shared" si="12"/>
        <v>0</v>
      </c>
      <c r="I124" s="41">
        <f t="shared" si="13"/>
        <v>0</v>
      </c>
      <c r="J124" s="41">
        <f t="shared" si="14"/>
        <v>0</v>
      </c>
      <c r="K124" s="41">
        <f t="shared" si="15"/>
        <v>0</v>
      </c>
      <c r="L124" s="41">
        <f t="shared" si="16"/>
        <v>0</v>
      </c>
      <c r="M124" s="41">
        <f t="shared" si="17"/>
        <v>0</v>
      </c>
      <c r="U124" s="7"/>
      <c r="V124" s="7"/>
    </row>
    <row r="125" spans="8:22" hidden="1" x14ac:dyDescent="0.25">
      <c r="H125" s="41">
        <f t="shared" si="12"/>
        <v>0</v>
      </c>
      <c r="I125" s="41">
        <f t="shared" si="13"/>
        <v>0</v>
      </c>
      <c r="J125" s="41">
        <f t="shared" si="14"/>
        <v>0</v>
      </c>
      <c r="K125" s="41">
        <f t="shared" si="15"/>
        <v>0</v>
      </c>
      <c r="L125" s="41">
        <f t="shared" si="16"/>
        <v>0</v>
      </c>
      <c r="M125" s="41">
        <f t="shared" si="17"/>
        <v>0</v>
      </c>
      <c r="U125" s="7"/>
      <c r="V125" s="7"/>
    </row>
    <row r="126" spans="8:22" hidden="1" x14ac:dyDescent="0.25">
      <c r="H126" s="41">
        <f t="shared" si="12"/>
        <v>0</v>
      </c>
      <c r="I126" s="41">
        <f t="shared" si="13"/>
        <v>0</v>
      </c>
      <c r="J126" s="41">
        <f t="shared" si="14"/>
        <v>0</v>
      </c>
      <c r="K126" s="41">
        <f t="shared" si="15"/>
        <v>0</v>
      </c>
      <c r="L126" s="41">
        <f t="shared" si="16"/>
        <v>0</v>
      </c>
      <c r="M126" s="41">
        <f t="shared" si="17"/>
        <v>0</v>
      </c>
      <c r="U126" s="7"/>
      <c r="V126" s="7"/>
    </row>
    <row r="127" spans="8:22" hidden="1" x14ac:dyDescent="0.25">
      <c r="H127" s="41">
        <f t="shared" si="12"/>
        <v>0</v>
      </c>
      <c r="I127" s="41">
        <f t="shared" si="13"/>
        <v>0</v>
      </c>
      <c r="J127" s="41">
        <f t="shared" si="14"/>
        <v>0</v>
      </c>
      <c r="K127" s="41">
        <f t="shared" si="15"/>
        <v>0</v>
      </c>
      <c r="L127" s="41">
        <f t="shared" si="16"/>
        <v>0</v>
      </c>
      <c r="M127" s="41">
        <f t="shared" si="17"/>
        <v>0</v>
      </c>
      <c r="U127" s="7"/>
      <c r="V127" s="7"/>
    </row>
    <row r="128" spans="8:22" hidden="1" x14ac:dyDescent="0.25">
      <c r="H128" s="41">
        <f t="shared" si="12"/>
        <v>0</v>
      </c>
      <c r="I128" s="41">
        <f t="shared" si="13"/>
        <v>0</v>
      </c>
      <c r="J128" s="41">
        <f t="shared" si="14"/>
        <v>0</v>
      </c>
      <c r="K128" s="41">
        <f t="shared" si="15"/>
        <v>0</v>
      </c>
      <c r="L128" s="41">
        <f t="shared" si="16"/>
        <v>0</v>
      </c>
      <c r="M128" s="41">
        <f t="shared" si="17"/>
        <v>0</v>
      </c>
      <c r="U128" s="7"/>
      <c r="V128" s="7"/>
    </row>
    <row r="129" spans="8:22" hidden="1" x14ac:dyDescent="0.25">
      <c r="H129" s="41">
        <f t="shared" si="12"/>
        <v>0</v>
      </c>
      <c r="I129" s="41">
        <f t="shared" si="13"/>
        <v>0</v>
      </c>
      <c r="J129" s="41">
        <f t="shared" si="14"/>
        <v>0</v>
      </c>
      <c r="K129" s="41">
        <f t="shared" si="15"/>
        <v>0</v>
      </c>
      <c r="L129" s="41">
        <f t="shared" si="16"/>
        <v>0</v>
      </c>
      <c r="M129" s="41">
        <f t="shared" si="17"/>
        <v>0</v>
      </c>
      <c r="U129" s="7"/>
      <c r="V129" s="7"/>
    </row>
    <row r="130" spans="8:22" hidden="1" x14ac:dyDescent="0.25">
      <c r="H130" s="41">
        <f t="shared" si="12"/>
        <v>0</v>
      </c>
      <c r="I130" s="41">
        <f t="shared" si="13"/>
        <v>0</v>
      </c>
      <c r="J130" s="41">
        <f t="shared" si="14"/>
        <v>0</v>
      </c>
      <c r="K130" s="41">
        <f t="shared" si="15"/>
        <v>0</v>
      </c>
      <c r="L130" s="41">
        <f t="shared" si="16"/>
        <v>0</v>
      </c>
      <c r="M130" s="41">
        <f t="shared" si="17"/>
        <v>0</v>
      </c>
      <c r="U130" s="7"/>
      <c r="V130" s="7"/>
    </row>
    <row r="131" spans="8:22" hidden="1" x14ac:dyDescent="0.25">
      <c r="H131" s="41">
        <f t="shared" si="12"/>
        <v>0</v>
      </c>
      <c r="I131" s="41">
        <f t="shared" si="13"/>
        <v>0</v>
      </c>
      <c r="J131" s="41">
        <f t="shared" si="14"/>
        <v>0</v>
      </c>
      <c r="K131" s="41">
        <f t="shared" si="15"/>
        <v>0</v>
      </c>
      <c r="L131" s="41">
        <f t="shared" si="16"/>
        <v>0</v>
      </c>
      <c r="M131" s="41">
        <f t="shared" si="17"/>
        <v>0</v>
      </c>
      <c r="U131" s="7"/>
      <c r="V131" s="7"/>
    </row>
    <row r="132" spans="8:22" hidden="1" x14ac:dyDescent="0.25">
      <c r="H132" s="41">
        <f t="shared" si="12"/>
        <v>0</v>
      </c>
      <c r="I132" s="41">
        <f t="shared" si="13"/>
        <v>0</v>
      </c>
      <c r="J132" s="41">
        <f t="shared" si="14"/>
        <v>0</v>
      </c>
      <c r="K132" s="41">
        <f t="shared" si="15"/>
        <v>0</v>
      </c>
      <c r="L132" s="41">
        <f t="shared" si="16"/>
        <v>0</v>
      </c>
      <c r="M132" s="41">
        <f t="shared" si="17"/>
        <v>0</v>
      </c>
      <c r="U132" s="7"/>
      <c r="V132" s="7"/>
    </row>
    <row r="133" spans="8:22" hidden="1" x14ac:dyDescent="0.25">
      <c r="H133" s="41">
        <f t="shared" si="12"/>
        <v>0</v>
      </c>
      <c r="I133" s="41">
        <f t="shared" si="13"/>
        <v>0</v>
      </c>
      <c r="J133" s="41">
        <f t="shared" si="14"/>
        <v>0</v>
      </c>
      <c r="K133" s="41">
        <f t="shared" si="15"/>
        <v>0</v>
      </c>
      <c r="L133" s="41">
        <f t="shared" si="16"/>
        <v>0</v>
      </c>
      <c r="M133" s="41">
        <f t="shared" si="17"/>
        <v>0</v>
      </c>
      <c r="U133" s="7"/>
      <c r="V133" s="7"/>
    </row>
    <row r="134" spans="8:22" hidden="1" x14ac:dyDescent="0.25">
      <c r="H134" s="41">
        <f t="shared" si="12"/>
        <v>0</v>
      </c>
      <c r="I134" s="41">
        <f t="shared" si="13"/>
        <v>0</v>
      </c>
      <c r="J134" s="41">
        <f t="shared" si="14"/>
        <v>0</v>
      </c>
      <c r="K134" s="41">
        <f t="shared" si="15"/>
        <v>0</v>
      </c>
      <c r="L134" s="41">
        <f t="shared" si="16"/>
        <v>0</v>
      </c>
      <c r="M134" s="41">
        <f t="shared" si="17"/>
        <v>0</v>
      </c>
      <c r="U134" s="7"/>
      <c r="V134" s="7"/>
    </row>
    <row r="135" spans="8:22" hidden="1" x14ac:dyDescent="0.25">
      <c r="H135" s="41">
        <f t="shared" si="12"/>
        <v>0</v>
      </c>
      <c r="I135" s="41">
        <f t="shared" si="13"/>
        <v>0</v>
      </c>
      <c r="J135" s="41">
        <f t="shared" si="14"/>
        <v>0</v>
      </c>
      <c r="K135" s="41">
        <f t="shared" si="15"/>
        <v>0</v>
      </c>
      <c r="L135" s="41">
        <f t="shared" si="16"/>
        <v>0</v>
      </c>
      <c r="M135" s="41">
        <f t="shared" si="17"/>
        <v>0</v>
      </c>
      <c r="U135" s="7"/>
      <c r="V135" s="7"/>
    </row>
    <row r="136" spans="8:22" hidden="1" x14ac:dyDescent="0.25">
      <c r="H136" s="41">
        <f t="shared" si="12"/>
        <v>0</v>
      </c>
      <c r="I136" s="41">
        <f t="shared" si="13"/>
        <v>0</v>
      </c>
      <c r="J136" s="41">
        <f t="shared" si="14"/>
        <v>0</v>
      </c>
      <c r="K136" s="41">
        <f t="shared" si="15"/>
        <v>0</v>
      </c>
      <c r="L136" s="41">
        <f t="shared" si="16"/>
        <v>0</v>
      </c>
      <c r="M136" s="41">
        <f t="shared" si="17"/>
        <v>0</v>
      </c>
      <c r="U136" s="7"/>
      <c r="V136" s="7"/>
    </row>
    <row r="137" spans="8:22" hidden="1" x14ac:dyDescent="0.25">
      <c r="H137" s="41">
        <f t="shared" si="12"/>
        <v>0</v>
      </c>
      <c r="I137" s="41">
        <f t="shared" si="13"/>
        <v>0</v>
      </c>
      <c r="J137" s="41">
        <f t="shared" si="14"/>
        <v>0</v>
      </c>
      <c r="K137" s="41">
        <f t="shared" si="15"/>
        <v>0</v>
      </c>
      <c r="L137" s="41">
        <f t="shared" si="16"/>
        <v>0</v>
      </c>
      <c r="M137" s="41">
        <f t="shared" si="17"/>
        <v>0</v>
      </c>
      <c r="U137" s="7"/>
      <c r="V137" s="7"/>
    </row>
    <row r="138" spans="8:22" hidden="1" x14ac:dyDescent="0.25">
      <c r="H138" s="41">
        <f t="shared" ref="H138:H156" si="18">P34</f>
        <v>0</v>
      </c>
      <c r="I138" s="41">
        <f t="shared" ref="I138:I156" si="19">Q34</f>
        <v>0</v>
      </c>
      <c r="J138" s="41">
        <f t="shared" ref="J138:J156" si="20">R34</f>
        <v>0</v>
      </c>
      <c r="K138" s="41">
        <f t="shared" ref="K138:K156" si="21">S34</f>
        <v>0</v>
      </c>
      <c r="L138" s="41">
        <f t="shared" ref="L138:L156" si="22">T34</f>
        <v>0</v>
      </c>
      <c r="M138" s="41">
        <f t="shared" ref="M138:M156" si="23">U34</f>
        <v>0</v>
      </c>
      <c r="U138" s="7"/>
      <c r="V138" s="7"/>
    </row>
    <row r="139" spans="8:22" hidden="1" x14ac:dyDescent="0.25">
      <c r="H139" s="41">
        <f t="shared" si="18"/>
        <v>0</v>
      </c>
      <c r="I139" s="41">
        <f t="shared" si="19"/>
        <v>0</v>
      </c>
      <c r="J139" s="41">
        <f t="shared" si="20"/>
        <v>0</v>
      </c>
      <c r="K139" s="41">
        <f t="shared" si="21"/>
        <v>0</v>
      </c>
      <c r="L139" s="41">
        <f t="shared" si="22"/>
        <v>0</v>
      </c>
      <c r="M139" s="41">
        <f t="shared" si="23"/>
        <v>0</v>
      </c>
      <c r="U139" s="7"/>
      <c r="V139" s="7"/>
    </row>
    <row r="140" spans="8:22" hidden="1" x14ac:dyDescent="0.25">
      <c r="H140" s="41">
        <f t="shared" si="18"/>
        <v>0</v>
      </c>
      <c r="I140" s="41">
        <f t="shared" si="19"/>
        <v>0</v>
      </c>
      <c r="J140" s="41">
        <f t="shared" si="20"/>
        <v>0</v>
      </c>
      <c r="K140" s="41">
        <f t="shared" si="21"/>
        <v>0</v>
      </c>
      <c r="L140" s="41">
        <f t="shared" si="22"/>
        <v>0</v>
      </c>
      <c r="M140" s="41">
        <f t="shared" si="23"/>
        <v>0</v>
      </c>
      <c r="U140" s="7"/>
      <c r="V140" s="7"/>
    </row>
    <row r="141" spans="8:22" hidden="1" x14ac:dyDescent="0.25">
      <c r="H141" s="41">
        <f t="shared" si="18"/>
        <v>0</v>
      </c>
      <c r="I141" s="41">
        <f t="shared" si="19"/>
        <v>0</v>
      </c>
      <c r="J141" s="41">
        <f t="shared" si="20"/>
        <v>0</v>
      </c>
      <c r="K141" s="41">
        <f t="shared" si="21"/>
        <v>0</v>
      </c>
      <c r="L141" s="41">
        <f t="shared" si="22"/>
        <v>0</v>
      </c>
      <c r="M141" s="41">
        <f t="shared" si="23"/>
        <v>0</v>
      </c>
      <c r="U141" s="7"/>
      <c r="V141" s="7"/>
    </row>
    <row r="142" spans="8:22" hidden="1" x14ac:dyDescent="0.25">
      <c r="H142" s="41">
        <f t="shared" si="18"/>
        <v>0</v>
      </c>
      <c r="I142" s="41">
        <f t="shared" si="19"/>
        <v>0</v>
      </c>
      <c r="J142" s="41">
        <f t="shared" si="20"/>
        <v>0</v>
      </c>
      <c r="K142" s="41">
        <f t="shared" si="21"/>
        <v>0</v>
      </c>
      <c r="L142" s="41">
        <f t="shared" si="22"/>
        <v>0</v>
      </c>
      <c r="M142" s="41">
        <f t="shared" si="23"/>
        <v>0</v>
      </c>
      <c r="U142" s="7"/>
      <c r="V142" s="7"/>
    </row>
    <row r="143" spans="8:22" hidden="1" x14ac:dyDescent="0.25">
      <c r="H143" s="41">
        <f t="shared" si="18"/>
        <v>0</v>
      </c>
      <c r="I143" s="41">
        <f t="shared" si="19"/>
        <v>0</v>
      </c>
      <c r="J143" s="41">
        <f t="shared" si="20"/>
        <v>0</v>
      </c>
      <c r="K143" s="41">
        <f t="shared" si="21"/>
        <v>0</v>
      </c>
      <c r="L143" s="41">
        <f t="shared" si="22"/>
        <v>0</v>
      </c>
      <c r="M143" s="41">
        <f t="shared" si="23"/>
        <v>0</v>
      </c>
      <c r="U143" s="7"/>
      <c r="V143" s="7"/>
    </row>
    <row r="144" spans="8:22" hidden="1" x14ac:dyDescent="0.25">
      <c r="H144" s="41">
        <f t="shared" si="18"/>
        <v>0</v>
      </c>
      <c r="I144" s="41">
        <f t="shared" si="19"/>
        <v>0</v>
      </c>
      <c r="J144" s="41">
        <f t="shared" si="20"/>
        <v>0</v>
      </c>
      <c r="K144" s="41">
        <f t="shared" si="21"/>
        <v>0</v>
      </c>
      <c r="L144" s="41">
        <f t="shared" si="22"/>
        <v>0</v>
      </c>
      <c r="M144" s="41">
        <f t="shared" si="23"/>
        <v>0</v>
      </c>
      <c r="U144" s="7"/>
      <c r="V144" s="7"/>
    </row>
    <row r="145" spans="8:22" hidden="1" x14ac:dyDescent="0.25">
      <c r="H145" s="41">
        <f t="shared" si="18"/>
        <v>0</v>
      </c>
      <c r="I145" s="41">
        <f t="shared" si="19"/>
        <v>0</v>
      </c>
      <c r="J145" s="41">
        <f t="shared" si="20"/>
        <v>0</v>
      </c>
      <c r="K145" s="41">
        <f t="shared" si="21"/>
        <v>0</v>
      </c>
      <c r="L145" s="41">
        <f t="shared" si="22"/>
        <v>0</v>
      </c>
      <c r="M145" s="41">
        <f t="shared" si="23"/>
        <v>0</v>
      </c>
      <c r="U145" s="7"/>
      <c r="V145" s="7"/>
    </row>
    <row r="146" spans="8:22" hidden="1" x14ac:dyDescent="0.25">
      <c r="H146" s="41">
        <f t="shared" si="18"/>
        <v>0</v>
      </c>
      <c r="I146" s="41">
        <f t="shared" si="19"/>
        <v>0</v>
      </c>
      <c r="J146" s="41">
        <f t="shared" si="20"/>
        <v>0</v>
      </c>
      <c r="K146" s="41">
        <f t="shared" si="21"/>
        <v>0</v>
      </c>
      <c r="L146" s="41">
        <f t="shared" si="22"/>
        <v>0</v>
      </c>
      <c r="M146" s="41">
        <f t="shared" si="23"/>
        <v>0</v>
      </c>
      <c r="U146" s="7"/>
      <c r="V146" s="7"/>
    </row>
    <row r="147" spans="8:22" hidden="1" x14ac:dyDescent="0.25">
      <c r="H147" s="41">
        <f t="shared" si="18"/>
        <v>0</v>
      </c>
      <c r="I147" s="41">
        <f t="shared" si="19"/>
        <v>0</v>
      </c>
      <c r="J147" s="41">
        <f t="shared" si="20"/>
        <v>0</v>
      </c>
      <c r="K147" s="41">
        <f t="shared" si="21"/>
        <v>0</v>
      </c>
      <c r="L147" s="41">
        <f t="shared" si="22"/>
        <v>0</v>
      </c>
      <c r="M147" s="41">
        <f t="shared" si="23"/>
        <v>0</v>
      </c>
      <c r="U147" s="7"/>
      <c r="V147" s="7"/>
    </row>
    <row r="148" spans="8:22" hidden="1" x14ac:dyDescent="0.25">
      <c r="H148" s="41">
        <f t="shared" si="18"/>
        <v>0</v>
      </c>
      <c r="I148" s="41">
        <f t="shared" si="19"/>
        <v>0</v>
      </c>
      <c r="J148" s="41">
        <f t="shared" si="20"/>
        <v>0</v>
      </c>
      <c r="K148" s="41">
        <f t="shared" si="21"/>
        <v>0</v>
      </c>
      <c r="L148" s="41">
        <f t="shared" si="22"/>
        <v>0</v>
      </c>
      <c r="M148" s="41">
        <f t="shared" si="23"/>
        <v>0</v>
      </c>
      <c r="U148" s="7"/>
      <c r="V148" s="7"/>
    </row>
    <row r="149" spans="8:22" hidden="1" x14ac:dyDescent="0.25">
      <c r="H149" s="41">
        <f t="shared" si="18"/>
        <v>0</v>
      </c>
      <c r="I149" s="41">
        <f t="shared" si="19"/>
        <v>0</v>
      </c>
      <c r="J149" s="41">
        <f t="shared" si="20"/>
        <v>0</v>
      </c>
      <c r="K149" s="41">
        <f t="shared" si="21"/>
        <v>0</v>
      </c>
      <c r="L149" s="41">
        <f t="shared" si="22"/>
        <v>0</v>
      </c>
      <c r="M149" s="41">
        <f t="shared" si="23"/>
        <v>0</v>
      </c>
      <c r="U149" s="7"/>
      <c r="V149" s="7"/>
    </row>
    <row r="150" spans="8:22" hidden="1" x14ac:dyDescent="0.25">
      <c r="H150" s="41">
        <f t="shared" si="18"/>
        <v>0</v>
      </c>
      <c r="I150" s="41">
        <f t="shared" si="19"/>
        <v>0</v>
      </c>
      <c r="J150" s="41">
        <f t="shared" si="20"/>
        <v>0</v>
      </c>
      <c r="K150" s="41">
        <f t="shared" si="21"/>
        <v>0</v>
      </c>
      <c r="L150" s="41">
        <f t="shared" si="22"/>
        <v>0</v>
      </c>
      <c r="M150" s="41">
        <f t="shared" si="23"/>
        <v>0</v>
      </c>
      <c r="U150" s="7"/>
      <c r="V150" s="7"/>
    </row>
    <row r="151" spans="8:22" hidden="1" x14ac:dyDescent="0.25">
      <c r="H151" s="41">
        <f t="shared" si="18"/>
        <v>0</v>
      </c>
      <c r="I151" s="41">
        <f t="shared" si="19"/>
        <v>0</v>
      </c>
      <c r="J151" s="41">
        <f t="shared" si="20"/>
        <v>0</v>
      </c>
      <c r="K151" s="41">
        <f t="shared" si="21"/>
        <v>0</v>
      </c>
      <c r="L151" s="41">
        <f t="shared" si="22"/>
        <v>0</v>
      </c>
      <c r="M151" s="41">
        <f t="shared" si="23"/>
        <v>0</v>
      </c>
      <c r="U151" s="7"/>
      <c r="V151" s="7"/>
    </row>
    <row r="152" spans="8:22" hidden="1" x14ac:dyDescent="0.25">
      <c r="H152" s="41">
        <f t="shared" si="18"/>
        <v>0</v>
      </c>
      <c r="I152" s="41">
        <f t="shared" si="19"/>
        <v>0</v>
      </c>
      <c r="J152" s="41">
        <f t="shared" si="20"/>
        <v>0</v>
      </c>
      <c r="K152" s="41">
        <f t="shared" si="21"/>
        <v>0</v>
      </c>
      <c r="L152" s="41">
        <f t="shared" si="22"/>
        <v>0</v>
      </c>
      <c r="M152" s="41">
        <f t="shared" si="23"/>
        <v>0</v>
      </c>
      <c r="U152" s="7"/>
      <c r="V152" s="7"/>
    </row>
    <row r="153" spans="8:22" hidden="1" x14ac:dyDescent="0.25">
      <c r="H153" s="41">
        <f t="shared" si="18"/>
        <v>0</v>
      </c>
      <c r="I153" s="41">
        <f t="shared" si="19"/>
        <v>0</v>
      </c>
      <c r="J153" s="41">
        <f t="shared" si="20"/>
        <v>0</v>
      </c>
      <c r="K153" s="41">
        <f t="shared" si="21"/>
        <v>0</v>
      </c>
      <c r="L153" s="41">
        <f t="shared" si="22"/>
        <v>0</v>
      </c>
      <c r="M153" s="41">
        <f t="shared" si="23"/>
        <v>0</v>
      </c>
      <c r="U153" s="7"/>
      <c r="V153" s="7"/>
    </row>
    <row r="154" spans="8:22" hidden="1" x14ac:dyDescent="0.25">
      <c r="H154" s="41">
        <f t="shared" si="18"/>
        <v>0</v>
      </c>
      <c r="I154" s="41">
        <f t="shared" si="19"/>
        <v>0</v>
      </c>
      <c r="J154" s="41">
        <f t="shared" si="20"/>
        <v>0</v>
      </c>
      <c r="K154" s="41">
        <f t="shared" si="21"/>
        <v>0</v>
      </c>
      <c r="L154" s="41">
        <f t="shared" si="22"/>
        <v>0</v>
      </c>
      <c r="M154" s="41">
        <f t="shared" si="23"/>
        <v>0</v>
      </c>
      <c r="U154" s="7"/>
      <c r="V154" s="7"/>
    </row>
    <row r="155" spans="8:22" hidden="1" x14ac:dyDescent="0.25">
      <c r="H155" s="41">
        <f t="shared" si="18"/>
        <v>0</v>
      </c>
      <c r="I155" s="41">
        <f t="shared" si="19"/>
        <v>0</v>
      </c>
      <c r="J155" s="41">
        <f t="shared" si="20"/>
        <v>0</v>
      </c>
      <c r="K155" s="41">
        <f t="shared" si="21"/>
        <v>0</v>
      </c>
      <c r="L155" s="41">
        <f t="shared" si="22"/>
        <v>0</v>
      </c>
      <c r="M155" s="41">
        <f t="shared" si="23"/>
        <v>0</v>
      </c>
      <c r="U155" s="7"/>
      <c r="V155" s="7"/>
    </row>
    <row r="156" spans="8:22" hidden="1" x14ac:dyDescent="0.25">
      <c r="H156" s="41">
        <f t="shared" si="18"/>
        <v>0</v>
      </c>
      <c r="I156" s="41">
        <f t="shared" si="19"/>
        <v>0</v>
      </c>
      <c r="J156" s="41">
        <f t="shared" si="20"/>
        <v>0</v>
      </c>
      <c r="K156" s="41">
        <f t="shared" si="21"/>
        <v>0</v>
      </c>
      <c r="L156" s="41">
        <f t="shared" si="22"/>
        <v>0</v>
      </c>
      <c r="M156" s="41">
        <f t="shared" si="23"/>
        <v>0</v>
      </c>
      <c r="U156" s="7"/>
      <c r="V156" s="7"/>
    </row>
    <row r="157" spans="8:22" hidden="1" x14ac:dyDescent="0.25">
      <c r="H157" s="41" t="e">
        <f>#REF!</f>
        <v>#REF!</v>
      </c>
      <c r="I157" s="41" t="e">
        <f>#REF!</f>
        <v>#REF!</v>
      </c>
      <c r="J157" s="41" t="e">
        <f>#REF!</f>
        <v>#REF!</v>
      </c>
      <c r="K157" s="41" t="e">
        <f>#REF!</f>
        <v>#REF!</v>
      </c>
      <c r="L157" s="41" t="e">
        <f>#REF!</f>
        <v>#REF!</v>
      </c>
      <c r="M157" s="41" t="e">
        <f>#REF!</f>
        <v>#REF!</v>
      </c>
      <c r="U157" s="7"/>
      <c r="V157" s="7"/>
    </row>
    <row r="158" spans="8:22" hidden="1" x14ac:dyDescent="0.25">
      <c r="H158" s="41">
        <f t="shared" ref="H158:H207" si="24">V3</f>
        <v>0</v>
      </c>
      <c r="I158" s="41">
        <f t="shared" ref="I158:I207" si="25">W3</f>
        <v>0</v>
      </c>
      <c r="J158" s="41">
        <f t="shared" ref="J158:J207" si="26">X3</f>
        <v>0</v>
      </c>
      <c r="K158" s="41">
        <f t="shared" ref="K158:K207" si="27">Y3</f>
        <v>0</v>
      </c>
      <c r="L158" s="41">
        <f t="shared" ref="L158:L207" si="28">Z3</f>
        <v>0</v>
      </c>
      <c r="M158" s="41">
        <f t="shared" ref="M158:M207" si="29">AA3</f>
        <v>0</v>
      </c>
      <c r="U158" s="7"/>
      <c r="V158" s="7"/>
    </row>
    <row r="159" spans="8:22" hidden="1" x14ac:dyDescent="0.25">
      <c r="H159" s="41">
        <f t="shared" si="24"/>
        <v>0</v>
      </c>
      <c r="I159" s="41">
        <f t="shared" si="25"/>
        <v>0</v>
      </c>
      <c r="J159" s="41">
        <f t="shared" si="26"/>
        <v>0</v>
      </c>
      <c r="K159" s="41">
        <f t="shared" si="27"/>
        <v>0</v>
      </c>
      <c r="L159" s="41">
        <f t="shared" si="28"/>
        <v>0</v>
      </c>
      <c r="M159" s="41">
        <f t="shared" si="29"/>
        <v>0</v>
      </c>
      <c r="U159" s="7"/>
      <c r="V159" s="7"/>
    </row>
    <row r="160" spans="8:22" hidden="1" x14ac:dyDescent="0.25">
      <c r="H160" s="41">
        <f t="shared" si="24"/>
        <v>0</v>
      </c>
      <c r="I160" s="41">
        <f t="shared" si="25"/>
        <v>0</v>
      </c>
      <c r="J160" s="41">
        <f t="shared" si="26"/>
        <v>0</v>
      </c>
      <c r="K160" s="41">
        <f t="shared" si="27"/>
        <v>0</v>
      </c>
      <c r="L160" s="41">
        <f t="shared" si="28"/>
        <v>0</v>
      </c>
      <c r="M160" s="41">
        <f t="shared" si="29"/>
        <v>0</v>
      </c>
      <c r="U160" s="7"/>
      <c r="V160" s="7"/>
    </row>
    <row r="161" spans="8:22" hidden="1" x14ac:dyDescent="0.25">
      <c r="H161" s="41">
        <f t="shared" si="24"/>
        <v>0</v>
      </c>
      <c r="I161" s="41">
        <f t="shared" si="25"/>
        <v>0</v>
      </c>
      <c r="J161" s="41">
        <f t="shared" si="26"/>
        <v>0</v>
      </c>
      <c r="K161" s="41">
        <f t="shared" si="27"/>
        <v>0</v>
      </c>
      <c r="L161" s="41">
        <f t="shared" si="28"/>
        <v>0</v>
      </c>
      <c r="M161" s="41">
        <f t="shared" si="29"/>
        <v>0</v>
      </c>
      <c r="U161" s="7"/>
      <c r="V161" s="7"/>
    </row>
    <row r="162" spans="8:22" hidden="1" x14ac:dyDescent="0.25">
      <c r="H162" s="41">
        <f t="shared" si="24"/>
        <v>0</v>
      </c>
      <c r="I162" s="41">
        <f t="shared" si="25"/>
        <v>0</v>
      </c>
      <c r="J162" s="41">
        <f t="shared" si="26"/>
        <v>0</v>
      </c>
      <c r="K162" s="41">
        <f t="shared" si="27"/>
        <v>0</v>
      </c>
      <c r="L162" s="41">
        <f t="shared" si="28"/>
        <v>0</v>
      </c>
      <c r="M162" s="41">
        <f t="shared" si="29"/>
        <v>0</v>
      </c>
      <c r="U162" s="7"/>
      <c r="V162" s="7"/>
    </row>
    <row r="163" spans="8:22" hidden="1" x14ac:dyDescent="0.25">
      <c r="H163" s="41">
        <f t="shared" si="24"/>
        <v>0</v>
      </c>
      <c r="I163" s="41">
        <f t="shared" si="25"/>
        <v>0</v>
      </c>
      <c r="J163" s="41">
        <f t="shared" si="26"/>
        <v>0</v>
      </c>
      <c r="K163" s="41">
        <f t="shared" si="27"/>
        <v>0</v>
      </c>
      <c r="L163" s="41">
        <f t="shared" si="28"/>
        <v>0</v>
      </c>
      <c r="M163" s="41">
        <f t="shared" si="29"/>
        <v>0</v>
      </c>
      <c r="U163" s="7"/>
      <c r="V163" s="7"/>
    </row>
    <row r="164" spans="8:22" hidden="1" x14ac:dyDescent="0.25">
      <c r="H164" s="41">
        <f t="shared" si="24"/>
        <v>0</v>
      </c>
      <c r="I164" s="41">
        <f t="shared" si="25"/>
        <v>0</v>
      </c>
      <c r="J164" s="41">
        <f t="shared" si="26"/>
        <v>0</v>
      </c>
      <c r="K164" s="41">
        <f t="shared" si="27"/>
        <v>0</v>
      </c>
      <c r="L164" s="41">
        <f t="shared" si="28"/>
        <v>0</v>
      </c>
      <c r="M164" s="41">
        <f t="shared" si="29"/>
        <v>0</v>
      </c>
      <c r="U164" s="7"/>
      <c r="V164" s="7"/>
    </row>
    <row r="165" spans="8:22" hidden="1" x14ac:dyDescent="0.25">
      <c r="H165" s="41">
        <f t="shared" si="24"/>
        <v>0</v>
      </c>
      <c r="I165" s="41">
        <f t="shared" si="25"/>
        <v>0</v>
      </c>
      <c r="J165" s="41">
        <f t="shared" si="26"/>
        <v>0</v>
      </c>
      <c r="K165" s="41">
        <f t="shared" si="27"/>
        <v>0</v>
      </c>
      <c r="L165" s="41">
        <f t="shared" si="28"/>
        <v>0</v>
      </c>
      <c r="M165" s="41">
        <f t="shared" si="29"/>
        <v>0</v>
      </c>
      <c r="U165" s="7"/>
      <c r="V165" s="7"/>
    </row>
    <row r="166" spans="8:22" hidden="1" x14ac:dyDescent="0.25">
      <c r="H166" s="41">
        <f t="shared" si="24"/>
        <v>0</v>
      </c>
      <c r="I166" s="41">
        <f t="shared" si="25"/>
        <v>0</v>
      </c>
      <c r="J166" s="41">
        <f t="shared" si="26"/>
        <v>0</v>
      </c>
      <c r="K166" s="41">
        <f t="shared" si="27"/>
        <v>0</v>
      </c>
      <c r="L166" s="41">
        <f t="shared" si="28"/>
        <v>0</v>
      </c>
      <c r="M166" s="41">
        <f t="shared" si="29"/>
        <v>0</v>
      </c>
      <c r="U166" s="7"/>
      <c r="V166" s="7"/>
    </row>
    <row r="167" spans="8:22" hidden="1" x14ac:dyDescent="0.25">
      <c r="H167" s="41">
        <f t="shared" si="24"/>
        <v>0</v>
      </c>
      <c r="I167" s="41">
        <f t="shared" si="25"/>
        <v>0</v>
      </c>
      <c r="J167" s="41">
        <f t="shared" si="26"/>
        <v>0</v>
      </c>
      <c r="K167" s="41">
        <f t="shared" si="27"/>
        <v>0</v>
      </c>
      <c r="L167" s="41">
        <f t="shared" si="28"/>
        <v>0</v>
      </c>
      <c r="M167" s="41">
        <f t="shared" si="29"/>
        <v>0</v>
      </c>
      <c r="U167" s="7"/>
      <c r="V167" s="7"/>
    </row>
    <row r="168" spans="8:22" hidden="1" x14ac:dyDescent="0.25">
      <c r="H168" s="41">
        <f t="shared" si="24"/>
        <v>0</v>
      </c>
      <c r="I168" s="41">
        <f t="shared" si="25"/>
        <v>0</v>
      </c>
      <c r="J168" s="41">
        <f t="shared" si="26"/>
        <v>0</v>
      </c>
      <c r="K168" s="41">
        <f t="shared" si="27"/>
        <v>0</v>
      </c>
      <c r="L168" s="41">
        <f t="shared" si="28"/>
        <v>0</v>
      </c>
      <c r="M168" s="41">
        <f t="shared" si="29"/>
        <v>0</v>
      </c>
      <c r="U168" s="7"/>
      <c r="V168" s="7"/>
    </row>
    <row r="169" spans="8:22" hidden="1" x14ac:dyDescent="0.25">
      <c r="H169" s="41">
        <f t="shared" si="24"/>
        <v>0</v>
      </c>
      <c r="I169" s="41">
        <f t="shared" si="25"/>
        <v>0</v>
      </c>
      <c r="J169" s="41">
        <f t="shared" si="26"/>
        <v>0</v>
      </c>
      <c r="K169" s="41">
        <f t="shared" si="27"/>
        <v>0</v>
      </c>
      <c r="L169" s="41">
        <f t="shared" si="28"/>
        <v>0</v>
      </c>
      <c r="M169" s="41">
        <f t="shared" si="29"/>
        <v>0</v>
      </c>
      <c r="U169" s="7"/>
      <c r="V169" s="7"/>
    </row>
    <row r="170" spans="8:22" hidden="1" x14ac:dyDescent="0.25">
      <c r="H170" s="41">
        <f t="shared" si="24"/>
        <v>0</v>
      </c>
      <c r="I170" s="41">
        <f t="shared" si="25"/>
        <v>0</v>
      </c>
      <c r="J170" s="41">
        <f t="shared" si="26"/>
        <v>0</v>
      </c>
      <c r="K170" s="41">
        <f t="shared" si="27"/>
        <v>0</v>
      </c>
      <c r="L170" s="41">
        <f t="shared" si="28"/>
        <v>0</v>
      </c>
      <c r="M170" s="41">
        <f t="shared" si="29"/>
        <v>0</v>
      </c>
      <c r="U170" s="7"/>
      <c r="V170" s="7"/>
    </row>
    <row r="171" spans="8:22" hidden="1" x14ac:dyDescent="0.25">
      <c r="H171" s="41">
        <f t="shared" si="24"/>
        <v>0</v>
      </c>
      <c r="I171" s="41">
        <f t="shared" si="25"/>
        <v>0</v>
      </c>
      <c r="J171" s="41">
        <f t="shared" si="26"/>
        <v>0</v>
      </c>
      <c r="K171" s="41">
        <f t="shared" si="27"/>
        <v>0</v>
      </c>
      <c r="L171" s="41">
        <f t="shared" si="28"/>
        <v>0</v>
      </c>
      <c r="M171" s="41">
        <f t="shared" si="29"/>
        <v>0</v>
      </c>
      <c r="U171" s="7"/>
      <c r="V171" s="7"/>
    </row>
    <row r="172" spans="8:22" hidden="1" x14ac:dyDescent="0.25">
      <c r="H172" s="41">
        <f t="shared" si="24"/>
        <v>0</v>
      </c>
      <c r="I172" s="41">
        <f t="shared" si="25"/>
        <v>0</v>
      </c>
      <c r="J172" s="41">
        <f t="shared" si="26"/>
        <v>0</v>
      </c>
      <c r="K172" s="41">
        <f t="shared" si="27"/>
        <v>0</v>
      </c>
      <c r="L172" s="41">
        <f t="shared" si="28"/>
        <v>0</v>
      </c>
      <c r="M172" s="41">
        <f t="shared" si="29"/>
        <v>0</v>
      </c>
      <c r="U172" s="7"/>
      <c r="V172" s="7"/>
    </row>
    <row r="173" spans="8:22" hidden="1" x14ac:dyDescent="0.25">
      <c r="H173" s="41">
        <f t="shared" si="24"/>
        <v>0</v>
      </c>
      <c r="I173" s="41">
        <f t="shared" si="25"/>
        <v>0</v>
      </c>
      <c r="J173" s="41">
        <f t="shared" si="26"/>
        <v>0</v>
      </c>
      <c r="K173" s="41">
        <f t="shared" si="27"/>
        <v>0</v>
      </c>
      <c r="L173" s="41">
        <f t="shared" si="28"/>
        <v>0</v>
      </c>
      <c r="M173" s="41">
        <f t="shared" si="29"/>
        <v>0</v>
      </c>
      <c r="U173" s="7"/>
      <c r="V173" s="7"/>
    </row>
    <row r="174" spans="8:22" hidden="1" x14ac:dyDescent="0.25">
      <c r="H174" s="41">
        <f t="shared" si="24"/>
        <v>0</v>
      </c>
      <c r="I174" s="41">
        <f t="shared" si="25"/>
        <v>0</v>
      </c>
      <c r="J174" s="41">
        <f t="shared" si="26"/>
        <v>0</v>
      </c>
      <c r="K174" s="41">
        <f t="shared" si="27"/>
        <v>0</v>
      </c>
      <c r="L174" s="41">
        <f t="shared" si="28"/>
        <v>0</v>
      </c>
      <c r="M174" s="41">
        <f t="shared" si="29"/>
        <v>0</v>
      </c>
      <c r="U174" s="7"/>
      <c r="V174" s="7"/>
    </row>
    <row r="175" spans="8:22" hidden="1" x14ac:dyDescent="0.25">
      <c r="H175" s="41">
        <f t="shared" si="24"/>
        <v>0</v>
      </c>
      <c r="I175" s="41">
        <f t="shared" si="25"/>
        <v>0</v>
      </c>
      <c r="J175" s="41">
        <f t="shared" si="26"/>
        <v>0</v>
      </c>
      <c r="K175" s="41">
        <f t="shared" si="27"/>
        <v>0</v>
      </c>
      <c r="L175" s="41">
        <f t="shared" si="28"/>
        <v>0</v>
      </c>
      <c r="M175" s="41">
        <f t="shared" si="29"/>
        <v>0</v>
      </c>
      <c r="U175" s="7"/>
      <c r="V175" s="7"/>
    </row>
    <row r="176" spans="8:22" hidden="1" x14ac:dyDescent="0.25">
      <c r="H176" s="41">
        <f t="shared" si="24"/>
        <v>0</v>
      </c>
      <c r="I176" s="41">
        <f t="shared" si="25"/>
        <v>0</v>
      </c>
      <c r="J176" s="41">
        <f t="shared" si="26"/>
        <v>0</v>
      </c>
      <c r="K176" s="41">
        <f t="shared" si="27"/>
        <v>0</v>
      </c>
      <c r="L176" s="41">
        <f t="shared" si="28"/>
        <v>0</v>
      </c>
      <c r="M176" s="41">
        <f t="shared" si="29"/>
        <v>0</v>
      </c>
      <c r="U176" s="7"/>
      <c r="V176" s="7"/>
    </row>
    <row r="177" spans="8:22" hidden="1" x14ac:dyDescent="0.25">
      <c r="H177" s="41">
        <f t="shared" si="24"/>
        <v>0</v>
      </c>
      <c r="I177" s="41">
        <f t="shared" si="25"/>
        <v>0</v>
      </c>
      <c r="J177" s="41">
        <f t="shared" si="26"/>
        <v>0</v>
      </c>
      <c r="K177" s="41">
        <f t="shared" si="27"/>
        <v>0</v>
      </c>
      <c r="L177" s="41">
        <f t="shared" si="28"/>
        <v>0</v>
      </c>
      <c r="M177" s="41">
        <f t="shared" si="29"/>
        <v>0</v>
      </c>
      <c r="U177" s="7"/>
      <c r="V177" s="7"/>
    </row>
    <row r="178" spans="8:22" hidden="1" x14ac:dyDescent="0.25">
      <c r="H178" s="41">
        <f t="shared" si="24"/>
        <v>0</v>
      </c>
      <c r="I178" s="41">
        <f t="shared" si="25"/>
        <v>0</v>
      </c>
      <c r="J178" s="41">
        <f t="shared" si="26"/>
        <v>0</v>
      </c>
      <c r="K178" s="41">
        <f t="shared" si="27"/>
        <v>0</v>
      </c>
      <c r="L178" s="41">
        <f t="shared" si="28"/>
        <v>0</v>
      </c>
      <c r="M178" s="41">
        <f t="shared" si="29"/>
        <v>0</v>
      </c>
      <c r="U178" s="7"/>
      <c r="V178" s="7"/>
    </row>
    <row r="179" spans="8:22" hidden="1" x14ac:dyDescent="0.25">
      <c r="H179" s="41">
        <f t="shared" si="24"/>
        <v>0</v>
      </c>
      <c r="I179" s="41">
        <f t="shared" si="25"/>
        <v>0</v>
      </c>
      <c r="J179" s="41">
        <f t="shared" si="26"/>
        <v>0</v>
      </c>
      <c r="K179" s="41">
        <f t="shared" si="27"/>
        <v>0</v>
      </c>
      <c r="L179" s="41">
        <f t="shared" si="28"/>
        <v>0</v>
      </c>
      <c r="M179" s="41">
        <f t="shared" si="29"/>
        <v>0</v>
      </c>
      <c r="U179" s="7"/>
      <c r="V179" s="7"/>
    </row>
    <row r="180" spans="8:22" hidden="1" x14ac:dyDescent="0.25">
      <c r="H180" s="41">
        <f t="shared" si="24"/>
        <v>0</v>
      </c>
      <c r="I180" s="41">
        <f t="shared" si="25"/>
        <v>0</v>
      </c>
      <c r="J180" s="41">
        <f t="shared" si="26"/>
        <v>0</v>
      </c>
      <c r="K180" s="41">
        <f t="shared" si="27"/>
        <v>0</v>
      </c>
      <c r="L180" s="41">
        <f t="shared" si="28"/>
        <v>0</v>
      </c>
      <c r="M180" s="41">
        <f t="shared" si="29"/>
        <v>0</v>
      </c>
      <c r="U180" s="7"/>
      <c r="V180" s="7"/>
    </row>
    <row r="181" spans="8:22" hidden="1" x14ac:dyDescent="0.25">
      <c r="H181" s="41">
        <f t="shared" si="24"/>
        <v>0</v>
      </c>
      <c r="I181" s="41">
        <f t="shared" si="25"/>
        <v>0</v>
      </c>
      <c r="J181" s="41">
        <f t="shared" si="26"/>
        <v>0</v>
      </c>
      <c r="K181" s="41">
        <f t="shared" si="27"/>
        <v>0</v>
      </c>
      <c r="L181" s="41">
        <f t="shared" si="28"/>
        <v>0</v>
      </c>
      <c r="M181" s="41">
        <f t="shared" si="29"/>
        <v>0</v>
      </c>
      <c r="U181" s="7"/>
      <c r="V181" s="7"/>
    </row>
    <row r="182" spans="8:22" hidden="1" x14ac:dyDescent="0.25">
      <c r="H182" s="41">
        <f t="shared" si="24"/>
        <v>0</v>
      </c>
      <c r="I182" s="41">
        <f t="shared" si="25"/>
        <v>0</v>
      </c>
      <c r="J182" s="41">
        <f t="shared" si="26"/>
        <v>0</v>
      </c>
      <c r="K182" s="41">
        <f t="shared" si="27"/>
        <v>0</v>
      </c>
      <c r="L182" s="41">
        <f t="shared" si="28"/>
        <v>0</v>
      </c>
      <c r="M182" s="41">
        <f t="shared" si="29"/>
        <v>0</v>
      </c>
      <c r="U182" s="7"/>
      <c r="V182" s="7"/>
    </row>
    <row r="183" spans="8:22" hidden="1" x14ac:dyDescent="0.25">
      <c r="H183" s="41">
        <f t="shared" si="24"/>
        <v>0</v>
      </c>
      <c r="I183" s="41">
        <f t="shared" si="25"/>
        <v>0</v>
      </c>
      <c r="J183" s="41">
        <f t="shared" si="26"/>
        <v>0</v>
      </c>
      <c r="K183" s="41">
        <f t="shared" si="27"/>
        <v>0</v>
      </c>
      <c r="L183" s="41">
        <f t="shared" si="28"/>
        <v>0</v>
      </c>
      <c r="M183" s="41">
        <f t="shared" si="29"/>
        <v>0</v>
      </c>
      <c r="U183" s="7"/>
      <c r="V183" s="7"/>
    </row>
    <row r="184" spans="8:22" hidden="1" x14ac:dyDescent="0.25">
      <c r="H184" s="41">
        <f t="shared" si="24"/>
        <v>0</v>
      </c>
      <c r="I184" s="41">
        <f t="shared" si="25"/>
        <v>0</v>
      </c>
      <c r="J184" s="41">
        <f t="shared" si="26"/>
        <v>0</v>
      </c>
      <c r="K184" s="41">
        <f t="shared" si="27"/>
        <v>0</v>
      </c>
      <c r="L184" s="41">
        <f t="shared" si="28"/>
        <v>0</v>
      </c>
      <c r="M184" s="41">
        <f t="shared" si="29"/>
        <v>0</v>
      </c>
      <c r="U184" s="7"/>
      <c r="V184" s="7"/>
    </row>
    <row r="185" spans="8:22" hidden="1" x14ac:dyDescent="0.25">
      <c r="H185" s="41">
        <f t="shared" si="24"/>
        <v>0</v>
      </c>
      <c r="I185" s="41">
        <f t="shared" si="25"/>
        <v>0</v>
      </c>
      <c r="J185" s="41">
        <f t="shared" si="26"/>
        <v>0</v>
      </c>
      <c r="K185" s="41">
        <f t="shared" si="27"/>
        <v>0</v>
      </c>
      <c r="L185" s="41">
        <f t="shared" si="28"/>
        <v>0</v>
      </c>
      <c r="M185" s="41">
        <f t="shared" si="29"/>
        <v>0</v>
      </c>
      <c r="U185" s="7"/>
      <c r="V185" s="7"/>
    </row>
    <row r="186" spans="8:22" hidden="1" x14ac:dyDescent="0.25">
      <c r="H186" s="41">
        <f t="shared" si="24"/>
        <v>0</v>
      </c>
      <c r="I186" s="41">
        <f t="shared" si="25"/>
        <v>0</v>
      </c>
      <c r="J186" s="41">
        <f t="shared" si="26"/>
        <v>0</v>
      </c>
      <c r="K186" s="41">
        <f t="shared" si="27"/>
        <v>0</v>
      </c>
      <c r="L186" s="41">
        <f t="shared" si="28"/>
        <v>0</v>
      </c>
      <c r="M186" s="41">
        <f t="shared" si="29"/>
        <v>0</v>
      </c>
      <c r="U186" s="7"/>
      <c r="V186" s="7"/>
    </row>
    <row r="187" spans="8:22" hidden="1" x14ac:dyDescent="0.25">
      <c r="H187" s="41">
        <f t="shared" si="24"/>
        <v>0</v>
      </c>
      <c r="I187" s="41">
        <f t="shared" si="25"/>
        <v>0</v>
      </c>
      <c r="J187" s="41">
        <f t="shared" si="26"/>
        <v>0</v>
      </c>
      <c r="K187" s="41">
        <f t="shared" si="27"/>
        <v>0</v>
      </c>
      <c r="L187" s="41">
        <f t="shared" si="28"/>
        <v>0</v>
      </c>
      <c r="M187" s="41">
        <f t="shared" si="29"/>
        <v>0</v>
      </c>
      <c r="U187" s="7"/>
      <c r="V187" s="7"/>
    </row>
    <row r="188" spans="8:22" hidden="1" x14ac:dyDescent="0.25">
      <c r="H188" s="41">
        <f t="shared" si="24"/>
        <v>0</v>
      </c>
      <c r="I188" s="41">
        <f t="shared" si="25"/>
        <v>0</v>
      </c>
      <c r="J188" s="41">
        <f t="shared" si="26"/>
        <v>0</v>
      </c>
      <c r="K188" s="41">
        <f t="shared" si="27"/>
        <v>0</v>
      </c>
      <c r="L188" s="41">
        <f t="shared" si="28"/>
        <v>0</v>
      </c>
      <c r="M188" s="41">
        <f t="shared" si="29"/>
        <v>0</v>
      </c>
      <c r="U188" s="7"/>
      <c r="V188" s="7"/>
    </row>
    <row r="189" spans="8:22" hidden="1" x14ac:dyDescent="0.25">
      <c r="H189" s="41">
        <f t="shared" si="24"/>
        <v>0</v>
      </c>
      <c r="I189" s="41">
        <f t="shared" si="25"/>
        <v>0</v>
      </c>
      <c r="J189" s="41">
        <f t="shared" si="26"/>
        <v>0</v>
      </c>
      <c r="K189" s="41">
        <f t="shared" si="27"/>
        <v>0</v>
      </c>
      <c r="L189" s="41">
        <f t="shared" si="28"/>
        <v>0</v>
      </c>
      <c r="M189" s="41">
        <f t="shared" si="29"/>
        <v>0</v>
      </c>
      <c r="U189" s="7"/>
      <c r="V189" s="7"/>
    </row>
    <row r="190" spans="8:22" hidden="1" x14ac:dyDescent="0.25">
      <c r="H190" s="41">
        <f t="shared" si="24"/>
        <v>0</v>
      </c>
      <c r="I190" s="41">
        <f t="shared" si="25"/>
        <v>0</v>
      </c>
      <c r="J190" s="41">
        <f t="shared" si="26"/>
        <v>0</v>
      </c>
      <c r="K190" s="41">
        <f t="shared" si="27"/>
        <v>0</v>
      </c>
      <c r="L190" s="41">
        <f t="shared" si="28"/>
        <v>0</v>
      </c>
      <c r="M190" s="41">
        <f t="shared" si="29"/>
        <v>0</v>
      </c>
      <c r="U190" s="7"/>
      <c r="V190" s="7"/>
    </row>
    <row r="191" spans="8:22" hidden="1" x14ac:dyDescent="0.25">
      <c r="H191" s="41">
        <f t="shared" si="24"/>
        <v>0</v>
      </c>
      <c r="I191" s="41">
        <f t="shared" si="25"/>
        <v>0</v>
      </c>
      <c r="J191" s="41">
        <f t="shared" si="26"/>
        <v>0</v>
      </c>
      <c r="K191" s="41">
        <f t="shared" si="27"/>
        <v>0</v>
      </c>
      <c r="L191" s="41">
        <f t="shared" si="28"/>
        <v>0</v>
      </c>
      <c r="M191" s="41">
        <f t="shared" si="29"/>
        <v>0</v>
      </c>
      <c r="U191" s="7"/>
      <c r="V191" s="7"/>
    </row>
    <row r="192" spans="8:22" hidden="1" x14ac:dyDescent="0.25">
      <c r="H192" s="41">
        <f t="shared" si="24"/>
        <v>0</v>
      </c>
      <c r="I192" s="41">
        <f t="shared" si="25"/>
        <v>0</v>
      </c>
      <c r="J192" s="41">
        <f t="shared" si="26"/>
        <v>0</v>
      </c>
      <c r="K192" s="41">
        <f t="shared" si="27"/>
        <v>0</v>
      </c>
      <c r="L192" s="41">
        <f t="shared" si="28"/>
        <v>0</v>
      </c>
      <c r="M192" s="41">
        <f t="shared" si="29"/>
        <v>0</v>
      </c>
      <c r="U192" s="7"/>
      <c r="V192" s="7"/>
    </row>
    <row r="193" spans="8:22" hidden="1" x14ac:dyDescent="0.25">
      <c r="H193" s="41">
        <f t="shared" si="24"/>
        <v>0</v>
      </c>
      <c r="I193" s="41">
        <f t="shared" si="25"/>
        <v>0</v>
      </c>
      <c r="J193" s="41">
        <f t="shared" si="26"/>
        <v>0</v>
      </c>
      <c r="K193" s="41">
        <f t="shared" si="27"/>
        <v>0</v>
      </c>
      <c r="L193" s="41">
        <f t="shared" si="28"/>
        <v>0</v>
      </c>
      <c r="M193" s="41">
        <f t="shared" si="29"/>
        <v>0</v>
      </c>
      <c r="U193" s="7"/>
      <c r="V193" s="7"/>
    </row>
    <row r="194" spans="8:22" hidden="1" x14ac:dyDescent="0.25">
      <c r="H194" s="41">
        <f t="shared" si="24"/>
        <v>0</v>
      </c>
      <c r="I194" s="41">
        <f t="shared" si="25"/>
        <v>0</v>
      </c>
      <c r="J194" s="41">
        <f t="shared" si="26"/>
        <v>0</v>
      </c>
      <c r="K194" s="41">
        <f t="shared" si="27"/>
        <v>0</v>
      </c>
      <c r="L194" s="41">
        <f t="shared" si="28"/>
        <v>0</v>
      </c>
      <c r="M194" s="41">
        <f t="shared" si="29"/>
        <v>0</v>
      </c>
      <c r="U194" s="7"/>
      <c r="V194" s="7"/>
    </row>
    <row r="195" spans="8:22" hidden="1" x14ac:dyDescent="0.25">
      <c r="H195" s="41">
        <f t="shared" si="24"/>
        <v>0</v>
      </c>
      <c r="I195" s="41">
        <f t="shared" si="25"/>
        <v>0</v>
      </c>
      <c r="J195" s="41">
        <f t="shared" si="26"/>
        <v>0</v>
      </c>
      <c r="K195" s="41">
        <f t="shared" si="27"/>
        <v>0</v>
      </c>
      <c r="L195" s="41">
        <f t="shared" si="28"/>
        <v>0</v>
      </c>
      <c r="M195" s="41">
        <f t="shared" si="29"/>
        <v>0</v>
      </c>
      <c r="U195" s="7"/>
      <c r="V195" s="7"/>
    </row>
    <row r="196" spans="8:22" hidden="1" x14ac:dyDescent="0.25">
      <c r="H196" s="41">
        <f t="shared" si="24"/>
        <v>0</v>
      </c>
      <c r="I196" s="41">
        <f t="shared" si="25"/>
        <v>0</v>
      </c>
      <c r="J196" s="41">
        <f t="shared" si="26"/>
        <v>0</v>
      </c>
      <c r="K196" s="41">
        <f t="shared" si="27"/>
        <v>0</v>
      </c>
      <c r="L196" s="41">
        <f t="shared" si="28"/>
        <v>0</v>
      </c>
      <c r="M196" s="41">
        <f t="shared" si="29"/>
        <v>0</v>
      </c>
      <c r="U196" s="7"/>
      <c r="V196" s="7"/>
    </row>
    <row r="197" spans="8:22" hidden="1" x14ac:dyDescent="0.25">
      <c r="H197" s="41">
        <f t="shared" si="24"/>
        <v>0</v>
      </c>
      <c r="I197" s="41">
        <f t="shared" si="25"/>
        <v>0</v>
      </c>
      <c r="J197" s="41">
        <f t="shared" si="26"/>
        <v>0</v>
      </c>
      <c r="K197" s="41">
        <f t="shared" si="27"/>
        <v>0</v>
      </c>
      <c r="L197" s="41">
        <f t="shared" si="28"/>
        <v>0</v>
      </c>
      <c r="M197" s="41">
        <f t="shared" si="29"/>
        <v>0</v>
      </c>
      <c r="U197" s="7"/>
      <c r="V197" s="7"/>
    </row>
    <row r="198" spans="8:22" hidden="1" x14ac:dyDescent="0.25">
      <c r="H198" s="41">
        <f t="shared" si="24"/>
        <v>0</v>
      </c>
      <c r="I198" s="41">
        <f t="shared" si="25"/>
        <v>0</v>
      </c>
      <c r="J198" s="41">
        <f t="shared" si="26"/>
        <v>0</v>
      </c>
      <c r="K198" s="41">
        <f t="shared" si="27"/>
        <v>0</v>
      </c>
      <c r="L198" s="41">
        <f t="shared" si="28"/>
        <v>0</v>
      </c>
      <c r="M198" s="41">
        <f t="shared" si="29"/>
        <v>0</v>
      </c>
      <c r="U198" s="7"/>
      <c r="V198" s="7"/>
    </row>
    <row r="199" spans="8:22" hidden="1" x14ac:dyDescent="0.25">
      <c r="H199" s="41">
        <f t="shared" si="24"/>
        <v>0</v>
      </c>
      <c r="I199" s="41">
        <f t="shared" si="25"/>
        <v>0</v>
      </c>
      <c r="J199" s="41">
        <f t="shared" si="26"/>
        <v>0</v>
      </c>
      <c r="K199" s="41">
        <f t="shared" si="27"/>
        <v>0</v>
      </c>
      <c r="L199" s="41">
        <f t="shared" si="28"/>
        <v>0</v>
      </c>
      <c r="M199" s="41">
        <f t="shared" si="29"/>
        <v>0</v>
      </c>
      <c r="U199" s="7"/>
      <c r="V199" s="7"/>
    </row>
    <row r="200" spans="8:22" hidden="1" x14ac:dyDescent="0.25">
      <c r="H200" s="41">
        <f t="shared" si="24"/>
        <v>0</v>
      </c>
      <c r="I200" s="41">
        <f t="shared" si="25"/>
        <v>0</v>
      </c>
      <c r="J200" s="41">
        <f t="shared" si="26"/>
        <v>0</v>
      </c>
      <c r="K200" s="41">
        <f t="shared" si="27"/>
        <v>0</v>
      </c>
      <c r="L200" s="41">
        <f t="shared" si="28"/>
        <v>0</v>
      </c>
      <c r="M200" s="41">
        <f t="shared" si="29"/>
        <v>0</v>
      </c>
      <c r="U200" s="7"/>
      <c r="V200" s="7"/>
    </row>
    <row r="201" spans="8:22" hidden="1" x14ac:dyDescent="0.25">
      <c r="H201" s="41">
        <f t="shared" si="24"/>
        <v>0</v>
      </c>
      <c r="I201" s="41">
        <f t="shared" si="25"/>
        <v>0</v>
      </c>
      <c r="J201" s="41">
        <f t="shared" si="26"/>
        <v>0</v>
      </c>
      <c r="K201" s="41">
        <f t="shared" si="27"/>
        <v>0</v>
      </c>
      <c r="L201" s="41">
        <f t="shared" si="28"/>
        <v>0</v>
      </c>
      <c r="M201" s="41">
        <f t="shared" si="29"/>
        <v>0</v>
      </c>
      <c r="U201" s="7"/>
      <c r="V201" s="7"/>
    </row>
    <row r="202" spans="8:22" hidden="1" x14ac:dyDescent="0.25">
      <c r="H202" s="41">
        <f t="shared" si="24"/>
        <v>0</v>
      </c>
      <c r="I202" s="41">
        <f t="shared" si="25"/>
        <v>0</v>
      </c>
      <c r="J202" s="41">
        <f t="shared" si="26"/>
        <v>0</v>
      </c>
      <c r="K202" s="41">
        <f t="shared" si="27"/>
        <v>0</v>
      </c>
      <c r="L202" s="41">
        <f t="shared" si="28"/>
        <v>0</v>
      </c>
      <c r="M202" s="41">
        <f t="shared" si="29"/>
        <v>0</v>
      </c>
      <c r="U202" s="7"/>
      <c r="V202" s="7"/>
    </row>
    <row r="203" spans="8:22" hidden="1" x14ac:dyDescent="0.25">
      <c r="H203" s="41">
        <f t="shared" si="24"/>
        <v>0</v>
      </c>
      <c r="I203" s="41">
        <f t="shared" si="25"/>
        <v>0</v>
      </c>
      <c r="J203" s="41">
        <f t="shared" si="26"/>
        <v>0</v>
      </c>
      <c r="K203" s="41">
        <f t="shared" si="27"/>
        <v>0</v>
      </c>
      <c r="L203" s="41">
        <f t="shared" si="28"/>
        <v>0</v>
      </c>
      <c r="M203" s="41">
        <f t="shared" si="29"/>
        <v>0</v>
      </c>
      <c r="U203" s="7"/>
      <c r="V203" s="7"/>
    </row>
    <row r="204" spans="8:22" hidden="1" x14ac:dyDescent="0.25">
      <c r="H204" s="41">
        <f t="shared" si="24"/>
        <v>0</v>
      </c>
      <c r="I204" s="41">
        <f t="shared" si="25"/>
        <v>0</v>
      </c>
      <c r="J204" s="41">
        <f t="shared" si="26"/>
        <v>0</v>
      </c>
      <c r="K204" s="41">
        <f t="shared" si="27"/>
        <v>0</v>
      </c>
      <c r="L204" s="41">
        <f t="shared" si="28"/>
        <v>0</v>
      </c>
      <c r="M204" s="41">
        <f t="shared" si="29"/>
        <v>0</v>
      </c>
      <c r="U204" s="7"/>
      <c r="V204" s="7"/>
    </row>
    <row r="205" spans="8:22" hidden="1" x14ac:dyDescent="0.25">
      <c r="H205" s="41">
        <f t="shared" si="24"/>
        <v>0</v>
      </c>
      <c r="I205" s="41">
        <f t="shared" si="25"/>
        <v>0</v>
      </c>
      <c r="J205" s="41">
        <f t="shared" si="26"/>
        <v>0</v>
      </c>
      <c r="K205" s="41">
        <f t="shared" si="27"/>
        <v>0</v>
      </c>
      <c r="L205" s="41">
        <f t="shared" si="28"/>
        <v>0</v>
      </c>
      <c r="M205" s="41">
        <f t="shared" si="29"/>
        <v>0</v>
      </c>
      <c r="U205" s="7"/>
      <c r="V205" s="7"/>
    </row>
    <row r="206" spans="8:22" hidden="1" x14ac:dyDescent="0.25">
      <c r="H206" s="41">
        <f t="shared" si="24"/>
        <v>0</v>
      </c>
      <c r="I206" s="41">
        <f t="shared" si="25"/>
        <v>0</v>
      </c>
      <c r="J206" s="41">
        <f t="shared" si="26"/>
        <v>0</v>
      </c>
      <c r="K206" s="41">
        <f t="shared" si="27"/>
        <v>0</v>
      </c>
      <c r="L206" s="41">
        <f t="shared" si="28"/>
        <v>0</v>
      </c>
      <c r="M206" s="41">
        <f t="shared" si="29"/>
        <v>0</v>
      </c>
      <c r="U206" s="7"/>
      <c r="V206" s="7"/>
    </row>
    <row r="207" spans="8:22" hidden="1" x14ac:dyDescent="0.25">
      <c r="H207" s="41">
        <f t="shared" si="24"/>
        <v>0</v>
      </c>
      <c r="I207" s="41">
        <f t="shared" si="25"/>
        <v>0</v>
      </c>
      <c r="J207" s="41">
        <f t="shared" si="26"/>
        <v>0</v>
      </c>
      <c r="K207" s="41">
        <f t="shared" si="27"/>
        <v>0</v>
      </c>
      <c r="L207" s="41">
        <f t="shared" si="28"/>
        <v>0</v>
      </c>
      <c r="M207" s="41">
        <f t="shared" si="29"/>
        <v>0</v>
      </c>
      <c r="U207" s="7"/>
      <c r="V207" s="7"/>
    </row>
    <row r="208" spans="8:22" hidden="1" x14ac:dyDescent="0.25">
      <c r="H208" s="41" t="e">
        <f>#REF!</f>
        <v>#REF!</v>
      </c>
      <c r="I208" s="41" t="e">
        <f>#REF!</f>
        <v>#REF!</v>
      </c>
      <c r="J208" s="41" t="e">
        <f>#REF!</f>
        <v>#REF!</v>
      </c>
      <c r="K208" s="41" t="e">
        <f>#REF!</f>
        <v>#REF!</v>
      </c>
      <c r="L208" s="41" t="e">
        <f>#REF!</f>
        <v>#REF!</v>
      </c>
      <c r="M208" s="41" t="e">
        <f>#REF!</f>
        <v>#REF!</v>
      </c>
      <c r="U208" s="7"/>
      <c r="V208" s="7"/>
    </row>
    <row r="209" spans="8:22" hidden="1" x14ac:dyDescent="0.25">
      <c r="H209" s="41">
        <f t="shared" ref="H209:H239" si="30">AB3</f>
        <v>0</v>
      </c>
      <c r="I209" s="41">
        <f t="shared" ref="I209:I239" si="31">AC3</f>
        <v>0</v>
      </c>
      <c r="J209" s="41">
        <f t="shared" ref="J209:J239" si="32">AD3</f>
        <v>0</v>
      </c>
      <c r="K209" s="41">
        <f t="shared" ref="K209:K239" si="33">AE3</f>
        <v>0</v>
      </c>
      <c r="L209" s="41">
        <f t="shared" ref="L209:L239" si="34">AF3</f>
        <v>0</v>
      </c>
      <c r="M209" s="41">
        <f t="shared" ref="M209:M239" si="35">AG3</f>
        <v>0</v>
      </c>
      <c r="U209" s="7"/>
      <c r="V209" s="7"/>
    </row>
    <row r="210" spans="8:22" hidden="1" x14ac:dyDescent="0.25">
      <c r="H210" s="41">
        <f t="shared" si="30"/>
        <v>0</v>
      </c>
      <c r="I210" s="41">
        <f t="shared" si="31"/>
        <v>0</v>
      </c>
      <c r="J210" s="41">
        <f t="shared" si="32"/>
        <v>0</v>
      </c>
      <c r="K210" s="41">
        <f t="shared" si="33"/>
        <v>0</v>
      </c>
      <c r="L210" s="41">
        <f t="shared" si="34"/>
        <v>0</v>
      </c>
      <c r="M210" s="41">
        <f t="shared" si="35"/>
        <v>0</v>
      </c>
      <c r="U210" s="7"/>
      <c r="V210" s="7"/>
    </row>
    <row r="211" spans="8:22" hidden="1" x14ac:dyDescent="0.25">
      <c r="H211" s="41">
        <f t="shared" si="30"/>
        <v>0</v>
      </c>
      <c r="I211" s="41">
        <f t="shared" si="31"/>
        <v>0</v>
      </c>
      <c r="J211" s="41">
        <f t="shared" si="32"/>
        <v>0</v>
      </c>
      <c r="K211" s="41">
        <f t="shared" si="33"/>
        <v>0</v>
      </c>
      <c r="L211" s="41">
        <f t="shared" si="34"/>
        <v>0</v>
      </c>
      <c r="M211" s="41">
        <f t="shared" si="35"/>
        <v>0</v>
      </c>
      <c r="U211" s="7"/>
      <c r="V211" s="7"/>
    </row>
    <row r="212" spans="8:22" hidden="1" x14ac:dyDescent="0.25">
      <c r="H212" s="41">
        <f t="shared" si="30"/>
        <v>0</v>
      </c>
      <c r="I212" s="41">
        <f t="shared" si="31"/>
        <v>0</v>
      </c>
      <c r="J212" s="41">
        <f t="shared" si="32"/>
        <v>0</v>
      </c>
      <c r="K212" s="41">
        <f t="shared" si="33"/>
        <v>0</v>
      </c>
      <c r="L212" s="41">
        <f t="shared" si="34"/>
        <v>0</v>
      </c>
      <c r="M212" s="41">
        <f t="shared" si="35"/>
        <v>0</v>
      </c>
      <c r="U212" s="7"/>
      <c r="V212" s="7"/>
    </row>
    <row r="213" spans="8:22" hidden="1" x14ac:dyDescent="0.25">
      <c r="H213" s="41">
        <f t="shared" si="30"/>
        <v>0</v>
      </c>
      <c r="I213" s="41">
        <f t="shared" si="31"/>
        <v>0</v>
      </c>
      <c r="J213" s="41">
        <f t="shared" si="32"/>
        <v>0</v>
      </c>
      <c r="K213" s="41">
        <f t="shared" si="33"/>
        <v>0</v>
      </c>
      <c r="L213" s="41">
        <f t="shared" si="34"/>
        <v>0</v>
      </c>
      <c r="M213" s="41">
        <f t="shared" si="35"/>
        <v>0</v>
      </c>
      <c r="U213" s="7"/>
      <c r="V213" s="7"/>
    </row>
    <row r="214" spans="8:22" hidden="1" x14ac:dyDescent="0.25">
      <c r="H214" s="41">
        <f t="shared" si="30"/>
        <v>0</v>
      </c>
      <c r="I214" s="41">
        <f t="shared" si="31"/>
        <v>0</v>
      </c>
      <c r="J214" s="41">
        <f t="shared" si="32"/>
        <v>0</v>
      </c>
      <c r="K214" s="41">
        <f t="shared" si="33"/>
        <v>0</v>
      </c>
      <c r="L214" s="41">
        <f t="shared" si="34"/>
        <v>0</v>
      </c>
      <c r="M214" s="41">
        <f t="shared" si="35"/>
        <v>0</v>
      </c>
      <c r="U214" s="7"/>
      <c r="V214" s="7"/>
    </row>
    <row r="215" spans="8:22" hidden="1" x14ac:dyDescent="0.25">
      <c r="H215" s="41">
        <f t="shared" si="30"/>
        <v>0</v>
      </c>
      <c r="I215" s="41">
        <f t="shared" si="31"/>
        <v>0</v>
      </c>
      <c r="J215" s="41">
        <f t="shared" si="32"/>
        <v>0</v>
      </c>
      <c r="K215" s="41">
        <f t="shared" si="33"/>
        <v>0</v>
      </c>
      <c r="L215" s="41">
        <f t="shared" si="34"/>
        <v>0</v>
      </c>
      <c r="M215" s="41">
        <f t="shared" si="35"/>
        <v>0</v>
      </c>
      <c r="U215" s="7"/>
      <c r="V215" s="7"/>
    </row>
    <row r="216" spans="8:22" hidden="1" x14ac:dyDescent="0.25">
      <c r="H216" s="41">
        <f t="shared" si="30"/>
        <v>0</v>
      </c>
      <c r="I216" s="41">
        <f t="shared" si="31"/>
        <v>0</v>
      </c>
      <c r="J216" s="41">
        <f t="shared" si="32"/>
        <v>0</v>
      </c>
      <c r="K216" s="41">
        <f t="shared" si="33"/>
        <v>0</v>
      </c>
      <c r="L216" s="41">
        <f t="shared" si="34"/>
        <v>0</v>
      </c>
      <c r="M216" s="41">
        <f t="shared" si="35"/>
        <v>0</v>
      </c>
      <c r="U216" s="7"/>
      <c r="V216" s="7"/>
    </row>
    <row r="217" spans="8:22" hidden="1" x14ac:dyDescent="0.25">
      <c r="H217" s="41">
        <f t="shared" si="30"/>
        <v>0</v>
      </c>
      <c r="I217" s="41">
        <f t="shared" si="31"/>
        <v>0</v>
      </c>
      <c r="J217" s="41">
        <f t="shared" si="32"/>
        <v>0</v>
      </c>
      <c r="K217" s="41">
        <f t="shared" si="33"/>
        <v>0</v>
      </c>
      <c r="L217" s="41">
        <f t="shared" si="34"/>
        <v>0</v>
      </c>
      <c r="M217" s="41">
        <f t="shared" si="35"/>
        <v>0</v>
      </c>
      <c r="U217" s="7"/>
      <c r="V217" s="7"/>
    </row>
    <row r="218" spans="8:22" hidden="1" x14ac:dyDescent="0.25">
      <c r="H218" s="41">
        <f t="shared" si="30"/>
        <v>0</v>
      </c>
      <c r="I218" s="41">
        <f t="shared" si="31"/>
        <v>0</v>
      </c>
      <c r="J218" s="41">
        <f t="shared" si="32"/>
        <v>0</v>
      </c>
      <c r="K218" s="41">
        <f t="shared" si="33"/>
        <v>0</v>
      </c>
      <c r="L218" s="41">
        <f t="shared" si="34"/>
        <v>0</v>
      </c>
      <c r="M218" s="41">
        <f t="shared" si="35"/>
        <v>0</v>
      </c>
      <c r="U218" s="7"/>
      <c r="V218" s="7"/>
    </row>
    <row r="219" spans="8:22" hidden="1" x14ac:dyDescent="0.25">
      <c r="H219" s="41">
        <f t="shared" si="30"/>
        <v>0</v>
      </c>
      <c r="I219" s="41">
        <f t="shared" si="31"/>
        <v>0</v>
      </c>
      <c r="J219" s="41">
        <f t="shared" si="32"/>
        <v>0</v>
      </c>
      <c r="K219" s="41">
        <f t="shared" si="33"/>
        <v>0</v>
      </c>
      <c r="L219" s="41">
        <f t="shared" si="34"/>
        <v>0</v>
      </c>
      <c r="M219" s="41">
        <f t="shared" si="35"/>
        <v>0</v>
      </c>
      <c r="U219" s="7"/>
      <c r="V219" s="7"/>
    </row>
    <row r="220" spans="8:22" hidden="1" x14ac:dyDescent="0.25">
      <c r="H220" s="41">
        <f t="shared" si="30"/>
        <v>0</v>
      </c>
      <c r="I220" s="41">
        <f t="shared" si="31"/>
        <v>0</v>
      </c>
      <c r="J220" s="41">
        <f t="shared" si="32"/>
        <v>0</v>
      </c>
      <c r="K220" s="41">
        <f t="shared" si="33"/>
        <v>0</v>
      </c>
      <c r="L220" s="41">
        <f t="shared" si="34"/>
        <v>0</v>
      </c>
      <c r="M220" s="41">
        <f t="shared" si="35"/>
        <v>0</v>
      </c>
      <c r="U220" s="7"/>
      <c r="V220" s="7"/>
    </row>
    <row r="221" spans="8:22" hidden="1" x14ac:dyDescent="0.25">
      <c r="H221" s="41">
        <f t="shared" si="30"/>
        <v>0</v>
      </c>
      <c r="I221" s="41">
        <f t="shared" si="31"/>
        <v>0</v>
      </c>
      <c r="J221" s="41">
        <f t="shared" si="32"/>
        <v>0</v>
      </c>
      <c r="K221" s="41">
        <f t="shared" si="33"/>
        <v>0</v>
      </c>
      <c r="L221" s="41">
        <f t="shared" si="34"/>
        <v>0</v>
      </c>
      <c r="M221" s="41">
        <f t="shared" si="35"/>
        <v>0</v>
      </c>
      <c r="U221" s="7"/>
      <c r="V221" s="7"/>
    </row>
    <row r="222" spans="8:22" hidden="1" x14ac:dyDescent="0.25">
      <c r="H222" s="41">
        <f t="shared" si="30"/>
        <v>0</v>
      </c>
      <c r="I222" s="41">
        <f t="shared" si="31"/>
        <v>0</v>
      </c>
      <c r="J222" s="41">
        <f t="shared" si="32"/>
        <v>0</v>
      </c>
      <c r="K222" s="41">
        <f t="shared" si="33"/>
        <v>0</v>
      </c>
      <c r="L222" s="41">
        <f t="shared" si="34"/>
        <v>0</v>
      </c>
      <c r="M222" s="41">
        <f t="shared" si="35"/>
        <v>0</v>
      </c>
      <c r="U222" s="7"/>
      <c r="V222" s="7"/>
    </row>
    <row r="223" spans="8:22" hidden="1" x14ac:dyDescent="0.25">
      <c r="H223" s="41">
        <f t="shared" si="30"/>
        <v>0</v>
      </c>
      <c r="I223" s="41">
        <f t="shared" si="31"/>
        <v>0</v>
      </c>
      <c r="J223" s="41">
        <f t="shared" si="32"/>
        <v>0</v>
      </c>
      <c r="K223" s="41">
        <f t="shared" si="33"/>
        <v>0</v>
      </c>
      <c r="L223" s="41">
        <f t="shared" si="34"/>
        <v>0</v>
      </c>
      <c r="M223" s="41">
        <f t="shared" si="35"/>
        <v>0</v>
      </c>
      <c r="U223" s="7"/>
      <c r="V223" s="7"/>
    </row>
    <row r="224" spans="8:22" hidden="1" x14ac:dyDescent="0.25">
      <c r="H224" s="41">
        <f t="shared" si="30"/>
        <v>0</v>
      </c>
      <c r="I224" s="41">
        <f t="shared" si="31"/>
        <v>0</v>
      </c>
      <c r="J224" s="41">
        <f t="shared" si="32"/>
        <v>0</v>
      </c>
      <c r="K224" s="41">
        <f t="shared" si="33"/>
        <v>0</v>
      </c>
      <c r="L224" s="41">
        <f t="shared" si="34"/>
        <v>0</v>
      </c>
      <c r="M224" s="41">
        <f t="shared" si="35"/>
        <v>0</v>
      </c>
      <c r="U224" s="7"/>
      <c r="V224" s="7"/>
    </row>
    <row r="225" spans="8:22" hidden="1" x14ac:dyDescent="0.25">
      <c r="H225" s="41">
        <f t="shared" si="30"/>
        <v>0</v>
      </c>
      <c r="I225" s="41">
        <f t="shared" si="31"/>
        <v>0</v>
      </c>
      <c r="J225" s="41">
        <f t="shared" si="32"/>
        <v>0</v>
      </c>
      <c r="K225" s="41">
        <f t="shared" si="33"/>
        <v>0</v>
      </c>
      <c r="L225" s="41">
        <f t="shared" si="34"/>
        <v>0</v>
      </c>
      <c r="M225" s="41">
        <f t="shared" si="35"/>
        <v>0</v>
      </c>
      <c r="U225" s="7"/>
      <c r="V225" s="7"/>
    </row>
    <row r="226" spans="8:22" hidden="1" x14ac:dyDescent="0.25">
      <c r="H226" s="41">
        <f t="shared" si="30"/>
        <v>0</v>
      </c>
      <c r="I226" s="41">
        <f t="shared" si="31"/>
        <v>0</v>
      </c>
      <c r="J226" s="41">
        <f t="shared" si="32"/>
        <v>0</v>
      </c>
      <c r="K226" s="41">
        <f t="shared" si="33"/>
        <v>0</v>
      </c>
      <c r="L226" s="41">
        <f t="shared" si="34"/>
        <v>0</v>
      </c>
      <c r="M226" s="41">
        <f t="shared" si="35"/>
        <v>0</v>
      </c>
      <c r="U226" s="7"/>
      <c r="V226" s="7"/>
    </row>
    <row r="227" spans="8:22" hidden="1" x14ac:dyDescent="0.25">
      <c r="H227" s="41">
        <f t="shared" si="30"/>
        <v>0</v>
      </c>
      <c r="I227" s="41">
        <f t="shared" si="31"/>
        <v>0</v>
      </c>
      <c r="J227" s="41">
        <f t="shared" si="32"/>
        <v>0</v>
      </c>
      <c r="K227" s="41">
        <f t="shared" si="33"/>
        <v>0</v>
      </c>
      <c r="L227" s="41">
        <f t="shared" si="34"/>
        <v>0</v>
      </c>
      <c r="M227" s="41">
        <f t="shared" si="35"/>
        <v>0</v>
      </c>
      <c r="U227" s="7"/>
      <c r="V227" s="7"/>
    </row>
    <row r="228" spans="8:22" hidden="1" x14ac:dyDescent="0.25">
      <c r="H228" s="41">
        <f t="shared" si="30"/>
        <v>0</v>
      </c>
      <c r="I228" s="41">
        <f t="shared" si="31"/>
        <v>0</v>
      </c>
      <c r="J228" s="41">
        <f t="shared" si="32"/>
        <v>0</v>
      </c>
      <c r="K228" s="41">
        <f t="shared" si="33"/>
        <v>0</v>
      </c>
      <c r="L228" s="41">
        <f t="shared" si="34"/>
        <v>0</v>
      </c>
      <c r="M228" s="41">
        <f t="shared" si="35"/>
        <v>0</v>
      </c>
      <c r="U228" s="7"/>
      <c r="V228" s="7"/>
    </row>
    <row r="229" spans="8:22" hidden="1" x14ac:dyDescent="0.25">
      <c r="H229" s="41">
        <f t="shared" si="30"/>
        <v>0</v>
      </c>
      <c r="I229" s="41">
        <f t="shared" si="31"/>
        <v>0</v>
      </c>
      <c r="J229" s="41">
        <f t="shared" si="32"/>
        <v>0</v>
      </c>
      <c r="K229" s="41">
        <f t="shared" si="33"/>
        <v>0</v>
      </c>
      <c r="L229" s="41">
        <f t="shared" si="34"/>
        <v>0</v>
      </c>
      <c r="M229" s="41">
        <f t="shared" si="35"/>
        <v>0</v>
      </c>
      <c r="U229" s="7"/>
      <c r="V229" s="7"/>
    </row>
    <row r="230" spans="8:22" hidden="1" x14ac:dyDescent="0.25">
      <c r="H230" s="41">
        <f t="shared" si="30"/>
        <v>0</v>
      </c>
      <c r="I230" s="41">
        <f t="shared" si="31"/>
        <v>0</v>
      </c>
      <c r="J230" s="41">
        <f t="shared" si="32"/>
        <v>0</v>
      </c>
      <c r="K230" s="41">
        <f t="shared" si="33"/>
        <v>0</v>
      </c>
      <c r="L230" s="41">
        <f t="shared" si="34"/>
        <v>0</v>
      </c>
      <c r="M230" s="41">
        <f t="shared" si="35"/>
        <v>0</v>
      </c>
      <c r="U230" s="7"/>
      <c r="V230" s="7"/>
    </row>
    <row r="231" spans="8:22" hidden="1" x14ac:dyDescent="0.25">
      <c r="H231" s="41">
        <f t="shared" si="30"/>
        <v>0</v>
      </c>
      <c r="I231" s="41">
        <f t="shared" si="31"/>
        <v>0</v>
      </c>
      <c r="J231" s="41">
        <f t="shared" si="32"/>
        <v>0</v>
      </c>
      <c r="K231" s="41">
        <f t="shared" si="33"/>
        <v>0</v>
      </c>
      <c r="L231" s="41">
        <f t="shared" si="34"/>
        <v>0</v>
      </c>
      <c r="M231" s="41">
        <f t="shared" si="35"/>
        <v>0</v>
      </c>
      <c r="U231" s="7"/>
      <c r="V231" s="7"/>
    </row>
    <row r="232" spans="8:22" hidden="1" x14ac:dyDescent="0.25">
      <c r="H232" s="41">
        <f t="shared" si="30"/>
        <v>0</v>
      </c>
      <c r="I232" s="41">
        <f t="shared" si="31"/>
        <v>0</v>
      </c>
      <c r="J232" s="41">
        <f t="shared" si="32"/>
        <v>0</v>
      </c>
      <c r="K232" s="41">
        <f t="shared" si="33"/>
        <v>0</v>
      </c>
      <c r="L232" s="41">
        <f t="shared" si="34"/>
        <v>0</v>
      </c>
      <c r="M232" s="41">
        <f t="shared" si="35"/>
        <v>0</v>
      </c>
      <c r="U232" s="7"/>
      <c r="V232" s="7"/>
    </row>
    <row r="233" spans="8:22" hidden="1" x14ac:dyDescent="0.25">
      <c r="H233" s="41">
        <f t="shared" si="30"/>
        <v>0</v>
      </c>
      <c r="I233" s="41">
        <f t="shared" si="31"/>
        <v>0</v>
      </c>
      <c r="J233" s="41">
        <f t="shared" si="32"/>
        <v>0</v>
      </c>
      <c r="K233" s="41">
        <f t="shared" si="33"/>
        <v>0</v>
      </c>
      <c r="L233" s="41">
        <f t="shared" si="34"/>
        <v>0</v>
      </c>
      <c r="M233" s="41">
        <f t="shared" si="35"/>
        <v>0</v>
      </c>
      <c r="U233" s="7"/>
      <c r="V233" s="7"/>
    </row>
    <row r="234" spans="8:22" hidden="1" x14ac:dyDescent="0.25">
      <c r="H234" s="41">
        <f t="shared" si="30"/>
        <v>0</v>
      </c>
      <c r="I234" s="41">
        <f t="shared" si="31"/>
        <v>0</v>
      </c>
      <c r="J234" s="41">
        <f t="shared" si="32"/>
        <v>0</v>
      </c>
      <c r="K234" s="41">
        <f t="shared" si="33"/>
        <v>0</v>
      </c>
      <c r="L234" s="41">
        <f t="shared" si="34"/>
        <v>0</v>
      </c>
      <c r="M234" s="41">
        <f t="shared" si="35"/>
        <v>0</v>
      </c>
      <c r="U234" s="7"/>
      <c r="V234" s="7"/>
    </row>
    <row r="235" spans="8:22" hidden="1" x14ac:dyDescent="0.25">
      <c r="H235" s="41">
        <f t="shared" si="30"/>
        <v>0</v>
      </c>
      <c r="I235" s="41">
        <f t="shared" si="31"/>
        <v>0</v>
      </c>
      <c r="J235" s="41">
        <f t="shared" si="32"/>
        <v>0</v>
      </c>
      <c r="K235" s="41">
        <f t="shared" si="33"/>
        <v>0</v>
      </c>
      <c r="L235" s="41">
        <f t="shared" si="34"/>
        <v>0</v>
      </c>
      <c r="M235" s="41">
        <f t="shared" si="35"/>
        <v>0</v>
      </c>
      <c r="U235" s="7"/>
      <c r="V235" s="7"/>
    </row>
    <row r="236" spans="8:22" hidden="1" x14ac:dyDescent="0.25">
      <c r="H236" s="41">
        <f t="shared" si="30"/>
        <v>0</v>
      </c>
      <c r="I236" s="41">
        <f t="shared" si="31"/>
        <v>0</v>
      </c>
      <c r="J236" s="41">
        <f t="shared" si="32"/>
        <v>0</v>
      </c>
      <c r="K236" s="41">
        <f t="shared" si="33"/>
        <v>0</v>
      </c>
      <c r="L236" s="41">
        <f t="shared" si="34"/>
        <v>0</v>
      </c>
      <c r="M236" s="41">
        <f t="shared" si="35"/>
        <v>0</v>
      </c>
      <c r="U236" s="7"/>
      <c r="V236" s="7"/>
    </row>
    <row r="237" spans="8:22" hidden="1" x14ac:dyDescent="0.25">
      <c r="H237" s="41">
        <f t="shared" si="30"/>
        <v>0</v>
      </c>
      <c r="I237" s="41">
        <f t="shared" si="31"/>
        <v>0</v>
      </c>
      <c r="J237" s="41">
        <f t="shared" si="32"/>
        <v>0</v>
      </c>
      <c r="K237" s="41">
        <f t="shared" si="33"/>
        <v>0</v>
      </c>
      <c r="L237" s="41">
        <f t="shared" si="34"/>
        <v>0</v>
      </c>
      <c r="M237" s="41">
        <f t="shared" si="35"/>
        <v>0</v>
      </c>
      <c r="U237" s="7"/>
      <c r="V237" s="7"/>
    </row>
    <row r="238" spans="8:22" hidden="1" x14ac:dyDescent="0.25">
      <c r="H238" s="41">
        <f t="shared" si="30"/>
        <v>0</v>
      </c>
      <c r="I238" s="41">
        <f t="shared" si="31"/>
        <v>0</v>
      </c>
      <c r="J238" s="41">
        <f t="shared" si="32"/>
        <v>0</v>
      </c>
      <c r="K238" s="41">
        <f t="shared" si="33"/>
        <v>0</v>
      </c>
      <c r="L238" s="41">
        <f t="shared" si="34"/>
        <v>0</v>
      </c>
      <c r="M238" s="41">
        <f t="shared" si="35"/>
        <v>0</v>
      </c>
      <c r="U238" s="7"/>
      <c r="V238" s="7"/>
    </row>
    <row r="239" spans="8:22" hidden="1" x14ac:dyDescent="0.25">
      <c r="H239" s="41">
        <f t="shared" si="30"/>
        <v>0</v>
      </c>
      <c r="I239" s="41">
        <f t="shared" si="31"/>
        <v>0</v>
      </c>
      <c r="J239" s="41">
        <f t="shared" si="32"/>
        <v>0</v>
      </c>
      <c r="K239" s="41">
        <f t="shared" si="33"/>
        <v>0</v>
      </c>
      <c r="L239" s="41">
        <f t="shared" si="34"/>
        <v>0</v>
      </c>
      <c r="M239" s="41">
        <f t="shared" si="35"/>
        <v>0</v>
      </c>
      <c r="U239" s="7"/>
      <c r="V239" s="7"/>
    </row>
    <row r="240" spans="8:22" hidden="1" x14ac:dyDescent="0.25">
      <c r="H240" s="41">
        <f t="shared" ref="H240:H258" si="36">AB34</f>
        <v>0</v>
      </c>
      <c r="I240" s="41">
        <f t="shared" ref="I240:I258" si="37">AC34</f>
        <v>0</v>
      </c>
      <c r="J240" s="41">
        <f t="shared" ref="J240:J258" si="38">AD34</f>
        <v>0</v>
      </c>
      <c r="K240" s="41">
        <f t="shared" ref="K240:K258" si="39">AE34</f>
        <v>0</v>
      </c>
      <c r="L240" s="41">
        <f t="shared" ref="L240:L258" si="40">AF34</f>
        <v>0</v>
      </c>
      <c r="M240" s="41">
        <f t="shared" ref="M240:M258" si="41">AG34</f>
        <v>0</v>
      </c>
      <c r="U240" s="7"/>
      <c r="V240" s="7"/>
    </row>
    <row r="241" spans="8:22" hidden="1" x14ac:dyDescent="0.25">
      <c r="H241" s="41">
        <f t="shared" si="36"/>
        <v>0</v>
      </c>
      <c r="I241" s="41">
        <f t="shared" si="37"/>
        <v>0</v>
      </c>
      <c r="J241" s="41">
        <f t="shared" si="38"/>
        <v>0</v>
      </c>
      <c r="K241" s="41">
        <f t="shared" si="39"/>
        <v>0</v>
      </c>
      <c r="L241" s="41">
        <f t="shared" si="40"/>
        <v>0</v>
      </c>
      <c r="M241" s="41">
        <f t="shared" si="41"/>
        <v>0</v>
      </c>
      <c r="U241" s="7"/>
      <c r="V241" s="7"/>
    </row>
    <row r="242" spans="8:22" hidden="1" x14ac:dyDescent="0.25">
      <c r="H242" s="41">
        <f t="shared" si="36"/>
        <v>0</v>
      </c>
      <c r="I242" s="41">
        <f t="shared" si="37"/>
        <v>0</v>
      </c>
      <c r="J242" s="41">
        <f t="shared" si="38"/>
        <v>0</v>
      </c>
      <c r="K242" s="41">
        <f t="shared" si="39"/>
        <v>0</v>
      </c>
      <c r="L242" s="41">
        <f t="shared" si="40"/>
        <v>0</v>
      </c>
      <c r="M242" s="41">
        <f t="shared" si="41"/>
        <v>0</v>
      </c>
      <c r="U242" s="7"/>
      <c r="V242" s="7"/>
    </row>
    <row r="243" spans="8:22" hidden="1" x14ac:dyDescent="0.25">
      <c r="H243" s="41">
        <f t="shared" si="36"/>
        <v>0</v>
      </c>
      <c r="I243" s="41">
        <f t="shared" si="37"/>
        <v>0</v>
      </c>
      <c r="J243" s="41">
        <f t="shared" si="38"/>
        <v>0</v>
      </c>
      <c r="K243" s="41">
        <f t="shared" si="39"/>
        <v>0</v>
      </c>
      <c r="L243" s="41">
        <f t="shared" si="40"/>
        <v>0</v>
      </c>
      <c r="M243" s="41">
        <f t="shared" si="41"/>
        <v>0</v>
      </c>
      <c r="U243" s="7"/>
      <c r="V243" s="7"/>
    </row>
    <row r="244" spans="8:22" hidden="1" x14ac:dyDescent="0.25">
      <c r="H244" s="41">
        <f t="shared" si="36"/>
        <v>0</v>
      </c>
      <c r="I244" s="41">
        <f t="shared" si="37"/>
        <v>0</v>
      </c>
      <c r="J244" s="41">
        <f t="shared" si="38"/>
        <v>0</v>
      </c>
      <c r="K244" s="41">
        <f t="shared" si="39"/>
        <v>0</v>
      </c>
      <c r="L244" s="41">
        <f t="shared" si="40"/>
        <v>0</v>
      </c>
      <c r="M244" s="41">
        <f t="shared" si="41"/>
        <v>0</v>
      </c>
      <c r="U244" s="7"/>
      <c r="V244" s="7"/>
    </row>
    <row r="245" spans="8:22" hidden="1" x14ac:dyDescent="0.25">
      <c r="H245" s="41">
        <f t="shared" si="36"/>
        <v>0</v>
      </c>
      <c r="I245" s="41">
        <f t="shared" si="37"/>
        <v>0</v>
      </c>
      <c r="J245" s="41">
        <f t="shared" si="38"/>
        <v>0</v>
      </c>
      <c r="K245" s="41">
        <f t="shared" si="39"/>
        <v>0</v>
      </c>
      <c r="L245" s="41">
        <f t="shared" si="40"/>
        <v>0</v>
      </c>
      <c r="M245" s="41">
        <f t="shared" si="41"/>
        <v>0</v>
      </c>
      <c r="U245" s="7"/>
      <c r="V245" s="7"/>
    </row>
    <row r="246" spans="8:22" hidden="1" x14ac:dyDescent="0.25">
      <c r="H246" s="41">
        <f t="shared" si="36"/>
        <v>0</v>
      </c>
      <c r="I246" s="41">
        <f t="shared" si="37"/>
        <v>0</v>
      </c>
      <c r="J246" s="41">
        <f t="shared" si="38"/>
        <v>0</v>
      </c>
      <c r="K246" s="41">
        <f t="shared" si="39"/>
        <v>0</v>
      </c>
      <c r="L246" s="41">
        <f t="shared" si="40"/>
        <v>0</v>
      </c>
      <c r="M246" s="41">
        <f t="shared" si="41"/>
        <v>0</v>
      </c>
      <c r="U246" s="7"/>
      <c r="V246" s="7"/>
    </row>
    <row r="247" spans="8:22" hidden="1" x14ac:dyDescent="0.25">
      <c r="H247" s="41">
        <f t="shared" si="36"/>
        <v>0</v>
      </c>
      <c r="I247" s="41">
        <f t="shared" si="37"/>
        <v>0</v>
      </c>
      <c r="J247" s="41">
        <f t="shared" si="38"/>
        <v>0</v>
      </c>
      <c r="K247" s="41">
        <f t="shared" si="39"/>
        <v>0</v>
      </c>
      <c r="L247" s="41">
        <f t="shared" si="40"/>
        <v>0</v>
      </c>
      <c r="M247" s="41">
        <f t="shared" si="41"/>
        <v>0</v>
      </c>
      <c r="U247" s="7"/>
      <c r="V247" s="7"/>
    </row>
    <row r="248" spans="8:22" hidden="1" x14ac:dyDescent="0.25">
      <c r="H248" s="41">
        <f t="shared" si="36"/>
        <v>0</v>
      </c>
      <c r="I248" s="41">
        <f t="shared" si="37"/>
        <v>0</v>
      </c>
      <c r="J248" s="41">
        <f t="shared" si="38"/>
        <v>0</v>
      </c>
      <c r="K248" s="41">
        <f t="shared" si="39"/>
        <v>0</v>
      </c>
      <c r="L248" s="41">
        <f t="shared" si="40"/>
        <v>0</v>
      </c>
      <c r="M248" s="41">
        <f t="shared" si="41"/>
        <v>0</v>
      </c>
      <c r="U248" s="7"/>
      <c r="V248" s="7"/>
    </row>
    <row r="249" spans="8:22" hidden="1" x14ac:dyDescent="0.25">
      <c r="H249" s="41">
        <f t="shared" si="36"/>
        <v>0</v>
      </c>
      <c r="I249" s="41">
        <f t="shared" si="37"/>
        <v>0</v>
      </c>
      <c r="J249" s="41">
        <f t="shared" si="38"/>
        <v>0</v>
      </c>
      <c r="K249" s="41">
        <f t="shared" si="39"/>
        <v>0</v>
      </c>
      <c r="L249" s="41">
        <f t="shared" si="40"/>
        <v>0</v>
      </c>
      <c r="M249" s="41">
        <f t="shared" si="41"/>
        <v>0</v>
      </c>
      <c r="U249" s="7"/>
      <c r="V249" s="7"/>
    </row>
    <row r="250" spans="8:22" hidden="1" x14ac:dyDescent="0.25">
      <c r="H250" s="41">
        <f t="shared" si="36"/>
        <v>0</v>
      </c>
      <c r="I250" s="41">
        <f t="shared" si="37"/>
        <v>0</v>
      </c>
      <c r="J250" s="41">
        <f t="shared" si="38"/>
        <v>0</v>
      </c>
      <c r="K250" s="41">
        <f t="shared" si="39"/>
        <v>0</v>
      </c>
      <c r="L250" s="41">
        <f t="shared" si="40"/>
        <v>0</v>
      </c>
      <c r="M250" s="41">
        <f t="shared" si="41"/>
        <v>0</v>
      </c>
      <c r="U250" s="7"/>
      <c r="V250" s="7"/>
    </row>
    <row r="251" spans="8:22" hidden="1" x14ac:dyDescent="0.25">
      <c r="H251" s="41">
        <f t="shared" si="36"/>
        <v>0</v>
      </c>
      <c r="I251" s="41">
        <f t="shared" si="37"/>
        <v>0</v>
      </c>
      <c r="J251" s="41">
        <f t="shared" si="38"/>
        <v>0</v>
      </c>
      <c r="K251" s="41">
        <f t="shared" si="39"/>
        <v>0</v>
      </c>
      <c r="L251" s="41">
        <f t="shared" si="40"/>
        <v>0</v>
      </c>
      <c r="M251" s="41">
        <f t="shared" si="41"/>
        <v>0</v>
      </c>
      <c r="U251" s="7"/>
      <c r="V251" s="7"/>
    </row>
    <row r="252" spans="8:22" hidden="1" x14ac:dyDescent="0.25">
      <c r="H252" s="41">
        <f t="shared" si="36"/>
        <v>0</v>
      </c>
      <c r="I252" s="41">
        <f t="shared" si="37"/>
        <v>0</v>
      </c>
      <c r="J252" s="41">
        <f t="shared" si="38"/>
        <v>0</v>
      </c>
      <c r="K252" s="41">
        <f t="shared" si="39"/>
        <v>0</v>
      </c>
      <c r="L252" s="41">
        <f t="shared" si="40"/>
        <v>0</v>
      </c>
      <c r="M252" s="41">
        <f t="shared" si="41"/>
        <v>0</v>
      </c>
      <c r="U252" s="7"/>
      <c r="V252" s="7"/>
    </row>
    <row r="253" spans="8:22" hidden="1" x14ac:dyDescent="0.25">
      <c r="H253" s="41">
        <f t="shared" si="36"/>
        <v>0</v>
      </c>
      <c r="I253" s="41">
        <f t="shared" si="37"/>
        <v>0</v>
      </c>
      <c r="J253" s="41">
        <f t="shared" si="38"/>
        <v>0</v>
      </c>
      <c r="K253" s="41">
        <f t="shared" si="39"/>
        <v>0</v>
      </c>
      <c r="L253" s="41">
        <f t="shared" si="40"/>
        <v>0</v>
      </c>
      <c r="M253" s="41">
        <f t="shared" si="41"/>
        <v>0</v>
      </c>
      <c r="U253" s="7"/>
      <c r="V253" s="7"/>
    </row>
    <row r="254" spans="8:22" hidden="1" x14ac:dyDescent="0.25">
      <c r="H254" s="41">
        <f t="shared" si="36"/>
        <v>0</v>
      </c>
      <c r="I254" s="41">
        <f t="shared" si="37"/>
        <v>0</v>
      </c>
      <c r="J254" s="41">
        <f t="shared" si="38"/>
        <v>0</v>
      </c>
      <c r="K254" s="41">
        <f t="shared" si="39"/>
        <v>0</v>
      </c>
      <c r="L254" s="41">
        <f t="shared" si="40"/>
        <v>0</v>
      </c>
      <c r="M254" s="41">
        <f t="shared" si="41"/>
        <v>0</v>
      </c>
      <c r="U254" s="7"/>
      <c r="V254" s="7"/>
    </row>
    <row r="255" spans="8:22" hidden="1" x14ac:dyDescent="0.25">
      <c r="H255" s="41">
        <f t="shared" si="36"/>
        <v>0</v>
      </c>
      <c r="I255" s="41">
        <f t="shared" si="37"/>
        <v>0</v>
      </c>
      <c r="J255" s="41">
        <f t="shared" si="38"/>
        <v>0</v>
      </c>
      <c r="K255" s="41">
        <f t="shared" si="39"/>
        <v>0</v>
      </c>
      <c r="L255" s="41">
        <f t="shared" si="40"/>
        <v>0</v>
      </c>
      <c r="M255" s="41">
        <f t="shared" si="41"/>
        <v>0</v>
      </c>
      <c r="U255" s="7"/>
      <c r="V255" s="7"/>
    </row>
    <row r="256" spans="8:22" hidden="1" x14ac:dyDescent="0.25">
      <c r="H256" s="41">
        <f t="shared" si="36"/>
        <v>0</v>
      </c>
      <c r="I256" s="41">
        <f t="shared" si="37"/>
        <v>0</v>
      </c>
      <c r="J256" s="41">
        <f t="shared" si="38"/>
        <v>0</v>
      </c>
      <c r="K256" s="41">
        <f t="shared" si="39"/>
        <v>0</v>
      </c>
      <c r="L256" s="41">
        <f t="shared" si="40"/>
        <v>0</v>
      </c>
      <c r="M256" s="41">
        <f t="shared" si="41"/>
        <v>0</v>
      </c>
      <c r="U256" s="7"/>
      <c r="V256" s="7"/>
    </row>
    <row r="257" spans="8:22" hidden="1" x14ac:dyDescent="0.25">
      <c r="H257" s="41">
        <f t="shared" si="36"/>
        <v>0</v>
      </c>
      <c r="I257" s="41">
        <f t="shared" si="37"/>
        <v>0</v>
      </c>
      <c r="J257" s="41">
        <f t="shared" si="38"/>
        <v>0</v>
      </c>
      <c r="K257" s="41">
        <f t="shared" si="39"/>
        <v>0</v>
      </c>
      <c r="L257" s="41">
        <f t="shared" si="40"/>
        <v>0</v>
      </c>
      <c r="M257" s="41">
        <f t="shared" si="41"/>
        <v>0</v>
      </c>
      <c r="U257" s="7"/>
      <c r="V257" s="7"/>
    </row>
    <row r="258" spans="8:22" hidden="1" x14ac:dyDescent="0.25">
      <c r="H258" s="41">
        <f t="shared" si="36"/>
        <v>0</v>
      </c>
      <c r="I258" s="41">
        <f t="shared" si="37"/>
        <v>0</v>
      </c>
      <c r="J258" s="41">
        <f t="shared" si="38"/>
        <v>0</v>
      </c>
      <c r="K258" s="41">
        <f t="shared" si="39"/>
        <v>0</v>
      </c>
      <c r="L258" s="41">
        <f t="shared" si="40"/>
        <v>0</v>
      </c>
      <c r="M258" s="41">
        <f t="shared" si="41"/>
        <v>0</v>
      </c>
      <c r="U258" s="7"/>
      <c r="V258" s="7"/>
    </row>
    <row r="259" spans="8:22" hidden="1" x14ac:dyDescent="0.25">
      <c r="H259" s="41" t="e">
        <f>#REF!</f>
        <v>#REF!</v>
      </c>
      <c r="I259" s="41" t="e">
        <f>#REF!</f>
        <v>#REF!</v>
      </c>
      <c r="J259" s="41" t="e">
        <f>#REF!</f>
        <v>#REF!</v>
      </c>
      <c r="K259" s="41" t="e">
        <f>#REF!</f>
        <v>#REF!</v>
      </c>
      <c r="L259" s="41" t="e">
        <f>#REF!</f>
        <v>#REF!</v>
      </c>
      <c r="M259" s="41" t="e">
        <f>#REF!</f>
        <v>#REF!</v>
      </c>
      <c r="U259" s="7"/>
      <c r="V259" s="7"/>
    </row>
    <row r="260" spans="8:22" hidden="1" x14ac:dyDescent="0.25">
      <c r="H260" s="41">
        <f t="shared" ref="H260:H290" si="42">AH3</f>
        <v>0</v>
      </c>
      <c r="I260" s="41">
        <f t="shared" ref="I260:I290" si="43">AI3</f>
        <v>0</v>
      </c>
      <c r="J260" s="41">
        <f t="shared" ref="J260:J290" si="44">AJ3</f>
        <v>0</v>
      </c>
      <c r="K260" s="41">
        <f t="shared" ref="K260:K290" si="45">AK3</f>
        <v>0</v>
      </c>
      <c r="L260" s="41">
        <f t="shared" ref="L260:L290" si="46">AL3</f>
        <v>0</v>
      </c>
      <c r="M260" s="41">
        <f t="shared" ref="M260:M290" si="47">AM3</f>
        <v>0</v>
      </c>
      <c r="U260" s="7"/>
      <c r="V260" s="7"/>
    </row>
    <row r="261" spans="8:22" hidden="1" x14ac:dyDescent="0.25">
      <c r="H261" s="41">
        <f t="shared" si="42"/>
        <v>0</v>
      </c>
      <c r="I261" s="41">
        <f t="shared" si="43"/>
        <v>0</v>
      </c>
      <c r="J261" s="41">
        <f t="shared" si="44"/>
        <v>0</v>
      </c>
      <c r="K261" s="41">
        <f t="shared" si="45"/>
        <v>0</v>
      </c>
      <c r="L261" s="41">
        <f t="shared" si="46"/>
        <v>0</v>
      </c>
      <c r="M261" s="41">
        <f t="shared" si="47"/>
        <v>0</v>
      </c>
      <c r="U261" s="7"/>
      <c r="V261" s="7"/>
    </row>
    <row r="262" spans="8:22" hidden="1" x14ac:dyDescent="0.25">
      <c r="H262" s="41">
        <f t="shared" si="42"/>
        <v>0</v>
      </c>
      <c r="I262" s="41">
        <f t="shared" si="43"/>
        <v>0</v>
      </c>
      <c r="J262" s="41">
        <f t="shared" si="44"/>
        <v>0</v>
      </c>
      <c r="K262" s="41">
        <f t="shared" si="45"/>
        <v>0</v>
      </c>
      <c r="L262" s="41">
        <f t="shared" si="46"/>
        <v>0</v>
      </c>
      <c r="M262" s="41">
        <f t="shared" si="47"/>
        <v>0</v>
      </c>
      <c r="U262" s="7"/>
      <c r="V262" s="7"/>
    </row>
    <row r="263" spans="8:22" hidden="1" x14ac:dyDescent="0.25">
      <c r="H263" s="41">
        <f t="shared" si="42"/>
        <v>0</v>
      </c>
      <c r="I263" s="41">
        <f t="shared" si="43"/>
        <v>0</v>
      </c>
      <c r="J263" s="41">
        <f t="shared" si="44"/>
        <v>0</v>
      </c>
      <c r="K263" s="41">
        <f t="shared" si="45"/>
        <v>0</v>
      </c>
      <c r="L263" s="41">
        <f t="shared" si="46"/>
        <v>0</v>
      </c>
      <c r="M263" s="41">
        <f t="shared" si="47"/>
        <v>0</v>
      </c>
      <c r="U263" s="7"/>
      <c r="V263" s="7"/>
    </row>
    <row r="264" spans="8:22" hidden="1" x14ac:dyDescent="0.25">
      <c r="H264" s="41">
        <f t="shared" si="42"/>
        <v>0</v>
      </c>
      <c r="I264" s="41">
        <f t="shared" si="43"/>
        <v>0</v>
      </c>
      <c r="J264" s="41">
        <f t="shared" si="44"/>
        <v>0</v>
      </c>
      <c r="K264" s="41">
        <f t="shared" si="45"/>
        <v>0</v>
      </c>
      <c r="L264" s="41">
        <f t="shared" si="46"/>
        <v>0</v>
      </c>
      <c r="M264" s="41">
        <f t="shared" si="47"/>
        <v>0</v>
      </c>
      <c r="U264" s="7"/>
      <c r="V264" s="7"/>
    </row>
    <row r="265" spans="8:22" hidden="1" x14ac:dyDescent="0.25">
      <c r="H265" s="41">
        <f t="shared" si="42"/>
        <v>0</v>
      </c>
      <c r="I265" s="41">
        <f t="shared" si="43"/>
        <v>0</v>
      </c>
      <c r="J265" s="41">
        <f t="shared" si="44"/>
        <v>0</v>
      </c>
      <c r="K265" s="41">
        <f t="shared" si="45"/>
        <v>0</v>
      </c>
      <c r="L265" s="41">
        <f t="shared" si="46"/>
        <v>0</v>
      </c>
      <c r="M265" s="41">
        <f t="shared" si="47"/>
        <v>0</v>
      </c>
      <c r="U265" s="7"/>
      <c r="V265" s="7"/>
    </row>
    <row r="266" spans="8:22" hidden="1" x14ac:dyDescent="0.25">
      <c r="H266" s="41">
        <f t="shared" si="42"/>
        <v>0</v>
      </c>
      <c r="I266" s="41">
        <f t="shared" si="43"/>
        <v>0</v>
      </c>
      <c r="J266" s="41">
        <f t="shared" si="44"/>
        <v>0</v>
      </c>
      <c r="K266" s="41">
        <f t="shared" si="45"/>
        <v>0</v>
      </c>
      <c r="L266" s="41">
        <f t="shared" si="46"/>
        <v>0</v>
      </c>
      <c r="M266" s="41">
        <f t="shared" si="47"/>
        <v>0</v>
      </c>
      <c r="U266" s="7"/>
      <c r="V266" s="7"/>
    </row>
    <row r="267" spans="8:22" hidden="1" x14ac:dyDescent="0.25">
      <c r="H267" s="41">
        <f t="shared" si="42"/>
        <v>0</v>
      </c>
      <c r="I267" s="41">
        <f t="shared" si="43"/>
        <v>0</v>
      </c>
      <c r="J267" s="41">
        <f t="shared" si="44"/>
        <v>0</v>
      </c>
      <c r="K267" s="41">
        <f t="shared" si="45"/>
        <v>0</v>
      </c>
      <c r="L267" s="41">
        <f t="shared" si="46"/>
        <v>0</v>
      </c>
      <c r="M267" s="41">
        <f t="shared" si="47"/>
        <v>0</v>
      </c>
      <c r="U267" s="7"/>
      <c r="V267" s="7"/>
    </row>
    <row r="268" spans="8:22" hidden="1" x14ac:dyDescent="0.25">
      <c r="H268" s="41">
        <f t="shared" si="42"/>
        <v>0</v>
      </c>
      <c r="I268" s="41">
        <f t="shared" si="43"/>
        <v>0</v>
      </c>
      <c r="J268" s="41">
        <f t="shared" si="44"/>
        <v>0</v>
      </c>
      <c r="K268" s="41">
        <f t="shared" si="45"/>
        <v>0</v>
      </c>
      <c r="L268" s="41">
        <f t="shared" si="46"/>
        <v>0</v>
      </c>
      <c r="M268" s="41">
        <f t="shared" si="47"/>
        <v>0</v>
      </c>
      <c r="U268" s="7"/>
      <c r="V268" s="7"/>
    </row>
    <row r="269" spans="8:22" hidden="1" x14ac:dyDescent="0.25">
      <c r="H269" s="41">
        <f t="shared" si="42"/>
        <v>0</v>
      </c>
      <c r="I269" s="41">
        <f t="shared" si="43"/>
        <v>0</v>
      </c>
      <c r="J269" s="41">
        <f t="shared" si="44"/>
        <v>0</v>
      </c>
      <c r="K269" s="41">
        <f t="shared" si="45"/>
        <v>0</v>
      </c>
      <c r="L269" s="41">
        <f t="shared" si="46"/>
        <v>0</v>
      </c>
      <c r="M269" s="41">
        <f t="shared" si="47"/>
        <v>0</v>
      </c>
      <c r="U269" s="7"/>
      <c r="V269" s="7"/>
    </row>
    <row r="270" spans="8:22" hidden="1" x14ac:dyDescent="0.25">
      <c r="H270" s="41">
        <f t="shared" si="42"/>
        <v>0</v>
      </c>
      <c r="I270" s="41">
        <f t="shared" si="43"/>
        <v>0</v>
      </c>
      <c r="J270" s="41">
        <f t="shared" si="44"/>
        <v>0</v>
      </c>
      <c r="K270" s="41">
        <f t="shared" si="45"/>
        <v>0</v>
      </c>
      <c r="L270" s="41">
        <f t="shared" si="46"/>
        <v>0</v>
      </c>
      <c r="M270" s="41">
        <f t="shared" si="47"/>
        <v>0</v>
      </c>
      <c r="U270" s="7"/>
      <c r="V270" s="7"/>
    </row>
    <row r="271" spans="8:22" hidden="1" x14ac:dyDescent="0.25">
      <c r="H271" s="41">
        <f t="shared" si="42"/>
        <v>0</v>
      </c>
      <c r="I271" s="41">
        <f t="shared" si="43"/>
        <v>0</v>
      </c>
      <c r="J271" s="41">
        <f t="shared" si="44"/>
        <v>0</v>
      </c>
      <c r="K271" s="41">
        <f t="shared" si="45"/>
        <v>0</v>
      </c>
      <c r="L271" s="41">
        <f t="shared" si="46"/>
        <v>0</v>
      </c>
      <c r="M271" s="41">
        <f t="shared" si="47"/>
        <v>0</v>
      </c>
      <c r="U271" s="7"/>
      <c r="V271" s="7"/>
    </row>
    <row r="272" spans="8:22" hidden="1" x14ac:dyDescent="0.25">
      <c r="H272" s="41">
        <f t="shared" si="42"/>
        <v>0</v>
      </c>
      <c r="I272" s="41">
        <f t="shared" si="43"/>
        <v>0</v>
      </c>
      <c r="J272" s="41">
        <f t="shared" si="44"/>
        <v>0</v>
      </c>
      <c r="K272" s="41">
        <f t="shared" si="45"/>
        <v>0</v>
      </c>
      <c r="L272" s="41">
        <f t="shared" si="46"/>
        <v>0</v>
      </c>
      <c r="M272" s="41">
        <f t="shared" si="47"/>
        <v>0</v>
      </c>
      <c r="U272" s="7"/>
      <c r="V272" s="7"/>
    </row>
    <row r="273" spans="8:22" hidden="1" x14ac:dyDescent="0.25">
      <c r="H273" s="41">
        <f t="shared" si="42"/>
        <v>0</v>
      </c>
      <c r="I273" s="41">
        <f t="shared" si="43"/>
        <v>0</v>
      </c>
      <c r="J273" s="41">
        <f t="shared" si="44"/>
        <v>0</v>
      </c>
      <c r="K273" s="41">
        <f t="shared" si="45"/>
        <v>0</v>
      </c>
      <c r="L273" s="41">
        <f t="shared" si="46"/>
        <v>0</v>
      </c>
      <c r="M273" s="41">
        <f t="shared" si="47"/>
        <v>0</v>
      </c>
      <c r="U273" s="7"/>
      <c r="V273" s="7"/>
    </row>
    <row r="274" spans="8:22" hidden="1" x14ac:dyDescent="0.25">
      <c r="H274" s="41">
        <f t="shared" si="42"/>
        <v>0</v>
      </c>
      <c r="I274" s="41">
        <f t="shared" si="43"/>
        <v>0</v>
      </c>
      <c r="J274" s="41">
        <f t="shared" si="44"/>
        <v>0</v>
      </c>
      <c r="K274" s="41">
        <f t="shared" si="45"/>
        <v>0</v>
      </c>
      <c r="L274" s="41">
        <f t="shared" si="46"/>
        <v>0</v>
      </c>
      <c r="M274" s="41">
        <f t="shared" si="47"/>
        <v>0</v>
      </c>
      <c r="U274" s="7"/>
      <c r="V274" s="7"/>
    </row>
    <row r="275" spans="8:22" hidden="1" x14ac:dyDescent="0.25">
      <c r="H275" s="41">
        <f t="shared" si="42"/>
        <v>0</v>
      </c>
      <c r="I275" s="41">
        <f t="shared" si="43"/>
        <v>0</v>
      </c>
      <c r="J275" s="41">
        <f t="shared" si="44"/>
        <v>0</v>
      </c>
      <c r="K275" s="41">
        <f t="shared" si="45"/>
        <v>0</v>
      </c>
      <c r="L275" s="41">
        <f t="shared" si="46"/>
        <v>0</v>
      </c>
      <c r="M275" s="41">
        <f t="shared" si="47"/>
        <v>0</v>
      </c>
      <c r="U275" s="7"/>
      <c r="V275" s="7"/>
    </row>
    <row r="276" spans="8:22" hidden="1" x14ac:dyDescent="0.25">
      <c r="H276" s="41">
        <f t="shared" si="42"/>
        <v>0</v>
      </c>
      <c r="I276" s="41">
        <f t="shared" si="43"/>
        <v>0</v>
      </c>
      <c r="J276" s="41">
        <f t="shared" si="44"/>
        <v>0</v>
      </c>
      <c r="K276" s="41">
        <f t="shared" si="45"/>
        <v>0</v>
      </c>
      <c r="L276" s="41">
        <f t="shared" si="46"/>
        <v>0</v>
      </c>
      <c r="M276" s="41">
        <f t="shared" si="47"/>
        <v>0</v>
      </c>
      <c r="U276" s="7"/>
      <c r="V276" s="7"/>
    </row>
    <row r="277" spans="8:22" hidden="1" x14ac:dyDescent="0.25">
      <c r="H277" s="41">
        <f t="shared" si="42"/>
        <v>0</v>
      </c>
      <c r="I277" s="41">
        <f t="shared" si="43"/>
        <v>0</v>
      </c>
      <c r="J277" s="41">
        <f t="shared" si="44"/>
        <v>0</v>
      </c>
      <c r="K277" s="41">
        <f t="shared" si="45"/>
        <v>0</v>
      </c>
      <c r="L277" s="41">
        <f t="shared" si="46"/>
        <v>0</v>
      </c>
      <c r="M277" s="41">
        <f t="shared" si="47"/>
        <v>0</v>
      </c>
      <c r="U277" s="7"/>
      <c r="V277" s="7"/>
    </row>
    <row r="278" spans="8:22" hidden="1" x14ac:dyDescent="0.25">
      <c r="H278" s="41">
        <f t="shared" si="42"/>
        <v>0</v>
      </c>
      <c r="I278" s="41">
        <f t="shared" si="43"/>
        <v>0</v>
      </c>
      <c r="J278" s="41">
        <f t="shared" si="44"/>
        <v>0</v>
      </c>
      <c r="K278" s="41">
        <f t="shared" si="45"/>
        <v>0</v>
      </c>
      <c r="L278" s="41">
        <f t="shared" si="46"/>
        <v>0</v>
      </c>
      <c r="M278" s="41">
        <f t="shared" si="47"/>
        <v>0</v>
      </c>
      <c r="U278" s="7"/>
      <c r="V278" s="7"/>
    </row>
    <row r="279" spans="8:22" hidden="1" x14ac:dyDescent="0.25">
      <c r="H279" s="41">
        <f t="shared" si="42"/>
        <v>0</v>
      </c>
      <c r="I279" s="41">
        <f t="shared" si="43"/>
        <v>0</v>
      </c>
      <c r="J279" s="41">
        <f t="shared" si="44"/>
        <v>0</v>
      </c>
      <c r="K279" s="41">
        <f t="shared" si="45"/>
        <v>0</v>
      </c>
      <c r="L279" s="41">
        <f t="shared" si="46"/>
        <v>0</v>
      </c>
      <c r="M279" s="41">
        <f t="shared" si="47"/>
        <v>0</v>
      </c>
      <c r="U279" s="7"/>
      <c r="V279" s="7"/>
    </row>
    <row r="280" spans="8:22" hidden="1" x14ac:dyDescent="0.25">
      <c r="H280" s="41">
        <f t="shared" si="42"/>
        <v>0</v>
      </c>
      <c r="I280" s="41">
        <f t="shared" si="43"/>
        <v>0</v>
      </c>
      <c r="J280" s="41">
        <f t="shared" si="44"/>
        <v>0</v>
      </c>
      <c r="K280" s="41">
        <f t="shared" si="45"/>
        <v>0</v>
      </c>
      <c r="L280" s="41">
        <f t="shared" si="46"/>
        <v>0</v>
      </c>
      <c r="M280" s="41">
        <f t="shared" si="47"/>
        <v>0</v>
      </c>
      <c r="U280" s="7"/>
      <c r="V280" s="7"/>
    </row>
    <row r="281" spans="8:22" hidden="1" x14ac:dyDescent="0.25">
      <c r="H281" s="41">
        <f t="shared" si="42"/>
        <v>0</v>
      </c>
      <c r="I281" s="41">
        <f t="shared" si="43"/>
        <v>0</v>
      </c>
      <c r="J281" s="41">
        <f t="shared" si="44"/>
        <v>0</v>
      </c>
      <c r="K281" s="41">
        <f t="shared" si="45"/>
        <v>0</v>
      </c>
      <c r="L281" s="41">
        <f t="shared" si="46"/>
        <v>0</v>
      </c>
      <c r="M281" s="41">
        <f t="shared" si="47"/>
        <v>0</v>
      </c>
      <c r="U281" s="7"/>
      <c r="V281" s="7"/>
    </row>
    <row r="282" spans="8:22" hidden="1" x14ac:dyDescent="0.25">
      <c r="H282" s="41">
        <f t="shared" si="42"/>
        <v>0</v>
      </c>
      <c r="I282" s="41">
        <f t="shared" si="43"/>
        <v>0</v>
      </c>
      <c r="J282" s="41">
        <f t="shared" si="44"/>
        <v>0</v>
      </c>
      <c r="K282" s="41">
        <f t="shared" si="45"/>
        <v>0</v>
      </c>
      <c r="L282" s="41">
        <f t="shared" si="46"/>
        <v>0</v>
      </c>
      <c r="M282" s="41">
        <f t="shared" si="47"/>
        <v>0</v>
      </c>
      <c r="U282" s="7"/>
      <c r="V282" s="7"/>
    </row>
    <row r="283" spans="8:22" hidden="1" x14ac:dyDescent="0.25">
      <c r="H283" s="41">
        <f t="shared" si="42"/>
        <v>0</v>
      </c>
      <c r="I283" s="41">
        <f t="shared" si="43"/>
        <v>0</v>
      </c>
      <c r="J283" s="41">
        <f t="shared" si="44"/>
        <v>0</v>
      </c>
      <c r="K283" s="41">
        <f t="shared" si="45"/>
        <v>0</v>
      </c>
      <c r="L283" s="41">
        <f t="shared" si="46"/>
        <v>0</v>
      </c>
      <c r="M283" s="41">
        <f t="shared" si="47"/>
        <v>0</v>
      </c>
      <c r="U283" s="7"/>
      <c r="V283" s="7"/>
    </row>
    <row r="284" spans="8:22" hidden="1" x14ac:dyDescent="0.25">
      <c r="H284" s="41">
        <f t="shared" si="42"/>
        <v>0</v>
      </c>
      <c r="I284" s="41">
        <f t="shared" si="43"/>
        <v>0</v>
      </c>
      <c r="J284" s="41">
        <f t="shared" si="44"/>
        <v>0</v>
      </c>
      <c r="K284" s="41">
        <f t="shared" si="45"/>
        <v>0</v>
      </c>
      <c r="L284" s="41">
        <f t="shared" si="46"/>
        <v>0</v>
      </c>
      <c r="M284" s="41">
        <f t="shared" si="47"/>
        <v>0</v>
      </c>
      <c r="U284" s="7"/>
      <c r="V284" s="7"/>
    </row>
    <row r="285" spans="8:22" hidden="1" x14ac:dyDescent="0.25">
      <c r="H285" s="41">
        <f t="shared" si="42"/>
        <v>0</v>
      </c>
      <c r="I285" s="41">
        <f t="shared" si="43"/>
        <v>0</v>
      </c>
      <c r="J285" s="41">
        <f t="shared" si="44"/>
        <v>0</v>
      </c>
      <c r="K285" s="41">
        <f t="shared" si="45"/>
        <v>0</v>
      </c>
      <c r="L285" s="41">
        <f t="shared" si="46"/>
        <v>0</v>
      </c>
      <c r="M285" s="41">
        <f t="shared" si="47"/>
        <v>0</v>
      </c>
      <c r="U285" s="7"/>
      <c r="V285" s="7"/>
    </row>
    <row r="286" spans="8:22" hidden="1" x14ac:dyDescent="0.25">
      <c r="H286" s="41">
        <f t="shared" si="42"/>
        <v>0</v>
      </c>
      <c r="I286" s="41">
        <f t="shared" si="43"/>
        <v>0</v>
      </c>
      <c r="J286" s="41">
        <f t="shared" si="44"/>
        <v>0</v>
      </c>
      <c r="K286" s="41">
        <f t="shared" si="45"/>
        <v>0</v>
      </c>
      <c r="L286" s="41">
        <f t="shared" si="46"/>
        <v>0</v>
      </c>
      <c r="M286" s="41">
        <f t="shared" si="47"/>
        <v>0</v>
      </c>
      <c r="U286" s="7"/>
      <c r="V286" s="7"/>
    </row>
    <row r="287" spans="8:22" hidden="1" x14ac:dyDescent="0.25">
      <c r="H287" s="41">
        <f t="shared" si="42"/>
        <v>0</v>
      </c>
      <c r="I287" s="41">
        <f t="shared" si="43"/>
        <v>0</v>
      </c>
      <c r="J287" s="41">
        <f t="shared" si="44"/>
        <v>0</v>
      </c>
      <c r="K287" s="41">
        <f t="shared" si="45"/>
        <v>0</v>
      </c>
      <c r="L287" s="41">
        <f t="shared" si="46"/>
        <v>0</v>
      </c>
      <c r="M287" s="41">
        <f t="shared" si="47"/>
        <v>0</v>
      </c>
      <c r="U287" s="7"/>
      <c r="V287" s="7"/>
    </row>
    <row r="288" spans="8:22" hidden="1" x14ac:dyDescent="0.25">
      <c r="H288" s="41">
        <f t="shared" si="42"/>
        <v>0</v>
      </c>
      <c r="I288" s="41">
        <f t="shared" si="43"/>
        <v>0</v>
      </c>
      <c r="J288" s="41">
        <f t="shared" si="44"/>
        <v>0</v>
      </c>
      <c r="K288" s="41">
        <f t="shared" si="45"/>
        <v>0</v>
      </c>
      <c r="L288" s="41">
        <f t="shared" si="46"/>
        <v>0</v>
      </c>
      <c r="M288" s="41">
        <f t="shared" si="47"/>
        <v>0</v>
      </c>
      <c r="U288" s="7"/>
      <c r="V288" s="7"/>
    </row>
    <row r="289" spans="8:22" hidden="1" x14ac:dyDescent="0.25">
      <c r="H289" s="41">
        <f t="shared" si="42"/>
        <v>0</v>
      </c>
      <c r="I289" s="41">
        <f t="shared" si="43"/>
        <v>0</v>
      </c>
      <c r="J289" s="41">
        <f t="shared" si="44"/>
        <v>0</v>
      </c>
      <c r="K289" s="41">
        <f t="shared" si="45"/>
        <v>0</v>
      </c>
      <c r="L289" s="41">
        <f t="shared" si="46"/>
        <v>0</v>
      </c>
      <c r="M289" s="41">
        <f t="shared" si="47"/>
        <v>0</v>
      </c>
      <c r="U289" s="7"/>
      <c r="V289" s="7"/>
    </row>
    <row r="290" spans="8:22" hidden="1" x14ac:dyDescent="0.25">
      <c r="H290" s="41">
        <f t="shared" si="42"/>
        <v>0</v>
      </c>
      <c r="I290" s="41">
        <f t="shared" si="43"/>
        <v>0</v>
      </c>
      <c r="J290" s="41">
        <f t="shared" si="44"/>
        <v>0</v>
      </c>
      <c r="K290" s="41">
        <f t="shared" si="45"/>
        <v>0</v>
      </c>
      <c r="L290" s="41">
        <f t="shared" si="46"/>
        <v>0</v>
      </c>
      <c r="M290" s="41">
        <f t="shared" si="47"/>
        <v>0</v>
      </c>
      <c r="U290" s="7"/>
      <c r="V290" s="7"/>
    </row>
    <row r="291" spans="8:22" hidden="1" x14ac:dyDescent="0.25">
      <c r="H291" s="41">
        <f t="shared" ref="H291:H309" si="48">AH34</f>
        <v>0</v>
      </c>
      <c r="I291" s="41">
        <f t="shared" ref="I291:I309" si="49">AI34</f>
        <v>0</v>
      </c>
      <c r="J291" s="41">
        <f t="shared" ref="J291:J309" si="50">AJ34</f>
        <v>0</v>
      </c>
      <c r="K291" s="41">
        <f t="shared" ref="K291:K309" si="51">AK34</f>
        <v>0</v>
      </c>
      <c r="L291" s="41">
        <f t="shared" ref="L291:L309" si="52">AL34</f>
        <v>0</v>
      </c>
      <c r="M291" s="41">
        <f t="shared" ref="M291:M309" si="53">AM34</f>
        <v>0</v>
      </c>
      <c r="U291" s="7"/>
      <c r="V291" s="7"/>
    </row>
    <row r="292" spans="8:22" hidden="1" x14ac:dyDescent="0.25">
      <c r="H292" s="41">
        <f t="shared" si="48"/>
        <v>0</v>
      </c>
      <c r="I292" s="41">
        <f t="shared" si="49"/>
        <v>0</v>
      </c>
      <c r="J292" s="41">
        <f t="shared" si="50"/>
        <v>0</v>
      </c>
      <c r="K292" s="41">
        <f t="shared" si="51"/>
        <v>0</v>
      </c>
      <c r="L292" s="41">
        <f t="shared" si="52"/>
        <v>0</v>
      </c>
      <c r="M292" s="41">
        <f t="shared" si="53"/>
        <v>0</v>
      </c>
      <c r="U292" s="7"/>
      <c r="V292" s="7"/>
    </row>
    <row r="293" spans="8:22" hidden="1" x14ac:dyDescent="0.25">
      <c r="H293" s="41">
        <f t="shared" si="48"/>
        <v>0</v>
      </c>
      <c r="I293" s="41">
        <f t="shared" si="49"/>
        <v>0</v>
      </c>
      <c r="J293" s="41">
        <f t="shared" si="50"/>
        <v>0</v>
      </c>
      <c r="K293" s="41">
        <f t="shared" si="51"/>
        <v>0</v>
      </c>
      <c r="L293" s="41">
        <f t="shared" si="52"/>
        <v>0</v>
      </c>
      <c r="M293" s="41">
        <f t="shared" si="53"/>
        <v>0</v>
      </c>
      <c r="U293" s="7"/>
      <c r="V293" s="7"/>
    </row>
    <row r="294" spans="8:22" hidden="1" x14ac:dyDescent="0.25">
      <c r="H294" s="41">
        <f t="shared" si="48"/>
        <v>0</v>
      </c>
      <c r="I294" s="41">
        <f t="shared" si="49"/>
        <v>0</v>
      </c>
      <c r="J294" s="41">
        <f t="shared" si="50"/>
        <v>0</v>
      </c>
      <c r="K294" s="41">
        <f t="shared" si="51"/>
        <v>0</v>
      </c>
      <c r="L294" s="41">
        <f t="shared" si="52"/>
        <v>0</v>
      </c>
      <c r="M294" s="41">
        <f t="shared" si="53"/>
        <v>0</v>
      </c>
      <c r="U294" s="7"/>
      <c r="V294" s="7"/>
    </row>
    <row r="295" spans="8:22" hidden="1" x14ac:dyDescent="0.25">
      <c r="H295" s="41">
        <f t="shared" si="48"/>
        <v>0</v>
      </c>
      <c r="I295" s="41">
        <f t="shared" si="49"/>
        <v>0</v>
      </c>
      <c r="J295" s="41">
        <f t="shared" si="50"/>
        <v>0</v>
      </c>
      <c r="K295" s="41">
        <f t="shared" si="51"/>
        <v>0</v>
      </c>
      <c r="L295" s="41">
        <f t="shared" si="52"/>
        <v>0</v>
      </c>
      <c r="M295" s="41">
        <f t="shared" si="53"/>
        <v>0</v>
      </c>
      <c r="U295" s="7"/>
      <c r="V295" s="7"/>
    </row>
    <row r="296" spans="8:22" hidden="1" x14ac:dyDescent="0.25">
      <c r="H296" s="41">
        <f t="shared" si="48"/>
        <v>0</v>
      </c>
      <c r="I296" s="41">
        <f t="shared" si="49"/>
        <v>0</v>
      </c>
      <c r="J296" s="41">
        <f t="shared" si="50"/>
        <v>0</v>
      </c>
      <c r="K296" s="41">
        <f t="shared" si="51"/>
        <v>0</v>
      </c>
      <c r="L296" s="41">
        <f t="shared" si="52"/>
        <v>0</v>
      </c>
      <c r="M296" s="41">
        <f t="shared" si="53"/>
        <v>0</v>
      </c>
      <c r="U296" s="7"/>
      <c r="V296" s="7"/>
    </row>
    <row r="297" spans="8:22" hidden="1" x14ac:dyDescent="0.25">
      <c r="H297" s="41">
        <f t="shared" si="48"/>
        <v>0</v>
      </c>
      <c r="I297" s="41">
        <f t="shared" si="49"/>
        <v>0</v>
      </c>
      <c r="J297" s="41">
        <f t="shared" si="50"/>
        <v>0</v>
      </c>
      <c r="K297" s="41">
        <f t="shared" si="51"/>
        <v>0</v>
      </c>
      <c r="L297" s="41">
        <f t="shared" si="52"/>
        <v>0</v>
      </c>
      <c r="M297" s="41">
        <f t="shared" si="53"/>
        <v>0</v>
      </c>
      <c r="U297" s="7"/>
      <c r="V297" s="7"/>
    </row>
    <row r="298" spans="8:22" hidden="1" x14ac:dyDescent="0.25">
      <c r="H298" s="41">
        <f t="shared" si="48"/>
        <v>0</v>
      </c>
      <c r="I298" s="41">
        <f t="shared" si="49"/>
        <v>0</v>
      </c>
      <c r="J298" s="41">
        <f t="shared" si="50"/>
        <v>0</v>
      </c>
      <c r="K298" s="41">
        <f t="shared" si="51"/>
        <v>0</v>
      </c>
      <c r="L298" s="41">
        <f t="shared" si="52"/>
        <v>0</v>
      </c>
      <c r="M298" s="41">
        <f t="shared" si="53"/>
        <v>0</v>
      </c>
      <c r="U298" s="7"/>
      <c r="V298" s="7"/>
    </row>
    <row r="299" spans="8:22" hidden="1" x14ac:dyDescent="0.25">
      <c r="H299" s="41">
        <f t="shared" si="48"/>
        <v>0</v>
      </c>
      <c r="I299" s="41">
        <f t="shared" si="49"/>
        <v>0</v>
      </c>
      <c r="J299" s="41">
        <f t="shared" si="50"/>
        <v>0</v>
      </c>
      <c r="K299" s="41">
        <f t="shared" si="51"/>
        <v>0</v>
      </c>
      <c r="L299" s="41">
        <f t="shared" si="52"/>
        <v>0</v>
      </c>
      <c r="M299" s="41">
        <f t="shared" si="53"/>
        <v>0</v>
      </c>
      <c r="U299" s="7"/>
      <c r="V299" s="7"/>
    </row>
    <row r="300" spans="8:22" hidden="1" x14ac:dyDescent="0.25">
      <c r="H300" s="41">
        <f t="shared" si="48"/>
        <v>0</v>
      </c>
      <c r="I300" s="41">
        <f t="shared" si="49"/>
        <v>0</v>
      </c>
      <c r="J300" s="41">
        <f t="shared" si="50"/>
        <v>0</v>
      </c>
      <c r="K300" s="41">
        <f t="shared" si="51"/>
        <v>0</v>
      </c>
      <c r="L300" s="41">
        <f t="shared" si="52"/>
        <v>0</v>
      </c>
      <c r="M300" s="41">
        <f t="shared" si="53"/>
        <v>0</v>
      </c>
      <c r="U300" s="7"/>
      <c r="V300" s="7"/>
    </row>
    <row r="301" spans="8:22" hidden="1" x14ac:dyDescent="0.25">
      <c r="H301" s="41">
        <f t="shared" si="48"/>
        <v>0</v>
      </c>
      <c r="I301" s="41">
        <f t="shared" si="49"/>
        <v>0</v>
      </c>
      <c r="J301" s="41">
        <f t="shared" si="50"/>
        <v>0</v>
      </c>
      <c r="K301" s="41">
        <f t="shared" si="51"/>
        <v>0</v>
      </c>
      <c r="L301" s="41">
        <f t="shared" si="52"/>
        <v>0</v>
      </c>
      <c r="M301" s="41">
        <f t="shared" si="53"/>
        <v>0</v>
      </c>
      <c r="U301" s="7"/>
      <c r="V301" s="7"/>
    </row>
    <row r="302" spans="8:22" hidden="1" x14ac:dyDescent="0.25">
      <c r="H302" s="41">
        <f t="shared" si="48"/>
        <v>0</v>
      </c>
      <c r="I302" s="41">
        <f t="shared" si="49"/>
        <v>0</v>
      </c>
      <c r="J302" s="41">
        <f t="shared" si="50"/>
        <v>0</v>
      </c>
      <c r="K302" s="41">
        <f t="shared" si="51"/>
        <v>0</v>
      </c>
      <c r="L302" s="41">
        <f t="shared" si="52"/>
        <v>0</v>
      </c>
      <c r="M302" s="41">
        <f t="shared" si="53"/>
        <v>0</v>
      </c>
      <c r="U302" s="7"/>
      <c r="V302" s="7"/>
    </row>
    <row r="303" spans="8:22" hidden="1" x14ac:dyDescent="0.25">
      <c r="H303" s="41">
        <f t="shared" si="48"/>
        <v>0</v>
      </c>
      <c r="I303" s="41">
        <f t="shared" si="49"/>
        <v>0</v>
      </c>
      <c r="J303" s="41">
        <f t="shared" si="50"/>
        <v>0</v>
      </c>
      <c r="K303" s="41">
        <f t="shared" si="51"/>
        <v>0</v>
      </c>
      <c r="L303" s="41">
        <f t="shared" si="52"/>
        <v>0</v>
      </c>
      <c r="M303" s="41">
        <f t="shared" si="53"/>
        <v>0</v>
      </c>
      <c r="U303" s="7"/>
      <c r="V303" s="7"/>
    </row>
    <row r="304" spans="8:22" hidden="1" x14ac:dyDescent="0.25">
      <c r="H304" s="41">
        <f t="shared" si="48"/>
        <v>0</v>
      </c>
      <c r="I304" s="41">
        <f t="shared" si="49"/>
        <v>0</v>
      </c>
      <c r="J304" s="41">
        <f t="shared" si="50"/>
        <v>0</v>
      </c>
      <c r="K304" s="41">
        <f t="shared" si="51"/>
        <v>0</v>
      </c>
      <c r="L304" s="41">
        <f t="shared" si="52"/>
        <v>0</v>
      </c>
      <c r="M304" s="41">
        <f t="shared" si="53"/>
        <v>0</v>
      </c>
      <c r="U304" s="7"/>
      <c r="V304" s="7"/>
    </row>
    <row r="305" spans="8:22" hidden="1" x14ac:dyDescent="0.25">
      <c r="H305" s="41">
        <f t="shared" si="48"/>
        <v>0</v>
      </c>
      <c r="I305" s="41">
        <f t="shared" si="49"/>
        <v>0</v>
      </c>
      <c r="J305" s="41">
        <f t="shared" si="50"/>
        <v>0</v>
      </c>
      <c r="K305" s="41">
        <f t="shared" si="51"/>
        <v>0</v>
      </c>
      <c r="L305" s="41">
        <f t="shared" si="52"/>
        <v>0</v>
      </c>
      <c r="M305" s="41">
        <f t="shared" si="53"/>
        <v>0</v>
      </c>
      <c r="U305" s="7"/>
      <c r="V305" s="7"/>
    </row>
    <row r="306" spans="8:22" hidden="1" x14ac:dyDescent="0.25">
      <c r="H306" s="41">
        <f t="shared" si="48"/>
        <v>0</v>
      </c>
      <c r="I306" s="41">
        <f t="shared" si="49"/>
        <v>0</v>
      </c>
      <c r="J306" s="41">
        <f t="shared" si="50"/>
        <v>0</v>
      </c>
      <c r="K306" s="41">
        <f t="shared" si="51"/>
        <v>0</v>
      </c>
      <c r="L306" s="41">
        <f t="shared" si="52"/>
        <v>0</v>
      </c>
      <c r="M306" s="41">
        <f t="shared" si="53"/>
        <v>0</v>
      </c>
      <c r="U306" s="7"/>
      <c r="V306" s="7"/>
    </row>
    <row r="307" spans="8:22" hidden="1" x14ac:dyDescent="0.25">
      <c r="H307" s="41">
        <f t="shared" si="48"/>
        <v>0</v>
      </c>
      <c r="I307" s="41">
        <f t="shared" si="49"/>
        <v>0</v>
      </c>
      <c r="J307" s="41">
        <f t="shared" si="50"/>
        <v>0</v>
      </c>
      <c r="K307" s="41">
        <f t="shared" si="51"/>
        <v>0</v>
      </c>
      <c r="L307" s="41">
        <f t="shared" si="52"/>
        <v>0</v>
      </c>
      <c r="M307" s="41">
        <f t="shared" si="53"/>
        <v>0</v>
      </c>
      <c r="U307" s="7"/>
      <c r="V307" s="7"/>
    </row>
    <row r="308" spans="8:22" hidden="1" x14ac:dyDescent="0.25">
      <c r="H308" s="41">
        <f t="shared" si="48"/>
        <v>0</v>
      </c>
      <c r="I308" s="41">
        <f t="shared" si="49"/>
        <v>0</v>
      </c>
      <c r="J308" s="41">
        <f t="shared" si="50"/>
        <v>0</v>
      </c>
      <c r="K308" s="41">
        <f t="shared" si="51"/>
        <v>0</v>
      </c>
      <c r="L308" s="41">
        <f t="shared" si="52"/>
        <v>0</v>
      </c>
      <c r="M308" s="41">
        <f t="shared" si="53"/>
        <v>0</v>
      </c>
      <c r="U308" s="7"/>
      <c r="V308" s="7"/>
    </row>
    <row r="309" spans="8:22" hidden="1" x14ac:dyDescent="0.25">
      <c r="H309" s="41">
        <f t="shared" si="48"/>
        <v>0</v>
      </c>
      <c r="I309" s="41">
        <f t="shared" si="49"/>
        <v>0</v>
      </c>
      <c r="J309" s="41">
        <f t="shared" si="50"/>
        <v>0</v>
      </c>
      <c r="K309" s="41">
        <f t="shared" si="51"/>
        <v>0</v>
      </c>
      <c r="L309" s="41">
        <f t="shared" si="52"/>
        <v>0</v>
      </c>
      <c r="M309" s="41">
        <f t="shared" si="53"/>
        <v>0</v>
      </c>
      <c r="U309" s="7"/>
      <c r="V309" s="7"/>
    </row>
    <row r="310" spans="8:22" hidden="1" x14ac:dyDescent="0.25">
      <c r="H310" s="41" t="e">
        <f>#REF!</f>
        <v>#REF!</v>
      </c>
      <c r="I310" s="41" t="e">
        <f>#REF!</f>
        <v>#REF!</v>
      </c>
      <c r="J310" s="41" t="e">
        <f>#REF!</f>
        <v>#REF!</v>
      </c>
      <c r="K310" s="41" t="e">
        <f>#REF!</f>
        <v>#REF!</v>
      </c>
      <c r="L310" s="41" t="e">
        <f>#REF!</f>
        <v>#REF!</v>
      </c>
      <c r="M310" s="41" t="e">
        <f>#REF!</f>
        <v>#REF!</v>
      </c>
      <c r="U310" s="7"/>
      <c r="V310" s="7"/>
    </row>
    <row r="311" spans="8:22" hidden="1" x14ac:dyDescent="0.25">
      <c r="H311" s="41">
        <f t="shared" ref="H311:H341" si="54">AN3</f>
        <v>0</v>
      </c>
      <c r="I311" s="41">
        <f t="shared" ref="I311:I341" si="55">AO3</f>
        <v>0</v>
      </c>
      <c r="J311" s="41">
        <f t="shared" ref="J311:J341" si="56">AP3</f>
        <v>0</v>
      </c>
      <c r="K311" s="41">
        <f t="shared" ref="K311:K341" si="57">AQ3</f>
        <v>0</v>
      </c>
      <c r="L311" s="41">
        <f t="shared" ref="L311:L341" si="58">AR3</f>
        <v>0</v>
      </c>
      <c r="M311" s="41">
        <f t="shared" ref="M311:M341" si="59">AS3</f>
        <v>0</v>
      </c>
      <c r="U311" s="7"/>
      <c r="V311" s="7"/>
    </row>
    <row r="312" spans="8:22" hidden="1" x14ac:dyDescent="0.25">
      <c r="H312" s="41">
        <f t="shared" si="54"/>
        <v>0</v>
      </c>
      <c r="I312" s="41">
        <f t="shared" si="55"/>
        <v>0</v>
      </c>
      <c r="J312" s="41">
        <f t="shared" si="56"/>
        <v>0</v>
      </c>
      <c r="K312" s="41">
        <f t="shared" si="57"/>
        <v>0</v>
      </c>
      <c r="L312" s="41">
        <f t="shared" si="58"/>
        <v>0</v>
      </c>
      <c r="M312" s="41">
        <f t="shared" si="59"/>
        <v>0</v>
      </c>
      <c r="U312" s="7"/>
      <c r="V312" s="7"/>
    </row>
    <row r="313" spans="8:22" hidden="1" x14ac:dyDescent="0.25">
      <c r="H313" s="41">
        <f t="shared" si="54"/>
        <v>0</v>
      </c>
      <c r="I313" s="41">
        <f t="shared" si="55"/>
        <v>0</v>
      </c>
      <c r="J313" s="41">
        <f t="shared" si="56"/>
        <v>0</v>
      </c>
      <c r="K313" s="41">
        <f t="shared" si="57"/>
        <v>0</v>
      </c>
      <c r="L313" s="41">
        <f t="shared" si="58"/>
        <v>0</v>
      </c>
      <c r="M313" s="41">
        <f t="shared" si="59"/>
        <v>0</v>
      </c>
      <c r="U313" s="7"/>
      <c r="V313" s="7"/>
    </row>
    <row r="314" spans="8:22" hidden="1" x14ac:dyDescent="0.25">
      <c r="H314" s="41">
        <f t="shared" si="54"/>
        <v>0</v>
      </c>
      <c r="I314" s="41">
        <f t="shared" si="55"/>
        <v>0</v>
      </c>
      <c r="J314" s="41">
        <f t="shared" si="56"/>
        <v>0</v>
      </c>
      <c r="K314" s="41">
        <f t="shared" si="57"/>
        <v>0</v>
      </c>
      <c r="L314" s="41">
        <f t="shared" si="58"/>
        <v>0</v>
      </c>
      <c r="M314" s="41">
        <f t="shared" si="59"/>
        <v>0</v>
      </c>
      <c r="U314" s="7"/>
      <c r="V314" s="7"/>
    </row>
    <row r="315" spans="8:22" hidden="1" x14ac:dyDescent="0.25">
      <c r="H315" s="41">
        <f t="shared" si="54"/>
        <v>0</v>
      </c>
      <c r="I315" s="41">
        <f t="shared" si="55"/>
        <v>0</v>
      </c>
      <c r="J315" s="41">
        <f t="shared" si="56"/>
        <v>0</v>
      </c>
      <c r="K315" s="41">
        <f t="shared" si="57"/>
        <v>0</v>
      </c>
      <c r="L315" s="41">
        <f t="shared" si="58"/>
        <v>0</v>
      </c>
      <c r="M315" s="41">
        <f t="shared" si="59"/>
        <v>0</v>
      </c>
      <c r="U315" s="7"/>
      <c r="V315" s="7"/>
    </row>
    <row r="316" spans="8:22" hidden="1" x14ac:dyDescent="0.25">
      <c r="H316" s="41">
        <f t="shared" si="54"/>
        <v>0</v>
      </c>
      <c r="I316" s="41">
        <f t="shared" si="55"/>
        <v>0</v>
      </c>
      <c r="J316" s="41">
        <f t="shared" si="56"/>
        <v>0</v>
      </c>
      <c r="K316" s="41">
        <f t="shared" si="57"/>
        <v>0</v>
      </c>
      <c r="L316" s="41">
        <f t="shared" si="58"/>
        <v>0</v>
      </c>
      <c r="M316" s="41">
        <f t="shared" si="59"/>
        <v>0</v>
      </c>
      <c r="U316" s="7"/>
      <c r="V316" s="7"/>
    </row>
    <row r="317" spans="8:22" hidden="1" x14ac:dyDescent="0.25">
      <c r="H317" s="41">
        <f t="shared" si="54"/>
        <v>0</v>
      </c>
      <c r="I317" s="41">
        <f t="shared" si="55"/>
        <v>0</v>
      </c>
      <c r="J317" s="41">
        <f t="shared" si="56"/>
        <v>0</v>
      </c>
      <c r="K317" s="41">
        <f t="shared" si="57"/>
        <v>0</v>
      </c>
      <c r="L317" s="41">
        <f t="shared" si="58"/>
        <v>0</v>
      </c>
      <c r="M317" s="41">
        <f t="shared" si="59"/>
        <v>0</v>
      </c>
      <c r="U317" s="7"/>
      <c r="V317" s="7"/>
    </row>
    <row r="318" spans="8:22" hidden="1" x14ac:dyDescent="0.25">
      <c r="H318" s="41">
        <f t="shared" si="54"/>
        <v>0</v>
      </c>
      <c r="I318" s="41">
        <f t="shared" si="55"/>
        <v>0</v>
      </c>
      <c r="J318" s="41">
        <f t="shared" si="56"/>
        <v>0</v>
      </c>
      <c r="K318" s="41">
        <f t="shared" si="57"/>
        <v>0</v>
      </c>
      <c r="L318" s="41">
        <f t="shared" si="58"/>
        <v>0</v>
      </c>
      <c r="M318" s="41">
        <f t="shared" si="59"/>
        <v>0</v>
      </c>
      <c r="U318" s="7"/>
      <c r="V318" s="7"/>
    </row>
    <row r="319" spans="8:22" hidden="1" x14ac:dyDescent="0.25">
      <c r="H319" s="41">
        <f t="shared" si="54"/>
        <v>0</v>
      </c>
      <c r="I319" s="41">
        <f t="shared" si="55"/>
        <v>0</v>
      </c>
      <c r="J319" s="41">
        <f t="shared" si="56"/>
        <v>0</v>
      </c>
      <c r="K319" s="41">
        <f t="shared" si="57"/>
        <v>0</v>
      </c>
      <c r="L319" s="41">
        <f t="shared" si="58"/>
        <v>0</v>
      </c>
      <c r="M319" s="41">
        <f t="shared" si="59"/>
        <v>0</v>
      </c>
      <c r="U319" s="7"/>
      <c r="V319" s="7"/>
    </row>
    <row r="320" spans="8:22" hidden="1" x14ac:dyDescent="0.25">
      <c r="H320" s="41">
        <f t="shared" si="54"/>
        <v>0</v>
      </c>
      <c r="I320" s="41">
        <f t="shared" si="55"/>
        <v>0</v>
      </c>
      <c r="J320" s="41">
        <f t="shared" si="56"/>
        <v>0</v>
      </c>
      <c r="K320" s="41">
        <f t="shared" si="57"/>
        <v>0</v>
      </c>
      <c r="L320" s="41">
        <f t="shared" si="58"/>
        <v>0</v>
      </c>
      <c r="M320" s="41">
        <f t="shared" si="59"/>
        <v>0</v>
      </c>
      <c r="U320" s="7"/>
      <c r="V320" s="7"/>
    </row>
    <row r="321" spans="8:22" hidden="1" x14ac:dyDescent="0.25">
      <c r="H321" s="41">
        <f t="shared" si="54"/>
        <v>0</v>
      </c>
      <c r="I321" s="41">
        <f t="shared" si="55"/>
        <v>0</v>
      </c>
      <c r="J321" s="41">
        <f t="shared" si="56"/>
        <v>0</v>
      </c>
      <c r="K321" s="41">
        <f t="shared" si="57"/>
        <v>0</v>
      </c>
      <c r="L321" s="41">
        <f t="shared" si="58"/>
        <v>0</v>
      </c>
      <c r="M321" s="41">
        <f t="shared" si="59"/>
        <v>0</v>
      </c>
      <c r="U321" s="7"/>
      <c r="V321" s="7"/>
    </row>
    <row r="322" spans="8:22" hidden="1" x14ac:dyDescent="0.25">
      <c r="H322" s="41">
        <f t="shared" si="54"/>
        <v>0</v>
      </c>
      <c r="I322" s="41">
        <f t="shared" si="55"/>
        <v>0</v>
      </c>
      <c r="J322" s="41">
        <f t="shared" si="56"/>
        <v>0</v>
      </c>
      <c r="K322" s="41">
        <f t="shared" si="57"/>
        <v>0</v>
      </c>
      <c r="L322" s="41">
        <f t="shared" si="58"/>
        <v>0</v>
      </c>
      <c r="M322" s="41">
        <f t="shared" si="59"/>
        <v>0</v>
      </c>
      <c r="U322" s="7"/>
      <c r="V322" s="7"/>
    </row>
    <row r="323" spans="8:22" hidden="1" x14ac:dyDescent="0.25">
      <c r="H323" s="41">
        <f t="shared" si="54"/>
        <v>0</v>
      </c>
      <c r="I323" s="41">
        <f t="shared" si="55"/>
        <v>0</v>
      </c>
      <c r="J323" s="41">
        <f t="shared" si="56"/>
        <v>0</v>
      </c>
      <c r="K323" s="41">
        <f t="shared" si="57"/>
        <v>0</v>
      </c>
      <c r="L323" s="41">
        <f t="shared" si="58"/>
        <v>0</v>
      </c>
      <c r="M323" s="41">
        <f t="shared" si="59"/>
        <v>0</v>
      </c>
      <c r="U323" s="7"/>
      <c r="V323" s="7"/>
    </row>
    <row r="324" spans="8:22" hidden="1" x14ac:dyDescent="0.25">
      <c r="H324" s="41">
        <f t="shared" si="54"/>
        <v>0</v>
      </c>
      <c r="I324" s="41">
        <f t="shared" si="55"/>
        <v>0</v>
      </c>
      <c r="J324" s="41">
        <f t="shared" si="56"/>
        <v>0</v>
      </c>
      <c r="K324" s="41">
        <f t="shared" si="57"/>
        <v>0</v>
      </c>
      <c r="L324" s="41">
        <f t="shared" si="58"/>
        <v>0</v>
      </c>
      <c r="M324" s="41">
        <f t="shared" si="59"/>
        <v>0</v>
      </c>
      <c r="U324" s="7"/>
      <c r="V324" s="7"/>
    </row>
    <row r="325" spans="8:22" hidden="1" x14ac:dyDescent="0.25">
      <c r="H325" s="41">
        <f t="shared" si="54"/>
        <v>0</v>
      </c>
      <c r="I325" s="41">
        <f t="shared" si="55"/>
        <v>0</v>
      </c>
      <c r="J325" s="41">
        <f t="shared" si="56"/>
        <v>0</v>
      </c>
      <c r="K325" s="41">
        <f t="shared" si="57"/>
        <v>0</v>
      </c>
      <c r="L325" s="41">
        <f t="shared" si="58"/>
        <v>0</v>
      </c>
      <c r="M325" s="41">
        <f t="shared" si="59"/>
        <v>0</v>
      </c>
      <c r="U325" s="7"/>
      <c r="V325" s="7"/>
    </row>
    <row r="326" spans="8:22" hidden="1" x14ac:dyDescent="0.25">
      <c r="H326" s="41">
        <f t="shared" si="54"/>
        <v>0</v>
      </c>
      <c r="I326" s="41">
        <f t="shared" si="55"/>
        <v>0</v>
      </c>
      <c r="J326" s="41">
        <f t="shared" si="56"/>
        <v>0</v>
      </c>
      <c r="K326" s="41">
        <f t="shared" si="57"/>
        <v>0</v>
      </c>
      <c r="L326" s="41">
        <f t="shared" si="58"/>
        <v>0</v>
      </c>
      <c r="M326" s="41">
        <f t="shared" si="59"/>
        <v>0</v>
      </c>
      <c r="U326" s="7"/>
      <c r="V326" s="7"/>
    </row>
    <row r="327" spans="8:22" hidden="1" x14ac:dyDescent="0.25">
      <c r="H327" s="41">
        <f t="shared" si="54"/>
        <v>0</v>
      </c>
      <c r="I327" s="41">
        <f t="shared" si="55"/>
        <v>0</v>
      </c>
      <c r="J327" s="41">
        <f t="shared" si="56"/>
        <v>0</v>
      </c>
      <c r="K327" s="41">
        <f t="shared" si="57"/>
        <v>0</v>
      </c>
      <c r="L327" s="41">
        <f t="shared" si="58"/>
        <v>0</v>
      </c>
      <c r="M327" s="41">
        <f t="shared" si="59"/>
        <v>0</v>
      </c>
      <c r="U327" s="7"/>
      <c r="V327" s="7"/>
    </row>
    <row r="328" spans="8:22" hidden="1" x14ac:dyDescent="0.25">
      <c r="H328" s="41">
        <f t="shared" si="54"/>
        <v>0</v>
      </c>
      <c r="I328" s="41">
        <f t="shared" si="55"/>
        <v>0</v>
      </c>
      <c r="J328" s="41">
        <f t="shared" si="56"/>
        <v>0</v>
      </c>
      <c r="K328" s="41">
        <f t="shared" si="57"/>
        <v>0</v>
      </c>
      <c r="L328" s="41">
        <f t="shared" si="58"/>
        <v>0</v>
      </c>
      <c r="M328" s="41">
        <f t="shared" si="59"/>
        <v>0</v>
      </c>
      <c r="U328" s="7"/>
      <c r="V328" s="7"/>
    </row>
    <row r="329" spans="8:22" hidden="1" x14ac:dyDescent="0.25">
      <c r="H329" s="41">
        <f t="shared" si="54"/>
        <v>0</v>
      </c>
      <c r="I329" s="41">
        <f t="shared" si="55"/>
        <v>0</v>
      </c>
      <c r="J329" s="41">
        <f t="shared" si="56"/>
        <v>0</v>
      </c>
      <c r="K329" s="41">
        <f t="shared" si="57"/>
        <v>0</v>
      </c>
      <c r="L329" s="41">
        <f t="shared" si="58"/>
        <v>0</v>
      </c>
      <c r="M329" s="41">
        <f t="shared" si="59"/>
        <v>0</v>
      </c>
      <c r="U329" s="7"/>
      <c r="V329" s="7"/>
    </row>
    <row r="330" spans="8:22" hidden="1" x14ac:dyDescent="0.25">
      <c r="H330" s="41">
        <f t="shared" si="54"/>
        <v>0</v>
      </c>
      <c r="I330" s="41">
        <f t="shared" si="55"/>
        <v>0</v>
      </c>
      <c r="J330" s="41">
        <f t="shared" si="56"/>
        <v>0</v>
      </c>
      <c r="K330" s="41">
        <f t="shared" si="57"/>
        <v>0</v>
      </c>
      <c r="L330" s="41">
        <f t="shared" si="58"/>
        <v>0</v>
      </c>
      <c r="M330" s="41">
        <f t="shared" si="59"/>
        <v>0</v>
      </c>
      <c r="U330" s="7"/>
      <c r="V330" s="7"/>
    </row>
    <row r="331" spans="8:22" hidden="1" x14ac:dyDescent="0.25">
      <c r="H331" s="41">
        <f t="shared" si="54"/>
        <v>0</v>
      </c>
      <c r="I331" s="41">
        <f t="shared" si="55"/>
        <v>0</v>
      </c>
      <c r="J331" s="41">
        <f t="shared" si="56"/>
        <v>0</v>
      </c>
      <c r="K331" s="41">
        <f t="shared" si="57"/>
        <v>0</v>
      </c>
      <c r="L331" s="41">
        <f t="shared" si="58"/>
        <v>0</v>
      </c>
      <c r="M331" s="41">
        <f t="shared" si="59"/>
        <v>0</v>
      </c>
      <c r="U331" s="7"/>
      <c r="V331" s="7"/>
    </row>
    <row r="332" spans="8:22" hidden="1" x14ac:dyDescent="0.25">
      <c r="H332" s="41">
        <f t="shared" si="54"/>
        <v>0</v>
      </c>
      <c r="I332" s="41">
        <f t="shared" si="55"/>
        <v>0</v>
      </c>
      <c r="J332" s="41">
        <f t="shared" si="56"/>
        <v>0</v>
      </c>
      <c r="K332" s="41">
        <f t="shared" si="57"/>
        <v>0</v>
      </c>
      <c r="L332" s="41">
        <f t="shared" si="58"/>
        <v>0</v>
      </c>
      <c r="M332" s="41">
        <f t="shared" si="59"/>
        <v>0</v>
      </c>
      <c r="U332" s="7"/>
      <c r="V332" s="7"/>
    </row>
    <row r="333" spans="8:22" hidden="1" x14ac:dyDescent="0.25">
      <c r="H333" s="41">
        <f t="shared" si="54"/>
        <v>0</v>
      </c>
      <c r="I333" s="41">
        <f t="shared" si="55"/>
        <v>0</v>
      </c>
      <c r="J333" s="41">
        <f t="shared" si="56"/>
        <v>0</v>
      </c>
      <c r="K333" s="41">
        <f t="shared" si="57"/>
        <v>0</v>
      </c>
      <c r="L333" s="41">
        <f t="shared" si="58"/>
        <v>0</v>
      </c>
      <c r="M333" s="41">
        <f t="shared" si="59"/>
        <v>0</v>
      </c>
      <c r="U333" s="7"/>
      <c r="V333" s="7"/>
    </row>
    <row r="334" spans="8:22" hidden="1" x14ac:dyDescent="0.25">
      <c r="H334" s="41">
        <f t="shared" si="54"/>
        <v>0</v>
      </c>
      <c r="I334" s="41">
        <f t="shared" si="55"/>
        <v>0</v>
      </c>
      <c r="J334" s="41">
        <f t="shared" si="56"/>
        <v>0</v>
      </c>
      <c r="K334" s="41">
        <f t="shared" si="57"/>
        <v>0</v>
      </c>
      <c r="L334" s="41">
        <f t="shared" si="58"/>
        <v>0</v>
      </c>
      <c r="M334" s="41">
        <f t="shared" si="59"/>
        <v>0</v>
      </c>
      <c r="U334" s="7"/>
      <c r="V334" s="7"/>
    </row>
    <row r="335" spans="8:22" hidden="1" x14ac:dyDescent="0.25">
      <c r="H335" s="41">
        <f t="shared" si="54"/>
        <v>0</v>
      </c>
      <c r="I335" s="41">
        <f t="shared" si="55"/>
        <v>0</v>
      </c>
      <c r="J335" s="41">
        <f t="shared" si="56"/>
        <v>0</v>
      </c>
      <c r="K335" s="41">
        <f t="shared" si="57"/>
        <v>0</v>
      </c>
      <c r="L335" s="41">
        <f t="shared" si="58"/>
        <v>0</v>
      </c>
      <c r="M335" s="41">
        <f t="shared" si="59"/>
        <v>0</v>
      </c>
      <c r="U335" s="7"/>
      <c r="V335" s="7"/>
    </row>
    <row r="336" spans="8:22" hidden="1" x14ac:dyDescent="0.25">
      <c r="H336" s="41">
        <f t="shared" si="54"/>
        <v>0</v>
      </c>
      <c r="I336" s="41">
        <f t="shared" si="55"/>
        <v>0</v>
      </c>
      <c r="J336" s="41">
        <f t="shared" si="56"/>
        <v>0</v>
      </c>
      <c r="K336" s="41">
        <f t="shared" si="57"/>
        <v>0</v>
      </c>
      <c r="L336" s="41">
        <f t="shared" si="58"/>
        <v>0</v>
      </c>
      <c r="M336" s="41">
        <f t="shared" si="59"/>
        <v>0</v>
      </c>
      <c r="U336" s="7"/>
      <c r="V336" s="7"/>
    </row>
    <row r="337" spans="8:22" hidden="1" x14ac:dyDescent="0.25">
      <c r="H337" s="41">
        <f t="shared" si="54"/>
        <v>0</v>
      </c>
      <c r="I337" s="41">
        <f t="shared" si="55"/>
        <v>0</v>
      </c>
      <c r="J337" s="41">
        <f t="shared" si="56"/>
        <v>0</v>
      </c>
      <c r="K337" s="41">
        <f t="shared" si="57"/>
        <v>0</v>
      </c>
      <c r="L337" s="41">
        <f t="shared" si="58"/>
        <v>0</v>
      </c>
      <c r="M337" s="41">
        <f t="shared" si="59"/>
        <v>0</v>
      </c>
      <c r="U337" s="7"/>
      <c r="V337" s="7"/>
    </row>
    <row r="338" spans="8:22" hidden="1" x14ac:dyDescent="0.25">
      <c r="H338" s="41">
        <f t="shared" si="54"/>
        <v>0</v>
      </c>
      <c r="I338" s="41">
        <f t="shared" si="55"/>
        <v>0</v>
      </c>
      <c r="J338" s="41">
        <f t="shared" si="56"/>
        <v>0</v>
      </c>
      <c r="K338" s="41">
        <f t="shared" si="57"/>
        <v>0</v>
      </c>
      <c r="L338" s="41">
        <f t="shared" si="58"/>
        <v>0</v>
      </c>
      <c r="M338" s="41">
        <f t="shared" si="59"/>
        <v>0</v>
      </c>
      <c r="U338" s="7"/>
      <c r="V338" s="7"/>
    </row>
    <row r="339" spans="8:22" hidden="1" x14ac:dyDescent="0.25">
      <c r="H339" s="41">
        <f t="shared" si="54"/>
        <v>0</v>
      </c>
      <c r="I339" s="41">
        <f t="shared" si="55"/>
        <v>0</v>
      </c>
      <c r="J339" s="41">
        <f t="shared" si="56"/>
        <v>0</v>
      </c>
      <c r="K339" s="41">
        <f t="shared" si="57"/>
        <v>0</v>
      </c>
      <c r="L339" s="41">
        <f t="shared" si="58"/>
        <v>0</v>
      </c>
      <c r="M339" s="41">
        <f t="shared" si="59"/>
        <v>0</v>
      </c>
      <c r="U339" s="7"/>
      <c r="V339" s="7"/>
    </row>
    <row r="340" spans="8:22" hidden="1" x14ac:dyDescent="0.25">
      <c r="H340" s="41">
        <f t="shared" si="54"/>
        <v>0</v>
      </c>
      <c r="I340" s="41">
        <f t="shared" si="55"/>
        <v>0</v>
      </c>
      <c r="J340" s="41">
        <f t="shared" si="56"/>
        <v>0</v>
      </c>
      <c r="K340" s="41">
        <f t="shared" si="57"/>
        <v>0</v>
      </c>
      <c r="L340" s="41">
        <f t="shared" si="58"/>
        <v>0</v>
      </c>
      <c r="M340" s="41">
        <f t="shared" si="59"/>
        <v>0</v>
      </c>
      <c r="U340" s="7"/>
      <c r="V340" s="7"/>
    </row>
    <row r="341" spans="8:22" hidden="1" x14ac:dyDescent="0.25">
      <c r="H341" s="41">
        <f t="shared" si="54"/>
        <v>0</v>
      </c>
      <c r="I341" s="41">
        <f t="shared" si="55"/>
        <v>0</v>
      </c>
      <c r="J341" s="41">
        <f t="shared" si="56"/>
        <v>0</v>
      </c>
      <c r="K341" s="41">
        <f t="shared" si="57"/>
        <v>0</v>
      </c>
      <c r="L341" s="41">
        <f t="shared" si="58"/>
        <v>0</v>
      </c>
      <c r="M341" s="41">
        <f t="shared" si="59"/>
        <v>0</v>
      </c>
      <c r="U341" s="7"/>
      <c r="V341" s="7"/>
    </row>
    <row r="342" spans="8:22" hidden="1" x14ac:dyDescent="0.25">
      <c r="H342" s="41">
        <f t="shared" ref="H342:H360" si="60">AN34</f>
        <v>0</v>
      </c>
      <c r="I342" s="41">
        <f t="shared" ref="I342:I360" si="61">AO34</f>
        <v>0</v>
      </c>
      <c r="J342" s="41">
        <f t="shared" ref="J342:J360" si="62">AP34</f>
        <v>0</v>
      </c>
      <c r="K342" s="41">
        <f t="shared" ref="K342:K360" si="63">AQ34</f>
        <v>0</v>
      </c>
      <c r="L342" s="41">
        <f t="shared" ref="L342:L360" si="64">AR34</f>
        <v>0</v>
      </c>
      <c r="M342" s="41">
        <f t="shared" ref="M342:M360" si="65">AS34</f>
        <v>0</v>
      </c>
      <c r="U342" s="7"/>
      <c r="V342" s="7"/>
    </row>
    <row r="343" spans="8:22" hidden="1" x14ac:dyDescent="0.25">
      <c r="H343" s="41">
        <f t="shared" si="60"/>
        <v>0</v>
      </c>
      <c r="I343" s="41">
        <f t="shared" si="61"/>
        <v>0</v>
      </c>
      <c r="J343" s="41">
        <f t="shared" si="62"/>
        <v>0</v>
      </c>
      <c r="K343" s="41">
        <f t="shared" si="63"/>
        <v>0</v>
      </c>
      <c r="L343" s="41">
        <f t="shared" si="64"/>
        <v>0</v>
      </c>
      <c r="M343" s="41">
        <f t="shared" si="65"/>
        <v>0</v>
      </c>
      <c r="U343" s="7"/>
      <c r="V343" s="7"/>
    </row>
    <row r="344" spans="8:22" hidden="1" x14ac:dyDescent="0.25">
      <c r="H344" s="41">
        <f t="shared" si="60"/>
        <v>0</v>
      </c>
      <c r="I344" s="41">
        <f t="shared" si="61"/>
        <v>0</v>
      </c>
      <c r="J344" s="41">
        <f t="shared" si="62"/>
        <v>0</v>
      </c>
      <c r="K344" s="41">
        <f t="shared" si="63"/>
        <v>0</v>
      </c>
      <c r="L344" s="41">
        <f t="shared" si="64"/>
        <v>0</v>
      </c>
      <c r="M344" s="41">
        <f t="shared" si="65"/>
        <v>0</v>
      </c>
      <c r="U344" s="7"/>
      <c r="V344" s="7"/>
    </row>
    <row r="345" spans="8:22" hidden="1" x14ac:dyDescent="0.25">
      <c r="H345" s="41">
        <f t="shared" si="60"/>
        <v>0</v>
      </c>
      <c r="I345" s="41">
        <f t="shared" si="61"/>
        <v>0</v>
      </c>
      <c r="J345" s="41">
        <f t="shared" si="62"/>
        <v>0</v>
      </c>
      <c r="K345" s="41">
        <f t="shared" si="63"/>
        <v>0</v>
      </c>
      <c r="L345" s="41">
        <f t="shared" si="64"/>
        <v>0</v>
      </c>
      <c r="M345" s="41">
        <f t="shared" si="65"/>
        <v>0</v>
      </c>
      <c r="U345" s="7"/>
      <c r="V345" s="7"/>
    </row>
    <row r="346" spans="8:22" hidden="1" x14ac:dyDescent="0.25">
      <c r="H346" s="41">
        <f t="shared" si="60"/>
        <v>0</v>
      </c>
      <c r="I346" s="41">
        <f t="shared" si="61"/>
        <v>0</v>
      </c>
      <c r="J346" s="41">
        <f t="shared" si="62"/>
        <v>0</v>
      </c>
      <c r="K346" s="41">
        <f t="shared" si="63"/>
        <v>0</v>
      </c>
      <c r="L346" s="41">
        <f t="shared" si="64"/>
        <v>0</v>
      </c>
      <c r="M346" s="41">
        <f t="shared" si="65"/>
        <v>0</v>
      </c>
      <c r="U346" s="7"/>
      <c r="V346" s="7"/>
    </row>
    <row r="347" spans="8:22" hidden="1" x14ac:dyDescent="0.25">
      <c r="H347" s="41">
        <f t="shared" si="60"/>
        <v>0</v>
      </c>
      <c r="I347" s="41">
        <f t="shared" si="61"/>
        <v>0</v>
      </c>
      <c r="J347" s="41">
        <f t="shared" si="62"/>
        <v>0</v>
      </c>
      <c r="K347" s="41">
        <f t="shared" si="63"/>
        <v>0</v>
      </c>
      <c r="L347" s="41">
        <f t="shared" si="64"/>
        <v>0</v>
      </c>
      <c r="M347" s="41">
        <f t="shared" si="65"/>
        <v>0</v>
      </c>
      <c r="U347" s="7"/>
      <c r="V347" s="7"/>
    </row>
    <row r="348" spans="8:22" hidden="1" x14ac:dyDescent="0.25">
      <c r="H348" s="41">
        <f t="shared" si="60"/>
        <v>0</v>
      </c>
      <c r="I348" s="41">
        <f t="shared" si="61"/>
        <v>0</v>
      </c>
      <c r="J348" s="41">
        <f t="shared" si="62"/>
        <v>0</v>
      </c>
      <c r="K348" s="41">
        <f t="shared" si="63"/>
        <v>0</v>
      </c>
      <c r="L348" s="41">
        <f t="shared" si="64"/>
        <v>0</v>
      </c>
      <c r="M348" s="41">
        <f t="shared" si="65"/>
        <v>0</v>
      </c>
      <c r="U348" s="7"/>
      <c r="V348" s="7"/>
    </row>
    <row r="349" spans="8:22" hidden="1" x14ac:dyDescent="0.25">
      <c r="H349" s="41">
        <f t="shared" si="60"/>
        <v>0</v>
      </c>
      <c r="I349" s="41">
        <f t="shared" si="61"/>
        <v>0</v>
      </c>
      <c r="J349" s="41">
        <f t="shared" si="62"/>
        <v>0</v>
      </c>
      <c r="K349" s="41">
        <f t="shared" si="63"/>
        <v>0</v>
      </c>
      <c r="L349" s="41">
        <f t="shared" si="64"/>
        <v>0</v>
      </c>
      <c r="M349" s="41">
        <f t="shared" si="65"/>
        <v>0</v>
      </c>
      <c r="U349" s="7"/>
      <c r="V349" s="7"/>
    </row>
    <row r="350" spans="8:22" hidden="1" x14ac:dyDescent="0.25">
      <c r="H350" s="41">
        <f t="shared" si="60"/>
        <v>0</v>
      </c>
      <c r="I350" s="41">
        <f t="shared" si="61"/>
        <v>0</v>
      </c>
      <c r="J350" s="41">
        <f t="shared" si="62"/>
        <v>0</v>
      </c>
      <c r="K350" s="41">
        <f t="shared" si="63"/>
        <v>0</v>
      </c>
      <c r="L350" s="41">
        <f t="shared" si="64"/>
        <v>0</v>
      </c>
      <c r="M350" s="41">
        <f t="shared" si="65"/>
        <v>0</v>
      </c>
      <c r="U350" s="7"/>
      <c r="V350" s="7"/>
    </row>
    <row r="351" spans="8:22" hidden="1" x14ac:dyDescent="0.25">
      <c r="H351" s="41">
        <f t="shared" si="60"/>
        <v>0</v>
      </c>
      <c r="I351" s="41">
        <f t="shared" si="61"/>
        <v>0</v>
      </c>
      <c r="J351" s="41">
        <f t="shared" si="62"/>
        <v>0</v>
      </c>
      <c r="K351" s="41">
        <f t="shared" si="63"/>
        <v>0</v>
      </c>
      <c r="L351" s="41">
        <f t="shared" si="64"/>
        <v>0</v>
      </c>
      <c r="M351" s="41">
        <f t="shared" si="65"/>
        <v>0</v>
      </c>
      <c r="U351" s="7"/>
      <c r="V351" s="7"/>
    </row>
    <row r="352" spans="8:22" hidden="1" x14ac:dyDescent="0.25">
      <c r="H352" s="41">
        <f t="shared" si="60"/>
        <v>0</v>
      </c>
      <c r="I352" s="41">
        <f t="shared" si="61"/>
        <v>0</v>
      </c>
      <c r="J352" s="41">
        <f t="shared" si="62"/>
        <v>0</v>
      </c>
      <c r="K352" s="41">
        <f t="shared" si="63"/>
        <v>0</v>
      </c>
      <c r="L352" s="41">
        <f t="shared" si="64"/>
        <v>0</v>
      </c>
      <c r="M352" s="41">
        <f t="shared" si="65"/>
        <v>0</v>
      </c>
      <c r="U352" s="7"/>
      <c r="V352" s="7"/>
    </row>
    <row r="353" spans="8:22" hidden="1" x14ac:dyDescent="0.25">
      <c r="H353" s="41">
        <f t="shared" si="60"/>
        <v>0</v>
      </c>
      <c r="I353" s="41">
        <f t="shared" si="61"/>
        <v>0</v>
      </c>
      <c r="J353" s="41">
        <f t="shared" si="62"/>
        <v>0</v>
      </c>
      <c r="K353" s="41">
        <f t="shared" si="63"/>
        <v>0</v>
      </c>
      <c r="L353" s="41">
        <f t="shared" si="64"/>
        <v>0</v>
      </c>
      <c r="M353" s="41">
        <f t="shared" si="65"/>
        <v>0</v>
      </c>
      <c r="U353" s="7"/>
      <c r="V353" s="7"/>
    </row>
    <row r="354" spans="8:22" hidden="1" x14ac:dyDescent="0.25">
      <c r="H354" s="41">
        <f t="shared" si="60"/>
        <v>0</v>
      </c>
      <c r="I354" s="41">
        <f t="shared" si="61"/>
        <v>0</v>
      </c>
      <c r="J354" s="41">
        <f t="shared" si="62"/>
        <v>0</v>
      </c>
      <c r="K354" s="41">
        <f t="shared" si="63"/>
        <v>0</v>
      </c>
      <c r="L354" s="41">
        <f t="shared" si="64"/>
        <v>0</v>
      </c>
      <c r="M354" s="41">
        <f t="shared" si="65"/>
        <v>0</v>
      </c>
      <c r="U354" s="7"/>
      <c r="V354" s="7"/>
    </row>
    <row r="355" spans="8:22" hidden="1" x14ac:dyDescent="0.25">
      <c r="H355" s="41">
        <f t="shared" si="60"/>
        <v>0</v>
      </c>
      <c r="I355" s="41">
        <f t="shared" si="61"/>
        <v>0</v>
      </c>
      <c r="J355" s="41">
        <f t="shared" si="62"/>
        <v>0</v>
      </c>
      <c r="K355" s="41">
        <f t="shared" si="63"/>
        <v>0</v>
      </c>
      <c r="L355" s="41">
        <f t="shared" si="64"/>
        <v>0</v>
      </c>
      <c r="M355" s="41">
        <f t="shared" si="65"/>
        <v>0</v>
      </c>
      <c r="U355" s="7"/>
      <c r="V355" s="7"/>
    </row>
    <row r="356" spans="8:22" hidden="1" x14ac:dyDescent="0.25">
      <c r="H356" s="41">
        <f t="shared" si="60"/>
        <v>0</v>
      </c>
      <c r="I356" s="41">
        <f t="shared" si="61"/>
        <v>0</v>
      </c>
      <c r="J356" s="41">
        <f t="shared" si="62"/>
        <v>0</v>
      </c>
      <c r="K356" s="41">
        <f t="shared" si="63"/>
        <v>0</v>
      </c>
      <c r="L356" s="41">
        <f t="shared" si="64"/>
        <v>0</v>
      </c>
      <c r="M356" s="41">
        <f t="shared" si="65"/>
        <v>0</v>
      </c>
      <c r="U356" s="7"/>
      <c r="V356" s="7"/>
    </row>
    <row r="357" spans="8:22" hidden="1" x14ac:dyDescent="0.25">
      <c r="H357" s="41">
        <f t="shared" si="60"/>
        <v>0</v>
      </c>
      <c r="I357" s="41">
        <f t="shared" si="61"/>
        <v>0</v>
      </c>
      <c r="J357" s="41">
        <f t="shared" si="62"/>
        <v>0</v>
      </c>
      <c r="K357" s="41">
        <f t="shared" si="63"/>
        <v>0</v>
      </c>
      <c r="L357" s="41">
        <f t="shared" si="64"/>
        <v>0</v>
      </c>
      <c r="M357" s="41">
        <f t="shared" si="65"/>
        <v>0</v>
      </c>
      <c r="U357" s="7"/>
      <c r="V357" s="7"/>
    </row>
    <row r="358" spans="8:22" hidden="1" x14ac:dyDescent="0.25">
      <c r="H358" s="41">
        <f t="shared" si="60"/>
        <v>0</v>
      </c>
      <c r="I358" s="41">
        <f t="shared" si="61"/>
        <v>0</v>
      </c>
      <c r="J358" s="41">
        <f t="shared" si="62"/>
        <v>0</v>
      </c>
      <c r="K358" s="41">
        <f t="shared" si="63"/>
        <v>0</v>
      </c>
      <c r="L358" s="41">
        <f t="shared" si="64"/>
        <v>0</v>
      </c>
      <c r="M358" s="41">
        <f t="shared" si="65"/>
        <v>0</v>
      </c>
      <c r="U358" s="7"/>
      <c r="V358" s="7"/>
    </row>
    <row r="359" spans="8:22" hidden="1" x14ac:dyDescent="0.25">
      <c r="H359" s="41">
        <f t="shared" si="60"/>
        <v>0</v>
      </c>
      <c r="I359" s="41">
        <f t="shared" si="61"/>
        <v>0</v>
      </c>
      <c r="J359" s="41">
        <f t="shared" si="62"/>
        <v>0</v>
      </c>
      <c r="K359" s="41">
        <f t="shared" si="63"/>
        <v>0</v>
      </c>
      <c r="L359" s="41">
        <f t="shared" si="64"/>
        <v>0</v>
      </c>
      <c r="M359" s="41">
        <f t="shared" si="65"/>
        <v>0</v>
      </c>
      <c r="U359" s="7"/>
      <c r="V359" s="7"/>
    </row>
    <row r="360" spans="8:22" hidden="1" x14ac:dyDescent="0.25">
      <c r="H360" s="41">
        <f t="shared" si="60"/>
        <v>0</v>
      </c>
      <c r="I360" s="41">
        <f t="shared" si="61"/>
        <v>0</v>
      </c>
      <c r="J360" s="41">
        <f t="shared" si="62"/>
        <v>0</v>
      </c>
      <c r="K360" s="41">
        <f t="shared" si="63"/>
        <v>0</v>
      </c>
      <c r="L360" s="41">
        <f t="shared" si="64"/>
        <v>0</v>
      </c>
      <c r="M360" s="41">
        <f t="shared" si="65"/>
        <v>0</v>
      </c>
      <c r="U360" s="7"/>
      <c r="V360" s="7"/>
    </row>
    <row r="361" spans="8:22" hidden="1" x14ac:dyDescent="0.25">
      <c r="H361" s="41" t="e">
        <f>#REF!</f>
        <v>#REF!</v>
      </c>
      <c r="I361" s="41" t="e">
        <f>#REF!</f>
        <v>#REF!</v>
      </c>
      <c r="J361" s="41" t="e">
        <f>#REF!</f>
        <v>#REF!</v>
      </c>
      <c r="K361" s="41" t="e">
        <f>#REF!</f>
        <v>#REF!</v>
      </c>
      <c r="L361" s="41" t="e">
        <f>#REF!</f>
        <v>#REF!</v>
      </c>
      <c r="M361" s="41" t="e">
        <f>#REF!</f>
        <v>#REF!</v>
      </c>
      <c r="U361" s="7"/>
      <c r="V361" s="7"/>
    </row>
    <row r="362" spans="8:22" hidden="1" x14ac:dyDescent="0.25">
      <c r="H362" s="41">
        <f t="shared" ref="H362:H392" si="66">AT3</f>
        <v>0</v>
      </c>
      <c r="I362" s="41">
        <f t="shared" ref="I362:I392" si="67">AU3</f>
        <v>0</v>
      </c>
      <c r="J362" s="41">
        <f t="shared" ref="J362:J392" si="68">AV3</f>
        <v>0</v>
      </c>
      <c r="K362" s="41">
        <f t="shared" ref="K362:K392" si="69">AW3</f>
        <v>0</v>
      </c>
      <c r="L362" s="41">
        <f t="shared" ref="L362:L392" si="70">AX3</f>
        <v>0</v>
      </c>
      <c r="M362" s="41">
        <f t="shared" ref="M362:M392" si="71">AY3</f>
        <v>0</v>
      </c>
      <c r="U362" s="7"/>
      <c r="V362" s="7"/>
    </row>
    <row r="363" spans="8:22" hidden="1" x14ac:dyDescent="0.25">
      <c r="H363" s="41">
        <f t="shared" si="66"/>
        <v>0</v>
      </c>
      <c r="I363" s="41">
        <f t="shared" si="67"/>
        <v>0</v>
      </c>
      <c r="J363" s="41">
        <f t="shared" si="68"/>
        <v>0</v>
      </c>
      <c r="K363" s="41">
        <f t="shared" si="69"/>
        <v>0</v>
      </c>
      <c r="L363" s="41">
        <f t="shared" si="70"/>
        <v>0</v>
      </c>
      <c r="M363" s="41">
        <f t="shared" si="71"/>
        <v>0</v>
      </c>
      <c r="U363" s="7"/>
      <c r="V363" s="7"/>
    </row>
    <row r="364" spans="8:22" hidden="1" x14ac:dyDescent="0.25">
      <c r="H364" s="41">
        <f t="shared" si="66"/>
        <v>0</v>
      </c>
      <c r="I364" s="41">
        <f t="shared" si="67"/>
        <v>0</v>
      </c>
      <c r="J364" s="41">
        <f t="shared" si="68"/>
        <v>0</v>
      </c>
      <c r="K364" s="41">
        <f t="shared" si="69"/>
        <v>0</v>
      </c>
      <c r="L364" s="41">
        <f t="shared" si="70"/>
        <v>0</v>
      </c>
      <c r="M364" s="41">
        <f t="shared" si="71"/>
        <v>0</v>
      </c>
      <c r="U364" s="7"/>
      <c r="V364" s="7"/>
    </row>
    <row r="365" spans="8:22" hidden="1" x14ac:dyDescent="0.25">
      <c r="H365" s="41">
        <f t="shared" si="66"/>
        <v>0</v>
      </c>
      <c r="I365" s="41">
        <f t="shared" si="67"/>
        <v>0</v>
      </c>
      <c r="J365" s="41">
        <f t="shared" si="68"/>
        <v>0</v>
      </c>
      <c r="K365" s="41">
        <f t="shared" si="69"/>
        <v>0</v>
      </c>
      <c r="L365" s="41">
        <f t="shared" si="70"/>
        <v>0</v>
      </c>
      <c r="M365" s="41">
        <f t="shared" si="71"/>
        <v>0</v>
      </c>
      <c r="U365" s="7"/>
      <c r="V365" s="7"/>
    </row>
    <row r="366" spans="8:22" hidden="1" x14ac:dyDescent="0.25">
      <c r="H366" s="41">
        <f t="shared" si="66"/>
        <v>0</v>
      </c>
      <c r="I366" s="41">
        <f t="shared" si="67"/>
        <v>0</v>
      </c>
      <c r="J366" s="41">
        <f t="shared" si="68"/>
        <v>0</v>
      </c>
      <c r="K366" s="41">
        <f t="shared" si="69"/>
        <v>0</v>
      </c>
      <c r="L366" s="41">
        <f t="shared" si="70"/>
        <v>0</v>
      </c>
      <c r="M366" s="41">
        <f t="shared" si="71"/>
        <v>0</v>
      </c>
      <c r="U366" s="7"/>
      <c r="V366" s="7"/>
    </row>
    <row r="367" spans="8:22" hidden="1" x14ac:dyDescent="0.25">
      <c r="H367" s="41">
        <f t="shared" si="66"/>
        <v>0</v>
      </c>
      <c r="I367" s="41">
        <f t="shared" si="67"/>
        <v>0</v>
      </c>
      <c r="J367" s="41">
        <f t="shared" si="68"/>
        <v>0</v>
      </c>
      <c r="K367" s="41">
        <f t="shared" si="69"/>
        <v>0</v>
      </c>
      <c r="L367" s="41">
        <f t="shared" si="70"/>
        <v>0</v>
      </c>
      <c r="M367" s="41">
        <f t="shared" si="71"/>
        <v>0</v>
      </c>
      <c r="U367" s="7"/>
      <c r="V367" s="7"/>
    </row>
    <row r="368" spans="8:22" hidden="1" x14ac:dyDescent="0.25">
      <c r="H368" s="41">
        <f t="shared" si="66"/>
        <v>0</v>
      </c>
      <c r="I368" s="41">
        <f t="shared" si="67"/>
        <v>0</v>
      </c>
      <c r="J368" s="41">
        <f t="shared" si="68"/>
        <v>0</v>
      </c>
      <c r="K368" s="41">
        <f t="shared" si="69"/>
        <v>0</v>
      </c>
      <c r="L368" s="41">
        <f t="shared" si="70"/>
        <v>0</v>
      </c>
      <c r="M368" s="41">
        <f t="shared" si="71"/>
        <v>0</v>
      </c>
      <c r="U368" s="7"/>
      <c r="V368" s="7"/>
    </row>
    <row r="369" spans="8:22" hidden="1" x14ac:dyDescent="0.25">
      <c r="H369" s="41">
        <f t="shared" si="66"/>
        <v>0</v>
      </c>
      <c r="I369" s="41">
        <f t="shared" si="67"/>
        <v>0</v>
      </c>
      <c r="J369" s="41">
        <f t="shared" si="68"/>
        <v>0</v>
      </c>
      <c r="K369" s="41">
        <f t="shared" si="69"/>
        <v>0</v>
      </c>
      <c r="L369" s="41">
        <f t="shared" si="70"/>
        <v>0</v>
      </c>
      <c r="M369" s="41">
        <f t="shared" si="71"/>
        <v>0</v>
      </c>
      <c r="U369" s="7"/>
      <c r="V369" s="7"/>
    </row>
    <row r="370" spans="8:22" hidden="1" x14ac:dyDescent="0.25">
      <c r="H370" s="41">
        <f t="shared" si="66"/>
        <v>0</v>
      </c>
      <c r="I370" s="41">
        <f t="shared" si="67"/>
        <v>0</v>
      </c>
      <c r="J370" s="41">
        <f t="shared" si="68"/>
        <v>0</v>
      </c>
      <c r="K370" s="41">
        <f t="shared" si="69"/>
        <v>0</v>
      </c>
      <c r="L370" s="41">
        <f t="shared" si="70"/>
        <v>0</v>
      </c>
      <c r="M370" s="41">
        <f t="shared" si="71"/>
        <v>0</v>
      </c>
      <c r="U370" s="7"/>
      <c r="V370" s="7"/>
    </row>
    <row r="371" spans="8:22" hidden="1" x14ac:dyDescent="0.25">
      <c r="H371" s="41">
        <f t="shared" si="66"/>
        <v>0</v>
      </c>
      <c r="I371" s="41">
        <f t="shared" si="67"/>
        <v>0</v>
      </c>
      <c r="J371" s="41">
        <f t="shared" si="68"/>
        <v>0</v>
      </c>
      <c r="K371" s="41">
        <f t="shared" si="69"/>
        <v>0</v>
      </c>
      <c r="L371" s="41">
        <f t="shared" si="70"/>
        <v>0</v>
      </c>
      <c r="M371" s="41">
        <f t="shared" si="71"/>
        <v>0</v>
      </c>
      <c r="U371" s="7"/>
      <c r="V371" s="7"/>
    </row>
    <row r="372" spans="8:22" hidden="1" x14ac:dyDescent="0.25">
      <c r="H372" s="41">
        <f t="shared" si="66"/>
        <v>0</v>
      </c>
      <c r="I372" s="41">
        <f t="shared" si="67"/>
        <v>0</v>
      </c>
      <c r="J372" s="41">
        <f t="shared" si="68"/>
        <v>0</v>
      </c>
      <c r="K372" s="41">
        <f t="shared" si="69"/>
        <v>0</v>
      </c>
      <c r="L372" s="41">
        <f t="shared" si="70"/>
        <v>0</v>
      </c>
      <c r="M372" s="41">
        <f t="shared" si="71"/>
        <v>0</v>
      </c>
      <c r="U372" s="7"/>
      <c r="V372" s="7"/>
    </row>
    <row r="373" spans="8:22" hidden="1" x14ac:dyDescent="0.25">
      <c r="H373" s="41">
        <f t="shared" si="66"/>
        <v>0</v>
      </c>
      <c r="I373" s="41">
        <f t="shared" si="67"/>
        <v>0</v>
      </c>
      <c r="J373" s="41">
        <f t="shared" si="68"/>
        <v>0</v>
      </c>
      <c r="K373" s="41">
        <f t="shared" si="69"/>
        <v>0</v>
      </c>
      <c r="L373" s="41">
        <f t="shared" si="70"/>
        <v>0</v>
      </c>
      <c r="M373" s="41">
        <f t="shared" si="71"/>
        <v>0</v>
      </c>
      <c r="U373" s="7"/>
      <c r="V373" s="7"/>
    </row>
    <row r="374" spans="8:22" hidden="1" x14ac:dyDescent="0.25">
      <c r="H374" s="41">
        <f t="shared" si="66"/>
        <v>0</v>
      </c>
      <c r="I374" s="41">
        <f t="shared" si="67"/>
        <v>0</v>
      </c>
      <c r="J374" s="41">
        <f t="shared" si="68"/>
        <v>0</v>
      </c>
      <c r="K374" s="41">
        <f t="shared" si="69"/>
        <v>0</v>
      </c>
      <c r="L374" s="41">
        <f t="shared" si="70"/>
        <v>0</v>
      </c>
      <c r="M374" s="41">
        <f t="shared" si="71"/>
        <v>0</v>
      </c>
      <c r="U374" s="7"/>
      <c r="V374" s="7"/>
    </row>
    <row r="375" spans="8:22" hidden="1" x14ac:dyDescent="0.25">
      <c r="H375" s="41">
        <f t="shared" si="66"/>
        <v>0</v>
      </c>
      <c r="I375" s="41">
        <f t="shared" si="67"/>
        <v>0</v>
      </c>
      <c r="J375" s="41">
        <f t="shared" si="68"/>
        <v>0</v>
      </c>
      <c r="K375" s="41">
        <f t="shared" si="69"/>
        <v>0</v>
      </c>
      <c r="L375" s="41">
        <f t="shared" si="70"/>
        <v>0</v>
      </c>
      <c r="M375" s="41">
        <f t="shared" si="71"/>
        <v>0</v>
      </c>
      <c r="U375" s="7"/>
      <c r="V375" s="7"/>
    </row>
    <row r="376" spans="8:22" hidden="1" x14ac:dyDescent="0.25">
      <c r="H376" s="41">
        <f t="shared" si="66"/>
        <v>0</v>
      </c>
      <c r="I376" s="41">
        <f t="shared" si="67"/>
        <v>0</v>
      </c>
      <c r="J376" s="41">
        <f t="shared" si="68"/>
        <v>0</v>
      </c>
      <c r="K376" s="41">
        <f t="shared" si="69"/>
        <v>0</v>
      </c>
      <c r="L376" s="41">
        <f t="shared" si="70"/>
        <v>0</v>
      </c>
      <c r="M376" s="41">
        <f t="shared" si="71"/>
        <v>0</v>
      </c>
      <c r="U376" s="7"/>
      <c r="V376" s="7"/>
    </row>
    <row r="377" spans="8:22" hidden="1" x14ac:dyDescent="0.25">
      <c r="H377" s="41">
        <f t="shared" si="66"/>
        <v>0</v>
      </c>
      <c r="I377" s="41">
        <f t="shared" si="67"/>
        <v>0</v>
      </c>
      <c r="J377" s="41">
        <f t="shared" si="68"/>
        <v>0</v>
      </c>
      <c r="K377" s="41">
        <f t="shared" si="69"/>
        <v>0</v>
      </c>
      <c r="L377" s="41">
        <f t="shared" si="70"/>
        <v>0</v>
      </c>
      <c r="M377" s="41">
        <f t="shared" si="71"/>
        <v>0</v>
      </c>
      <c r="U377" s="7"/>
      <c r="V377" s="7"/>
    </row>
    <row r="378" spans="8:22" hidden="1" x14ac:dyDescent="0.25">
      <c r="H378" s="41">
        <f t="shared" si="66"/>
        <v>0</v>
      </c>
      <c r="I378" s="41">
        <f t="shared" si="67"/>
        <v>0</v>
      </c>
      <c r="J378" s="41">
        <f t="shared" si="68"/>
        <v>0</v>
      </c>
      <c r="K378" s="41">
        <f t="shared" si="69"/>
        <v>0</v>
      </c>
      <c r="L378" s="41">
        <f t="shared" si="70"/>
        <v>0</v>
      </c>
      <c r="M378" s="41">
        <f t="shared" si="71"/>
        <v>0</v>
      </c>
      <c r="U378" s="7"/>
      <c r="V378" s="7"/>
    </row>
    <row r="379" spans="8:22" hidden="1" x14ac:dyDescent="0.25">
      <c r="H379" s="41">
        <f t="shared" si="66"/>
        <v>0</v>
      </c>
      <c r="I379" s="41">
        <f t="shared" si="67"/>
        <v>0</v>
      </c>
      <c r="J379" s="41">
        <f t="shared" si="68"/>
        <v>0</v>
      </c>
      <c r="K379" s="41">
        <f t="shared" si="69"/>
        <v>0</v>
      </c>
      <c r="L379" s="41">
        <f t="shared" si="70"/>
        <v>0</v>
      </c>
      <c r="M379" s="41">
        <f t="shared" si="71"/>
        <v>0</v>
      </c>
      <c r="U379" s="7"/>
      <c r="V379" s="7"/>
    </row>
    <row r="380" spans="8:22" hidden="1" x14ac:dyDescent="0.25">
      <c r="H380" s="41">
        <f t="shared" si="66"/>
        <v>0</v>
      </c>
      <c r="I380" s="41">
        <f t="shared" si="67"/>
        <v>0</v>
      </c>
      <c r="J380" s="41">
        <f t="shared" si="68"/>
        <v>0</v>
      </c>
      <c r="K380" s="41">
        <f t="shared" si="69"/>
        <v>0</v>
      </c>
      <c r="L380" s="41">
        <f t="shared" si="70"/>
        <v>0</v>
      </c>
      <c r="M380" s="41">
        <f t="shared" si="71"/>
        <v>0</v>
      </c>
      <c r="U380" s="7"/>
      <c r="V380" s="7"/>
    </row>
    <row r="381" spans="8:22" hidden="1" x14ac:dyDescent="0.25">
      <c r="H381" s="41">
        <f t="shared" si="66"/>
        <v>0</v>
      </c>
      <c r="I381" s="41">
        <f t="shared" si="67"/>
        <v>0</v>
      </c>
      <c r="J381" s="41">
        <f t="shared" si="68"/>
        <v>0</v>
      </c>
      <c r="K381" s="41">
        <f t="shared" si="69"/>
        <v>0</v>
      </c>
      <c r="L381" s="41">
        <f t="shared" si="70"/>
        <v>0</v>
      </c>
      <c r="M381" s="41">
        <f t="shared" si="71"/>
        <v>0</v>
      </c>
      <c r="U381" s="7"/>
      <c r="V381" s="7"/>
    </row>
    <row r="382" spans="8:22" hidden="1" x14ac:dyDescent="0.25">
      <c r="H382" s="41">
        <f t="shared" si="66"/>
        <v>0</v>
      </c>
      <c r="I382" s="41">
        <f t="shared" si="67"/>
        <v>0</v>
      </c>
      <c r="J382" s="41">
        <f t="shared" si="68"/>
        <v>0</v>
      </c>
      <c r="K382" s="41">
        <f t="shared" si="69"/>
        <v>0</v>
      </c>
      <c r="L382" s="41">
        <f t="shared" si="70"/>
        <v>0</v>
      </c>
      <c r="M382" s="41">
        <f t="shared" si="71"/>
        <v>0</v>
      </c>
      <c r="U382" s="7"/>
      <c r="V382" s="7"/>
    </row>
    <row r="383" spans="8:22" hidden="1" x14ac:dyDescent="0.25">
      <c r="H383" s="41">
        <f t="shared" si="66"/>
        <v>0</v>
      </c>
      <c r="I383" s="41">
        <f t="shared" si="67"/>
        <v>0</v>
      </c>
      <c r="J383" s="41">
        <f t="shared" si="68"/>
        <v>0</v>
      </c>
      <c r="K383" s="41">
        <f t="shared" si="69"/>
        <v>0</v>
      </c>
      <c r="L383" s="41">
        <f t="shared" si="70"/>
        <v>0</v>
      </c>
      <c r="M383" s="41">
        <f t="shared" si="71"/>
        <v>0</v>
      </c>
      <c r="U383" s="7"/>
      <c r="V383" s="7"/>
    </row>
    <row r="384" spans="8:22" hidden="1" x14ac:dyDescent="0.25">
      <c r="H384" s="41">
        <f t="shared" si="66"/>
        <v>0</v>
      </c>
      <c r="I384" s="41">
        <f t="shared" si="67"/>
        <v>0</v>
      </c>
      <c r="J384" s="41">
        <f t="shared" si="68"/>
        <v>0</v>
      </c>
      <c r="K384" s="41">
        <f t="shared" si="69"/>
        <v>0</v>
      </c>
      <c r="L384" s="41">
        <f t="shared" si="70"/>
        <v>0</v>
      </c>
      <c r="M384" s="41">
        <f t="shared" si="71"/>
        <v>0</v>
      </c>
      <c r="U384" s="7"/>
      <c r="V384" s="7"/>
    </row>
    <row r="385" spans="8:22" hidden="1" x14ac:dyDescent="0.25">
      <c r="H385" s="41">
        <f t="shared" si="66"/>
        <v>0</v>
      </c>
      <c r="I385" s="41">
        <f t="shared" si="67"/>
        <v>0</v>
      </c>
      <c r="J385" s="41">
        <f t="shared" si="68"/>
        <v>0</v>
      </c>
      <c r="K385" s="41">
        <f t="shared" si="69"/>
        <v>0</v>
      </c>
      <c r="L385" s="41">
        <f t="shared" si="70"/>
        <v>0</v>
      </c>
      <c r="M385" s="41">
        <f t="shared" si="71"/>
        <v>0</v>
      </c>
      <c r="U385" s="7"/>
      <c r="V385" s="7"/>
    </row>
    <row r="386" spans="8:22" hidden="1" x14ac:dyDescent="0.25">
      <c r="H386" s="41">
        <f t="shared" si="66"/>
        <v>0</v>
      </c>
      <c r="I386" s="41">
        <f t="shared" si="67"/>
        <v>0</v>
      </c>
      <c r="J386" s="41">
        <f t="shared" si="68"/>
        <v>0</v>
      </c>
      <c r="K386" s="41">
        <f t="shared" si="69"/>
        <v>0</v>
      </c>
      <c r="L386" s="41">
        <f t="shared" si="70"/>
        <v>0</v>
      </c>
      <c r="M386" s="41">
        <f t="shared" si="71"/>
        <v>0</v>
      </c>
      <c r="U386" s="7"/>
      <c r="V386" s="7"/>
    </row>
    <row r="387" spans="8:22" hidden="1" x14ac:dyDescent="0.25">
      <c r="H387" s="41">
        <f t="shared" si="66"/>
        <v>0</v>
      </c>
      <c r="I387" s="41">
        <f t="shared" si="67"/>
        <v>0</v>
      </c>
      <c r="J387" s="41">
        <f t="shared" si="68"/>
        <v>0</v>
      </c>
      <c r="K387" s="41">
        <f t="shared" si="69"/>
        <v>0</v>
      </c>
      <c r="L387" s="41">
        <f t="shared" si="70"/>
        <v>0</v>
      </c>
      <c r="M387" s="41">
        <f t="shared" si="71"/>
        <v>0</v>
      </c>
      <c r="U387" s="7"/>
      <c r="V387" s="7"/>
    </row>
    <row r="388" spans="8:22" hidden="1" x14ac:dyDescent="0.25">
      <c r="H388" s="41">
        <f t="shared" si="66"/>
        <v>0</v>
      </c>
      <c r="I388" s="41">
        <f t="shared" si="67"/>
        <v>0</v>
      </c>
      <c r="J388" s="41">
        <f t="shared" si="68"/>
        <v>0</v>
      </c>
      <c r="K388" s="41">
        <f t="shared" si="69"/>
        <v>0</v>
      </c>
      <c r="L388" s="41">
        <f t="shared" si="70"/>
        <v>0</v>
      </c>
      <c r="M388" s="41">
        <f t="shared" si="71"/>
        <v>0</v>
      </c>
      <c r="U388" s="7"/>
      <c r="V388" s="7"/>
    </row>
    <row r="389" spans="8:22" hidden="1" x14ac:dyDescent="0.25">
      <c r="H389" s="41">
        <f t="shared" si="66"/>
        <v>0</v>
      </c>
      <c r="I389" s="41">
        <f t="shared" si="67"/>
        <v>0</v>
      </c>
      <c r="J389" s="41">
        <f t="shared" si="68"/>
        <v>0</v>
      </c>
      <c r="K389" s="41">
        <f t="shared" si="69"/>
        <v>0</v>
      </c>
      <c r="L389" s="41">
        <f t="shared" si="70"/>
        <v>0</v>
      </c>
      <c r="M389" s="41">
        <f t="shared" si="71"/>
        <v>0</v>
      </c>
      <c r="U389" s="7"/>
      <c r="V389" s="7"/>
    </row>
    <row r="390" spans="8:22" hidden="1" x14ac:dyDescent="0.25">
      <c r="H390" s="41">
        <f t="shared" si="66"/>
        <v>0</v>
      </c>
      <c r="I390" s="41">
        <f t="shared" si="67"/>
        <v>0</v>
      </c>
      <c r="J390" s="41">
        <f t="shared" si="68"/>
        <v>0</v>
      </c>
      <c r="K390" s="41">
        <f t="shared" si="69"/>
        <v>0</v>
      </c>
      <c r="L390" s="41">
        <f t="shared" si="70"/>
        <v>0</v>
      </c>
      <c r="M390" s="41">
        <f t="shared" si="71"/>
        <v>0</v>
      </c>
      <c r="U390" s="7"/>
      <c r="V390" s="7"/>
    </row>
    <row r="391" spans="8:22" hidden="1" x14ac:dyDescent="0.25">
      <c r="H391" s="41">
        <f t="shared" si="66"/>
        <v>0</v>
      </c>
      <c r="I391" s="41">
        <f t="shared" si="67"/>
        <v>0</v>
      </c>
      <c r="J391" s="41">
        <f t="shared" si="68"/>
        <v>0</v>
      </c>
      <c r="K391" s="41">
        <f t="shared" si="69"/>
        <v>0</v>
      </c>
      <c r="L391" s="41">
        <f t="shared" si="70"/>
        <v>0</v>
      </c>
      <c r="M391" s="41">
        <f t="shared" si="71"/>
        <v>0</v>
      </c>
      <c r="U391" s="7"/>
      <c r="V391" s="7"/>
    </row>
    <row r="392" spans="8:22" hidden="1" x14ac:dyDescent="0.25">
      <c r="H392" s="41">
        <f t="shared" si="66"/>
        <v>0</v>
      </c>
      <c r="I392" s="41">
        <f t="shared" si="67"/>
        <v>0</v>
      </c>
      <c r="J392" s="41">
        <f t="shared" si="68"/>
        <v>0</v>
      </c>
      <c r="K392" s="41">
        <f t="shared" si="69"/>
        <v>0</v>
      </c>
      <c r="L392" s="41">
        <f t="shared" si="70"/>
        <v>0</v>
      </c>
      <c r="M392" s="41">
        <f t="shared" si="71"/>
        <v>0</v>
      </c>
      <c r="U392" s="7"/>
      <c r="V392" s="7"/>
    </row>
    <row r="393" spans="8:22" hidden="1" x14ac:dyDescent="0.25">
      <c r="H393" s="41">
        <f t="shared" ref="H393:H411" si="72">AT34</f>
        <v>0</v>
      </c>
      <c r="I393" s="41">
        <f t="shared" ref="I393:I411" si="73">AU34</f>
        <v>0</v>
      </c>
      <c r="J393" s="41">
        <f t="shared" ref="J393:J411" si="74">AV34</f>
        <v>0</v>
      </c>
      <c r="K393" s="41">
        <f t="shared" ref="K393:K411" si="75">AW34</f>
        <v>0</v>
      </c>
      <c r="L393" s="41">
        <f t="shared" ref="L393:L411" si="76">AX34</f>
        <v>0</v>
      </c>
      <c r="M393" s="41">
        <f t="shared" ref="M393:M411" si="77">AY34</f>
        <v>0</v>
      </c>
      <c r="U393" s="7"/>
      <c r="V393" s="7"/>
    </row>
    <row r="394" spans="8:22" hidden="1" x14ac:dyDescent="0.25">
      <c r="H394" s="41">
        <f t="shared" si="72"/>
        <v>0</v>
      </c>
      <c r="I394" s="41">
        <f t="shared" si="73"/>
        <v>0</v>
      </c>
      <c r="J394" s="41">
        <f t="shared" si="74"/>
        <v>0</v>
      </c>
      <c r="K394" s="41">
        <f t="shared" si="75"/>
        <v>0</v>
      </c>
      <c r="L394" s="41">
        <f t="shared" si="76"/>
        <v>0</v>
      </c>
      <c r="M394" s="41">
        <f t="shared" si="77"/>
        <v>0</v>
      </c>
      <c r="U394" s="7"/>
      <c r="V394" s="7"/>
    </row>
    <row r="395" spans="8:22" hidden="1" x14ac:dyDescent="0.25">
      <c r="H395" s="41">
        <f t="shared" si="72"/>
        <v>0</v>
      </c>
      <c r="I395" s="41">
        <f t="shared" si="73"/>
        <v>0</v>
      </c>
      <c r="J395" s="41">
        <f t="shared" si="74"/>
        <v>0</v>
      </c>
      <c r="K395" s="41">
        <f t="shared" si="75"/>
        <v>0</v>
      </c>
      <c r="L395" s="41">
        <f t="shared" si="76"/>
        <v>0</v>
      </c>
      <c r="M395" s="41">
        <f t="shared" si="77"/>
        <v>0</v>
      </c>
      <c r="U395" s="7"/>
      <c r="V395" s="7"/>
    </row>
    <row r="396" spans="8:22" hidden="1" x14ac:dyDescent="0.25">
      <c r="H396" s="41">
        <f t="shared" si="72"/>
        <v>0</v>
      </c>
      <c r="I396" s="41">
        <f t="shared" si="73"/>
        <v>0</v>
      </c>
      <c r="J396" s="41">
        <f t="shared" si="74"/>
        <v>0</v>
      </c>
      <c r="K396" s="41">
        <f t="shared" si="75"/>
        <v>0</v>
      </c>
      <c r="L396" s="41">
        <f t="shared" si="76"/>
        <v>0</v>
      </c>
      <c r="M396" s="41">
        <f t="shared" si="77"/>
        <v>0</v>
      </c>
      <c r="U396" s="7"/>
      <c r="V396" s="7"/>
    </row>
    <row r="397" spans="8:22" hidden="1" x14ac:dyDescent="0.25">
      <c r="H397" s="41">
        <f t="shared" si="72"/>
        <v>0</v>
      </c>
      <c r="I397" s="41">
        <f t="shared" si="73"/>
        <v>0</v>
      </c>
      <c r="J397" s="41">
        <f t="shared" si="74"/>
        <v>0</v>
      </c>
      <c r="K397" s="41">
        <f t="shared" si="75"/>
        <v>0</v>
      </c>
      <c r="L397" s="41">
        <f t="shared" si="76"/>
        <v>0</v>
      </c>
      <c r="M397" s="41">
        <f t="shared" si="77"/>
        <v>0</v>
      </c>
      <c r="U397" s="7"/>
      <c r="V397" s="7"/>
    </row>
    <row r="398" spans="8:22" hidden="1" x14ac:dyDescent="0.25">
      <c r="H398" s="41">
        <f t="shared" si="72"/>
        <v>0</v>
      </c>
      <c r="I398" s="41">
        <f t="shared" si="73"/>
        <v>0</v>
      </c>
      <c r="J398" s="41">
        <f t="shared" si="74"/>
        <v>0</v>
      </c>
      <c r="K398" s="41">
        <f t="shared" si="75"/>
        <v>0</v>
      </c>
      <c r="L398" s="41">
        <f t="shared" si="76"/>
        <v>0</v>
      </c>
      <c r="M398" s="41">
        <f t="shared" si="77"/>
        <v>0</v>
      </c>
      <c r="U398" s="7"/>
      <c r="V398" s="7"/>
    </row>
    <row r="399" spans="8:22" hidden="1" x14ac:dyDescent="0.25">
      <c r="H399" s="41">
        <f t="shared" si="72"/>
        <v>0</v>
      </c>
      <c r="I399" s="41">
        <f t="shared" si="73"/>
        <v>0</v>
      </c>
      <c r="J399" s="41">
        <f t="shared" si="74"/>
        <v>0</v>
      </c>
      <c r="K399" s="41">
        <f t="shared" si="75"/>
        <v>0</v>
      </c>
      <c r="L399" s="41">
        <f t="shared" si="76"/>
        <v>0</v>
      </c>
      <c r="M399" s="41">
        <f t="shared" si="77"/>
        <v>0</v>
      </c>
      <c r="U399" s="7"/>
      <c r="V399" s="7"/>
    </row>
    <row r="400" spans="8:22" hidden="1" x14ac:dyDescent="0.25">
      <c r="H400" s="41">
        <f t="shared" si="72"/>
        <v>0</v>
      </c>
      <c r="I400" s="41">
        <f t="shared" si="73"/>
        <v>0</v>
      </c>
      <c r="J400" s="41">
        <f t="shared" si="74"/>
        <v>0</v>
      </c>
      <c r="K400" s="41">
        <f t="shared" si="75"/>
        <v>0</v>
      </c>
      <c r="L400" s="41">
        <f t="shared" si="76"/>
        <v>0</v>
      </c>
      <c r="M400" s="41">
        <f t="shared" si="77"/>
        <v>0</v>
      </c>
      <c r="U400" s="7"/>
      <c r="V400" s="7"/>
    </row>
    <row r="401" spans="8:22" hidden="1" x14ac:dyDescent="0.25">
      <c r="H401" s="41">
        <f t="shared" si="72"/>
        <v>0</v>
      </c>
      <c r="I401" s="41">
        <f t="shared" si="73"/>
        <v>0</v>
      </c>
      <c r="J401" s="41">
        <f t="shared" si="74"/>
        <v>0</v>
      </c>
      <c r="K401" s="41">
        <f t="shared" si="75"/>
        <v>0</v>
      </c>
      <c r="L401" s="41">
        <f t="shared" si="76"/>
        <v>0</v>
      </c>
      <c r="M401" s="41">
        <f t="shared" si="77"/>
        <v>0</v>
      </c>
      <c r="U401" s="7"/>
      <c r="V401" s="7"/>
    </row>
    <row r="402" spans="8:22" hidden="1" x14ac:dyDescent="0.25">
      <c r="H402" s="41">
        <f t="shared" si="72"/>
        <v>0</v>
      </c>
      <c r="I402" s="41">
        <f t="shared" si="73"/>
        <v>0</v>
      </c>
      <c r="J402" s="41">
        <f t="shared" si="74"/>
        <v>0</v>
      </c>
      <c r="K402" s="41">
        <f t="shared" si="75"/>
        <v>0</v>
      </c>
      <c r="L402" s="41">
        <f t="shared" si="76"/>
        <v>0</v>
      </c>
      <c r="M402" s="41">
        <f t="shared" si="77"/>
        <v>0</v>
      </c>
      <c r="U402" s="7"/>
      <c r="V402" s="7"/>
    </row>
    <row r="403" spans="8:22" hidden="1" x14ac:dyDescent="0.25">
      <c r="H403" s="41">
        <f t="shared" si="72"/>
        <v>0</v>
      </c>
      <c r="I403" s="41">
        <f t="shared" si="73"/>
        <v>0</v>
      </c>
      <c r="J403" s="41">
        <f t="shared" si="74"/>
        <v>0</v>
      </c>
      <c r="K403" s="41">
        <f t="shared" si="75"/>
        <v>0</v>
      </c>
      <c r="L403" s="41">
        <f t="shared" si="76"/>
        <v>0</v>
      </c>
      <c r="M403" s="41">
        <f t="shared" si="77"/>
        <v>0</v>
      </c>
      <c r="U403" s="7"/>
      <c r="V403" s="7"/>
    </row>
    <row r="404" spans="8:22" hidden="1" x14ac:dyDescent="0.25">
      <c r="H404" s="41">
        <f t="shared" si="72"/>
        <v>0</v>
      </c>
      <c r="I404" s="41">
        <f t="shared" si="73"/>
        <v>0</v>
      </c>
      <c r="J404" s="41">
        <f t="shared" si="74"/>
        <v>0</v>
      </c>
      <c r="K404" s="41">
        <f t="shared" si="75"/>
        <v>0</v>
      </c>
      <c r="L404" s="41">
        <f t="shared" si="76"/>
        <v>0</v>
      </c>
      <c r="M404" s="41">
        <f t="shared" si="77"/>
        <v>0</v>
      </c>
      <c r="U404" s="7"/>
      <c r="V404" s="7"/>
    </row>
    <row r="405" spans="8:22" hidden="1" x14ac:dyDescent="0.25">
      <c r="H405" s="41">
        <f t="shared" si="72"/>
        <v>0</v>
      </c>
      <c r="I405" s="41">
        <f t="shared" si="73"/>
        <v>0</v>
      </c>
      <c r="J405" s="41">
        <f t="shared" si="74"/>
        <v>0</v>
      </c>
      <c r="K405" s="41">
        <f t="shared" si="75"/>
        <v>0</v>
      </c>
      <c r="L405" s="41">
        <f t="shared" si="76"/>
        <v>0</v>
      </c>
      <c r="M405" s="41">
        <f t="shared" si="77"/>
        <v>0</v>
      </c>
      <c r="U405" s="7"/>
      <c r="V405" s="7"/>
    </row>
    <row r="406" spans="8:22" hidden="1" x14ac:dyDescent="0.25">
      <c r="H406" s="41">
        <f t="shared" si="72"/>
        <v>0</v>
      </c>
      <c r="I406" s="41">
        <f t="shared" si="73"/>
        <v>0</v>
      </c>
      <c r="J406" s="41">
        <f t="shared" si="74"/>
        <v>0</v>
      </c>
      <c r="K406" s="41">
        <f t="shared" si="75"/>
        <v>0</v>
      </c>
      <c r="L406" s="41">
        <f t="shared" si="76"/>
        <v>0</v>
      </c>
      <c r="M406" s="41">
        <f t="shared" si="77"/>
        <v>0</v>
      </c>
      <c r="U406" s="7"/>
      <c r="V406" s="7"/>
    </row>
    <row r="407" spans="8:22" hidden="1" x14ac:dyDescent="0.25">
      <c r="H407" s="41">
        <f t="shared" si="72"/>
        <v>0</v>
      </c>
      <c r="I407" s="41">
        <f t="shared" si="73"/>
        <v>0</v>
      </c>
      <c r="J407" s="41">
        <f t="shared" si="74"/>
        <v>0</v>
      </c>
      <c r="K407" s="41">
        <f t="shared" si="75"/>
        <v>0</v>
      </c>
      <c r="L407" s="41">
        <f t="shared" si="76"/>
        <v>0</v>
      </c>
      <c r="M407" s="41">
        <f t="shared" si="77"/>
        <v>0</v>
      </c>
      <c r="U407" s="7"/>
      <c r="V407" s="7"/>
    </row>
    <row r="408" spans="8:22" hidden="1" x14ac:dyDescent="0.25">
      <c r="H408" s="41">
        <f t="shared" si="72"/>
        <v>0</v>
      </c>
      <c r="I408" s="41">
        <f t="shared" si="73"/>
        <v>0</v>
      </c>
      <c r="J408" s="41">
        <f t="shared" si="74"/>
        <v>0</v>
      </c>
      <c r="K408" s="41">
        <f t="shared" si="75"/>
        <v>0</v>
      </c>
      <c r="L408" s="41">
        <f t="shared" si="76"/>
        <v>0</v>
      </c>
      <c r="M408" s="41">
        <f t="shared" si="77"/>
        <v>0</v>
      </c>
      <c r="U408" s="7"/>
      <c r="V408" s="7"/>
    </row>
    <row r="409" spans="8:22" hidden="1" x14ac:dyDescent="0.25">
      <c r="H409" s="41">
        <f t="shared" si="72"/>
        <v>0</v>
      </c>
      <c r="I409" s="41">
        <f t="shared" si="73"/>
        <v>0</v>
      </c>
      <c r="J409" s="41">
        <f t="shared" si="74"/>
        <v>0</v>
      </c>
      <c r="K409" s="41">
        <f t="shared" si="75"/>
        <v>0</v>
      </c>
      <c r="L409" s="41">
        <f t="shared" si="76"/>
        <v>0</v>
      </c>
      <c r="M409" s="41">
        <f t="shared" si="77"/>
        <v>0</v>
      </c>
      <c r="U409" s="7"/>
      <c r="V409" s="7"/>
    </row>
    <row r="410" spans="8:22" hidden="1" x14ac:dyDescent="0.25">
      <c r="H410" s="41">
        <f t="shared" si="72"/>
        <v>0</v>
      </c>
      <c r="I410" s="41">
        <f t="shared" si="73"/>
        <v>0</v>
      </c>
      <c r="J410" s="41">
        <f t="shared" si="74"/>
        <v>0</v>
      </c>
      <c r="K410" s="41">
        <f t="shared" si="75"/>
        <v>0</v>
      </c>
      <c r="L410" s="41">
        <f t="shared" si="76"/>
        <v>0</v>
      </c>
      <c r="M410" s="41">
        <f t="shared" si="77"/>
        <v>0</v>
      </c>
      <c r="U410" s="7"/>
      <c r="V410" s="7"/>
    </row>
    <row r="411" spans="8:22" hidden="1" x14ac:dyDescent="0.25">
      <c r="H411" s="41">
        <f t="shared" si="72"/>
        <v>0</v>
      </c>
      <c r="I411" s="41">
        <f t="shared" si="73"/>
        <v>0</v>
      </c>
      <c r="J411" s="41">
        <f t="shared" si="74"/>
        <v>0</v>
      </c>
      <c r="K411" s="41">
        <f t="shared" si="75"/>
        <v>0</v>
      </c>
      <c r="L411" s="41">
        <f t="shared" si="76"/>
        <v>0</v>
      </c>
      <c r="M411" s="41">
        <f t="shared" si="77"/>
        <v>0</v>
      </c>
      <c r="U411" s="7"/>
      <c r="V411" s="7"/>
    </row>
    <row r="412" spans="8:22" hidden="1" x14ac:dyDescent="0.25">
      <c r="H412" s="41" t="e">
        <f>#REF!</f>
        <v>#REF!</v>
      </c>
      <c r="I412" s="41" t="e">
        <f>#REF!</f>
        <v>#REF!</v>
      </c>
      <c r="J412" s="41" t="e">
        <f>#REF!</f>
        <v>#REF!</v>
      </c>
      <c r="K412" s="41" t="e">
        <f>#REF!</f>
        <v>#REF!</v>
      </c>
      <c r="L412" s="41" t="e">
        <f>#REF!</f>
        <v>#REF!</v>
      </c>
      <c r="M412" s="41" t="e">
        <f>#REF!</f>
        <v>#REF!</v>
      </c>
      <c r="U412" s="7"/>
      <c r="V412" s="7"/>
    </row>
    <row r="413" spans="8:22" hidden="1" x14ac:dyDescent="0.25">
      <c r="H413" s="41">
        <f t="shared" ref="H413:H443" si="78">AZ3</f>
        <v>0</v>
      </c>
      <c r="I413" s="41">
        <f t="shared" ref="I413:I443" si="79">BA3</f>
        <v>0</v>
      </c>
      <c r="J413" s="41">
        <f t="shared" ref="J413:J443" si="80">BB3</f>
        <v>0</v>
      </c>
      <c r="K413" s="41">
        <f t="shared" ref="K413:K443" si="81">BC3</f>
        <v>0</v>
      </c>
      <c r="L413" s="41">
        <f t="shared" ref="L413:L443" si="82">BD3</f>
        <v>0</v>
      </c>
      <c r="M413" s="41">
        <f t="shared" ref="M413:M443" si="83">BE3</f>
        <v>0</v>
      </c>
      <c r="U413" s="7"/>
      <c r="V413" s="7"/>
    </row>
    <row r="414" spans="8:22" hidden="1" x14ac:dyDescent="0.25">
      <c r="H414" s="41">
        <f t="shared" si="78"/>
        <v>0</v>
      </c>
      <c r="I414" s="41">
        <f t="shared" si="79"/>
        <v>0</v>
      </c>
      <c r="J414" s="41">
        <f t="shared" si="80"/>
        <v>0</v>
      </c>
      <c r="K414" s="41">
        <f t="shared" si="81"/>
        <v>0</v>
      </c>
      <c r="L414" s="41">
        <f t="shared" si="82"/>
        <v>0</v>
      </c>
      <c r="M414" s="41">
        <f t="shared" si="83"/>
        <v>0</v>
      </c>
      <c r="U414" s="7"/>
      <c r="V414" s="7"/>
    </row>
    <row r="415" spans="8:22" hidden="1" x14ac:dyDescent="0.25">
      <c r="H415" s="41">
        <f t="shared" si="78"/>
        <v>0</v>
      </c>
      <c r="I415" s="41">
        <f t="shared" si="79"/>
        <v>0</v>
      </c>
      <c r="J415" s="41">
        <f t="shared" si="80"/>
        <v>0</v>
      </c>
      <c r="K415" s="41">
        <f t="shared" si="81"/>
        <v>0</v>
      </c>
      <c r="L415" s="41">
        <f t="shared" si="82"/>
        <v>0</v>
      </c>
      <c r="M415" s="41">
        <f t="shared" si="83"/>
        <v>0</v>
      </c>
      <c r="U415" s="7"/>
      <c r="V415" s="7"/>
    </row>
    <row r="416" spans="8:22" hidden="1" x14ac:dyDescent="0.25">
      <c r="H416" s="41">
        <f t="shared" si="78"/>
        <v>0</v>
      </c>
      <c r="I416" s="41">
        <f t="shared" si="79"/>
        <v>0</v>
      </c>
      <c r="J416" s="41">
        <f t="shared" si="80"/>
        <v>0</v>
      </c>
      <c r="K416" s="41">
        <f t="shared" si="81"/>
        <v>0</v>
      </c>
      <c r="L416" s="41">
        <f t="shared" si="82"/>
        <v>0</v>
      </c>
      <c r="M416" s="41">
        <f t="shared" si="83"/>
        <v>0</v>
      </c>
      <c r="U416" s="7"/>
      <c r="V416" s="7"/>
    </row>
    <row r="417" spans="8:22" hidden="1" x14ac:dyDescent="0.25">
      <c r="H417" s="41">
        <f t="shared" si="78"/>
        <v>0</v>
      </c>
      <c r="I417" s="41">
        <f t="shared" si="79"/>
        <v>0</v>
      </c>
      <c r="J417" s="41">
        <f t="shared" si="80"/>
        <v>0</v>
      </c>
      <c r="K417" s="41">
        <f t="shared" si="81"/>
        <v>0</v>
      </c>
      <c r="L417" s="41">
        <f t="shared" si="82"/>
        <v>0</v>
      </c>
      <c r="M417" s="41">
        <f t="shared" si="83"/>
        <v>0</v>
      </c>
      <c r="U417" s="7"/>
      <c r="V417" s="7"/>
    </row>
    <row r="418" spans="8:22" hidden="1" x14ac:dyDescent="0.25">
      <c r="H418" s="41">
        <f t="shared" si="78"/>
        <v>0</v>
      </c>
      <c r="I418" s="41">
        <f t="shared" si="79"/>
        <v>0</v>
      </c>
      <c r="J418" s="41">
        <f t="shared" si="80"/>
        <v>0</v>
      </c>
      <c r="K418" s="41">
        <f t="shared" si="81"/>
        <v>0</v>
      </c>
      <c r="L418" s="41">
        <f t="shared" si="82"/>
        <v>0</v>
      </c>
      <c r="M418" s="41">
        <f t="shared" si="83"/>
        <v>0</v>
      </c>
      <c r="U418" s="7"/>
      <c r="V418" s="7"/>
    </row>
    <row r="419" spans="8:22" hidden="1" x14ac:dyDescent="0.25">
      <c r="H419" s="41">
        <f t="shared" si="78"/>
        <v>0</v>
      </c>
      <c r="I419" s="41">
        <f t="shared" si="79"/>
        <v>0</v>
      </c>
      <c r="J419" s="41">
        <f t="shared" si="80"/>
        <v>0</v>
      </c>
      <c r="K419" s="41">
        <f t="shared" si="81"/>
        <v>0</v>
      </c>
      <c r="L419" s="41">
        <f t="shared" si="82"/>
        <v>0</v>
      </c>
      <c r="M419" s="41">
        <f t="shared" si="83"/>
        <v>0</v>
      </c>
      <c r="U419" s="7"/>
      <c r="V419" s="7"/>
    </row>
    <row r="420" spans="8:22" hidden="1" x14ac:dyDescent="0.25">
      <c r="H420" s="41">
        <f t="shared" si="78"/>
        <v>0</v>
      </c>
      <c r="I420" s="41">
        <f t="shared" si="79"/>
        <v>0</v>
      </c>
      <c r="J420" s="41">
        <f t="shared" si="80"/>
        <v>0</v>
      </c>
      <c r="K420" s="41">
        <f t="shared" si="81"/>
        <v>0</v>
      </c>
      <c r="L420" s="41">
        <f t="shared" si="82"/>
        <v>0</v>
      </c>
      <c r="M420" s="41">
        <f t="shared" si="83"/>
        <v>0</v>
      </c>
      <c r="U420" s="7"/>
      <c r="V420" s="7"/>
    </row>
    <row r="421" spans="8:22" hidden="1" x14ac:dyDescent="0.25">
      <c r="H421" s="41">
        <f t="shared" si="78"/>
        <v>0</v>
      </c>
      <c r="I421" s="41">
        <f t="shared" si="79"/>
        <v>0</v>
      </c>
      <c r="J421" s="41">
        <f t="shared" si="80"/>
        <v>0</v>
      </c>
      <c r="K421" s="41">
        <f t="shared" si="81"/>
        <v>0</v>
      </c>
      <c r="L421" s="41">
        <f t="shared" si="82"/>
        <v>0</v>
      </c>
      <c r="M421" s="41">
        <f t="shared" si="83"/>
        <v>0</v>
      </c>
      <c r="U421" s="7"/>
      <c r="V421" s="7"/>
    </row>
    <row r="422" spans="8:22" hidden="1" x14ac:dyDescent="0.25">
      <c r="H422" s="41">
        <f t="shared" si="78"/>
        <v>0</v>
      </c>
      <c r="I422" s="41">
        <f t="shared" si="79"/>
        <v>0</v>
      </c>
      <c r="J422" s="41">
        <f t="shared" si="80"/>
        <v>0</v>
      </c>
      <c r="K422" s="41">
        <f t="shared" si="81"/>
        <v>0</v>
      </c>
      <c r="L422" s="41">
        <f t="shared" si="82"/>
        <v>0</v>
      </c>
      <c r="M422" s="41">
        <f t="shared" si="83"/>
        <v>0</v>
      </c>
      <c r="U422" s="7"/>
      <c r="V422" s="7"/>
    </row>
    <row r="423" spans="8:22" hidden="1" x14ac:dyDescent="0.25">
      <c r="H423" s="41">
        <f t="shared" si="78"/>
        <v>0</v>
      </c>
      <c r="I423" s="41">
        <f t="shared" si="79"/>
        <v>0</v>
      </c>
      <c r="J423" s="41">
        <f t="shared" si="80"/>
        <v>0</v>
      </c>
      <c r="K423" s="41">
        <f t="shared" si="81"/>
        <v>0</v>
      </c>
      <c r="L423" s="41">
        <f t="shared" si="82"/>
        <v>0</v>
      </c>
      <c r="M423" s="41">
        <f t="shared" si="83"/>
        <v>0</v>
      </c>
      <c r="U423" s="7"/>
      <c r="V423" s="7"/>
    </row>
    <row r="424" spans="8:22" hidden="1" x14ac:dyDescent="0.25">
      <c r="H424" s="41">
        <f t="shared" si="78"/>
        <v>0</v>
      </c>
      <c r="I424" s="41">
        <f t="shared" si="79"/>
        <v>0</v>
      </c>
      <c r="J424" s="41">
        <f t="shared" si="80"/>
        <v>0</v>
      </c>
      <c r="K424" s="41">
        <f t="shared" si="81"/>
        <v>0</v>
      </c>
      <c r="L424" s="41">
        <f t="shared" si="82"/>
        <v>0</v>
      </c>
      <c r="M424" s="41">
        <f t="shared" si="83"/>
        <v>0</v>
      </c>
      <c r="U424" s="7"/>
      <c r="V424" s="7"/>
    </row>
    <row r="425" spans="8:22" hidden="1" x14ac:dyDescent="0.25">
      <c r="H425" s="41">
        <f t="shared" si="78"/>
        <v>0</v>
      </c>
      <c r="I425" s="41">
        <f t="shared" si="79"/>
        <v>0</v>
      </c>
      <c r="J425" s="41">
        <f t="shared" si="80"/>
        <v>0</v>
      </c>
      <c r="K425" s="41">
        <f t="shared" si="81"/>
        <v>0</v>
      </c>
      <c r="L425" s="41">
        <f t="shared" si="82"/>
        <v>0</v>
      </c>
      <c r="M425" s="41">
        <f t="shared" si="83"/>
        <v>0</v>
      </c>
      <c r="U425" s="7"/>
      <c r="V425" s="7"/>
    </row>
    <row r="426" spans="8:22" hidden="1" x14ac:dyDescent="0.25">
      <c r="H426" s="41">
        <f t="shared" si="78"/>
        <v>0</v>
      </c>
      <c r="I426" s="41">
        <f t="shared" si="79"/>
        <v>0</v>
      </c>
      <c r="J426" s="41">
        <f t="shared" si="80"/>
        <v>0</v>
      </c>
      <c r="K426" s="41">
        <f t="shared" si="81"/>
        <v>0</v>
      </c>
      <c r="L426" s="41">
        <f t="shared" si="82"/>
        <v>0</v>
      </c>
      <c r="M426" s="41">
        <f t="shared" si="83"/>
        <v>0</v>
      </c>
      <c r="U426" s="7"/>
      <c r="V426" s="7"/>
    </row>
    <row r="427" spans="8:22" hidden="1" x14ac:dyDescent="0.25">
      <c r="H427" s="41">
        <f t="shared" si="78"/>
        <v>0</v>
      </c>
      <c r="I427" s="41">
        <f t="shared" si="79"/>
        <v>0</v>
      </c>
      <c r="J427" s="41">
        <f t="shared" si="80"/>
        <v>0</v>
      </c>
      <c r="K427" s="41">
        <f t="shared" si="81"/>
        <v>0</v>
      </c>
      <c r="L427" s="41">
        <f t="shared" si="82"/>
        <v>0</v>
      </c>
      <c r="M427" s="41">
        <f t="shared" si="83"/>
        <v>0</v>
      </c>
      <c r="U427" s="7"/>
      <c r="V427" s="7"/>
    </row>
    <row r="428" spans="8:22" hidden="1" x14ac:dyDescent="0.25">
      <c r="H428" s="41">
        <f t="shared" si="78"/>
        <v>0</v>
      </c>
      <c r="I428" s="41">
        <f t="shared" si="79"/>
        <v>0</v>
      </c>
      <c r="J428" s="41">
        <f t="shared" si="80"/>
        <v>0</v>
      </c>
      <c r="K428" s="41">
        <f t="shared" si="81"/>
        <v>0</v>
      </c>
      <c r="L428" s="41">
        <f t="shared" si="82"/>
        <v>0</v>
      </c>
      <c r="M428" s="41">
        <f t="shared" si="83"/>
        <v>0</v>
      </c>
      <c r="U428" s="7"/>
      <c r="V428" s="7"/>
    </row>
    <row r="429" spans="8:22" hidden="1" x14ac:dyDescent="0.25">
      <c r="H429" s="41">
        <f t="shared" si="78"/>
        <v>0</v>
      </c>
      <c r="I429" s="41">
        <f t="shared" si="79"/>
        <v>0</v>
      </c>
      <c r="J429" s="41">
        <f t="shared" si="80"/>
        <v>0</v>
      </c>
      <c r="K429" s="41">
        <f t="shared" si="81"/>
        <v>0</v>
      </c>
      <c r="L429" s="41">
        <f t="shared" si="82"/>
        <v>0</v>
      </c>
      <c r="M429" s="41">
        <f t="shared" si="83"/>
        <v>0</v>
      </c>
      <c r="U429" s="7"/>
      <c r="V429" s="7"/>
    </row>
    <row r="430" spans="8:22" hidden="1" x14ac:dyDescent="0.25">
      <c r="H430" s="41">
        <f t="shared" si="78"/>
        <v>0</v>
      </c>
      <c r="I430" s="41">
        <f t="shared" si="79"/>
        <v>0</v>
      </c>
      <c r="J430" s="41">
        <f t="shared" si="80"/>
        <v>0</v>
      </c>
      <c r="K430" s="41">
        <f t="shared" si="81"/>
        <v>0</v>
      </c>
      <c r="L430" s="41">
        <f t="shared" si="82"/>
        <v>0</v>
      </c>
      <c r="M430" s="41">
        <f t="shared" si="83"/>
        <v>0</v>
      </c>
      <c r="U430" s="7"/>
      <c r="V430" s="7"/>
    </row>
    <row r="431" spans="8:22" hidden="1" x14ac:dyDescent="0.25">
      <c r="H431" s="41">
        <f t="shared" si="78"/>
        <v>0</v>
      </c>
      <c r="I431" s="41">
        <f t="shared" si="79"/>
        <v>0</v>
      </c>
      <c r="J431" s="41">
        <f t="shared" si="80"/>
        <v>0</v>
      </c>
      <c r="K431" s="41">
        <f t="shared" si="81"/>
        <v>0</v>
      </c>
      <c r="L431" s="41">
        <f t="shared" si="82"/>
        <v>0</v>
      </c>
      <c r="M431" s="41">
        <f t="shared" si="83"/>
        <v>0</v>
      </c>
      <c r="U431" s="7"/>
      <c r="V431" s="7"/>
    </row>
    <row r="432" spans="8:22" hidden="1" x14ac:dyDescent="0.25">
      <c r="H432" s="41">
        <f t="shared" si="78"/>
        <v>0</v>
      </c>
      <c r="I432" s="41">
        <f t="shared" si="79"/>
        <v>0</v>
      </c>
      <c r="J432" s="41">
        <f t="shared" si="80"/>
        <v>0</v>
      </c>
      <c r="K432" s="41">
        <f t="shared" si="81"/>
        <v>0</v>
      </c>
      <c r="L432" s="41">
        <f t="shared" si="82"/>
        <v>0</v>
      </c>
      <c r="M432" s="41">
        <f t="shared" si="83"/>
        <v>0</v>
      </c>
      <c r="U432" s="7"/>
      <c r="V432" s="7"/>
    </row>
    <row r="433" spans="8:22" hidden="1" x14ac:dyDescent="0.25">
      <c r="H433" s="41">
        <f t="shared" si="78"/>
        <v>0</v>
      </c>
      <c r="I433" s="41">
        <f t="shared" si="79"/>
        <v>0</v>
      </c>
      <c r="J433" s="41">
        <f t="shared" si="80"/>
        <v>0</v>
      </c>
      <c r="K433" s="41">
        <f t="shared" si="81"/>
        <v>0</v>
      </c>
      <c r="L433" s="41">
        <f t="shared" si="82"/>
        <v>0</v>
      </c>
      <c r="M433" s="41">
        <f t="shared" si="83"/>
        <v>0</v>
      </c>
      <c r="U433" s="7"/>
      <c r="V433" s="7"/>
    </row>
    <row r="434" spans="8:22" hidden="1" x14ac:dyDescent="0.25">
      <c r="H434" s="41">
        <f t="shared" si="78"/>
        <v>0</v>
      </c>
      <c r="I434" s="41">
        <f t="shared" si="79"/>
        <v>0</v>
      </c>
      <c r="J434" s="41">
        <f t="shared" si="80"/>
        <v>0</v>
      </c>
      <c r="K434" s="41">
        <f t="shared" si="81"/>
        <v>0</v>
      </c>
      <c r="L434" s="41">
        <f t="shared" si="82"/>
        <v>0</v>
      </c>
      <c r="M434" s="41">
        <f t="shared" si="83"/>
        <v>0</v>
      </c>
      <c r="U434" s="7"/>
      <c r="V434" s="7"/>
    </row>
    <row r="435" spans="8:22" hidden="1" x14ac:dyDescent="0.25">
      <c r="H435" s="41">
        <f t="shared" si="78"/>
        <v>0</v>
      </c>
      <c r="I435" s="41">
        <f t="shared" si="79"/>
        <v>0</v>
      </c>
      <c r="J435" s="41">
        <f t="shared" si="80"/>
        <v>0</v>
      </c>
      <c r="K435" s="41">
        <f t="shared" si="81"/>
        <v>0</v>
      </c>
      <c r="L435" s="41">
        <f t="shared" si="82"/>
        <v>0</v>
      </c>
      <c r="M435" s="41">
        <f t="shared" si="83"/>
        <v>0</v>
      </c>
      <c r="U435" s="7"/>
      <c r="V435" s="7"/>
    </row>
    <row r="436" spans="8:22" hidden="1" x14ac:dyDescent="0.25">
      <c r="H436" s="41">
        <f t="shared" si="78"/>
        <v>0</v>
      </c>
      <c r="I436" s="41">
        <f t="shared" si="79"/>
        <v>0</v>
      </c>
      <c r="J436" s="41">
        <f t="shared" si="80"/>
        <v>0</v>
      </c>
      <c r="K436" s="41">
        <f t="shared" si="81"/>
        <v>0</v>
      </c>
      <c r="L436" s="41">
        <f t="shared" si="82"/>
        <v>0</v>
      </c>
      <c r="M436" s="41">
        <f t="shared" si="83"/>
        <v>0</v>
      </c>
      <c r="U436" s="7"/>
      <c r="V436" s="7"/>
    </row>
    <row r="437" spans="8:22" hidden="1" x14ac:dyDescent="0.25">
      <c r="H437" s="41">
        <f t="shared" si="78"/>
        <v>0</v>
      </c>
      <c r="I437" s="41">
        <f t="shared" si="79"/>
        <v>0</v>
      </c>
      <c r="J437" s="41">
        <f t="shared" si="80"/>
        <v>0</v>
      </c>
      <c r="K437" s="41">
        <f t="shared" si="81"/>
        <v>0</v>
      </c>
      <c r="L437" s="41">
        <f t="shared" si="82"/>
        <v>0</v>
      </c>
      <c r="M437" s="41">
        <f t="shared" si="83"/>
        <v>0</v>
      </c>
      <c r="U437" s="7"/>
      <c r="V437" s="7"/>
    </row>
    <row r="438" spans="8:22" hidden="1" x14ac:dyDescent="0.25">
      <c r="H438" s="41">
        <f t="shared" si="78"/>
        <v>0</v>
      </c>
      <c r="I438" s="41">
        <f t="shared" si="79"/>
        <v>0</v>
      </c>
      <c r="J438" s="41">
        <f t="shared" si="80"/>
        <v>0</v>
      </c>
      <c r="K438" s="41">
        <f t="shared" si="81"/>
        <v>0</v>
      </c>
      <c r="L438" s="41">
        <f t="shared" si="82"/>
        <v>0</v>
      </c>
      <c r="M438" s="41">
        <f t="shared" si="83"/>
        <v>0</v>
      </c>
      <c r="U438" s="7"/>
      <c r="V438" s="7"/>
    </row>
    <row r="439" spans="8:22" hidden="1" x14ac:dyDescent="0.25">
      <c r="H439" s="41">
        <f t="shared" si="78"/>
        <v>0</v>
      </c>
      <c r="I439" s="41">
        <f t="shared" si="79"/>
        <v>0</v>
      </c>
      <c r="J439" s="41">
        <f t="shared" si="80"/>
        <v>0</v>
      </c>
      <c r="K439" s="41">
        <f t="shared" si="81"/>
        <v>0</v>
      </c>
      <c r="L439" s="41">
        <f t="shared" si="82"/>
        <v>0</v>
      </c>
      <c r="M439" s="41">
        <f t="shared" si="83"/>
        <v>0</v>
      </c>
      <c r="U439" s="7"/>
      <c r="V439" s="7"/>
    </row>
    <row r="440" spans="8:22" hidden="1" x14ac:dyDescent="0.25">
      <c r="H440" s="41">
        <f t="shared" si="78"/>
        <v>0</v>
      </c>
      <c r="I440" s="41">
        <f t="shared" si="79"/>
        <v>0</v>
      </c>
      <c r="J440" s="41">
        <f t="shared" si="80"/>
        <v>0</v>
      </c>
      <c r="K440" s="41">
        <f t="shared" si="81"/>
        <v>0</v>
      </c>
      <c r="L440" s="41">
        <f t="shared" si="82"/>
        <v>0</v>
      </c>
      <c r="M440" s="41">
        <f t="shared" si="83"/>
        <v>0</v>
      </c>
      <c r="U440" s="7"/>
      <c r="V440" s="7"/>
    </row>
    <row r="441" spans="8:22" hidden="1" x14ac:dyDescent="0.25">
      <c r="H441" s="41">
        <f t="shared" si="78"/>
        <v>0</v>
      </c>
      <c r="I441" s="41">
        <f t="shared" si="79"/>
        <v>0</v>
      </c>
      <c r="J441" s="41">
        <f t="shared" si="80"/>
        <v>0</v>
      </c>
      <c r="K441" s="41">
        <f t="shared" si="81"/>
        <v>0</v>
      </c>
      <c r="L441" s="41">
        <f t="shared" si="82"/>
        <v>0</v>
      </c>
      <c r="M441" s="41">
        <f t="shared" si="83"/>
        <v>0</v>
      </c>
      <c r="U441" s="7"/>
      <c r="V441" s="7"/>
    </row>
    <row r="442" spans="8:22" hidden="1" x14ac:dyDescent="0.25">
      <c r="H442" s="41">
        <f t="shared" si="78"/>
        <v>0</v>
      </c>
      <c r="I442" s="41">
        <f t="shared" si="79"/>
        <v>0</v>
      </c>
      <c r="J442" s="41">
        <f t="shared" si="80"/>
        <v>0</v>
      </c>
      <c r="K442" s="41">
        <f t="shared" si="81"/>
        <v>0</v>
      </c>
      <c r="L442" s="41">
        <f t="shared" si="82"/>
        <v>0</v>
      </c>
      <c r="M442" s="41">
        <f t="shared" si="83"/>
        <v>0</v>
      </c>
      <c r="U442" s="7"/>
      <c r="V442" s="7"/>
    </row>
    <row r="443" spans="8:22" hidden="1" x14ac:dyDescent="0.25">
      <c r="H443" s="41">
        <f t="shared" si="78"/>
        <v>0</v>
      </c>
      <c r="I443" s="41">
        <f t="shared" si="79"/>
        <v>0</v>
      </c>
      <c r="J443" s="41">
        <f t="shared" si="80"/>
        <v>0</v>
      </c>
      <c r="K443" s="41">
        <f t="shared" si="81"/>
        <v>0</v>
      </c>
      <c r="L443" s="41">
        <f t="shared" si="82"/>
        <v>0</v>
      </c>
      <c r="M443" s="41">
        <f t="shared" si="83"/>
        <v>0</v>
      </c>
      <c r="U443" s="7"/>
      <c r="V443" s="7"/>
    </row>
    <row r="444" spans="8:22" hidden="1" x14ac:dyDescent="0.25">
      <c r="H444" s="41">
        <f t="shared" ref="H444:H462" si="84">AZ34</f>
        <v>0</v>
      </c>
      <c r="I444" s="41">
        <f t="shared" ref="I444:I462" si="85">BA34</f>
        <v>0</v>
      </c>
      <c r="J444" s="41">
        <f t="shared" ref="J444:J462" si="86">BB34</f>
        <v>0</v>
      </c>
      <c r="K444" s="41">
        <f t="shared" ref="K444:K462" si="87">BC34</f>
        <v>0</v>
      </c>
      <c r="L444" s="41">
        <f t="shared" ref="L444:L462" si="88">BD34</f>
        <v>0</v>
      </c>
      <c r="M444" s="41">
        <f t="shared" ref="M444:M462" si="89">BE34</f>
        <v>0</v>
      </c>
      <c r="U444" s="7"/>
      <c r="V444" s="7"/>
    </row>
    <row r="445" spans="8:22" hidden="1" x14ac:dyDescent="0.25">
      <c r="H445" s="41">
        <f t="shared" si="84"/>
        <v>0</v>
      </c>
      <c r="I445" s="41">
        <f t="shared" si="85"/>
        <v>0</v>
      </c>
      <c r="J445" s="41">
        <f t="shared" si="86"/>
        <v>0</v>
      </c>
      <c r="K445" s="41">
        <f t="shared" si="87"/>
        <v>0</v>
      </c>
      <c r="L445" s="41">
        <f t="shared" si="88"/>
        <v>0</v>
      </c>
      <c r="M445" s="41">
        <f t="shared" si="89"/>
        <v>0</v>
      </c>
      <c r="U445" s="7"/>
      <c r="V445" s="7"/>
    </row>
    <row r="446" spans="8:22" hidden="1" x14ac:dyDescent="0.25">
      <c r="H446" s="41">
        <f t="shared" si="84"/>
        <v>0</v>
      </c>
      <c r="I446" s="41">
        <f t="shared" si="85"/>
        <v>0</v>
      </c>
      <c r="J446" s="41">
        <f t="shared" si="86"/>
        <v>0</v>
      </c>
      <c r="K446" s="41">
        <f t="shared" si="87"/>
        <v>0</v>
      </c>
      <c r="L446" s="41">
        <f t="shared" si="88"/>
        <v>0</v>
      </c>
      <c r="M446" s="41">
        <f t="shared" si="89"/>
        <v>0</v>
      </c>
      <c r="U446" s="7"/>
      <c r="V446" s="7"/>
    </row>
    <row r="447" spans="8:22" hidden="1" x14ac:dyDescent="0.25">
      <c r="H447" s="41">
        <f t="shared" si="84"/>
        <v>0</v>
      </c>
      <c r="I447" s="41">
        <f t="shared" si="85"/>
        <v>0</v>
      </c>
      <c r="J447" s="41">
        <f t="shared" si="86"/>
        <v>0</v>
      </c>
      <c r="K447" s="41">
        <f t="shared" si="87"/>
        <v>0</v>
      </c>
      <c r="L447" s="41">
        <f t="shared" si="88"/>
        <v>0</v>
      </c>
      <c r="M447" s="41">
        <f t="shared" si="89"/>
        <v>0</v>
      </c>
      <c r="U447" s="7"/>
      <c r="V447" s="7"/>
    </row>
    <row r="448" spans="8:22" hidden="1" x14ac:dyDescent="0.25">
      <c r="H448" s="41">
        <f t="shared" si="84"/>
        <v>0</v>
      </c>
      <c r="I448" s="41">
        <f t="shared" si="85"/>
        <v>0</v>
      </c>
      <c r="J448" s="41">
        <f t="shared" si="86"/>
        <v>0</v>
      </c>
      <c r="K448" s="41">
        <f t="shared" si="87"/>
        <v>0</v>
      </c>
      <c r="L448" s="41">
        <f t="shared" si="88"/>
        <v>0</v>
      </c>
      <c r="M448" s="41">
        <f t="shared" si="89"/>
        <v>0</v>
      </c>
      <c r="U448" s="7"/>
      <c r="V448" s="7"/>
    </row>
    <row r="449" spans="8:22" hidden="1" x14ac:dyDescent="0.25">
      <c r="H449" s="41">
        <f t="shared" si="84"/>
        <v>0</v>
      </c>
      <c r="I449" s="41">
        <f t="shared" si="85"/>
        <v>0</v>
      </c>
      <c r="J449" s="41">
        <f t="shared" si="86"/>
        <v>0</v>
      </c>
      <c r="K449" s="41">
        <f t="shared" si="87"/>
        <v>0</v>
      </c>
      <c r="L449" s="41">
        <f t="shared" si="88"/>
        <v>0</v>
      </c>
      <c r="M449" s="41">
        <f t="shared" si="89"/>
        <v>0</v>
      </c>
      <c r="U449" s="7"/>
      <c r="V449" s="7"/>
    </row>
    <row r="450" spans="8:22" hidden="1" x14ac:dyDescent="0.25">
      <c r="H450" s="41">
        <f t="shared" si="84"/>
        <v>0</v>
      </c>
      <c r="I450" s="41">
        <f t="shared" si="85"/>
        <v>0</v>
      </c>
      <c r="J450" s="41">
        <f t="shared" si="86"/>
        <v>0</v>
      </c>
      <c r="K450" s="41">
        <f t="shared" si="87"/>
        <v>0</v>
      </c>
      <c r="L450" s="41">
        <f t="shared" si="88"/>
        <v>0</v>
      </c>
      <c r="M450" s="41">
        <f t="shared" si="89"/>
        <v>0</v>
      </c>
      <c r="U450" s="7"/>
      <c r="V450" s="7"/>
    </row>
    <row r="451" spans="8:22" hidden="1" x14ac:dyDescent="0.25">
      <c r="H451" s="41">
        <f t="shared" si="84"/>
        <v>0</v>
      </c>
      <c r="I451" s="41">
        <f t="shared" si="85"/>
        <v>0</v>
      </c>
      <c r="J451" s="41">
        <f t="shared" si="86"/>
        <v>0</v>
      </c>
      <c r="K451" s="41">
        <f t="shared" si="87"/>
        <v>0</v>
      </c>
      <c r="L451" s="41">
        <f t="shared" si="88"/>
        <v>0</v>
      </c>
      <c r="M451" s="41">
        <f t="shared" si="89"/>
        <v>0</v>
      </c>
      <c r="U451" s="7"/>
      <c r="V451" s="7"/>
    </row>
    <row r="452" spans="8:22" hidden="1" x14ac:dyDescent="0.25">
      <c r="H452" s="41">
        <f t="shared" si="84"/>
        <v>0</v>
      </c>
      <c r="I452" s="41">
        <f t="shared" si="85"/>
        <v>0</v>
      </c>
      <c r="J452" s="41">
        <f t="shared" si="86"/>
        <v>0</v>
      </c>
      <c r="K452" s="41">
        <f t="shared" si="87"/>
        <v>0</v>
      </c>
      <c r="L452" s="41">
        <f t="shared" si="88"/>
        <v>0</v>
      </c>
      <c r="M452" s="41">
        <f t="shared" si="89"/>
        <v>0</v>
      </c>
      <c r="U452" s="7"/>
      <c r="V452" s="7"/>
    </row>
    <row r="453" spans="8:22" hidden="1" x14ac:dyDescent="0.25">
      <c r="H453" s="41">
        <f t="shared" si="84"/>
        <v>0</v>
      </c>
      <c r="I453" s="41">
        <f t="shared" si="85"/>
        <v>0</v>
      </c>
      <c r="J453" s="41">
        <f t="shared" si="86"/>
        <v>0</v>
      </c>
      <c r="K453" s="41">
        <f t="shared" si="87"/>
        <v>0</v>
      </c>
      <c r="L453" s="41">
        <f t="shared" si="88"/>
        <v>0</v>
      </c>
      <c r="M453" s="41">
        <f t="shared" si="89"/>
        <v>0</v>
      </c>
      <c r="U453" s="7"/>
      <c r="V453" s="7"/>
    </row>
    <row r="454" spans="8:22" hidden="1" x14ac:dyDescent="0.25">
      <c r="H454" s="41">
        <f t="shared" si="84"/>
        <v>0</v>
      </c>
      <c r="I454" s="41">
        <f t="shared" si="85"/>
        <v>0</v>
      </c>
      <c r="J454" s="41">
        <f t="shared" si="86"/>
        <v>0</v>
      </c>
      <c r="K454" s="41">
        <f t="shared" si="87"/>
        <v>0</v>
      </c>
      <c r="L454" s="41">
        <f t="shared" si="88"/>
        <v>0</v>
      </c>
      <c r="M454" s="41">
        <f t="shared" si="89"/>
        <v>0</v>
      </c>
      <c r="U454" s="7"/>
      <c r="V454" s="7"/>
    </row>
    <row r="455" spans="8:22" hidden="1" x14ac:dyDescent="0.25">
      <c r="H455" s="41">
        <f t="shared" si="84"/>
        <v>0</v>
      </c>
      <c r="I455" s="41">
        <f t="shared" si="85"/>
        <v>0</v>
      </c>
      <c r="J455" s="41">
        <f t="shared" si="86"/>
        <v>0</v>
      </c>
      <c r="K455" s="41">
        <f t="shared" si="87"/>
        <v>0</v>
      </c>
      <c r="L455" s="41">
        <f t="shared" si="88"/>
        <v>0</v>
      </c>
      <c r="M455" s="41">
        <f t="shared" si="89"/>
        <v>0</v>
      </c>
      <c r="U455" s="7"/>
      <c r="V455" s="7"/>
    </row>
    <row r="456" spans="8:22" hidden="1" x14ac:dyDescent="0.25">
      <c r="H456" s="41">
        <f t="shared" si="84"/>
        <v>0</v>
      </c>
      <c r="I456" s="41">
        <f t="shared" si="85"/>
        <v>0</v>
      </c>
      <c r="J456" s="41">
        <f t="shared" si="86"/>
        <v>0</v>
      </c>
      <c r="K456" s="41">
        <f t="shared" si="87"/>
        <v>0</v>
      </c>
      <c r="L456" s="41">
        <f t="shared" si="88"/>
        <v>0</v>
      </c>
      <c r="M456" s="41">
        <f t="shared" si="89"/>
        <v>0</v>
      </c>
      <c r="U456" s="7"/>
      <c r="V456" s="7"/>
    </row>
    <row r="457" spans="8:22" hidden="1" x14ac:dyDescent="0.25">
      <c r="H457" s="41">
        <f t="shared" si="84"/>
        <v>0</v>
      </c>
      <c r="I457" s="41">
        <f t="shared" si="85"/>
        <v>0</v>
      </c>
      <c r="J457" s="41">
        <f t="shared" si="86"/>
        <v>0</v>
      </c>
      <c r="K457" s="41">
        <f t="shared" si="87"/>
        <v>0</v>
      </c>
      <c r="L457" s="41">
        <f t="shared" si="88"/>
        <v>0</v>
      </c>
      <c r="M457" s="41">
        <f t="shared" si="89"/>
        <v>0</v>
      </c>
      <c r="U457" s="7"/>
      <c r="V457" s="7"/>
    </row>
    <row r="458" spans="8:22" hidden="1" x14ac:dyDescent="0.25">
      <c r="H458" s="41">
        <f t="shared" si="84"/>
        <v>0</v>
      </c>
      <c r="I458" s="41">
        <f t="shared" si="85"/>
        <v>0</v>
      </c>
      <c r="J458" s="41">
        <f t="shared" si="86"/>
        <v>0</v>
      </c>
      <c r="K458" s="41">
        <f t="shared" si="87"/>
        <v>0</v>
      </c>
      <c r="L458" s="41">
        <f t="shared" si="88"/>
        <v>0</v>
      </c>
      <c r="M458" s="41">
        <f t="shared" si="89"/>
        <v>0</v>
      </c>
      <c r="U458" s="7"/>
      <c r="V458" s="7"/>
    </row>
    <row r="459" spans="8:22" hidden="1" x14ac:dyDescent="0.25">
      <c r="H459" s="41">
        <f t="shared" si="84"/>
        <v>0</v>
      </c>
      <c r="I459" s="41">
        <f t="shared" si="85"/>
        <v>0</v>
      </c>
      <c r="J459" s="41">
        <f t="shared" si="86"/>
        <v>0</v>
      </c>
      <c r="K459" s="41">
        <f t="shared" si="87"/>
        <v>0</v>
      </c>
      <c r="L459" s="41">
        <f t="shared" si="88"/>
        <v>0</v>
      </c>
      <c r="M459" s="41">
        <f t="shared" si="89"/>
        <v>0</v>
      </c>
      <c r="U459" s="7"/>
      <c r="V459" s="7"/>
    </row>
    <row r="460" spans="8:22" hidden="1" x14ac:dyDescent="0.25">
      <c r="H460" s="41">
        <f t="shared" si="84"/>
        <v>0</v>
      </c>
      <c r="I460" s="41">
        <f t="shared" si="85"/>
        <v>0</v>
      </c>
      <c r="J460" s="41">
        <f t="shared" si="86"/>
        <v>0</v>
      </c>
      <c r="K460" s="41">
        <f t="shared" si="87"/>
        <v>0</v>
      </c>
      <c r="L460" s="41">
        <f t="shared" si="88"/>
        <v>0</v>
      </c>
      <c r="M460" s="41">
        <f t="shared" si="89"/>
        <v>0</v>
      </c>
      <c r="U460" s="7"/>
      <c r="V460" s="7"/>
    </row>
    <row r="461" spans="8:22" hidden="1" x14ac:dyDescent="0.25">
      <c r="H461" s="41">
        <f t="shared" si="84"/>
        <v>0</v>
      </c>
      <c r="I461" s="41">
        <f t="shared" si="85"/>
        <v>0</v>
      </c>
      <c r="J461" s="41">
        <f t="shared" si="86"/>
        <v>0</v>
      </c>
      <c r="K461" s="41">
        <f t="shared" si="87"/>
        <v>0</v>
      </c>
      <c r="L461" s="41">
        <f t="shared" si="88"/>
        <v>0</v>
      </c>
      <c r="M461" s="41">
        <f t="shared" si="89"/>
        <v>0</v>
      </c>
      <c r="U461" s="7"/>
      <c r="V461" s="7"/>
    </row>
    <row r="462" spans="8:22" hidden="1" x14ac:dyDescent="0.25">
      <c r="H462" s="41">
        <f t="shared" si="84"/>
        <v>0</v>
      </c>
      <c r="I462" s="41">
        <f t="shared" si="85"/>
        <v>0</v>
      </c>
      <c r="J462" s="41">
        <f t="shared" si="86"/>
        <v>0</v>
      </c>
      <c r="K462" s="41">
        <f t="shared" si="87"/>
        <v>0</v>
      </c>
      <c r="L462" s="41">
        <f t="shared" si="88"/>
        <v>0</v>
      </c>
      <c r="M462" s="41">
        <f t="shared" si="89"/>
        <v>0</v>
      </c>
      <c r="U462" s="7"/>
      <c r="V462" s="7"/>
    </row>
    <row r="463" spans="8:22" hidden="1" x14ac:dyDescent="0.25">
      <c r="H463" s="41" t="e">
        <f>#REF!</f>
        <v>#REF!</v>
      </c>
      <c r="I463" s="41" t="e">
        <f>#REF!</f>
        <v>#REF!</v>
      </c>
      <c r="J463" s="41" t="e">
        <f>#REF!</f>
        <v>#REF!</v>
      </c>
      <c r="K463" s="41" t="e">
        <f>#REF!</f>
        <v>#REF!</v>
      </c>
      <c r="L463" s="41" t="e">
        <f>#REF!</f>
        <v>#REF!</v>
      </c>
      <c r="M463" s="41" t="e">
        <f>#REF!</f>
        <v>#REF!</v>
      </c>
      <c r="U463" s="7"/>
      <c r="V463" s="7"/>
    </row>
    <row r="464" spans="8:22" hidden="1" x14ac:dyDescent="0.25">
      <c r="H464" s="41">
        <f t="shared" ref="H464:H494" si="90">BF3</f>
        <v>0</v>
      </c>
      <c r="I464" s="41">
        <f t="shared" ref="I464:I494" si="91">BG3</f>
        <v>0</v>
      </c>
      <c r="J464" s="41">
        <f t="shared" ref="J464:J494" si="92">BH3</f>
        <v>0</v>
      </c>
      <c r="K464" s="41">
        <f t="shared" ref="K464:K494" si="93">BI3</f>
        <v>0</v>
      </c>
      <c r="L464" s="41">
        <f t="shared" ref="L464:L494" si="94">BJ3</f>
        <v>0</v>
      </c>
      <c r="M464" s="41">
        <f t="shared" ref="M464:M494" si="95">BK3</f>
        <v>0</v>
      </c>
      <c r="U464" s="7"/>
      <c r="V464" s="7"/>
    </row>
    <row r="465" spans="8:22" hidden="1" x14ac:dyDescent="0.25">
      <c r="H465" s="41">
        <f t="shared" si="90"/>
        <v>0</v>
      </c>
      <c r="I465" s="41">
        <f t="shared" si="91"/>
        <v>0</v>
      </c>
      <c r="J465" s="41">
        <f t="shared" si="92"/>
        <v>0</v>
      </c>
      <c r="K465" s="41">
        <f t="shared" si="93"/>
        <v>0</v>
      </c>
      <c r="L465" s="41">
        <f t="shared" si="94"/>
        <v>0</v>
      </c>
      <c r="M465" s="41">
        <f t="shared" si="95"/>
        <v>0</v>
      </c>
      <c r="U465" s="7"/>
      <c r="V465" s="7"/>
    </row>
    <row r="466" spans="8:22" hidden="1" x14ac:dyDescent="0.25">
      <c r="H466" s="41">
        <f t="shared" si="90"/>
        <v>0</v>
      </c>
      <c r="I466" s="41">
        <f t="shared" si="91"/>
        <v>0</v>
      </c>
      <c r="J466" s="41">
        <f t="shared" si="92"/>
        <v>0</v>
      </c>
      <c r="K466" s="41">
        <f t="shared" si="93"/>
        <v>0</v>
      </c>
      <c r="L466" s="41">
        <f t="shared" si="94"/>
        <v>0</v>
      </c>
      <c r="M466" s="41">
        <f t="shared" si="95"/>
        <v>0</v>
      </c>
      <c r="U466" s="7"/>
      <c r="V466" s="7"/>
    </row>
    <row r="467" spans="8:22" hidden="1" x14ac:dyDescent="0.25">
      <c r="H467" s="41">
        <f t="shared" si="90"/>
        <v>0</v>
      </c>
      <c r="I467" s="41">
        <f t="shared" si="91"/>
        <v>0</v>
      </c>
      <c r="J467" s="41">
        <f t="shared" si="92"/>
        <v>0</v>
      </c>
      <c r="K467" s="41">
        <f t="shared" si="93"/>
        <v>0</v>
      </c>
      <c r="L467" s="41">
        <f t="shared" si="94"/>
        <v>0</v>
      </c>
      <c r="M467" s="41">
        <f t="shared" si="95"/>
        <v>0</v>
      </c>
      <c r="U467" s="7"/>
      <c r="V467" s="7"/>
    </row>
    <row r="468" spans="8:22" hidden="1" x14ac:dyDescent="0.25">
      <c r="H468" s="41">
        <f t="shared" si="90"/>
        <v>0</v>
      </c>
      <c r="I468" s="41">
        <f t="shared" si="91"/>
        <v>0</v>
      </c>
      <c r="J468" s="41">
        <f t="shared" si="92"/>
        <v>0</v>
      </c>
      <c r="K468" s="41">
        <f t="shared" si="93"/>
        <v>0</v>
      </c>
      <c r="L468" s="41">
        <f t="shared" si="94"/>
        <v>0</v>
      </c>
      <c r="M468" s="41">
        <f t="shared" si="95"/>
        <v>0</v>
      </c>
      <c r="U468" s="7"/>
      <c r="V468" s="7"/>
    </row>
    <row r="469" spans="8:22" hidden="1" x14ac:dyDescent="0.25">
      <c r="H469" s="41">
        <f t="shared" si="90"/>
        <v>0</v>
      </c>
      <c r="I469" s="41">
        <f t="shared" si="91"/>
        <v>0</v>
      </c>
      <c r="J469" s="41">
        <f t="shared" si="92"/>
        <v>0</v>
      </c>
      <c r="K469" s="41">
        <f t="shared" si="93"/>
        <v>0</v>
      </c>
      <c r="L469" s="41">
        <f t="shared" si="94"/>
        <v>0</v>
      </c>
      <c r="M469" s="41">
        <f t="shared" si="95"/>
        <v>0</v>
      </c>
      <c r="U469" s="7"/>
      <c r="V469" s="7"/>
    </row>
    <row r="470" spans="8:22" hidden="1" x14ac:dyDescent="0.25">
      <c r="H470" s="41">
        <f t="shared" si="90"/>
        <v>0</v>
      </c>
      <c r="I470" s="41">
        <f t="shared" si="91"/>
        <v>0</v>
      </c>
      <c r="J470" s="41">
        <f t="shared" si="92"/>
        <v>0</v>
      </c>
      <c r="K470" s="41">
        <f t="shared" si="93"/>
        <v>0</v>
      </c>
      <c r="L470" s="41">
        <f t="shared" si="94"/>
        <v>0</v>
      </c>
      <c r="M470" s="41">
        <f t="shared" si="95"/>
        <v>0</v>
      </c>
      <c r="U470" s="7"/>
      <c r="V470" s="7"/>
    </row>
    <row r="471" spans="8:22" hidden="1" x14ac:dyDescent="0.25">
      <c r="H471" s="41">
        <f t="shared" si="90"/>
        <v>0</v>
      </c>
      <c r="I471" s="41">
        <f t="shared" si="91"/>
        <v>0</v>
      </c>
      <c r="J471" s="41">
        <f t="shared" si="92"/>
        <v>0</v>
      </c>
      <c r="K471" s="41">
        <f t="shared" si="93"/>
        <v>0</v>
      </c>
      <c r="L471" s="41">
        <f t="shared" si="94"/>
        <v>0</v>
      </c>
      <c r="M471" s="41">
        <f t="shared" si="95"/>
        <v>0</v>
      </c>
      <c r="U471" s="7"/>
      <c r="V471" s="7"/>
    </row>
    <row r="472" spans="8:22" hidden="1" x14ac:dyDescent="0.25">
      <c r="H472" s="41">
        <f t="shared" si="90"/>
        <v>0</v>
      </c>
      <c r="I472" s="41">
        <f t="shared" si="91"/>
        <v>0</v>
      </c>
      <c r="J472" s="41">
        <f t="shared" si="92"/>
        <v>0</v>
      </c>
      <c r="K472" s="41">
        <f t="shared" si="93"/>
        <v>0</v>
      </c>
      <c r="L472" s="41">
        <f t="shared" si="94"/>
        <v>0</v>
      </c>
      <c r="M472" s="41">
        <f t="shared" si="95"/>
        <v>0</v>
      </c>
      <c r="U472" s="7"/>
      <c r="V472" s="7"/>
    </row>
    <row r="473" spans="8:22" hidden="1" x14ac:dyDescent="0.25">
      <c r="H473" s="41">
        <f t="shared" si="90"/>
        <v>0</v>
      </c>
      <c r="I473" s="41">
        <f t="shared" si="91"/>
        <v>0</v>
      </c>
      <c r="J473" s="41">
        <f t="shared" si="92"/>
        <v>0</v>
      </c>
      <c r="K473" s="41">
        <f t="shared" si="93"/>
        <v>0</v>
      </c>
      <c r="L473" s="41">
        <f t="shared" si="94"/>
        <v>0</v>
      </c>
      <c r="M473" s="41">
        <f t="shared" si="95"/>
        <v>0</v>
      </c>
      <c r="U473" s="7"/>
      <c r="V473" s="7"/>
    </row>
    <row r="474" spans="8:22" hidden="1" x14ac:dyDescent="0.25">
      <c r="H474" s="41">
        <f t="shared" si="90"/>
        <v>0</v>
      </c>
      <c r="I474" s="41">
        <f t="shared" si="91"/>
        <v>0</v>
      </c>
      <c r="J474" s="41">
        <f t="shared" si="92"/>
        <v>0</v>
      </c>
      <c r="K474" s="41">
        <f t="shared" si="93"/>
        <v>0</v>
      </c>
      <c r="L474" s="41">
        <f t="shared" si="94"/>
        <v>0</v>
      </c>
      <c r="M474" s="41">
        <f t="shared" si="95"/>
        <v>0</v>
      </c>
      <c r="U474" s="7"/>
      <c r="V474" s="7"/>
    </row>
    <row r="475" spans="8:22" hidden="1" x14ac:dyDescent="0.25">
      <c r="H475" s="41">
        <f t="shared" si="90"/>
        <v>0</v>
      </c>
      <c r="I475" s="41">
        <f t="shared" si="91"/>
        <v>0</v>
      </c>
      <c r="J475" s="41">
        <f t="shared" si="92"/>
        <v>0</v>
      </c>
      <c r="K475" s="41">
        <f t="shared" si="93"/>
        <v>0</v>
      </c>
      <c r="L475" s="41">
        <f t="shared" si="94"/>
        <v>0</v>
      </c>
      <c r="M475" s="41">
        <f t="shared" si="95"/>
        <v>0</v>
      </c>
      <c r="U475" s="7"/>
      <c r="V475" s="7"/>
    </row>
    <row r="476" spans="8:22" hidden="1" x14ac:dyDescent="0.25">
      <c r="H476" s="41">
        <f t="shared" si="90"/>
        <v>0</v>
      </c>
      <c r="I476" s="41">
        <f t="shared" si="91"/>
        <v>0</v>
      </c>
      <c r="J476" s="41">
        <f t="shared" si="92"/>
        <v>0</v>
      </c>
      <c r="K476" s="41">
        <f t="shared" si="93"/>
        <v>0</v>
      </c>
      <c r="L476" s="41">
        <f t="shared" si="94"/>
        <v>0</v>
      </c>
      <c r="M476" s="41">
        <f t="shared" si="95"/>
        <v>0</v>
      </c>
      <c r="U476" s="7"/>
      <c r="V476" s="7"/>
    </row>
    <row r="477" spans="8:22" hidden="1" x14ac:dyDescent="0.25">
      <c r="H477" s="41">
        <f t="shared" si="90"/>
        <v>0</v>
      </c>
      <c r="I477" s="41">
        <f t="shared" si="91"/>
        <v>0</v>
      </c>
      <c r="J477" s="41">
        <f t="shared" si="92"/>
        <v>0</v>
      </c>
      <c r="K477" s="41">
        <f t="shared" si="93"/>
        <v>0</v>
      </c>
      <c r="L477" s="41">
        <f t="shared" si="94"/>
        <v>0</v>
      </c>
      <c r="M477" s="41">
        <f t="shared" si="95"/>
        <v>0</v>
      </c>
      <c r="U477" s="7"/>
      <c r="V477" s="7"/>
    </row>
    <row r="478" spans="8:22" hidden="1" x14ac:dyDescent="0.25">
      <c r="H478" s="41">
        <f t="shared" si="90"/>
        <v>0</v>
      </c>
      <c r="I478" s="41">
        <f t="shared" si="91"/>
        <v>0</v>
      </c>
      <c r="J478" s="41">
        <f t="shared" si="92"/>
        <v>0</v>
      </c>
      <c r="K478" s="41">
        <f t="shared" si="93"/>
        <v>0</v>
      </c>
      <c r="L478" s="41">
        <f t="shared" si="94"/>
        <v>0</v>
      </c>
      <c r="M478" s="41">
        <f t="shared" si="95"/>
        <v>0</v>
      </c>
      <c r="U478" s="7"/>
      <c r="V478" s="7"/>
    </row>
    <row r="479" spans="8:22" hidden="1" x14ac:dyDescent="0.25">
      <c r="H479" s="41">
        <f t="shared" si="90"/>
        <v>0</v>
      </c>
      <c r="I479" s="41">
        <f t="shared" si="91"/>
        <v>0</v>
      </c>
      <c r="J479" s="41">
        <f t="shared" si="92"/>
        <v>0</v>
      </c>
      <c r="K479" s="41">
        <f t="shared" si="93"/>
        <v>0</v>
      </c>
      <c r="L479" s="41">
        <f t="shared" si="94"/>
        <v>0</v>
      </c>
      <c r="M479" s="41">
        <f t="shared" si="95"/>
        <v>0</v>
      </c>
      <c r="U479" s="7"/>
      <c r="V479" s="7"/>
    </row>
    <row r="480" spans="8:22" hidden="1" x14ac:dyDescent="0.25">
      <c r="H480" s="41">
        <f t="shared" si="90"/>
        <v>0</v>
      </c>
      <c r="I480" s="41">
        <f t="shared" si="91"/>
        <v>0</v>
      </c>
      <c r="J480" s="41">
        <f t="shared" si="92"/>
        <v>0</v>
      </c>
      <c r="K480" s="41">
        <f t="shared" si="93"/>
        <v>0</v>
      </c>
      <c r="L480" s="41">
        <f t="shared" si="94"/>
        <v>0</v>
      </c>
      <c r="M480" s="41">
        <f t="shared" si="95"/>
        <v>0</v>
      </c>
      <c r="U480" s="7"/>
      <c r="V480" s="7"/>
    </row>
    <row r="481" spans="8:22" hidden="1" x14ac:dyDescent="0.25">
      <c r="H481" s="41">
        <f t="shared" si="90"/>
        <v>0</v>
      </c>
      <c r="I481" s="41">
        <f t="shared" si="91"/>
        <v>0</v>
      </c>
      <c r="J481" s="41">
        <f t="shared" si="92"/>
        <v>0</v>
      </c>
      <c r="K481" s="41">
        <f t="shared" si="93"/>
        <v>0</v>
      </c>
      <c r="L481" s="41">
        <f t="shared" si="94"/>
        <v>0</v>
      </c>
      <c r="M481" s="41">
        <f t="shared" si="95"/>
        <v>0</v>
      </c>
      <c r="U481" s="7"/>
      <c r="V481" s="7"/>
    </row>
    <row r="482" spans="8:22" hidden="1" x14ac:dyDescent="0.25">
      <c r="H482" s="41">
        <f t="shared" si="90"/>
        <v>0</v>
      </c>
      <c r="I482" s="41">
        <f t="shared" si="91"/>
        <v>0</v>
      </c>
      <c r="J482" s="41">
        <f t="shared" si="92"/>
        <v>0</v>
      </c>
      <c r="K482" s="41">
        <f t="shared" si="93"/>
        <v>0</v>
      </c>
      <c r="L482" s="41">
        <f t="shared" si="94"/>
        <v>0</v>
      </c>
      <c r="M482" s="41">
        <f t="shared" si="95"/>
        <v>0</v>
      </c>
      <c r="U482" s="7"/>
      <c r="V482" s="7"/>
    </row>
    <row r="483" spans="8:22" hidden="1" x14ac:dyDescent="0.25">
      <c r="H483" s="41">
        <f t="shared" si="90"/>
        <v>0</v>
      </c>
      <c r="I483" s="41">
        <f t="shared" si="91"/>
        <v>0</v>
      </c>
      <c r="J483" s="41">
        <f t="shared" si="92"/>
        <v>0</v>
      </c>
      <c r="K483" s="41">
        <f t="shared" si="93"/>
        <v>0</v>
      </c>
      <c r="L483" s="41">
        <f t="shared" si="94"/>
        <v>0</v>
      </c>
      <c r="M483" s="41">
        <f t="shared" si="95"/>
        <v>0</v>
      </c>
      <c r="U483" s="7"/>
      <c r="V483" s="7"/>
    </row>
    <row r="484" spans="8:22" hidden="1" x14ac:dyDescent="0.25">
      <c r="H484" s="41">
        <f t="shared" si="90"/>
        <v>0</v>
      </c>
      <c r="I484" s="41">
        <f t="shared" si="91"/>
        <v>0</v>
      </c>
      <c r="J484" s="41">
        <f t="shared" si="92"/>
        <v>0</v>
      </c>
      <c r="K484" s="41">
        <f t="shared" si="93"/>
        <v>0</v>
      </c>
      <c r="L484" s="41">
        <f t="shared" si="94"/>
        <v>0</v>
      </c>
      <c r="M484" s="41">
        <f t="shared" si="95"/>
        <v>0</v>
      </c>
      <c r="U484" s="7"/>
      <c r="V484" s="7"/>
    </row>
    <row r="485" spans="8:22" hidden="1" x14ac:dyDescent="0.25">
      <c r="H485" s="41">
        <f t="shared" si="90"/>
        <v>0</v>
      </c>
      <c r="I485" s="41">
        <f t="shared" si="91"/>
        <v>0</v>
      </c>
      <c r="J485" s="41">
        <f t="shared" si="92"/>
        <v>0</v>
      </c>
      <c r="K485" s="41">
        <f t="shared" si="93"/>
        <v>0</v>
      </c>
      <c r="L485" s="41">
        <f t="shared" si="94"/>
        <v>0</v>
      </c>
      <c r="M485" s="41">
        <f t="shared" si="95"/>
        <v>0</v>
      </c>
      <c r="U485" s="7"/>
      <c r="V485" s="7"/>
    </row>
    <row r="486" spans="8:22" hidden="1" x14ac:dyDescent="0.25">
      <c r="H486" s="41">
        <f t="shared" si="90"/>
        <v>0</v>
      </c>
      <c r="I486" s="41">
        <f t="shared" si="91"/>
        <v>0</v>
      </c>
      <c r="J486" s="41">
        <f t="shared" si="92"/>
        <v>0</v>
      </c>
      <c r="K486" s="41">
        <f t="shared" si="93"/>
        <v>0</v>
      </c>
      <c r="L486" s="41">
        <f t="shared" si="94"/>
        <v>0</v>
      </c>
      <c r="M486" s="41">
        <f t="shared" si="95"/>
        <v>0</v>
      </c>
      <c r="U486" s="7"/>
      <c r="V486" s="7"/>
    </row>
    <row r="487" spans="8:22" hidden="1" x14ac:dyDescent="0.25">
      <c r="H487" s="41">
        <f t="shared" si="90"/>
        <v>0</v>
      </c>
      <c r="I487" s="41">
        <f t="shared" si="91"/>
        <v>0</v>
      </c>
      <c r="J487" s="41">
        <f t="shared" si="92"/>
        <v>0</v>
      </c>
      <c r="K487" s="41">
        <f t="shared" si="93"/>
        <v>0</v>
      </c>
      <c r="L487" s="41">
        <f t="shared" si="94"/>
        <v>0</v>
      </c>
      <c r="M487" s="41">
        <f t="shared" si="95"/>
        <v>0</v>
      </c>
      <c r="U487" s="7"/>
      <c r="V487" s="7"/>
    </row>
    <row r="488" spans="8:22" hidden="1" x14ac:dyDescent="0.25">
      <c r="H488" s="41">
        <f t="shared" si="90"/>
        <v>0</v>
      </c>
      <c r="I488" s="41">
        <f t="shared" si="91"/>
        <v>0</v>
      </c>
      <c r="J488" s="41">
        <f t="shared" si="92"/>
        <v>0</v>
      </c>
      <c r="K488" s="41">
        <f t="shared" si="93"/>
        <v>0</v>
      </c>
      <c r="L488" s="41">
        <f t="shared" si="94"/>
        <v>0</v>
      </c>
      <c r="M488" s="41">
        <f t="shared" si="95"/>
        <v>0</v>
      </c>
      <c r="U488" s="7"/>
      <c r="V488" s="7"/>
    </row>
    <row r="489" spans="8:22" hidden="1" x14ac:dyDescent="0.25">
      <c r="H489" s="41">
        <f t="shared" si="90"/>
        <v>0</v>
      </c>
      <c r="I489" s="41">
        <f t="shared" si="91"/>
        <v>0</v>
      </c>
      <c r="J489" s="41">
        <f t="shared" si="92"/>
        <v>0</v>
      </c>
      <c r="K489" s="41">
        <f t="shared" si="93"/>
        <v>0</v>
      </c>
      <c r="L489" s="41">
        <f t="shared" si="94"/>
        <v>0</v>
      </c>
      <c r="M489" s="41">
        <f t="shared" si="95"/>
        <v>0</v>
      </c>
      <c r="U489" s="7"/>
      <c r="V489" s="7"/>
    </row>
    <row r="490" spans="8:22" hidden="1" x14ac:dyDescent="0.25">
      <c r="H490" s="41">
        <f t="shared" si="90"/>
        <v>0</v>
      </c>
      <c r="I490" s="41">
        <f t="shared" si="91"/>
        <v>0</v>
      </c>
      <c r="J490" s="41">
        <f t="shared" si="92"/>
        <v>0</v>
      </c>
      <c r="K490" s="41">
        <f t="shared" si="93"/>
        <v>0</v>
      </c>
      <c r="L490" s="41">
        <f t="shared" si="94"/>
        <v>0</v>
      </c>
      <c r="M490" s="41">
        <f t="shared" si="95"/>
        <v>0</v>
      </c>
      <c r="U490" s="7"/>
      <c r="V490" s="7"/>
    </row>
    <row r="491" spans="8:22" hidden="1" x14ac:dyDescent="0.25">
      <c r="H491" s="41">
        <f t="shared" si="90"/>
        <v>0</v>
      </c>
      <c r="I491" s="41">
        <f t="shared" si="91"/>
        <v>0</v>
      </c>
      <c r="J491" s="41">
        <f t="shared" si="92"/>
        <v>0</v>
      </c>
      <c r="K491" s="41">
        <f t="shared" si="93"/>
        <v>0</v>
      </c>
      <c r="L491" s="41">
        <f t="shared" si="94"/>
        <v>0</v>
      </c>
      <c r="M491" s="41">
        <f t="shared" si="95"/>
        <v>0</v>
      </c>
      <c r="U491" s="7"/>
      <c r="V491" s="7"/>
    </row>
    <row r="492" spans="8:22" hidden="1" x14ac:dyDescent="0.25">
      <c r="H492" s="41">
        <f t="shared" si="90"/>
        <v>0</v>
      </c>
      <c r="I492" s="41">
        <f t="shared" si="91"/>
        <v>0</v>
      </c>
      <c r="J492" s="41">
        <f t="shared" si="92"/>
        <v>0</v>
      </c>
      <c r="K492" s="41">
        <f t="shared" si="93"/>
        <v>0</v>
      </c>
      <c r="L492" s="41">
        <f t="shared" si="94"/>
        <v>0</v>
      </c>
      <c r="M492" s="41">
        <f t="shared" si="95"/>
        <v>0</v>
      </c>
      <c r="U492" s="7"/>
      <c r="V492" s="7"/>
    </row>
    <row r="493" spans="8:22" hidden="1" x14ac:dyDescent="0.25">
      <c r="H493" s="41">
        <f t="shared" si="90"/>
        <v>0</v>
      </c>
      <c r="I493" s="41">
        <f t="shared" si="91"/>
        <v>0</v>
      </c>
      <c r="J493" s="41">
        <f t="shared" si="92"/>
        <v>0</v>
      </c>
      <c r="K493" s="41">
        <f t="shared" si="93"/>
        <v>0</v>
      </c>
      <c r="L493" s="41">
        <f t="shared" si="94"/>
        <v>0</v>
      </c>
      <c r="M493" s="41">
        <f t="shared" si="95"/>
        <v>0</v>
      </c>
      <c r="U493" s="7"/>
      <c r="V493" s="7"/>
    </row>
    <row r="494" spans="8:22" hidden="1" x14ac:dyDescent="0.25">
      <c r="H494" s="41">
        <f t="shared" si="90"/>
        <v>0</v>
      </c>
      <c r="I494" s="41">
        <f t="shared" si="91"/>
        <v>0</v>
      </c>
      <c r="J494" s="41">
        <f t="shared" si="92"/>
        <v>0</v>
      </c>
      <c r="K494" s="41">
        <f t="shared" si="93"/>
        <v>0</v>
      </c>
      <c r="L494" s="41">
        <f t="shared" si="94"/>
        <v>0</v>
      </c>
      <c r="M494" s="41">
        <f t="shared" si="95"/>
        <v>0</v>
      </c>
      <c r="U494" s="7"/>
      <c r="V494" s="7"/>
    </row>
    <row r="495" spans="8:22" hidden="1" x14ac:dyDescent="0.25">
      <c r="H495" s="41">
        <f t="shared" ref="H495:H513" si="96">BF34</f>
        <v>0</v>
      </c>
      <c r="I495" s="41">
        <f t="shared" ref="I495:I513" si="97">BG34</f>
        <v>0</v>
      </c>
      <c r="J495" s="41">
        <f t="shared" ref="J495:J513" si="98">BH34</f>
        <v>0</v>
      </c>
      <c r="K495" s="41">
        <f t="shared" ref="K495:K513" si="99">BI34</f>
        <v>0</v>
      </c>
      <c r="L495" s="41">
        <f t="shared" ref="L495:L513" si="100">BJ34</f>
        <v>0</v>
      </c>
      <c r="M495" s="41">
        <f t="shared" ref="M495:M513" si="101">BK34</f>
        <v>0</v>
      </c>
      <c r="U495" s="7"/>
      <c r="V495" s="7"/>
    </row>
    <row r="496" spans="8:22" hidden="1" x14ac:dyDescent="0.25">
      <c r="H496" s="41">
        <f t="shared" si="96"/>
        <v>0</v>
      </c>
      <c r="I496" s="41">
        <f t="shared" si="97"/>
        <v>0</v>
      </c>
      <c r="J496" s="41">
        <f t="shared" si="98"/>
        <v>0</v>
      </c>
      <c r="K496" s="41">
        <f t="shared" si="99"/>
        <v>0</v>
      </c>
      <c r="L496" s="41">
        <f t="shared" si="100"/>
        <v>0</v>
      </c>
      <c r="M496" s="41">
        <f t="shared" si="101"/>
        <v>0</v>
      </c>
      <c r="U496" s="7"/>
      <c r="V496" s="7"/>
    </row>
    <row r="497" spans="8:22" hidden="1" x14ac:dyDescent="0.25">
      <c r="H497" s="41">
        <f t="shared" si="96"/>
        <v>0</v>
      </c>
      <c r="I497" s="41">
        <f t="shared" si="97"/>
        <v>0</v>
      </c>
      <c r="J497" s="41">
        <f t="shared" si="98"/>
        <v>0</v>
      </c>
      <c r="K497" s="41">
        <f t="shared" si="99"/>
        <v>0</v>
      </c>
      <c r="L497" s="41">
        <f t="shared" si="100"/>
        <v>0</v>
      </c>
      <c r="M497" s="41">
        <f t="shared" si="101"/>
        <v>0</v>
      </c>
      <c r="U497" s="7"/>
      <c r="V497" s="7"/>
    </row>
    <row r="498" spans="8:22" hidden="1" x14ac:dyDescent="0.25">
      <c r="H498" s="41">
        <f t="shared" si="96"/>
        <v>0</v>
      </c>
      <c r="I498" s="41">
        <f t="shared" si="97"/>
        <v>0</v>
      </c>
      <c r="J498" s="41">
        <f t="shared" si="98"/>
        <v>0</v>
      </c>
      <c r="K498" s="41">
        <f t="shared" si="99"/>
        <v>0</v>
      </c>
      <c r="L498" s="41">
        <f t="shared" si="100"/>
        <v>0</v>
      </c>
      <c r="M498" s="41">
        <f t="shared" si="101"/>
        <v>0</v>
      </c>
      <c r="U498" s="7"/>
      <c r="V498" s="7"/>
    </row>
    <row r="499" spans="8:22" hidden="1" x14ac:dyDescent="0.25">
      <c r="H499" s="41">
        <f t="shared" si="96"/>
        <v>0</v>
      </c>
      <c r="I499" s="41">
        <f t="shared" si="97"/>
        <v>0</v>
      </c>
      <c r="J499" s="41">
        <f t="shared" si="98"/>
        <v>0</v>
      </c>
      <c r="K499" s="41">
        <f t="shared" si="99"/>
        <v>0</v>
      </c>
      <c r="L499" s="41">
        <f t="shared" si="100"/>
        <v>0</v>
      </c>
      <c r="M499" s="41">
        <f t="shared" si="101"/>
        <v>0</v>
      </c>
      <c r="U499" s="7"/>
      <c r="V499" s="7"/>
    </row>
    <row r="500" spans="8:22" hidden="1" x14ac:dyDescent="0.25">
      <c r="H500" s="41">
        <f t="shared" si="96"/>
        <v>0</v>
      </c>
      <c r="I500" s="41">
        <f t="shared" si="97"/>
        <v>0</v>
      </c>
      <c r="J500" s="41">
        <f t="shared" si="98"/>
        <v>0</v>
      </c>
      <c r="K500" s="41">
        <f t="shared" si="99"/>
        <v>0</v>
      </c>
      <c r="L500" s="41">
        <f t="shared" si="100"/>
        <v>0</v>
      </c>
      <c r="M500" s="41">
        <f t="shared" si="101"/>
        <v>0</v>
      </c>
      <c r="U500" s="7"/>
      <c r="V500" s="7"/>
    </row>
    <row r="501" spans="8:22" hidden="1" x14ac:dyDescent="0.25">
      <c r="H501" s="41">
        <f t="shared" si="96"/>
        <v>0</v>
      </c>
      <c r="I501" s="41">
        <f t="shared" si="97"/>
        <v>0</v>
      </c>
      <c r="J501" s="41">
        <f t="shared" si="98"/>
        <v>0</v>
      </c>
      <c r="K501" s="41">
        <f t="shared" si="99"/>
        <v>0</v>
      </c>
      <c r="L501" s="41">
        <f t="shared" si="100"/>
        <v>0</v>
      </c>
      <c r="M501" s="41">
        <f t="shared" si="101"/>
        <v>0</v>
      </c>
      <c r="U501" s="7"/>
      <c r="V501" s="7"/>
    </row>
    <row r="502" spans="8:22" hidden="1" x14ac:dyDescent="0.25">
      <c r="H502" s="41">
        <f t="shared" si="96"/>
        <v>0</v>
      </c>
      <c r="I502" s="41">
        <f t="shared" si="97"/>
        <v>0</v>
      </c>
      <c r="J502" s="41">
        <f t="shared" si="98"/>
        <v>0</v>
      </c>
      <c r="K502" s="41">
        <f t="shared" si="99"/>
        <v>0</v>
      </c>
      <c r="L502" s="41">
        <f t="shared" si="100"/>
        <v>0</v>
      </c>
      <c r="M502" s="41">
        <f t="shared" si="101"/>
        <v>0</v>
      </c>
      <c r="U502" s="7"/>
      <c r="V502" s="7"/>
    </row>
    <row r="503" spans="8:22" hidden="1" x14ac:dyDescent="0.25">
      <c r="H503" s="41">
        <f t="shared" si="96"/>
        <v>0</v>
      </c>
      <c r="I503" s="41">
        <f t="shared" si="97"/>
        <v>0</v>
      </c>
      <c r="J503" s="41">
        <f t="shared" si="98"/>
        <v>0</v>
      </c>
      <c r="K503" s="41">
        <f t="shared" si="99"/>
        <v>0</v>
      </c>
      <c r="L503" s="41">
        <f t="shared" si="100"/>
        <v>0</v>
      </c>
      <c r="M503" s="41">
        <f t="shared" si="101"/>
        <v>0</v>
      </c>
      <c r="U503" s="7"/>
      <c r="V503" s="7"/>
    </row>
    <row r="504" spans="8:22" hidden="1" x14ac:dyDescent="0.25">
      <c r="H504" s="41">
        <f t="shared" si="96"/>
        <v>0</v>
      </c>
      <c r="I504" s="41">
        <f t="shared" si="97"/>
        <v>0</v>
      </c>
      <c r="J504" s="41">
        <f t="shared" si="98"/>
        <v>0</v>
      </c>
      <c r="K504" s="41">
        <f t="shared" si="99"/>
        <v>0</v>
      </c>
      <c r="L504" s="41">
        <f t="shared" si="100"/>
        <v>0</v>
      </c>
      <c r="M504" s="41">
        <f t="shared" si="101"/>
        <v>0</v>
      </c>
      <c r="U504" s="7"/>
      <c r="V504" s="7"/>
    </row>
    <row r="505" spans="8:22" hidden="1" x14ac:dyDescent="0.25">
      <c r="H505" s="41">
        <f t="shared" si="96"/>
        <v>0</v>
      </c>
      <c r="I505" s="41">
        <f t="shared" si="97"/>
        <v>0</v>
      </c>
      <c r="J505" s="41">
        <f t="shared" si="98"/>
        <v>0</v>
      </c>
      <c r="K505" s="41">
        <f t="shared" si="99"/>
        <v>0</v>
      </c>
      <c r="L505" s="41">
        <f t="shared" si="100"/>
        <v>0</v>
      </c>
      <c r="M505" s="41">
        <f t="shared" si="101"/>
        <v>0</v>
      </c>
      <c r="U505" s="7"/>
      <c r="V505" s="7"/>
    </row>
    <row r="506" spans="8:22" hidden="1" x14ac:dyDescent="0.25">
      <c r="H506" s="41">
        <f t="shared" si="96"/>
        <v>0</v>
      </c>
      <c r="I506" s="41">
        <f t="shared" si="97"/>
        <v>0</v>
      </c>
      <c r="J506" s="41">
        <f t="shared" si="98"/>
        <v>0</v>
      </c>
      <c r="K506" s="41">
        <f t="shared" si="99"/>
        <v>0</v>
      </c>
      <c r="L506" s="41">
        <f t="shared" si="100"/>
        <v>0</v>
      </c>
      <c r="M506" s="41">
        <f t="shared" si="101"/>
        <v>0</v>
      </c>
      <c r="U506" s="7"/>
      <c r="V506" s="7"/>
    </row>
    <row r="507" spans="8:22" hidden="1" x14ac:dyDescent="0.25">
      <c r="H507" s="41">
        <f t="shared" si="96"/>
        <v>0</v>
      </c>
      <c r="I507" s="41">
        <f t="shared" si="97"/>
        <v>0</v>
      </c>
      <c r="J507" s="41">
        <f t="shared" si="98"/>
        <v>0</v>
      </c>
      <c r="K507" s="41">
        <f t="shared" si="99"/>
        <v>0</v>
      </c>
      <c r="L507" s="41">
        <f t="shared" si="100"/>
        <v>0</v>
      </c>
      <c r="M507" s="41">
        <f t="shared" si="101"/>
        <v>0</v>
      </c>
      <c r="U507" s="7"/>
      <c r="V507" s="7"/>
    </row>
    <row r="508" spans="8:22" hidden="1" x14ac:dyDescent="0.25">
      <c r="H508" s="41">
        <f t="shared" si="96"/>
        <v>0</v>
      </c>
      <c r="I508" s="41">
        <f t="shared" si="97"/>
        <v>0</v>
      </c>
      <c r="J508" s="41">
        <f t="shared" si="98"/>
        <v>0</v>
      </c>
      <c r="K508" s="41">
        <f t="shared" si="99"/>
        <v>0</v>
      </c>
      <c r="L508" s="41">
        <f t="shared" si="100"/>
        <v>0</v>
      </c>
      <c r="M508" s="41">
        <f t="shared" si="101"/>
        <v>0</v>
      </c>
      <c r="U508" s="7"/>
      <c r="V508" s="7"/>
    </row>
    <row r="509" spans="8:22" hidden="1" x14ac:dyDescent="0.25">
      <c r="H509" s="41">
        <f t="shared" si="96"/>
        <v>0</v>
      </c>
      <c r="I509" s="41">
        <f t="shared" si="97"/>
        <v>0</v>
      </c>
      <c r="J509" s="41">
        <f t="shared" si="98"/>
        <v>0</v>
      </c>
      <c r="K509" s="41">
        <f t="shared" si="99"/>
        <v>0</v>
      </c>
      <c r="L509" s="41">
        <f t="shared" si="100"/>
        <v>0</v>
      </c>
      <c r="M509" s="41">
        <f t="shared" si="101"/>
        <v>0</v>
      </c>
      <c r="U509" s="7"/>
      <c r="V509" s="7"/>
    </row>
    <row r="510" spans="8:22" hidden="1" x14ac:dyDescent="0.25">
      <c r="H510" s="41">
        <f t="shared" si="96"/>
        <v>0</v>
      </c>
      <c r="I510" s="41">
        <f t="shared" si="97"/>
        <v>0</v>
      </c>
      <c r="J510" s="41">
        <f t="shared" si="98"/>
        <v>0</v>
      </c>
      <c r="K510" s="41">
        <f t="shared" si="99"/>
        <v>0</v>
      </c>
      <c r="L510" s="41">
        <f t="shared" si="100"/>
        <v>0</v>
      </c>
      <c r="M510" s="41">
        <f t="shared" si="101"/>
        <v>0</v>
      </c>
      <c r="U510" s="7"/>
      <c r="V510" s="7"/>
    </row>
    <row r="511" spans="8:22" hidden="1" x14ac:dyDescent="0.25">
      <c r="H511" s="41">
        <f t="shared" si="96"/>
        <v>0</v>
      </c>
      <c r="I511" s="41">
        <f t="shared" si="97"/>
        <v>0</v>
      </c>
      <c r="J511" s="41">
        <f t="shared" si="98"/>
        <v>0</v>
      </c>
      <c r="K511" s="41">
        <f t="shared" si="99"/>
        <v>0</v>
      </c>
      <c r="L511" s="41">
        <f t="shared" si="100"/>
        <v>0</v>
      </c>
      <c r="M511" s="41">
        <f t="shared" si="101"/>
        <v>0</v>
      </c>
      <c r="U511" s="7"/>
      <c r="V511" s="7"/>
    </row>
    <row r="512" spans="8:22" hidden="1" x14ac:dyDescent="0.25">
      <c r="H512" s="41">
        <f t="shared" si="96"/>
        <v>0</v>
      </c>
      <c r="I512" s="41">
        <f t="shared" si="97"/>
        <v>0</v>
      </c>
      <c r="J512" s="41">
        <f t="shared" si="98"/>
        <v>0</v>
      </c>
      <c r="K512" s="41">
        <f t="shared" si="99"/>
        <v>0</v>
      </c>
      <c r="L512" s="41">
        <f t="shared" si="100"/>
        <v>0</v>
      </c>
      <c r="M512" s="41">
        <f t="shared" si="101"/>
        <v>0</v>
      </c>
      <c r="U512" s="7"/>
      <c r="V512" s="7"/>
    </row>
    <row r="513" spans="8:22" hidden="1" x14ac:dyDescent="0.25">
      <c r="H513" s="41">
        <f t="shared" si="96"/>
        <v>0</v>
      </c>
      <c r="I513" s="41">
        <f t="shared" si="97"/>
        <v>0</v>
      </c>
      <c r="J513" s="41">
        <f t="shared" si="98"/>
        <v>0</v>
      </c>
      <c r="K513" s="41">
        <f t="shared" si="99"/>
        <v>0</v>
      </c>
      <c r="L513" s="41">
        <f t="shared" si="100"/>
        <v>0</v>
      </c>
      <c r="M513" s="41">
        <f t="shared" si="101"/>
        <v>0</v>
      </c>
      <c r="U513" s="7"/>
      <c r="V513" s="7"/>
    </row>
    <row r="514" spans="8:22" hidden="1" x14ac:dyDescent="0.25">
      <c r="H514" s="41" t="e">
        <f>#REF!</f>
        <v>#REF!</v>
      </c>
      <c r="I514" s="41" t="e">
        <f>#REF!</f>
        <v>#REF!</v>
      </c>
      <c r="J514" s="41" t="e">
        <f>#REF!</f>
        <v>#REF!</v>
      </c>
      <c r="K514" s="41" t="e">
        <f>#REF!</f>
        <v>#REF!</v>
      </c>
      <c r="L514" s="41" t="e">
        <f>#REF!</f>
        <v>#REF!</v>
      </c>
      <c r="M514" s="41" t="e">
        <f>#REF!</f>
        <v>#REF!</v>
      </c>
      <c r="U514" s="7"/>
      <c r="V514" s="7"/>
    </row>
    <row r="515" spans="8:22" hidden="1" x14ac:dyDescent="0.25">
      <c r="H515" s="41">
        <f t="shared" ref="H515:H545" si="102">BL3</f>
        <v>0</v>
      </c>
      <c r="I515" s="41">
        <f t="shared" ref="I515:I545" si="103">BM3</f>
        <v>0</v>
      </c>
      <c r="J515" s="41">
        <f t="shared" ref="J515:J545" si="104">BN3</f>
        <v>0</v>
      </c>
      <c r="K515" s="41">
        <f t="shared" ref="K515:K545" si="105">BO3</f>
        <v>0</v>
      </c>
      <c r="L515" s="41">
        <f t="shared" ref="L515:L545" si="106">BP3</f>
        <v>0</v>
      </c>
      <c r="M515" s="41">
        <f t="shared" ref="M515:M545" si="107">BQ3</f>
        <v>0</v>
      </c>
      <c r="U515" s="7"/>
      <c r="V515" s="7"/>
    </row>
    <row r="516" spans="8:22" hidden="1" x14ac:dyDescent="0.25">
      <c r="H516" s="41">
        <f t="shared" si="102"/>
        <v>0</v>
      </c>
      <c r="I516" s="41">
        <f t="shared" si="103"/>
        <v>0</v>
      </c>
      <c r="J516" s="41">
        <f t="shared" si="104"/>
        <v>0</v>
      </c>
      <c r="K516" s="41">
        <f t="shared" si="105"/>
        <v>0</v>
      </c>
      <c r="L516" s="41">
        <f t="shared" si="106"/>
        <v>0</v>
      </c>
      <c r="M516" s="41">
        <f t="shared" si="107"/>
        <v>0</v>
      </c>
      <c r="U516" s="7"/>
      <c r="V516" s="7"/>
    </row>
    <row r="517" spans="8:22" hidden="1" x14ac:dyDescent="0.25">
      <c r="H517" s="41">
        <f t="shared" si="102"/>
        <v>0</v>
      </c>
      <c r="I517" s="41">
        <f t="shared" si="103"/>
        <v>0</v>
      </c>
      <c r="J517" s="41">
        <f t="shared" si="104"/>
        <v>0</v>
      </c>
      <c r="K517" s="41">
        <f t="shared" si="105"/>
        <v>0</v>
      </c>
      <c r="L517" s="41">
        <f t="shared" si="106"/>
        <v>0</v>
      </c>
      <c r="M517" s="41">
        <f t="shared" si="107"/>
        <v>0</v>
      </c>
      <c r="U517" s="7"/>
      <c r="V517" s="7"/>
    </row>
    <row r="518" spans="8:22" hidden="1" x14ac:dyDescent="0.25">
      <c r="H518" s="41">
        <f t="shared" si="102"/>
        <v>0</v>
      </c>
      <c r="I518" s="41">
        <f t="shared" si="103"/>
        <v>0</v>
      </c>
      <c r="J518" s="41">
        <f t="shared" si="104"/>
        <v>0</v>
      </c>
      <c r="K518" s="41">
        <f t="shared" si="105"/>
        <v>0</v>
      </c>
      <c r="L518" s="41">
        <f t="shared" si="106"/>
        <v>0</v>
      </c>
      <c r="M518" s="41">
        <f t="shared" si="107"/>
        <v>0</v>
      </c>
      <c r="U518" s="7"/>
      <c r="V518" s="7"/>
    </row>
    <row r="519" spans="8:22" hidden="1" x14ac:dyDescent="0.25">
      <c r="H519" s="41">
        <f t="shared" si="102"/>
        <v>0</v>
      </c>
      <c r="I519" s="41">
        <f t="shared" si="103"/>
        <v>0</v>
      </c>
      <c r="J519" s="41">
        <f t="shared" si="104"/>
        <v>0</v>
      </c>
      <c r="K519" s="41">
        <f t="shared" si="105"/>
        <v>0</v>
      </c>
      <c r="L519" s="41">
        <f t="shared" si="106"/>
        <v>0</v>
      </c>
      <c r="M519" s="41">
        <f t="shared" si="107"/>
        <v>0</v>
      </c>
      <c r="U519" s="7"/>
      <c r="V519" s="7"/>
    </row>
    <row r="520" spans="8:22" hidden="1" x14ac:dyDescent="0.25">
      <c r="H520" s="41">
        <f t="shared" si="102"/>
        <v>0</v>
      </c>
      <c r="I520" s="41">
        <f t="shared" si="103"/>
        <v>0</v>
      </c>
      <c r="J520" s="41">
        <f t="shared" si="104"/>
        <v>0</v>
      </c>
      <c r="K520" s="41">
        <f t="shared" si="105"/>
        <v>0</v>
      </c>
      <c r="L520" s="41">
        <f t="shared" si="106"/>
        <v>0</v>
      </c>
      <c r="M520" s="41">
        <f t="shared" si="107"/>
        <v>0</v>
      </c>
      <c r="U520" s="7"/>
      <c r="V520" s="7"/>
    </row>
    <row r="521" spans="8:22" hidden="1" x14ac:dyDescent="0.25">
      <c r="H521" s="41">
        <f t="shared" si="102"/>
        <v>0</v>
      </c>
      <c r="I521" s="41">
        <f t="shared" si="103"/>
        <v>0</v>
      </c>
      <c r="J521" s="41">
        <f t="shared" si="104"/>
        <v>0</v>
      </c>
      <c r="K521" s="41">
        <f t="shared" si="105"/>
        <v>0</v>
      </c>
      <c r="L521" s="41">
        <f t="shared" si="106"/>
        <v>0</v>
      </c>
      <c r="M521" s="41">
        <f t="shared" si="107"/>
        <v>0</v>
      </c>
      <c r="U521" s="7"/>
      <c r="V521" s="7"/>
    </row>
    <row r="522" spans="8:22" hidden="1" x14ac:dyDescent="0.25">
      <c r="H522" s="41">
        <f t="shared" si="102"/>
        <v>0</v>
      </c>
      <c r="I522" s="41">
        <f t="shared" si="103"/>
        <v>0</v>
      </c>
      <c r="J522" s="41">
        <f t="shared" si="104"/>
        <v>0</v>
      </c>
      <c r="K522" s="41">
        <f t="shared" si="105"/>
        <v>0</v>
      </c>
      <c r="L522" s="41">
        <f t="shared" si="106"/>
        <v>0</v>
      </c>
      <c r="M522" s="41">
        <f t="shared" si="107"/>
        <v>0</v>
      </c>
      <c r="U522" s="7"/>
      <c r="V522" s="7"/>
    </row>
    <row r="523" spans="8:22" hidden="1" x14ac:dyDescent="0.25">
      <c r="H523" s="41">
        <f t="shared" si="102"/>
        <v>0</v>
      </c>
      <c r="I523" s="41">
        <f t="shared" si="103"/>
        <v>0</v>
      </c>
      <c r="J523" s="41">
        <f t="shared" si="104"/>
        <v>0</v>
      </c>
      <c r="K523" s="41">
        <f t="shared" si="105"/>
        <v>0</v>
      </c>
      <c r="L523" s="41">
        <f t="shared" si="106"/>
        <v>0</v>
      </c>
      <c r="M523" s="41">
        <f t="shared" si="107"/>
        <v>0</v>
      </c>
      <c r="U523" s="7"/>
      <c r="V523" s="7"/>
    </row>
    <row r="524" spans="8:22" hidden="1" x14ac:dyDescent="0.25">
      <c r="H524" s="41">
        <f t="shared" si="102"/>
        <v>0</v>
      </c>
      <c r="I524" s="41">
        <f t="shared" si="103"/>
        <v>0</v>
      </c>
      <c r="J524" s="41">
        <f t="shared" si="104"/>
        <v>0</v>
      </c>
      <c r="K524" s="41">
        <f t="shared" si="105"/>
        <v>0</v>
      </c>
      <c r="L524" s="41">
        <f t="shared" si="106"/>
        <v>0</v>
      </c>
      <c r="M524" s="41">
        <f t="shared" si="107"/>
        <v>0</v>
      </c>
      <c r="U524" s="7"/>
      <c r="V524" s="7"/>
    </row>
    <row r="525" spans="8:22" hidden="1" x14ac:dyDescent="0.25">
      <c r="H525" s="41">
        <f t="shared" si="102"/>
        <v>0</v>
      </c>
      <c r="I525" s="41">
        <f t="shared" si="103"/>
        <v>0</v>
      </c>
      <c r="J525" s="41">
        <f t="shared" si="104"/>
        <v>0</v>
      </c>
      <c r="K525" s="41">
        <f t="shared" si="105"/>
        <v>0</v>
      </c>
      <c r="L525" s="41">
        <f t="shared" si="106"/>
        <v>0</v>
      </c>
      <c r="M525" s="41">
        <f t="shared" si="107"/>
        <v>0</v>
      </c>
      <c r="U525" s="7"/>
      <c r="V525" s="7"/>
    </row>
    <row r="526" spans="8:22" hidden="1" x14ac:dyDescent="0.25">
      <c r="H526" s="41">
        <f t="shared" si="102"/>
        <v>0</v>
      </c>
      <c r="I526" s="41">
        <f t="shared" si="103"/>
        <v>0</v>
      </c>
      <c r="J526" s="41">
        <f t="shared" si="104"/>
        <v>0</v>
      </c>
      <c r="K526" s="41">
        <f t="shared" si="105"/>
        <v>0</v>
      </c>
      <c r="L526" s="41">
        <f t="shared" si="106"/>
        <v>0</v>
      </c>
      <c r="M526" s="41">
        <f t="shared" si="107"/>
        <v>0</v>
      </c>
      <c r="U526" s="7"/>
      <c r="V526" s="7"/>
    </row>
    <row r="527" spans="8:22" hidden="1" x14ac:dyDescent="0.25">
      <c r="H527" s="41">
        <f t="shared" si="102"/>
        <v>0</v>
      </c>
      <c r="I527" s="41">
        <f t="shared" si="103"/>
        <v>0</v>
      </c>
      <c r="J527" s="41">
        <f t="shared" si="104"/>
        <v>0</v>
      </c>
      <c r="K527" s="41">
        <f t="shared" si="105"/>
        <v>0</v>
      </c>
      <c r="L527" s="41">
        <f t="shared" si="106"/>
        <v>0</v>
      </c>
      <c r="M527" s="41">
        <f t="shared" si="107"/>
        <v>0</v>
      </c>
      <c r="U527" s="7"/>
      <c r="V527" s="7"/>
    </row>
    <row r="528" spans="8:22" hidden="1" x14ac:dyDescent="0.25">
      <c r="H528" s="41">
        <f t="shared" si="102"/>
        <v>0</v>
      </c>
      <c r="I528" s="41">
        <f t="shared" si="103"/>
        <v>0</v>
      </c>
      <c r="J528" s="41">
        <f t="shared" si="104"/>
        <v>0</v>
      </c>
      <c r="K528" s="41">
        <f t="shared" si="105"/>
        <v>0</v>
      </c>
      <c r="L528" s="41">
        <f t="shared" si="106"/>
        <v>0</v>
      </c>
      <c r="M528" s="41">
        <f t="shared" si="107"/>
        <v>0</v>
      </c>
      <c r="U528" s="7"/>
      <c r="V528" s="7"/>
    </row>
    <row r="529" spans="8:22" hidden="1" x14ac:dyDescent="0.25">
      <c r="H529" s="41">
        <f t="shared" si="102"/>
        <v>0</v>
      </c>
      <c r="I529" s="41">
        <f t="shared" si="103"/>
        <v>0</v>
      </c>
      <c r="J529" s="41">
        <f t="shared" si="104"/>
        <v>0</v>
      </c>
      <c r="K529" s="41">
        <f t="shared" si="105"/>
        <v>0</v>
      </c>
      <c r="L529" s="41">
        <f t="shared" si="106"/>
        <v>0</v>
      </c>
      <c r="M529" s="41">
        <f t="shared" si="107"/>
        <v>0</v>
      </c>
      <c r="U529" s="7"/>
      <c r="V529" s="7"/>
    </row>
    <row r="530" spans="8:22" hidden="1" x14ac:dyDescent="0.25">
      <c r="H530" s="41">
        <f t="shared" si="102"/>
        <v>0</v>
      </c>
      <c r="I530" s="41">
        <f t="shared" si="103"/>
        <v>0</v>
      </c>
      <c r="J530" s="41">
        <f t="shared" si="104"/>
        <v>0</v>
      </c>
      <c r="K530" s="41">
        <f t="shared" si="105"/>
        <v>0</v>
      </c>
      <c r="L530" s="41">
        <f t="shared" si="106"/>
        <v>0</v>
      </c>
      <c r="M530" s="41">
        <f t="shared" si="107"/>
        <v>0</v>
      </c>
      <c r="U530" s="7"/>
      <c r="V530" s="7"/>
    </row>
    <row r="531" spans="8:22" hidden="1" x14ac:dyDescent="0.25">
      <c r="H531" s="41">
        <f t="shared" si="102"/>
        <v>0</v>
      </c>
      <c r="I531" s="41">
        <f t="shared" si="103"/>
        <v>0</v>
      </c>
      <c r="J531" s="41">
        <f t="shared" si="104"/>
        <v>0</v>
      </c>
      <c r="K531" s="41">
        <f t="shared" si="105"/>
        <v>0</v>
      </c>
      <c r="L531" s="41">
        <f t="shared" si="106"/>
        <v>0</v>
      </c>
      <c r="M531" s="41">
        <f t="shared" si="107"/>
        <v>0</v>
      </c>
      <c r="U531" s="7"/>
      <c r="V531" s="7"/>
    </row>
    <row r="532" spans="8:22" hidden="1" x14ac:dyDescent="0.25">
      <c r="H532" s="41">
        <f t="shared" si="102"/>
        <v>0</v>
      </c>
      <c r="I532" s="41">
        <f t="shared" si="103"/>
        <v>0</v>
      </c>
      <c r="J532" s="41">
        <f t="shared" si="104"/>
        <v>0</v>
      </c>
      <c r="K532" s="41">
        <f t="shared" si="105"/>
        <v>0</v>
      </c>
      <c r="L532" s="41">
        <f t="shared" si="106"/>
        <v>0</v>
      </c>
      <c r="M532" s="41">
        <f t="shared" si="107"/>
        <v>0</v>
      </c>
      <c r="U532" s="7"/>
      <c r="V532" s="7"/>
    </row>
    <row r="533" spans="8:22" hidden="1" x14ac:dyDescent="0.25">
      <c r="H533" s="41">
        <f t="shared" si="102"/>
        <v>0</v>
      </c>
      <c r="I533" s="41">
        <f t="shared" si="103"/>
        <v>0</v>
      </c>
      <c r="J533" s="41">
        <f t="shared" si="104"/>
        <v>0</v>
      </c>
      <c r="K533" s="41">
        <f t="shared" si="105"/>
        <v>0</v>
      </c>
      <c r="L533" s="41">
        <f t="shared" si="106"/>
        <v>0</v>
      </c>
      <c r="M533" s="41">
        <f t="shared" si="107"/>
        <v>0</v>
      </c>
      <c r="U533" s="7"/>
      <c r="V533" s="7"/>
    </row>
    <row r="534" spans="8:22" hidden="1" x14ac:dyDescent="0.25">
      <c r="H534" s="41">
        <f t="shared" si="102"/>
        <v>0</v>
      </c>
      <c r="I534" s="41">
        <f t="shared" si="103"/>
        <v>0</v>
      </c>
      <c r="J534" s="41">
        <f t="shared" si="104"/>
        <v>0</v>
      </c>
      <c r="K534" s="41">
        <f t="shared" si="105"/>
        <v>0</v>
      </c>
      <c r="L534" s="41">
        <f t="shared" si="106"/>
        <v>0</v>
      </c>
      <c r="M534" s="41">
        <f t="shared" si="107"/>
        <v>0</v>
      </c>
      <c r="U534" s="7"/>
      <c r="V534" s="7"/>
    </row>
    <row r="535" spans="8:22" hidden="1" x14ac:dyDescent="0.25">
      <c r="H535" s="41">
        <f t="shared" si="102"/>
        <v>0</v>
      </c>
      <c r="I535" s="41">
        <f t="shared" si="103"/>
        <v>0</v>
      </c>
      <c r="J535" s="41">
        <f t="shared" si="104"/>
        <v>0</v>
      </c>
      <c r="K535" s="41">
        <f t="shared" si="105"/>
        <v>0</v>
      </c>
      <c r="L535" s="41">
        <f t="shared" si="106"/>
        <v>0</v>
      </c>
      <c r="M535" s="41">
        <f t="shared" si="107"/>
        <v>0</v>
      </c>
      <c r="U535" s="7"/>
      <c r="V535" s="7"/>
    </row>
    <row r="536" spans="8:22" hidden="1" x14ac:dyDescent="0.25">
      <c r="H536" s="41">
        <f t="shared" si="102"/>
        <v>0</v>
      </c>
      <c r="I536" s="41">
        <f t="shared" si="103"/>
        <v>0</v>
      </c>
      <c r="J536" s="41">
        <f t="shared" si="104"/>
        <v>0</v>
      </c>
      <c r="K536" s="41">
        <f t="shared" si="105"/>
        <v>0</v>
      </c>
      <c r="L536" s="41">
        <f t="shared" si="106"/>
        <v>0</v>
      </c>
      <c r="M536" s="41">
        <f t="shared" si="107"/>
        <v>0</v>
      </c>
      <c r="U536" s="7"/>
      <c r="V536" s="7"/>
    </row>
    <row r="537" spans="8:22" hidden="1" x14ac:dyDescent="0.25">
      <c r="H537" s="41">
        <f t="shared" si="102"/>
        <v>0</v>
      </c>
      <c r="I537" s="41">
        <f t="shared" si="103"/>
        <v>0</v>
      </c>
      <c r="J537" s="41">
        <f t="shared" si="104"/>
        <v>0</v>
      </c>
      <c r="K537" s="41">
        <f t="shared" si="105"/>
        <v>0</v>
      </c>
      <c r="L537" s="41">
        <f t="shared" si="106"/>
        <v>0</v>
      </c>
      <c r="M537" s="41">
        <f t="shared" si="107"/>
        <v>0</v>
      </c>
      <c r="U537" s="7"/>
      <c r="V537" s="7"/>
    </row>
    <row r="538" spans="8:22" hidden="1" x14ac:dyDescent="0.25">
      <c r="H538" s="41">
        <f t="shared" si="102"/>
        <v>0</v>
      </c>
      <c r="I538" s="41">
        <f t="shared" si="103"/>
        <v>0</v>
      </c>
      <c r="J538" s="41">
        <f t="shared" si="104"/>
        <v>0</v>
      </c>
      <c r="K538" s="41">
        <f t="shared" si="105"/>
        <v>0</v>
      </c>
      <c r="L538" s="41">
        <f t="shared" si="106"/>
        <v>0</v>
      </c>
      <c r="M538" s="41">
        <f t="shared" si="107"/>
        <v>0</v>
      </c>
      <c r="U538" s="7"/>
      <c r="V538" s="7"/>
    </row>
    <row r="539" spans="8:22" hidden="1" x14ac:dyDescent="0.25">
      <c r="H539" s="41">
        <f t="shared" si="102"/>
        <v>0</v>
      </c>
      <c r="I539" s="41">
        <f t="shared" si="103"/>
        <v>0</v>
      </c>
      <c r="J539" s="41">
        <f t="shared" si="104"/>
        <v>0</v>
      </c>
      <c r="K539" s="41">
        <f t="shared" si="105"/>
        <v>0</v>
      </c>
      <c r="L539" s="41">
        <f t="shared" si="106"/>
        <v>0</v>
      </c>
      <c r="M539" s="41">
        <f t="shared" si="107"/>
        <v>0</v>
      </c>
      <c r="U539" s="7"/>
      <c r="V539" s="7"/>
    </row>
    <row r="540" spans="8:22" hidden="1" x14ac:dyDescent="0.25">
      <c r="H540" s="41">
        <f t="shared" si="102"/>
        <v>0</v>
      </c>
      <c r="I540" s="41">
        <f t="shared" si="103"/>
        <v>0</v>
      </c>
      <c r="J540" s="41">
        <f t="shared" si="104"/>
        <v>0</v>
      </c>
      <c r="K540" s="41">
        <f t="shared" si="105"/>
        <v>0</v>
      </c>
      <c r="L540" s="41">
        <f t="shared" si="106"/>
        <v>0</v>
      </c>
      <c r="M540" s="41">
        <f t="shared" si="107"/>
        <v>0</v>
      </c>
      <c r="U540" s="7"/>
      <c r="V540" s="7"/>
    </row>
    <row r="541" spans="8:22" hidden="1" x14ac:dyDescent="0.25">
      <c r="H541" s="41">
        <f t="shared" si="102"/>
        <v>0</v>
      </c>
      <c r="I541" s="41">
        <f t="shared" si="103"/>
        <v>0</v>
      </c>
      <c r="J541" s="41">
        <f t="shared" si="104"/>
        <v>0</v>
      </c>
      <c r="K541" s="41">
        <f t="shared" si="105"/>
        <v>0</v>
      </c>
      <c r="L541" s="41">
        <f t="shared" si="106"/>
        <v>0</v>
      </c>
      <c r="M541" s="41">
        <f t="shared" si="107"/>
        <v>0</v>
      </c>
      <c r="U541" s="7"/>
      <c r="V541" s="7"/>
    </row>
    <row r="542" spans="8:22" hidden="1" x14ac:dyDescent="0.25">
      <c r="H542" s="41">
        <f t="shared" si="102"/>
        <v>0</v>
      </c>
      <c r="I542" s="41">
        <f t="shared" si="103"/>
        <v>0</v>
      </c>
      <c r="J542" s="41">
        <f t="shared" si="104"/>
        <v>0</v>
      </c>
      <c r="K542" s="41">
        <f t="shared" si="105"/>
        <v>0</v>
      </c>
      <c r="L542" s="41">
        <f t="shared" si="106"/>
        <v>0</v>
      </c>
      <c r="M542" s="41">
        <f t="shared" si="107"/>
        <v>0</v>
      </c>
      <c r="U542" s="7"/>
      <c r="V542" s="7"/>
    </row>
    <row r="543" spans="8:22" hidden="1" x14ac:dyDescent="0.25">
      <c r="H543" s="41">
        <f t="shared" si="102"/>
        <v>0</v>
      </c>
      <c r="I543" s="41">
        <f t="shared" si="103"/>
        <v>0</v>
      </c>
      <c r="J543" s="41">
        <f t="shared" si="104"/>
        <v>0</v>
      </c>
      <c r="K543" s="41">
        <f t="shared" si="105"/>
        <v>0</v>
      </c>
      <c r="L543" s="41">
        <f t="shared" si="106"/>
        <v>0</v>
      </c>
      <c r="M543" s="41">
        <f t="shared" si="107"/>
        <v>0</v>
      </c>
      <c r="U543" s="7"/>
      <c r="V543" s="7"/>
    </row>
    <row r="544" spans="8:22" hidden="1" x14ac:dyDescent="0.25">
      <c r="H544" s="41">
        <f t="shared" si="102"/>
        <v>0</v>
      </c>
      <c r="I544" s="41">
        <f t="shared" si="103"/>
        <v>0</v>
      </c>
      <c r="J544" s="41">
        <f t="shared" si="104"/>
        <v>0</v>
      </c>
      <c r="K544" s="41">
        <f t="shared" si="105"/>
        <v>0</v>
      </c>
      <c r="L544" s="41">
        <f t="shared" si="106"/>
        <v>0</v>
      </c>
      <c r="M544" s="41">
        <f t="shared" si="107"/>
        <v>0</v>
      </c>
      <c r="U544" s="7"/>
      <c r="V544" s="7"/>
    </row>
    <row r="545" spans="8:22" hidden="1" x14ac:dyDescent="0.25">
      <c r="H545" s="41">
        <f t="shared" si="102"/>
        <v>0</v>
      </c>
      <c r="I545" s="41">
        <f t="shared" si="103"/>
        <v>0</v>
      </c>
      <c r="J545" s="41">
        <f t="shared" si="104"/>
        <v>0</v>
      </c>
      <c r="K545" s="41">
        <f t="shared" si="105"/>
        <v>0</v>
      </c>
      <c r="L545" s="41">
        <f t="shared" si="106"/>
        <v>0</v>
      </c>
      <c r="M545" s="41">
        <f t="shared" si="107"/>
        <v>0</v>
      </c>
      <c r="U545" s="7"/>
      <c r="V545" s="7"/>
    </row>
    <row r="546" spans="8:22" hidden="1" x14ac:dyDescent="0.25">
      <c r="H546" s="41">
        <f t="shared" ref="H546:H564" si="108">BL34</f>
        <v>0</v>
      </c>
      <c r="I546" s="41">
        <f t="shared" ref="I546:I564" si="109">BM34</f>
        <v>0</v>
      </c>
      <c r="J546" s="41">
        <f t="shared" ref="J546:J564" si="110">BN34</f>
        <v>0</v>
      </c>
      <c r="K546" s="41">
        <f t="shared" ref="K546:K564" si="111">BO34</f>
        <v>0</v>
      </c>
      <c r="L546" s="41">
        <f t="shared" ref="L546:L564" si="112">BP34</f>
        <v>0</v>
      </c>
      <c r="M546" s="41">
        <f t="shared" ref="M546:M564" si="113">BQ34</f>
        <v>0</v>
      </c>
      <c r="U546" s="7"/>
      <c r="V546" s="7"/>
    </row>
    <row r="547" spans="8:22" hidden="1" x14ac:dyDescent="0.25">
      <c r="H547" s="41">
        <f t="shared" si="108"/>
        <v>0</v>
      </c>
      <c r="I547" s="41">
        <f t="shared" si="109"/>
        <v>0</v>
      </c>
      <c r="J547" s="41">
        <f t="shared" si="110"/>
        <v>0</v>
      </c>
      <c r="K547" s="41">
        <f t="shared" si="111"/>
        <v>0</v>
      </c>
      <c r="L547" s="41">
        <f t="shared" si="112"/>
        <v>0</v>
      </c>
      <c r="M547" s="41">
        <f t="shared" si="113"/>
        <v>0</v>
      </c>
      <c r="U547" s="7"/>
      <c r="V547" s="7"/>
    </row>
    <row r="548" spans="8:22" hidden="1" x14ac:dyDescent="0.25">
      <c r="H548" s="41">
        <f t="shared" si="108"/>
        <v>0</v>
      </c>
      <c r="I548" s="41">
        <f t="shared" si="109"/>
        <v>0</v>
      </c>
      <c r="J548" s="41">
        <f t="shared" si="110"/>
        <v>0</v>
      </c>
      <c r="K548" s="41">
        <f t="shared" si="111"/>
        <v>0</v>
      </c>
      <c r="L548" s="41">
        <f t="shared" si="112"/>
        <v>0</v>
      </c>
      <c r="M548" s="41">
        <f t="shared" si="113"/>
        <v>0</v>
      </c>
      <c r="U548" s="7"/>
      <c r="V548" s="7"/>
    </row>
    <row r="549" spans="8:22" hidden="1" x14ac:dyDescent="0.25">
      <c r="H549" s="41">
        <f t="shared" si="108"/>
        <v>0</v>
      </c>
      <c r="I549" s="41">
        <f t="shared" si="109"/>
        <v>0</v>
      </c>
      <c r="J549" s="41">
        <f t="shared" si="110"/>
        <v>0</v>
      </c>
      <c r="K549" s="41">
        <f t="shared" si="111"/>
        <v>0</v>
      </c>
      <c r="L549" s="41">
        <f t="shared" si="112"/>
        <v>0</v>
      </c>
      <c r="M549" s="41">
        <f t="shared" si="113"/>
        <v>0</v>
      </c>
      <c r="U549" s="7"/>
      <c r="V549" s="7"/>
    </row>
    <row r="550" spans="8:22" hidden="1" x14ac:dyDescent="0.25">
      <c r="H550" s="41">
        <f t="shared" si="108"/>
        <v>0</v>
      </c>
      <c r="I550" s="41">
        <f t="shared" si="109"/>
        <v>0</v>
      </c>
      <c r="J550" s="41">
        <f t="shared" si="110"/>
        <v>0</v>
      </c>
      <c r="K550" s="41">
        <f t="shared" si="111"/>
        <v>0</v>
      </c>
      <c r="L550" s="41">
        <f t="shared" si="112"/>
        <v>0</v>
      </c>
      <c r="M550" s="41">
        <f t="shared" si="113"/>
        <v>0</v>
      </c>
      <c r="U550" s="7"/>
      <c r="V550" s="7"/>
    </row>
    <row r="551" spans="8:22" hidden="1" x14ac:dyDescent="0.25">
      <c r="H551" s="41">
        <f t="shared" si="108"/>
        <v>0</v>
      </c>
      <c r="I551" s="41">
        <f t="shared" si="109"/>
        <v>0</v>
      </c>
      <c r="J551" s="41">
        <f t="shared" si="110"/>
        <v>0</v>
      </c>
      <c r="K551" s="41">
        <f t="shared" si="111"/>
        <v>0</v>
      </c>
      <c r="L551" s="41">
        <f t="shared" si="112"/>
        <v>0</v>
      </c>
      <c r="M551" s="41">
        <f t="shared" si="113"/>
        <v>0</v>
      </c>
      <c r="U551" s="7"/>
      <c r="V551" s="7"/>
    </row>
    <row r="552" spans="8:22" hidden="1" x14ac:dyDescent="0.25">
      <c r="H552" s="41">
        <f t="shared" si="108"/>
        <v>0</v>
      </c>
      <c r="I552" s="41">
        <f t="shared" si="109"/>
        <v>0</v>
      </c>
      <c r="J552" s="41">
        <f t="shared" si="110"/>
        <v>0</v>
      </c>
      <c r="K552" s="41">
        <f t="shared" si="111"/>
        <v>0</v>
      </c>
      <c r="L552" s="41">
        <f t="shared" si="112"/>
        <v>0</v>
      </c>
      <c r="M552" s="41">
        <f t="shared" si="113"/>
        <v>0</v>
      </c>
      <c r="U552" s="7"/>
      <c r="V552" s="7"/>
    </row>
    <row r="553" spans="8:22" hidden="1" x14ac:dyDescent="0.25">
      <c r="H553" s="41">
        <f t="shared" si="108"/>
        <v>0</v>
      </c>
      <c r="I553" s="41">
        <f t="shared" si="109"/>
        <v>0</v>
      </c>
      <c r="J553" s="41">
        <f t="shared" si="110"/>
        <v>0</v>
      </c>
      <c r="K553" s="41">
        <f t="shared" si="111"/>
        <v>0</v>
      </c>
      <c r="L553" s="41">
        <f t="shared" si="112"/>
        <v>0</v>
      </c>
      <c r="M553" s="41">
        <f t="shared" si="113"/>
        <v>0</v>
      </c>
      <c r="U553" s="7"/>
      <c r="V553" s="7"/>
    </row>
    <row r="554" spans="8:22" hidden="1" x14ac:dyDescent="0.25">
      <c r="H554" s="41">
        <f t="shared" si="108"/>
        <v>0</v>
      </c>
      <c r="I554" s="41">
        <f t="shared" si="109"/>
        <v>0</v>
      </c>
      <c r="J554" s="41">
        <f t="shared" si="110"/>
        <v>0</v>
      </c>
      <c r="K554" s="41">
        <f t="shared" si="111"/>
        <v>0</v>
      </c>
      <c r="L554" s="41">
        <f t="shared" si="112"/>
        <v>0</v>
      </c>
      <c r="M554" s="41">
        <f t="shared" si="113"/>
        <v>0</v>
      </c>
      <c r="U554" s="7"/>
      <c r="V554" s="7"/>
    </row>
    <row r="555" spans="8:22" hidden="1" x14ac:dyDescent="0.25">
      <c r="H555" s="41">
        <f t="shared" si="108"/>
        <v>0</v>
      </c>
      <c r="I555" s="41">
        <f t="shared" si="109"/>
        <v>0</v>
      </c>
      <c r="J555" s="41">
        <f t="shared" si="110"/>
        <v>0</v>
      </c>
      <c r="K555" s="41">
        <f t="shared" si="111"/>
        <v>0</v>
      </c>
      <c r="L555" s="41">
        <f t="shared" si="112"/>
        <v>0</v>
      </c>
      <c r="M555" s="41">
        <f t="shared" si="113"/>
        <v>0</v>
      </c>
      <c r="U555" s="7"/>
      <c r="V555" s="7"/>
    </row>
    <row r="556" spans="8:22" hidden="1" x14ac:dyDescent="0.25">
      <c r="H556" s="41">
        <f t="shared" si="108"/>
        <v>0</v>
      </c>
      <c r="I556" s="41">
        <f t="shared" si="109"/>
        <v>0</v>
      </c>
      <c r="J556" s="41">
        <f t="shared" si="110"/>
        <v>0</v>
      </c>
      <c r="K556" s="41">
        <f t="shared" si="111"/>
        <v>0</v>
      </c>
      <c r="L556" s="41">
        <f t="shared" si="112"/>
        <v>0</v>
      </c>
      <c r="M556" s="41">
        <f t="shared" si="113"/>
        <v>0</v>
      </c>
      <c r="U556" s="7"/>
      <c r="V556" s="7"/>
    </row>
    <row r="557" spans="8:22" hidden="1" x14ac:dyDescent="0.25">
      <c r="H557" s="41">
        <f t="shared" si="108"/>
        <v>0</v>
      </c>
      <c r="I557" s="41">
        <f t="shared" si="109"/>
        <v>0</v>
      </c>
      <c r="J557" s="41">
        <f t="shared" si="110"/>
        <v>0</v>
      </c>
      <c r="K557" s="41">
        <f t="shared" si="111"/>
        <v>0</v>
      </c>
      <c r="L557" s="41">
        <f t="shared" si="112"/>
        <v>0</v>
      </c>
      <c r="M557" s="41">
        <f t="shared" si="113"/>
        <v>0</v>
      </c>
      <c r="U557" s="7"/>
      <c r="V557" s="7"/>
    </row>
    <row r="558" spans="8:22" hidden="1" x14ac:dyDescent="0.25">
      <c r="H558" s="41">
        <f t="shared" si="108"/>
        <v>0</v>
      </c>
      <c r="I558" s="41">
        <f t="shared" si="109"/>
        <v>0</v>
      </c>
      <c r="J558" s="41">
        <f t="shared" si="110"/>
        <v>0</v>
      </c>
      <c r="K558" s="41">
        <f t="shared" si="111"/>
        <v>0</v>
      </c>
      <c r="L558" s="41">
        <f t="shared" si="112"/>
        <v>0</v>
      </c>
      <c r="M558" s="41">
        <f t="shared" si="113"/>
        <v>0</v>
      </c>
      <c r="U558" s="7"/>
      <c r="V558" s="7"/>
    </row>
    <row r="559" spans="8:22" hidden="1" x14ac:dyDescent="0.25">
      <c r="H559" s="41">
        <f t="shared" si="108"/>
        <v>0</v>
      </c>
      <c r="I559" s="41">
        <f t="shared" si="109"/>
        <v>0</v>
      </c>
      <c r="J559" s="41">
        <f t="shared" si="110"/>
        <v>0</v>
      </c>
      <c r="K559" s="41">
        <f t="shared" si="111"/>
        <v>0</v>
      </c>
      <c r="L559" s="41">
        <f t="shared" si="112"/>
        <v>0</v>
      </c>
      <c r="M559" s="41">
        <f t="shared" si="113"/>
        <v>0</v>
      </c>
      <c r="U559" s="7"/>
      <c r="V559" s="7"/>
    </row>
    <row r="560" spans="8:22" hidden="1" x14ac:dyDescent="0.25">
      <c r="H560" s="41">
        <f t="shared" si="108"/>
        <v>0</v>
      </c>
      <c r="I560" s="41">
        <f t="shared" si="109"/>
        <v>0</v>
      </c>
      <c r="J560" s="41">
        <f t="shared" si="110"/>
        <v>0</v>
      </c>
      <c r="K560" s="41">
        <f t="shared" si="111"/>
        <v>0</v>
      </c>
      <c r="L560" s="41">
        <f t="shared" si="112"/>
        <v>0</v>
      </c>
      <c r="M560" s="41">
        <f t="shared" si="113"/>
        <v>0</v>
      </c>
      <c r="U560" s="7"/>
      <c r="V560" s="7"/>
    </row>
    <row r="561" spans="1:33" hidden="1" x14ac:dyDescent="0.25">
      <c r="H561" s="41">
        <f t="shared" si="108"/>
        <v>0</v>
      </c>
      <c r="I561" s="41">
        <f t="shared" si="109"/>
        <v>0</v>
      </c>
      <c r="J561" s="41">
        <f t="shared" si="110"/>
        <v>0</v>
      </c>
      <c r="K561" s="41">
        <f t="shared" si="111"/>
        <v>0</v>
      </c>
      <c r="L561" s="41">
        <f t="shared" si="112"/>
        <v>0</v>
      </c>
      <c r="M561" s="41">
        <f t="shared" si="113"/>
        <v>0</v>
      </c>
      <c r="U561" s="7"/>
      <c r="V561" s="7"/>
    </row>
    <row r="562" spans="1:33" hidden="1" x14ac:dyDescent="0.25">
      <c r="H562" s="41">
        <f t="shared" si="108"/>
        <v>0</v>
      </c>
      <c r="I562" s="41">
        <f t="shared" si="109"/>
        <v>0</v>
      </c>
      <c r="J562" s="41">
        <f t="shared" si="110"/>
        <v>0</v>
      </c>
      <c r="K562" s="41">
        <f t="shared" si="111"/>
        <v>0</v>
      </c>
      <c r="L562" s="41">
        <f t="shared" si="112"/>
        <v>0</v>
      </c>
      <c r="M562" s="41">
        <f t="shared" si="113"/>
        <v>0</v>
      </c>
      <c r="U562" s="7"/>
      <c r="V562" s="7"/>
    </row>
    <row r="563" spans="1:33" hidden="1" x14ac:dyDescent="0.25">
      <c r="H563" s="41">
        <f t="shared" si="108"/>
        <v>0</v>
      </c>
      <c r="I563" s="41">
        <f t="shared" si="109"/>
        <v>0</v>
      </c>
      <c r="J563" s="41">
        <f t="shared" si="110"/>
        <v>0</v>
      </c>
      <c r="K563" s="41">
        <f t="shared" si="111"/>
        <v>0</v>
      </c>
      <c r="L563" s="41">
        <f t="shared" si="112"/>
        <v>0</v>
      </c>
      <c r="M563" s="41">
        <f t="shared" si="113"/>
        <v>0</v>
      </c>
      <c r="U563" s="7"/>
      <c r="V563" s="7"/>
    </row>
    <row r="564" spans="1:33" hidden="1" x14ac:dyDescent="0.25">
      <c r="H564" s="41">
        <f t="shared" si="108"/>
        <v>0</v>
      </c>
      <c r="I564" s="41">
        <f t="shared" si="109"/>
        <v>0</v>
      </c>
      <c r="J564" s="41">
        <f t="shared" si="110"/>
        <v>0</v>
      </c>
      <c r="K564" s="41">
        <f t="shared" si="111"/>
        <v>0</v>
      </c>
      <c r="L564" s="41">
        <f t="shared" si="112"/>
        <v>0</v>
      </c>
      <c r="M564" s="41">
        <f t="shared" si="113"/>
        <v>0</v>
      </c>
      <c r="U564" s="7"/>
      <c r="V564" s="7"/>
    </row>
    <row r="565" spans="1:33" ht="15.75" thickBot="1" x14ac:dyDescent="0.3">
      <c r="T565" s="195" t="s">
        <v>83</v>
      </c>
      <c r="U565" s="196"/>
      <c r="V565" s="197">
        <v>0.4458333333333333</v>
      </c>
      <c r="W565" s="198"/>
      <c r="X565" s="198"/>
    </row>
    <row r="566" spans="1:33" ht="19.5" thickBot="1" x14ac:dyDescent="0.35">
      <c r="A566" s="199" t="s">
        <v>248</v>
      </c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  <c r="AB566" s="200"/>
      <c r="AC566" s="200"/>
      <c r="AD566" s="200"/>
      <c r="AE566" s="200"/>
      <c r="AF566" s="200"/>
      <c r="AG566" s="201"/>
    </row>
    <row r="567" spans="1:33" x14ac:dyDescent="0.25">
      <c r="A567" s="190" t="s">
        <v>31</v>
      </c>
      <c r="B567" s="191" t="s">
        <v>22</v>
      </c>
      <c r="C567" s="192"/>
      <c r="D567" s="192"/>
      <c r="E567" s="192"/>
      <c r="F567" s="193"/>
      <c r="G567" s="191" t="s">
        <v>20</v>
      </c>
      <c r="H567" s="192"/>
      <c r="I567" s="192"/>
      <c r="J567" s="192"/>
      <c r="K567" s="193"/>
      <c r="L567" s="191" t="s">
        <v>34</v>
      </c>
      <c r="M567" s="192"/>
      <c r="N567" s="192"/>
      <c r="O567" s="192"/>
      <c r="P567" s="193"/>
      <c r="Q567" s="191" t="s">
        <v>127</v>
      </c>
      <c r="R567" s="192"/>
      <c r="S567" s="192"/>
      <c r="T567" s="192"/>
      <c r="U567" s="193"/>
      <c r="V567" s="191" t="s">
        <v>129</v>
      </c>
      <c r="W567" s="192"/>
      <c r="X567" s="192"/>
      <c r="Y567" s="192"/>
      <c r="Z567" s="193"/>
      <c r="AA567" s="191" t="s">
        <v>26</v>
      </c>
      <c r="AB567" s="192"/>
      <c r="AC567" s="192"/>
      <c r="AD567" s="192"/>
      <c r="AE567" s="193"/>
      <c r="AF567" s="194" t="s">
        <v>24</v>
      </c>
      <c r="AG567" s="194" t="s">
        <v>86</v>
      </c>
    </row>
    <row r="568" spans="1:33" ht="15.75" thickBot="1" x14ac:dyDescent="0.3">
      <c r="A568" s="124"/>
      <c r="B568" s="9" t="s">
        <v>32</v>
      </c>
      <c r="C568" s="12" t="s">
        <v>17</v>
      </c>
      <c r="D568" s="12" t="s">
        <v>19</v>
      </c>
      <c r="E568" s="12" t="s">
        <v>33</v>
      </c>
      <c r="F568" s="14" t="s">
        <v>80</v>
      </c>
      <c r="G568" s="9" t="s">
        <v>32</v>
      </c>
      <c r="H568" s="12" t="s">
        <v>17</v>
      </c>
      <c r="I568" s="12" t="s">
        <v>19</v>
      </c>
      <c r="J568" s="12" t="s">
        <v>33</v>
      </c>
      <c r="K568" s="14" t="s">
        <v>80</v>
      </c>
      <c r="L568" s="9" t="s">
        <v>32</v>
      </c>
      <c r="M568" s="12" t="s">
        <v>17</v>
      </c>
      <c r="N568" s="12" t="s">
        <v>19</v>
      </c>
      <c r="O568" s="12" t="s">
        <v>33</v>
      </c>
      <c r="P568" s="14" t="s">
        <v>80</v>
      </c>
      <c r="Q568" s="9" t="s">
        <v>32</v>
      </c>
      <c r="R568" s="12" t="s">
        <v>17</v>
      </c>
      <c r="S568" s="12" t="s">
        <v>19</v>
      </c>
      <c r="T568" s="12" t="s">
        <v>33</v>
      </c>
      <c r="U568" s="14" t="s">
        <v>80</v>
      </c>
      <c r="V568" s="9" t="s">
        <v>32</v>
      </c>
      <c r="W568" s="12" t="s">
        <v>17</v>
      </c>
      <c r="X568" s="12" t="s">
        <v>19</v>
      </c>
      <c r="Y568" s="12" t="s">
        <v>33</v>
      </c>
      <c r="Z568" s="14" t="s">
        <v>80</v>
      </c>
      <c r="AA568" s="9" t="s">
        <v>32</v>
      </c>
      <c r="AB568" s="12" t="s">
        <v>17</v>
      </c>
      <c r="AC568" s="12" t="s">
        <v>19</v>
      </c>
      <c r="AD568" s="12" t="s">
        <v>33</v>
      </c>
      <c r="AE568" s="14" t="s">
        <v>80</v>
      </c>
      <c r="AF568" s="117"/>
      <c r="AG568" s="117"/>
    </row>
    <row r="569" spans="1:33" x14ac:dyDescent="0.25">
      <c r="A569" s="16">
        <v>300</v>
      </c>
      <c r="B569" s="10">
        <f>SUMIFS($J$55:$J$564,$I$55:$I$564,$A569,$K$55:$K$564,B$568,$H$55:$H$564,"AG",$L$55:$L$564,$B$567)</f>
        <v>0</v>
      </c>
      <c r="C569" s="11">
        <f>SUMIFS($J$55:$J$564,$I$55:$I$564,$A569,$K$55:$K$564,C$568,$H$55:$H$564,"AG",$L$55:$L$564,$B$567)</f>
        <v>0</v>
      </c>
      <c r="D569" s="11">
        <f>SUMIFS($J$55:$J$564,$I$55:$I$564,$A569,$K$55:$K$564,D$568,$H$55:$H$564,"AG",$L$55:$L$564,$B$567)</f>
        <v>0</v>
      </c>
      <c r="E569" s="11">
        <f>SUMIFS($J$55:$J$564,$I$55:$I$564,$A569,$K$55:$K$564,E$568,$H$55:$H$564,"AG",$L$55:$L$564,$B$567)</f>
        <v>0</v>
      </c>
      <c r="F569" s="17">
        <f>SUMIFS($J$55:$J$564,$I$55:$I$564,$A569,$K$55:$K$564,F$568,$H$55:$H$564,"AG",$L$55:$L$564,$B$567)</f>
        <v>0</v>
      </c>
      <c r="G569" s="10">
        <f>SUMIFS($J$55:$J$564,$I$55:$I$564,$A569,$K$55:$K$564,G$568,$H$55:$H$564,"AG",$L$55:$L$564,$G$567)</f>
        <v>0</v>
      </c>
      <c r="H569" s="11">
        <f>SUMIFS($J$55:$J$564,$I$55:$I$564,$A569,$K$55:$K$564,H$568,$H$55:$H$564,"AG",$L$55:$L$564,$G$567)</f>
        <v>0</v>
      </c>
      <c r="I569" s="11">
        <f>SUMIFS($J$55:$J$564,$I$55:$I$564,$A569,$K$55:$K$564,I$568,$H$55:$H$564,"AG",$L$55:$L$564,$G$567)</f>
        <v>0</v>
      </c>
      <c r="J569" s="11">
        <f>SUMIFS($J$55:$J$564,$I$55:$I$564,$A569,$K$55:$K$564,J$568,$H$55:$H$564,"AG",$L$55:$L$564,$G$567)</f>
        <v>0</v>
      </c>
      <c r="K569" s="17">
        <f>SUMIFS($J$55:$J$564,$I$55:$I$564,$A569,$K$55:$K$564,K$568,$H$55:$H$564,"AG",$L$55:$L$564,$G$567)</f>
        <v>0</v>
      </c>
      <c r="L569" s="10">
        <f>SUMIFS($J$55:$J$564,$I$55:$I$564,$A569,$K$55:$K$564,L$568,$H$55:$H$564,"AG",$L$55:$L$564,$L$567)</f>
        <v>0</v>
      </c>
      <c r="M569" s="11">
        <f>SUMIFS($J$55:$J$564,$I$55:$I$564,$A569,$K$55:$K$564,M$568,$H$55:$H$564,"AG",$L$55:$L$564,$L$567)</f>
        <v>0</v>
      </c>
      <c r="N569" s="11">
        <f>SUMIFS($J$55:$J$564,$I$55:$I$564,$A569,$K$55:$K$564,N$568,$H$55:$H$564,"AG",$L$55:$L$564,$L$567)</f>
        <v>0</v>
      </c>
      <c r="O569" s="11">
        <f>SUMIFS($J$55:$J$564,$I$55:$I$564,$A569,$K$55:$K$564,O$568,$H$55:$H$564,"AG",$L$55:$L$564,$L$567)</f>
        <v>0</v>
      </c>
      <c r="P569" s="17">
        <f>SUMIFS($J$55:$J$564,$I$55:$I$564,$A569,$K$55:$K$564,P$568,$H$55:$H$564,"AG",$L$55:$L$564,$L$567)</f>
        <v>0</v>
      </c>
      <c r="Q569" s="10">
        <f>SUMIFS($J$55:$J$564,$I$55:$I$564,$A569,$K$55:$K$564,Q$568,$H$55:$H$564,"AG",$L$55:$L$564,$Q$567)</f>
        <v>0</v>
      </c>
      <c r="R569" s="11">
        <f>SUMIFS($J$55:$J$564,$I$55:$I$564,$A569,$K$55:$K$564,R$568,$H$55:$H$564,"AG",$L$55:$L$564,$Q$567)</f>
        <v>0</v>
      </c>
      <c r="S569" s="11">
        <f>SUMIFS($J$55:$J$564,$I$55:$I$564,$A569,$K$55:$K$564,S$568,$H$55:$H$564,"AG",$L$55:$L$564,$Q$567)</f>
        <v>0</v>
      </c>
      <c r="T569" s="11">
        <f>SUMIFS($J$55:$J$564,$I$55:$I$564,$A569,$K$55:$K$564,T$568,$H$55:$H$564,"AG",$L$55:$L$564,$Q$567)</f>
        <v>0</v>
      </c>
      <c r="U569" s="17">
        <f>SUMIFS($J$55:$J$564,$I$55:$I$564,$A569,$K$55:$K$564,U$568,$H$55:$H$564,"AG",$L$55:$L$564,$Q$567)</f>
        <v>0</v>
      </c>
      <c r="V569" s="10">
        <f>SUMIFS($J$55:$J$564,$I$55:$I$564,$A569,$K$55:$K$564,V$568,$H$55:$H$564,"AG",$L$55:$L$564,$V$567)</f>
        <v>0</v>
      </c>
      <c r="W569" s="11">
        <f>SUMIFS($J$55:$J$564,$I$55:$I$564,$A569,$K$55:$K$564,W$568,$H$55:$H$564,"AG",$L$55:$L$564,$V$567)</f>
        <v>0</v>
      </c>
      <c r="X569" s="11">
        <f>SUMIFS($J$55:$J$564,$I$55:$I$564,$A569,$K$55:$K$564,X$568,$H$55:$H$564,"AG",$L$55:$L$564,$V$567)</f>
        <v>0</v>
      </c>
      <c r="Y569" s="11">
        <f>SUMIFS($J$55:$J$564,$I$55:$I$564,$A569,$K$55:$K$564,Y$568,$H$55:$H$564,"AG",$L$55:$L$564,$V$567)</f>
        <v>0</v>
      </c>
      <c r="Z569" s="17">
        <f>SUMIFS($J$55:$J$564,$I$55:$I$564,$A569,$K$55:$K$564,Z$568,$H$55:$H$564,"AG",$L$55:$L$564,$V$567)</f>
        <v>0</v>
      </c>
      <c r="AA569" s="10">
        <f>SUMIFS($J$55:$J$564,$I$55:$I$564,$A569,$K$55:$K$564,AA$568,$H$55:$H$564,"AG",$L$55:$L$564,$AA$567)</f>
        <v>0</v>
      </c>
      <c r="AB569" s="11">
        <f>SUMIFS($J$55:$J$564,$I$55:$I$564,$A569,$K$55:$K$564,AB$568,$H$55:$H$564,"AG",$L$55:$L$564,$AA$567)</f>
        <v>0</v>
      </c>
      <c r="AC569" s="11">
        <f>SUMIFS($J$55:$J$564,$I$55:$I$564,$A569,$K$55:$K$564,AC$568,$H$55:$H$564,"AG",$L$55:$L$564,$AA$567)</f>
        <v>0</v>
      </c>
      <c r="AD569" s="11">
        <f>SUMIFS($J$55:$J$564,$I$55:$I$564,$A569,$K$55:$K$564,AD$568,$H$55:$H$564,"AG",$L$55:$L$564,$AA$567)</f>
        <v>0</v>
      </c>
      <c r="AE569" s="17">
        <f>SUMIFS($J$55:$J$564,$I$55:$I$564,$A569,$K$55:$K$564,AE$568,$H$55:$H$564,"AG",$L$55:$L$564,$AA$567)</f>
        <v>0</v>
      </c>
      <c r="AF569" s="16">
        <f>SUM(B569:AE569)*A569</f>
        <v>0</v>
      </c>
      <c r="AG569" s="16">
        <f>SUM(B569:AE569)</f>
        <v>0</v>
      </c>
    </row>
    <row r="570" spans="1:33" x14ac:dyDescent="0.25">
      <c r="A570" s="16">
        <v>500</v>
      </c>
      <c r="B570" s="10">
        <f>SUMIFS($J$55:$J$564,$I$55:$I$564,$A570,$K$55:$K$564,B$568,$H$55:$H$564,"AG",$L$55:$L$564,$B$567)</f>
        <v>0</v>
      </c>
      <c r="C570" s="11">
        <f>SUMIFS($J$55:$J$564,$I$55:$I$564,$A570,$K$55:$K$564,C$568,$H$55:$H$564,"AG",$L$55:$L$564,$B$567)</f>
        <v>0</v>
      </c>
      <c r="D570" s="11">
        <f>SUMIFS($J$55:$J$564,$I$55:$I$564,$A570,$K$55:$K$564,D$568,$H$55:$H$564,"AG",$L$55:$L$564,$B$567)</f>
        <v>0</v>
      </c>
      <c r="E570" s="11">
        <f>SUMIFS($J$55:$J$564,$I$55:$I$564,$A570,$K$55:$K$564,E$568,$H$55:$H$564,"AG",$L$55:$L$564,$B$567)</f>
        <v>0</v>
      </c>
      <c r="F570" s="17">
        <f>SUMIFS($J$55:$J$564,$I$55:$I$564,$A570,$K$55:$K$564,F$568,$H$55:$H$564,"AG",$L$55:$L$564,$B$567)</f>
        <v>0</v>
      </c>
      <c r="G570" s="10">
        <f>SUMIFS($J$55:$J$564,$I$55:$I$564,$A570,$K$55:$K$564,G$568,$H$55:$H$564,"AG",$L$55:$L$564,$G$567)</f>
        <v>0</v>
      </c>
      <c r="H570" s="11">
        <f>SUMIFS($J$55:$J$564,$I$55:$I$564,$A570,$K$55:$K$564,H$568,$H$55:$H$564,"AG",$L$55:$L$564,$G$567)</f>
        <v>0</v>
      </c>
      <c r="I570" s="11">
        <f>SUMIFS($J$55:$J$564,$I$55:$I$564,$A570,$K$55:$K$564,I$568,$H$55:$H$564,"AG",$L$55:$L$564,$G$567)</f>
        <v>0</v>
      </c>
      <c r="J570" s="11">
        <f>SUMIFS($J$55:$J$564,$I$55:$I$564,$A570,$K$55:$K$564,J$568,$H$55:$H$564,"AG",$L$55:$L$564,$G$567)</f>
        <v>0</v>
      </c>
      <c r="K570" s="17">
        <f>SUMIFS($J$55:$J$564,$I$55:$I$564,$A570,$K$55:$K$564,K$568,$H$55:$H$564,"AG",$L$55:$L$564,$G$567)</f>
        <v>0</v>
      </c>
      <c r="L570" s="10">
        <f>SUMIFS($J$55:$J$564,$I$55:$I$564,$A570,$K$55:$K$564,L$568,$H$55:$H$564,"AG",$L$55:$L$564,$L$567)</f>
        <v>0</v>
      </c>
      <c r="M570" s="11">
        <f>SUMIFS($J$55:$J$564,$I$55:$I$564,$A570,$K$55:$K$564,M$568,$H$55:$H$564,"AG",$L$55:$L$564,$L$567)</f>
        <v>0</v>
      </c>
      <c r="N570" s="11">
        <f>SUMIFS($J$55:$J$564,$I$55:$I$564,$A570,$K$55:$K$564,N$568,$H$55:$H$564,"AG",$L$55:$L$564,$L$567)</f>
        <v>0</v>
      </c>
      <c r="O570" s="11">
        <f>SUMIFS($J$55:$J$564,$I$55:$I$564,$A570,$K$55:$K$564,O$568,$H$55:$H$564,"AG",$L$55:$L$564,$L$567)</f>
        <v>0</v>
      </c>
      <c r="P570" s="17">
        <f>SUMIFS($J$55:$J$564,$I$55:$I$564,$A570,$K$55:$K$564,P$568,$H$55:$H$564,"AG",$L$55:$L$564,$L$567)</f>
        <v>0</v>
      </c>
      <c r="Q570" s="10">
        <f>SUMIFS($J$55:$J$564,$I$55:$I$564,$A570,$K$55:$K$564,Q$568,$H$55:$H$564,"AG",$L$55:$L$564,$Q$567)</f>
        <v>0</v>
      </c>
      <c r="R570" s="11">
        <f>SUMIFS($J$55:$J$564,$I$55:$I$564,$A570,$K$55:$K$564,R$568,$H$55:$H$564,"AG",$L$55:$L$564,$Q$567)</f>
        <v>0</v>
      </c>
      <c r="S570" s="11">
        <f>SUMIFS($J$55:$J$564,$I$55:$I$564,$A570,$K$55:$K$564,S$568,$H$55:$H$564,"AG",$L$55:$L$564,$Q$567)</f>
        <v>0</v>
      </c>
      <c r="T570" s="11">
        <f>SUMIFS($J$55:$J$564,$I$55:$I$564,$A570,$K$55:$K$564,T$568,$H$55:$H$564,"AG",$L$55:$L$564,$Q$567)</f>
        <v>0</v>
      </c>
      <c r="U570" s="17">
        <f>SUMIFS($J$55:$J$564,$I$55:$I$564,$A570,$K$55:$K$564,U$568,$H$55:$H$564,"AG",$L$55:$L$564,$Q$567)</f>
        <v>0</v>
      </c>
      <c r="V570" s="10">
        <f>SUMIFS($J$55:$J$564,$I$55:$I$564,$A570,$K$55:$K$564,V$568,$H$55:$H$564,"AG",$L$55:$L$564,$V$567)</f>
        <v>0</v>
      </c>
      <c r="W570" s="11">
        <f>SUMIFS($J$55:$J$564,$I$55:$I$564,$A570,$K$55:$K$564,W$568,$H$55:$H$564,"AG",$L$55:$L$564,$V$567)</f>
        <v>0</v>
      </c>
      <c r="X570" s="11">
        <f>SUMIFS($J$55:$J$564,$I$55:$I$564,$A570,$K$55:$K$564,X$568,$H$55:$H$564,"AG",$L$55:$L$564,$V$567)</f>
        <v>0</v>
      </c>
      <c r="Y570" s="11">
        <f>SUMIFS($J$55:$J$564,$I$55:$I$564,$A570,$K$55:$K$564,Y$568,$H$55:$H$564,"AG",$L$55:$L$564,$V$567)</f>
        <v>0</v>
      </c>
      <c r="Z570" s="17">
        <f>SUMIFS($J$55:$J$564,$I$55:$I$564,$A570,$K$55:$K$564,Z$568,$H$55:$H$564,"AG",$L$55:$L$564,$V$567)</f>
        <v>0</v>
      </c>
      <c r="AA570" s="10">
        <f>SUMIFS($J$55:$J$564,$I$55:$I$564,$A570,$K$55:$K$564,AA$568,$H$55:$H$564,"AG",$L$55:$L$564,$AA$567)</f>
        <v>0</v>
      </c>
      <c r="AB570" s="11">
        <f>SUMIFS($J$55:$J$564,$I$55:$I$564,$A570,$K$55:$K$564,AB$568,$H$55:$H$564,"AG",$L$55:$L$564,$AA$567)</f>
        <v>0</v>
      </c>
      <c r="AC570" s="11">
        <f>SUMIFS($J$55:$J$564,$I$55:$I$564,$A570,$K$55:$K$564,AC$568,$H$55:$H$564,"AG",$L$55:$L$564,$AA$567)</f>
        <v>0</v>
      </c>
      <c r="AD570" s="11">
        <f>SUMIFS($J$55:$J$564,$I$55:$I$564,$A570,$K$55:$K$564,AD$568,$H$55:$H$564,"AG",$L$55:$L$564,$AA$567)</f>
        <v>0</v>
      </c>
      <c r="AE570" s="17">
        <f>SUMIFS($J$55:$J$564,$I$55:$I$564,$A570,$K$55:$K$564,AE$568,$H$55:$H$564,"AG",$L$55:$L$564,$AA$567)</f>
        <v>0</v>
      </c>
      <c r="AF570" s="16">
        <f t="shared" ref="AF570:AF577" si="114">SUM(B570:AE570)*A570</f>
        <v>0</v>
      </c>
      <c r="AG570" s="16">
        <f t="shared" ref="AG570:AG578" si="115">SUM(B570:AE570)</f>
        <v>0</v>
      </c>
    </row>
    <row r="571" spans="1:33" x14ac:dyDescent="0.25">
      <c r="A571" s="15">
        <v>750</v>
      </c>
      <c r="B571" s="8">
        <f>SUMIFS($J$55:$J$564,$I$55:$I$564,$A571,$K$55:$K$564,B$568,$H$55:$H$564,"AG",$L$55:$L$564,$B$567)</f>
        <v>0</v>
      </c>
      <c r="C571" s="6">
        <f>SUMIFS($J$55:$J$564,$I$55:$I$564,$A571,$K$55:$K$564,C$568,$H$55:$H$564,"AG",$L$55:$L$564,$B$567)</f>
        <v>0</v>
      </c>
      <c r="D571" s="6">
        <f>SUMIFS($J$55:$J$564,$I$55:$I$564,$A571,$K$55:$K$564,D$568,$H$55:$H$564,"AG",$L$55:$L$564,$B$567)</f>
        <v>0</v>
      </c>
      <c r="E571" s="6">
        <f>SUMIFS($J$55:$J$564,$I$55:$I$564,$A571,$K$55:$K$564,E$568,$H$55:$H$564,"AG",$L$55:$L$564,$B$567)</f>
        <v>0</v>
      </c>
      <c r="F571" s="13">
        <f>SUMIFS($J$55:$J$564,$I$55:$I$564,$A571,$K$55:$K$564,F$568,$H$55:$H$564,"AG",$L$55:$L$564,$B$567)</f>
        <v>0</v>
      </c>
      <c r="G571" s="8">
        <f>SUMIFS($J$55:$J$564,$I$55:$I$564,$A571,$K$55:$K$564,G$568,$H$55:$H$564,"AG",$L$55:$L$564,$G$567)</f>
        <v>0</v>
      </c>
      <c r="H571" s="6">
        <f>SUMIFS($J$55:$J$564,$I$55:$I$564,$A571,$K$55:$K$564,H$568,$H$55:$H$564,"AG",$L$55:$L$564,$G$567)</f>
        <v>0</v>
      </c>
      <c r="I571" s="6">
        <f>SUMIFS($J$55:$J$564,$I$55:$I$564,$A571,$K$55:$K$564,I$568,$H$55:$H$564,"AG",$L$55:$L$564,$G$567)</f>
        <v>0</v>
      </c>
      <c r="J571" s="6">
        <f>SUMIFS($J$55:$J$564,$I$55:$I$564,$A571,$K$55:$K$564,J$568,$H$55:$H$564,"AG",$L$55:$L$564,$G$567)</f>
        <v>0</v>
      </c>
      <c r="K571" s="13">
        <f>SUMIFS($J$55:$J$564,$I$55:$I$564,$A571,$K$55:$K$564,K$568,$H$55:$H$564,"AG",$L$55:$L$564,$G$567)</f>
        <v>0</v>
      </c>
      <c r="L571" s="8">
        <f>SUMIFS($J$55:$J$564,$I$55:$I$564,$A571,$K$55:$K$564,L$568,$H$55:$H$564,"AG",$L$55:$L$564,$L$567)</f>
        <v>0</v>
      </c>
      <c r="M571" s="6">
        <f>SUMIFS($J$55:$J$564,$I$55:$I$564,$A571,$K$55:$K$564,M$568,$H$55:$H$564,"AG",$L$55:$L$564,$L$567)</f>
        <v>0</v>
      </c>
      <c r="N571" s="6">
        <f>SUMIFS($J$55:$J$564,$I$55:$I$564,$A571,$K$55:$K$564,N$568,$H$55:$H$564,"AG",$L$55:$L$564,$L$567)</f>
        <v>0</v>
      </c>
      <c r="O571" s="6">
        <f>SUMIFS($J$55:$J$564,$I$55:$I$564,$A571,$K$55:$K$564,O$568,$H$55:$H$564,"AG",$L$55:$L$564,$L$567)</f>
        <v>0</v>
      </c>
      <c r="P571" s="13">
        <f>SUMIFS($J$55:$J$564,$I$55:$I$564,$A571,$K$55:$K$564,P$568,$H$55:$H$564,"AG",$L$55:$L$564,$L$567)</f>
        <v>0</v>
      </c>
      <c r="Q571" s="8">
        <f>SUMIFS($J$55:$J$564,$I$55:$I$564,$A571,$K$55:$K$564,Q$568,$H$55:$H$564,"AG",$L$55:$L$564,$Q$567)</f>
        <v>0</v>
      </c>
      <c r="R571" s="6">
        <f>SUMIFS($J$55:$J$564,$I$55:$I$564,$A571,$K$55:$K$564,R$568,$H$55:$H$564,"AG",$L$55:$L$564,$Q$567)</f>
        <v>0</v>
      </c>
      <c r="S571" s="6">
        <f>SUMIFS($J$55:$J$564,$I$55:$I$564,$A571,$K$55:$K$564,S$568,$H$55:$H$564,"AG",$L$55:$L$564,$Q$567)</f>
        <v>0</v>
      </c>
      <c r="T571" s="6">
        <f>SUMIFS($J$55:$J$564,$I$55:$I$564,$A571,$K$55:$K$564,T$568,$H$55:$H$564,"AG",$L$55:$L$564,$Q$567)</f>
        <v>0</v>
      </c>
      <c r="U571" s="13">
        <f>SUMIFS($J$55:$J$564,$I$55:$I$564,$A571,$K$55:$K$564,U$568,$H$55:$H$564,"AG",$L$55:$L$564,$Q$567)</f>
        <v>0</v>
      </c>
      <c r="V571" s="8">
        <f>SUMIFS($J$55:$J$564,$I$55:$I$564,$A571,$K$55:$K$564,V$568,$H$55:$H$564,"AG",$L$55:$L$564,$V$567)</f>
        <v>0</v>
      </c>
      <c r="W571" s="6">
        <f>SUMIFS($J$55:$J$564,$I$55:$I$564,$A571,$K$55:$K$564,W$568,$H$55:$H$564,"AG",$L$55:$L$564,$V$567)</f>
        <v>0</v>
      </c>
      <c r="X571" s="6">
        <f>SUMIFS($J$55:$J$564,$I$55:$I$564,$A571,$K$55:$K$564,X$568,$H$55:$H$564,"AG",$L$55:$L$564,$V$567)</f>
        <v>0</v>
      </c>
      <c r="Y571" s="6">
        <f>SUMIFS($J$55:$J$564,$I$55:$I$564,$A571,$K$55:$K$564,Y$568,$H$55:$H$564,"AG",$L$55:$L$564,$V$567)</f>
        <v>0</v>
      </c>
      <c r="Z571" s="13">
        <f>SUMIFS($J$55:$J$564,$I$55:$I$564,$A571,$K$55:$K$564,Z$568,$H$55:$H$564,"AG",$L$55:$L$564,$V$567)</f>
        <v>0</v>
      </c>
      <c r="AA571" s="8">
        <f>SUMIFS($J$55:$J$564,$I$55:$I$564,$A571,$K$55:$K$564,AA$568,$H$55:$H$564,"AG",$L$55:$L$564,$AA$567)</f>
        <v>0</v>
      </c>
      <c r="AB571" s="6">
        <f>SUMIFS($J$55:$J$564,$I$55:$I$564,$A571,$K$55:$K$564,AB$568,$H$55:$H$564,"AG",$L$55:$L$564,$AA$567)</f>
        <v>0</v>
      </c>
      <c r="AC571" s="6">
        <f>SUMIFS($J$55:$J$564,$I$55:$I$564,$A571,$K$55:$K$564,AC$568,$H$55:$H$564,"AG",$L$55:$L$564,$AA$567)</f>
        <v>0</v>
      </c>
      <c r="AD571" s="6">
        <f>SUMIFS($J$55:$J$564,$I$55:$I$564,$A571,$K$55:$K$564,AD$568,$H$55:$H$564,"AG",$L$55:$L$564,$AA$567)</f>
        <v>0</v>
      </c>
      <c r="AE571" s="13">
        <f>SUMIFS($J$55:$J$564,$I$55:$I$564,$A571,$K$55:$K$564,AE$568,$H$55:$H$564,"AG",$L$55:$L$564,$AA$567)</f>
        <v>0</v>
      </c>
      <c r="AF571" s="16">
        <f t="shared" si="114"/>
        <v>0</v>
      </c>
      <c r="AG571" s="16">
        <f t="shared" si="115"/>
        <v>0</v>
      </c>
    </row>
    <row r="572" spans="1:33" x14ac:dyDescent="0.25">
      <c r="A572" s="15">
        <v>1000</v>
      </c>
      <c r="B572" s="8">
        <f>SUMIFS($J$55:$J$564,$I$55:$I$564,$A572,$K$55:$K$564,B$568,$H$55:$H$564,"AG",$L$55:$L$564,$B$567)</f>
        <v>0</v>
      </c>
      <c r="C572" s="6">
        <f>SUMIFS($J$55:$J$564,$I$55:$I$564,$A572,$K$55:$K$564,C$568,$H$55:$H$564,"AG",$L$55:$L$564,$B$567)</f>
        <v>0</v>
      </c>
      <c r="D572" s="6">
        <f>SUMIFS($J$55:$J$564,$I$55:$I$564,$A572,$K$55:$K$564,D$568,$H$55:$H$564,"AG",$L$55:$L$564,$B$567)</f>
        <v>0</v>
      </c>
      <c r="E572" s="6">
        <f>SUMIFS($J$55:$J$564,$I$55:$I$564,$A572,$K$55:$K$564,E$568,$H$55:$H$564,"AG",$L$55:$L$564,$B$567)</f>
        <v>0</v>
      </c>
      <c r="F572" s="13">
        <f>SUMIFS($J$55:$J$564,$I$55:$I$564,$A572,$K$55:$K$564,F$568,$H$55:$H$564,"AG",$L$55:$L$564,$B$567)</f>
        <v>0</v>
      </c>
      <c r="G572" s="8">
        <f>SUMIFS($J$55:$J$564,$I$55:$I$564,$A572,$K$55:$K$564,G$568,$H$55:$H$564,"AG",$L$55:$L$564,$G$567)</f>
        <v>0</v>
      </c>
      <c r="H572" s="6">
        <f>SUMIFS($J$55:$J$564,$I$55:$I$564,$A572,$K$55:$K$564,H$568,$H$55:$H$564,"AG",$L$55:$L$564,$G$567)</f>
        <v>0</v>
      </c>
      <c r="I572" s="6">
        <f>SUMIFS($J$55:$J$564,$I$55:$I$564,$A572,$K$55:$K$564,I$568,$H$55:$H$564,"AG",$L$55:$L$564,$G$567)</f>
        <v>0</v>
      </c>
      <c r="J572" s="6">
        <f>SUMIFS($J$55:$J$564,$I$55:$I$564,$A572,$K$55:$K$564,J$568,$H$55:$H$564,"AG",$L$55:$L$564,$G$567)</f>
        <v>0</v>
      </c>
      <c r="K572" s="13">
        <f>SUMIFS($J$55:$J$564,$I$55:$I$564,$A572,$K$55:$K$564,K$568,$H$55:$H$564,"AG",$L$55:$L$564,$G$567)</f>
        <v>0</v>
      </c>
      <c r="L572" s="8">
        <f>SUMIFS($J$55:$J$564,$I$55:$I$564,$A572,$K$55:$K$564,L$568,$H$55:$H$564,"AG",$L$55:$L$564,$L$567)</f>
        <v>0</v>
      </c>
      <c r="M572" s="6">
        <f>SUMIFS($J$55:$J$564,$I$55:$I$564,$A572,$K$55:$K$564,M$568,$H$55:$H$564,"AG",$L$55:$L$564,$L$567)</f>
        <v>0</v>
      </c>
      <c r="N572" s="6">
        <f>SUMIFS($J$55:$J$564,$I$55:$I$564,$A572,$K$55:$K$564,N$568,$H$55:$H$564,"AG",$L$55:$L$564,$L$567)</f>
        <v>0</v>
      </c>
      <c r="O572" s="6">
        <f>SUMIFS($J$55:$J$564,$I$55:$I$564,$A572,$K$55:$K$564,O$568,$H$55:$H$564,"AG",$L$55:$L$564,$L$567)</f>
        <v>0</v>
      </c>
      <c r="P572" s="13">
        <f>SUMIFS($J$55:$J$564,$I$55:$I$564,$A572,$K$55:$K$564,P$568,$H$55:$H$564,"AG",$L$55:$L$564,$L$567)</f>
        <v>0</v>
      </c>
      <c r="Q572" s="8">
        <f>SUMIFS($J$55:$J$564,$I$55:$I$564,$A572,$K$55:$K$564,Q$568,$H$55:$H$564,"AG",$L$55:$L$564,$Q$567)</f>
        <v>0</v>
      </c>
      <c r="R572" s="6">
        <f>SUMIFS($J$55:$J$564,$I$55:$I$564,$A572,$K$55:$K$564,R$568,$H$55:$H$564,"AG",$L$55:$L$564,$Q$567)</f>
        <v>0</v>
      </c>
      <c r="S572" s="6">
        <f>SUMIFS($J$55:$J$564,$I$55:$I$564,$A572,$K$55:$K$564,S$568,$H$55:$H$564,"AG",$L$55:$L$564,$Q$567)</f>
        <v>0</v>
      </c>
      <c r="T572" s="6">
        <f>SUMIFS($J$55:$J$564,$I$55:$I$564,$A572,$K$55:$K$564,T$568,$H$55:$H$564,"AG",$L$55:$L$564,$Q$567)</f>
        <v>0</v>
      </c>
      <c r="U572" s="13">
        <f>SUMIFS($J$55:$J$564,$I$55:$I$564,$A572,$K$55:$K$564,U$568,$H$55:$H$564,"AG",$L$55:$L$564,$Q$567)</f>
        <v>0</v>
      </c>
      <c r="V572" s="8">
        <f>SUMIFS($J$55:$J$564,$I$55:$I$564,$A572,$K$55:$K$564,V$568,$H$55:$H$564,"AG",$L$55:$L$564,$V$567)</f>
        <v>0</v>
      </c>
      <c r="W572" s="6">
        <f>SUMIFS($J$55:$J$564,$I$55:$I$564,$A572,$K$55:$K$564,W$568,$H$55:$H$564,"AG",$L$55:$L$564,$V$567)</f>
        <v>0</v>
      </c>
      <c r="X572" s="6">
        <f>SUMIFS($J$55:$J$564,$I$55:$I$564,$A572,$K$55:$K$564,X$568,$H$55:$H$564,"AG",$L$55:$L$564,$V$567)</f>
        <v>0</v>
      </c>
      <c r="Y572" s="6">
        <f>SUMIFS($J$55:$J$564,$I$55:$I$564,$A572,$K$55:$K$564,Y$568,$H$55:$H$564,"AG",$L$55:$L$564,$V$567)</f>
        <v>0</v>
      </c>
      <c r="Z572" s="13">
        <f>SUMIFS($J$55:$J$564,$I$55:$I$564,$A572,$K$55:$K$564,Z$568,$H$55:$H$564,"AG",$L$55:$L$564,$V$567)</f>
        <v>0</v>
      </c>
      <c r="AA572" s="8">
        <f>SUMIFS($J$55:$J$564,$I$55:$I$564,$A572,$K$55:$K$564,AA$568,$H$55:$H$564,"AG",$L$55:$L$564,$AA$567)</f>
        <v>0</v>
      </c>
      <c r="AB572" s="6">
        <f>SUMIFS($J$55:$J$564,$I$55:$I$564,$A572,$K$55:$K$564,AB$568,$H$55:$H$564,"AG",$L$55:$L$564,$AA$567)</f>
        <v>0</v>
      </c>
      <c r="AC572" s="6">
        <f>SUMIFS($J$55:$J$564,$I$55:$I$564,$A572,$K$55:$K$564,AC$568,$H$55:$H$564,"AG",$L$55:$L$564,$AA$567)</f>
        <v>0</v>
      </c>
      <c r="AD572" s="6">
        <f>SUMIFS($J$55:$J$564,$I$55:$I$564,$A572,$K$55:$K$564,AD$568,$H$55:$H$564,"AG",$L$55:$L$564,$AA$567)</f>
        <v>0</v>
      </c>
      <c r="AE572" s="13">
        <f>SUMIFS($J$55:$J$564,$I$55:$I$564,$A572,$K$55:$K$564,AE$568,$H$55:$H$564,"AG",$L$55:$L$564,$AA$567)</f>
        <v>0</v>
      </c>
      <c r="AF572" s="16">
        <f t="shared" si="114"/>
        <v>0</v>
      </c>
      <c r="AG572" s="16">
        <f t="shared" si="115"/>
        <v>0</v>
      </c>
    </row>
    <row r="573" spans="1:33" x14ac:dyDescent="0.25">
      <c r="A573" s="15">
        <v>1500</v>
      </c>
      <c r="B573" s="8">
        <f>SUMIFS($J$55:$J$564,$I$55:$I$564,$A573,$K$55:$K$564,B$568,$H$55:$H$564,"AG",$L$55:$L$564,$B$567)</f>
        <v>0</v>
      </c>
      <c r="C573" s="6">
        <f>SUMIFS($J$55:$J$564,$I$55:$I$564,$A573,$K$55:$K$564,C$568,$H$55:$H$564,"AG",$L$55:$L$564,$B$567)</f>
        <v>0</v>
      </c>
      <c r="D573" s="6">
        <f>SUMIFS($J$55:$J$564,$I$55:$I$564,$A573,$K$55:$K$564,D$568,$H$55:$H$564,"AG",$L$55:$L$564,$B$567)</f>
        <v>0</v>
      </c>
      <c r="E573" s="6">
        <f>SUMIFS($J$55:$J$564,$I$55:$I$564,$A573,$K$55:$K$564,E$568,$H$55:$H$564,"AG",$L$55:$L$564,$B$567)</f>
        <v>0</v>
      </c>
      <c r="F573" s="13">
        <f>SUMIFS($J$55:$J$564,$I$55:$I$564,$A573,$K$55:$K$564,F$568,$H$55:$H$564,"AG",$L$55:$L$564,$B$567)</f>
        <v>0</v>
      </c>
      <c r="G573" s="8">
        <f>SUMIFS($J$55:$J$564,$I$55:$I$564,$A573,$K$55:$K$564,G$568,$H$55:$H$564,"AG",$L$55:$L$564,$G$567)</f>
        <v>0</v>
      </c>
      <c r="H573" s="6">
        <f>SUMIFS($J$55:$J$564,$I$55:$I$564,$A573,$K$55:$K$564,H$568,$H$55:$H$564,"AG",$L$55:$L$564,$G$567)</f>
        <v>0</v>
      </c>
      <c r="I573" s="6">
        <f>SUMIFS($J$55:$J$564,$I$55:$I$564,$A573,$K$55:$K$564,I$568,$H$55:$H$564,"AG",$L$55:$L$564,$G$567)</f>
        <v>0</v>
      </c>
      <c r="J573" s="6">
        <f>SUMIFS($J$55:$J$564,$I$55:$I$564,$A573,$K$55:$K$564,J$568,$H$55:$H$564,"AG",$L$55:$L$564,$G$567)</f>
        <v>0</v>
      </c>
      <c r="K573" s="13">
        <f>SUMIFS($J$55:$J$564,$I$55:$I$564,$A573,$K$55:$K$564,K$568,$H$55:$H$564,"AG",$L$55:$L$564,$G$567)</f>
        <v>0</v>
      </c>
      <c r="L573" s="8">
        <f>SUMIFS($J$55:$J$564,$I$55:$I$564,$A573,$K$55:$K$564,L$568,$H$55:$H$564,"AG",$L$55:$L$564,$L$567)</f>
        <v>0</v>
      </c>
      <c r="M573" s="6">
        <f>SUMIFS($J$55:$J$564,$I$55:$I$564,$A573,$K$55:$K$564,M$568,$H$55:$H$564,"AG",$L$55:$L$564,$L$567)</f>
        <v>0</v>
      </c>
      <c r="N573" s="6">
        <f>SUMIFS($J$55:$J$564,$I$55:$I$564,$A573,$K$55:$K$564,N$568,$H$55:$H$564,"AG",$L$55:$L$564,$L$567)</f>
        <v>0</v>
      </c>
      <c r="O573" s="6">
        <f>SUMIFS($J$55:$J$564,$I$55:$I$564,$A573,$K$55:$K$564,O$568,$H$55:$H$564,"AG",$L$55:$L$564,$L$567)</f>
        <v>0</v>
      </c>
      <c r="P573" s="13">
        <f>SUMIFS($J$55:$J$564,$I$55:$I$564,$A573,$K$55:$K$564,P$568,$H$55:$H$564,"AG",$L$55:$L$564,$L$567)</f>
        <v>0</v>
      </c>
      <c r="Q573" s="8">
        <f>SUMIFS($J$55:$J$564,$I$55:$I$564,$A573,$K$55:$K$564,Q$568,$H$55:$H$564,"AG",$L$55:$L$564,$Q$567)</f>
        <v>0</v>
      </c>
      <c r="R573" s="6">
        <f>SUMIFS($J$55:$J$564,$I$55:$I$564,$A573,$K$55:$K$564,R$568,$H$55:$H$564,"AG",$L$55:$L$564,$Q$567)</f>
        <v>0</v>
      </c>
      <c r="S573" s="6">
        <f>SUMIFS($J$55:$J$564,$I$55:$I$564,$A573,$K$55:$K$564,S$568,$H$55:$H$564,"AG",$L$55:$L$564,$Q$567)</f>
        <v>0</v>
      </c>
      <c r="T573" s="6">
        <f>SUMIFS($J$55:$J$564,$I$55:$I$564,$A573,$K$55:$K$564,T$568,$H$55:$H$564,"AG",$L$55:$L$564,$Q$567)</f>
        <v>0</v>
      </c>
      <c r="U573" s="13">
        <f>SUMIFS($J$55:$J$564,$I$55:$I$564,$A573,$K$55:$K$564,U$568,$H$55:$H$564,"AG",$L$55:$L$564,$Q$567)</f>
        <v>0</v>
      </c>
      <c r="V573" s="8">
        <f>SUMIFS($J$55:$J$564,$I$55:$I$564,$A573,$K$55:$K$564,V$568,$H$55:$H$564,"AG",$L$55:$L$564,$V$567)</f>
        <v>0</v>
      </c>
      <c r="W573" s="6">
        <f>SUMIFS($J$55:$J$564,$I$55:$I$564,$A573,$K$55:$K$564,W$568,$H$55:$H$564,"AG",$L$55:$L$564,$V$567)</f>
        <v>0</v>
      </c>
      <c r="X573" s="6">
        <f>SUMIFS($J$55:$J$564,$I$55:$I$564,$A573,$K$55:$K$564,X$568,$H$55:$H$564,"AG",$L$55:$L$564,$V$567)</f>
        <v>0</v>
      </c>
      <c r="Y573" s="6">
        <f>SUMIFS($J$55:$J$564,$I$55:$I$564,$A573,$K$55:$K$564,Y$568,$H$55:$H$564,"AG",$L$55:$L$564,$V$567)</f>
        <v>0</v>
      </c>
      <c r="Z573" s="13">
        <f>SUMIFS($J$55:$J$564,$I$55:$I$564,$A573,$K$55:$K$564,Z$568,$H$55:$H$564,"AG",$L$55:$L$564,$V$567)</f>
        <v>0</v>
      </c>
      <c r="AA573" s="8">
        <f>SUMIFS($J$55:$J$564,$I$55:$I$564,$A573,$K$55:$K$564,AA$568,$H$55:$H$564,"AG",$L$55:$L$564,$AA$567)</f>
        <v>0</v>
      </c>
      <c r="AB573" s="6">
        <f>SUMIFS($J$55:$J$564,$I$55:$I$564,$A573,$K$55:$K$564,AB$568,$H$55:$H$564,"AG",$L$55:$L$564,$AA$567)</f>
        <v>0</v>
      </c>
      <c r="AC573" s="6">
        <f>SUMIFS($J$55:$J$564,$I$55:$I$564,$A573,$K$55:$K$564,AC$568,$H$55:$H$564,"AG",$L$55:$L$564,$AA$567)</f>
        <v>0</v>
      </c>
      <c r="AD573" s="6">
        <f>SUMIFS($J$55:$J$564,$I$55:$I$564,$A573,$K$55:$K$564,AD$568,$H$55:$H$564,"AG",$L$55:$L$564,$AA$567)</f>
        <v>0</v>
      </c>
      <c r="AE573" s="13">
        <f>SUMIFS($J$55:$J$564,$I$55:$I$564,$A573,$K$55:$K$564,AE$568,$H$55:$H$564,"AG",$L$55:$L$564,$AA$567)</f>
        <v>0</v>
      </c>
      <c r="AF573" s="16">
        <f t="shared" si="114"/>
        <v>0</v>
      </c>
      <c r="AG573" s="16">
        <f t="shared" si="115"/>
        <v>0</v>
      </c>
    </row>
    <row r="574" spans="1:33" x14ac:dyDescent="0.25">
      <c r="A574" s="15">
        <v>2000</v>
      </c>
      <c r="B574" s="8">
        <f>SUMIFS($J$55:$J$564,$I$55:$I$564,$A574,$K$55:$K$564,B$568,$H$55:$H$564,"AG",$L$55:$L$564,$B$567)</f>
        <v>0</v>
      </c>
      <c r="C574" s="6">
        <f>SUMIFS($J$55:$J$564,$I$55:$I$564,$A574,$K$55:$K$564,C$568,$H$55:$H$564,"AG",$L$55:$L$564,$B$567)</f>
        <v>0</v>
      </c>
      <c r="D574" s="6">
        <f>SUMIFS($J$55:$J$564,$I$55:$I$564,$A574,$K$55:$K$564,D$568,$H$55:$H$564,"AG",$L$55:$L$564,$B$567)</f>
        <v>0</v>
      </c>
      <c r="E574" s="6">
        <f>SUMIFS($J$55:$J$564,$I$55:$I$564,$A574,$K$55:$K$564,E$568,$H$55:$H$564,"AG",$L$55:$L$564,$B$567)</f>
        <v>0</v>
      </c>
      <c r="F574" s="13">
        <f>SUMIFS($J$55:$J$564,$I$55:$I$564,$A574,$K$55:$K$564,F$568,$H$55:$H$564,"AG",$L$55:$L$564,$B$567)</f>
        <v>0</v>
      </c>
      <c r="G574" s="8">
        <f>SUMIFS($J$55:$J$564,$I$55:$I$564,$A574,$K$55:$K$564,G$568,$H$55:$H$564,"AG",$L$55:$L$564,$G$567)</f>
        <v>0</v>
      </c>
      <c r="H574" s="6">
        <f>SUMIFS($J$55:$J$564,$I$55:$I$564,$A574,$K$55:$K$564,H$568,$H$55:$H$564,"AG",$L$55:$L$564,$G$567)</f>
        <v>0</v>
      </c>
      <c r="I574" s="6">
        <f>SUMIFS($J$55:$J$564,$I$55:$I$564,$A574,$K$55:$K$564,I$568,$H$55:$H$564,"AG",$L$55:$L$564,$G$567)</f>
        <v>0</v>
      </c>
      <c r="J574" s="6">
        <f>SUMIFS($J$55:$J$564,$I$55:$I$564,$A574,$K$55:$K$564,J$568,$H$55:$H$564,"AG",$L$55:$L$564,$G$567)</f>
        <v>0</v>
      </c>
      <c r="K574" s="13">
        <f>SUMIFS($J$55:$J$564,$I$55:$I$564,$A574,$K$55:$K$564,K$568,$H$55:$H$564,"AG",$L$55:$L$564,$G$567)</f>
        <v>0</v>
      </c>
      <c r="L574" s="8">
        <f>SUMIFS($J$55:$J$564,$I$55:$I$564,$A574,$K$55:$K$564,L$568,$H$55:$H$564,"AG",$L$55:$L$564,$L$567)</f>
        <v>0</v>
      </c>
      <c r="M574" s="6">
        <f>SUMIFS($J$55:$J$564,$I$55:$I$564,$A574,$K$55:$K$564,M$568,$H$55:$H$564,"AG",$L$55:$L$564,$L$567)</f>
        <v>0</v>
      </c>
      <c r="N574" s="6">
        <f>SUMIFS($J$55:$J$564,$I$55:$I$564,$A574,$K$55:$K$564,N$568,$H$55:$H$564,"AG",$L$55:$L$564,$L$567)</f>
        <v>0</v>
      </c>
      <c r="O574" s="6">
        <f>SUMIFS($J$55:$J$564,$I$55:$I$564,$A574,$K$55:$K$564,O$568,$H$55:$H$564,"AG",$L$55:$L$564,$L$567)</f>
        <v>0</v>
      </c>
      <c r="P574" s="13">
        <f>SUMIFS($J$55:$J$564,$I$55:$I$564,$A574,$K$55:$K$564,P$568,$H$55:$H$564,"AG",$L$55:$L$564,$L$567)</f>
        <v>0</v>
      </c>
      <c r="Q574" s="8">
        <f>SUMIFS($J$55:$J$564,$I$55:$I$564,$A574,$K$55:$K$564,Q$568,$H$55:$H$564,"AG",$L$55:$L$564,$Q$567)</f>
        <v>0</v>
      </c>
      <c r="R574" s="6">
        <f>SUMIFS($J$55:$J$564,$I$55:$I$564,$A574,$K$55:$K$564,R$568,$H$55:$H$564,"AG",$L$55:$L$564,$Q$567)</f>
        <v>0</v>
      </c>
      <c r="S574" s="6">
        <f>SUMIFS($J$55:$J$564,$I$55:$I$564,$A574,$K$55:$K$564,S$568,$H$55:$H$564,"AG",$L$55:$L$564,$Q$567)</f>
        <v>0</v>
      </c>
      <c r="T574" s="6">
        <f>SUMIFS($J$55:$J$564,$I$55:$I$564,$A574,$K$55:$K$564,T$568,$H$55:$H$564,"AG",$L$55:$L$564,$Q$567)</f>
        <v>0</v>
      </c>
      <c r="U574" s="13">
        <f>SUMIFS($J$55:$J$564,$I$55:$I$564,$A574,$K$55:$K$564,U$568,$H$55:$H$564,"AG",$L$55:$L$564,$Q$567)</f>
        <v>0</v>
      </c>
      <c r="V574" s="8">
        <f>SUMIFS($J$55:$J$564,$I$55:$I$564,$A574,$K$55:$K$564,V$568,$H$55:$H$564,"AG",$L$55:$L$564,$V$567)</f>
        <v>0</v>
      </c>
      <c r="W574" s="6">
        <f>SUMIFS($J$55:$J$564,$I$55:$I$564,$A574,$K$55:$K$564,W$568,$H$55:$H$564,"AG",$L$55:$L$564,$V$567)</f>
        <v>0</v>
      </c>
      <c r="X574" s="6">
        <f>SUMIFS($J$55:$J$564,$I$55:$I$564,$A574,$K$55:$K$564,X$568,$H$55:$H$564,"AG",$L$55:$L$564,$V$567)</f>
        <v>0</v>
      </c>
      <c r="Y574" s="6">
        <f>SUMIFS($J$55:$J$564,$I$55:$I$564,$A574,$K$55:$K$564,Y$568,$H$55:$H$564,"AG",$L$55:$L$564,$V$567)</f>
        <v>0</v>
      </c>
      <c r="Z574" s="13">
        <f>SUMIFS($J$55:$J$564,$I$55:$I$564,$A574,$K$55:$K$564,Z$568,$H$55:$H$564,"AG",$L$55:$L$564,$V$567)</f>
        <v>0</v>
      </c>
      <c r="AA574" s="8">
        <f>SUMIFS($J$55:$J$564,$I$55:$I$564,$A574,$K$55:$K$564,AA$568,$H$55:$H$564,"AG",$L$55:$L$564,$AA$567)</f>
        <v>0</v>
      </c>
      <c r="AB574" s="6">
        <f>SUMIFS($J$55:$J$564,$I$55:$I$564,$A574,$K$55:$K$564,AB$568,$H$55:$H$564,"AG",$L$55:$L$564,$AA$567)</f>
        <v>0</v>
      </c>
      <c r="AC574" s="6">
        <f>SUMIFS($J$55:$J$564,$I$55:$I$564,$A574,$K$55:$K$564,AC$568,$H$55:$H$564,"AG",$L$55:$L$564,$AA$567)</f>
        <v>0</v>
      </c>
      <c r="AD574" s="6">
        <f>SUMIFS($J$55:$J$564,$I$55:$I$564,$A574,$K$55:$K$564,AD$568,$H$55:$H$564,"AG",$L$55:$L$564,$AA$567)</f>
        <v>0</v>
      </c>
      <c r="AE574" s="13">
        <f>SUMIFS($J$55:$J$564,$I$55:$I$564,$A574,$K$55:$K$564,AE$568,$H$55:$H$564,"AG",$L$55:$L$564,$AA$567)</f>
        <v>0</v>
      </c>
      <c r="AF574" s="16">
        <f t="shared" si="114"/>
        <v>0</v>
      </c>
      <c r="AG574" s="16">
        <f t="shared" si="115"/>
        <v>0</v>
      </c>
    </row>
    <row r="575" spans="1:33" x14ac:dyDescent="0.25">
      <c r="A575" s="15">
        <v>3000</v>
      </c>
      <c r="B575" s="8">
        <f>SUMIFS($J$55:$J$564,$I$55:$I$564,$A575,$K$55:$K$564,B$568,$H$55:$H$564,"AG",$L$55:$L$564,$B$567)</f>
        <v>0</v>
      </c>
      <c r="C575" s="6">
        <f>SUMIFS($J$55:$J$564,$I$55:$I$564,$A575,$K$55:$K$564,C$568,$H$55:$H$564,"AG",$L$55:$L$564,$B$567)</f>
        <v>0</v>
      </c>
      <c r="D575" s="6">
        <f>SUMIFS($J$55:$J$564,$I$55:$I$564,$A575,$K$55:$K$564,D$568,$H$55:$H$564,"AG",$L$55:$L$564,$B$567)</f>
        <v>0</v>
      </c>
      <c r="E575" s="6">
        <f>SUMIFS($J$55:$J$564,$I$55:$I$564,$A575,$K$55:$K$564,E$568,$H$55:$H$564,"AG",$L$55:$L$564,$B$567)</f>
        <v>0</v>
      </c>
      <c r="F575" s="13">
        <f>SUMIFS($J$55:$J$564,$I$55:$I$564,$A575,$K$55:$K$564,F$568,$H$55:$H$564,"AG",$L$55:$L$564,$B$567)</f>
        <v>0</v>
      </c>
      <c r="G575" s="8">
        <f>SUMIFS($J$55:$J$564,$I$55:$I$564,$A575,$K$55:$K$564,G$568,$H$55:$H$564,"AG",$L$55:$L$564,$G$567)</f>
        <v>0</v>
      </c>
      <c r="H575" s="6">
        <f>SUMIFS($J$55:$J$564,$I$55:$I$564,$A575,$K$55:$K$564,H$568,$H$55:$H$564,"AG",$L$55:$L$564,$G$567)</f>
        <v>0</v>
      </c>
      <c r="I575" s="6">
        <f>SUMIFS($J$55:$J$564,$I$55:$I$564,$A575,$K$55:$K$564,I$568,$H$55:$H$564,"AG",$L$55:$L$564,$G$567)</f>
        <v>0</v>
      </c>
      <c r="J575" s="6">
        <f>SUMIFS($J$55:$J$564,$I$55:$I$564,$A575,$K$55:$K$564,J$568,$H$55:$H$564,"AG",$L$55:$L$564,$G$567)</f>
        <v>0</v>
      </c>
      <c r="K575" s="13">
        <f>SUMIFS($J$55:$J$564,$I$55:$I$564,$A575,$K$55:$K$564,K$568,$H$55:$H$564,"AG",$L$55:$L$564,$G$567)</f>
        <v>0</v>
      </c>
      <c r="L575" s="8">
        <f>SUMIFS($J$55:$J$564,$I$55:$I$564,$A575,$K$55:$K$564,L$568,$H$55:$H$564,"AG",$L$55:$L$564,$L$567)</f>
        <v>0</v>
      </c>
      <c r="M575" s="6">
        <f>SUMIFS($J$55:$J$564,$I$55:$I$564,$A575,$K$55:$K$564,M$568,$H$55:$H$564,"AG",$L$55:$L$564,$L$567)</f>
        <v>0</v>
      </c>
      <c r="N575" s="6">
        <f>SUMIFS($J$55:$J$564,$I$55:$I$564,$A575,$K$55:$K$564,N$568,$H$55:$H$564,"AG",$L$55:$L$564,$L$567)</f>
        <v>0</v>
      </c>
      <c r="O575" s="6">
        <f>SUMIFS($J$55:$J$564,$I$55:$I$564,$A575,$K$55:$K$564,O$568,$H$55:$H$564,"AG",$L$55:$L$564,$L$567)</f>
        <v>0</v>
      </c>
      <c r="P575" s="13">
        <f>SUMIFS($J$55:$J$564,$I$55:$I$564,$A575,$K$55:$K$564,P$568,$H$55:$H$564,"AG",$L$55:$L$564,$L$567)</f>
        <v>0</v>
      </c>
      <c r="Q575" s="8">
        <f>SUMIFS($J$55:$J$564,$I$55:$I$564,$A575,$K$55:$K$564,Q$568,$H$55:$H$564,"AG",$L$55:$L$564,$Q$567)</f>
        <v>0</v>
      </c>
      <c r="R575" s="6">
        <f>SUMIFS($J$55:$J$564,$I$55:$I$564,$A575,$K$55:$K$564,R$568,$H$55:$H$564,"AG",$L$55:$L$564,$Q$567)</f>
        <v>0</v>
      </c>
      <c r="S575" s="6">
        <f>SUMIFS($J$55:$J$564,$I$55:$I$564,$A575,$K$55:$K$564,S$568,$H$55:$H$564,"AG",$L$55:$L$564,$Q$567)</f>
        <v>0</v>
      </c>
      <c r="T575" s="6">
        <f>SUMIFS($J$55:$J$564,$I$55:$I$564,$A575,$K$55:$K$564,T$568,$H$55:$H$564,"AG",$L$55:$L$564,$Q$567)</f>
        <v>0</v>
      </c>
      <c r="U575" s="13">
        <f>SUMIFS($J$55:$J$564,$I$55:$I$564,$A575,$K$55:$K$564,U$568,$H$55:$H$564,"AG",$L$55:$L$564,$Q$567)</f>
        <v>0</v>
      </c>
      <c r="V575" s="8">
        <f>SUMIFS($J$55:$J$564,$I$55:$I$564,$A575,$K$55:$K$564,V$568,$H$55:$H$564,"AG",$L$55:$L$564,$V$567)</f>
        <v>0</v>
      </c>
      <c r="W575" s="6">
        <f>SUMIFS($J$55:$J$564,$I$55:$I$564,$A575,$K$55:$K$564,W$568,$H$55:$H$564,"AG",$L$55:$L$564,$V$567)</f>
        <v>0</v>
      </c>
      <c r="X575" s="6">
        <f>SUMIFS($J$55:$J$564,$I$55:$I$564,$A575,$K$55:$K$564,X$568,$H$55:$H$564,"AG",$L$55:$L$564,$V$567)</f>
        <v>0</v>
      </c>
      <c r="Y575" s="6">
        <f>SUMIFS($J$55:$J$564,$I$55:$I$564,$A575,$K$55:$K$564,Y$568,$H$55:$H$564,"AG",$L$55:$L$564,$V$567)</f>
        <v>0</v>
      </c>
      <c r="Z575" s="13">
        <f>SUMIFS($J$55:$J$564,$I$55:$I$564,$A575,$K$55:$K$564,Z$568,$H$55:$H$564,"AG",$L$55:$L$564,$V$567)</f>
        <v>0</v>
      </c>
      <c r="AA575" s="8">
        <f>SUMIFS($J$55:$J$564,$I$55:$I$564,$A575,$K$55:$K$564,AA$568,$H$55:$H$564,"AG",$L$55:$L$564,$AA$567)</f>
        <v>0</v>
      </c>
      <c r="AB575" s="6">
        <f>SUMIFS($J$55:$J$564,$I$55:$I$564,$A575,$K$55:$K$564,AB$568,$H$55:$H$564,"AG",$L$55:$L$564,$AA$567)</f>
        <v>0</v>
      </c>
      <c r="AC575" s="6">
        <f>SUMIFS($J$55:$J$564,$I$55:$I$564,$A575,$K$55:$K$564,AC$568,$H$55:$H$564,"AG",$L$55:$L$564,$AA$567)</f>
        <v>0</v>
      </c>
      <c r="AD575" s="6">
        <f>SUMIFS($J$55:$J$564,$I$55:$I$564,$A575,$K$55:$K$564,AD$568,$H$55:$H$564,"AG",$L$55:$L$564,$AA$567)</f>
        <v>0</v>
      </c>
      <c r="AE575" s="13">
        <f>SUMIFS($J$55:$J$564,$I$55:$I$564,$A575,$K$55:$K$564,AE$568,$H$55:$H$564,"AG",$L$55:$L$564,$AA$567)</f>
        <v>0</v>
      </c>
      <c r="AF575" s="16">
        <f t="shared" si="114"/>
        <v>0</v>
      </c>
      <c r="AG575" s="16">
        <f t="shared" si="115"/>
        <v>0</v>
      </c>
    </row>
    <row r="576" spans="1:33" x14ac:dyDescent="0.25">
      <c r="A576" s="15">
        <v>5000</v>
      </c>
      <c r="B576" s="8">
        <f>SUMIFS($J$55:$J$564,$I$55:$I$564,$A576,$K$55:$K$564,B$568,$H$55:$H$564,"AG",$L$55:$L$564,$B$567)</f>
        <v>0</v>
      </c>
      <c r="C576" s="6">
        <f>SUMIFS($J$55:$J$564,$I$55:$I$564,$A576,$K$55:$K$564,C$568,$H$55:$H$564,"AG",$L$55:$L$564,$B$567)</f>
        <v>0</v>
      </c>
      <c r="D576" s="6">
        <f>SUMIFS($J$55:$J$564,$I$55:$I$564,$A576,$K$55:$K$564,D$568,$H$55:$H$564,"AG",$L$55:$L$564,$B$567)</f>
        <v>0</v>
      </c>
      <c r="E576" s="6">
        <f>SUMIFS($J$55:$J$564,$I$55:$I$564,$A576,$K$55:$K$564,E$568,$H$55:$H$564,"AG",$L$55:$L$564,$B$567)</f>
        <v>0</v>
      </c>
      <c r="F576" s="13">
        <f>SUMIFS($J$55:$J$564,$I$55:$I$564,$A576,$K$55:$K$564,F$568,$H$55:$H$564,"AG",$L$55:$L$564,$B$567)</f>
        <v>0</v>
      </c>
      <c r="G576" s="8">
        <f>SUMIFS($J$55:$J$564,$I$55:$I$564,$A576,$K$55:$K$564,G$568,$H$55:$H$564,"AG",$L$55:$L$564,$G$567)</f>
        <v>0</v>
      </c>
      <c r="H576" s="6">
        <f>SUMIFS($J$55:$J$564,$I$55:$I$564,$A576,$K$55:$K$564,H$568,$H$55:$H$564,"AG",$L$55:$L$564,$G$567)</f>
        <v>0</v>
      </c>
      <c r="I576" s="6">
        <f>SUMIFS($J$55:$J$564,$I$55:$I$564,$A576,$K$55:$K$564,I$568,$H$55:$H$564,"AG",$L$55:$L$564,$G$567)</f>
        <v>0</v>
      </c>
      <c r="J576" s="6">
        <f>SUMIFS($J$55:$J$564,$I$55:$I$564,$A576,$K$55:$K$564,J$568,$H$55:$H$564,"AG",$L$55:$L$564,$G$567)</f>
        <v>0</v>
      </c>
      <c r="K576" s="13">
        <f>SUMIFS($J$55:$J$564,$I$55:$I$564,$A576,$K$55:$K$564,K$568,$H$55:$H$564,"AG",$L$55:$L$564,$G$567)</f>
        <v>0</v>
      </c>
      <c r="L576" s="8">
        <f>SUMIFS($J$55:$J$564,$I$55:$I$564,$A576,$K$55:$K$564,L$568,$H$55:$H$564,"AG",$L$55:$L$564,$L$567)</f>
        <v>0</v>
      </c>
      <c r="M576" s="6">
        <f>SUMIFS($J$55:$J$564,$I$55:$I$564,$A576,$K$55:$K$564,M$568,$H$55:$H$564,"AG",$L$55:$L$564,$L$567)</f>
        <v>0</v>
      </c>
      <c r="N576" s="6">
        <f>SUMIFS($J$55:$J$564,$I$55:$I$564,$A576,$K$55:$K$564,N$568,$H$55:$H$564,"AG",$L$55:$L$564,$L$567)</f>
        <v>0</v>
      </c>
      <c r="O576" s="6">
        <f>SUMIFS($J$55:$J$564,$I$55:$I$564,$A576,$K$55:$K$564,O$568,$H$55:$H$564,"AG",$L$55:$L$564,$L$567)</f>
        <v>0</v>
      </c>
      <c r="P576" s="13">
        <f>SUMIFS($J$55:$J$564,$I$55:$I$564,$A576,$K$55:$K$564,P$568,$H$55:$H$564,"AG",$L$55:$L$564,$L$567)</f>
        <v>0</v>
      </c>
      <c r="Q576" s="8">
        <f>SUMIFS($J$55:$J$564,$I$55:$I$564,$A576,$K$55:$K$564,Q$568,$H$55:$H$564,"AG",$L$55:$L$564,$Q$567)</f>
        <v>0</v>
      </c>
      <c r="R576" s="6">
        <f>SUMIFS($J$55:$J$564,$I$55:$I$564,$A576,$K$55:$K$564,R$568,$H$55:$H$564,"AG",$L$55:$L$564,$Q$567)</f>
        <v>0</v>
      </c>
      <c r="S576" s="6">
        <f>SUMIFS($J$55:$J$564,$I$55:$I$564,$A576,$K$55:$K$564,S$568,$H$55:$H$564,"AG",$L$55:$L$564,$Q$567)</f>
        <v>0</v>
      </c>
      <c r="T576" s="6">
        <f>SUMIFS($J$55:$J$564,$I$55:$I$564,$A576,$K$55:$K$564,T$568,$H$55:$H$564,"AG",$L$55:$L$564,$Q$567)</f>
        <v>0</v>
      </c>
      <c r="U576" s="13">
        <f>SUMIFS($J$55:$J$564,$I$55:$I$564,$A576,$K$55:$K$564,U$568,$H$55:$H$564,"AG",$L$55:$L$564,$Q$567)</f>
        <v>0</v>
      </c>
      <c r="V576" s="8">
        <f>SUMIFS($J$55:$J$564,$I$55:$I$564,$A576,$K$55:$K$564,V$568,$H$55:$H$564,"AG",$L$55:$L$564,$V$567)</f>
        <v>0</v>
      </c>
      <c r="W576" s="6">
        <f>SUMIFS($J$55:$J$564,$I$55:$I$564,$A576,$K$55:$K$564,W$568,$H$55:$H$564,"AG",$L$55:$L$564,$V$567)</f>
        <v>0</v>
      </c>
      <c r="X576" s="6">
        <f>SUMIFS($J$55:$J$564,$I$55:$I$564,$A576,$K$55:$K$564,X$568,$H$55:$H$564,"AG",$L$55:$L$564,$V$567)</f>
        <v>0</v>
      </c>
      <c r="Y576" s="6">
        <f>SUMIFS($J$55:$J$564,$I$55:$I$564,$A576,$K$55:$K$564,Y$568,$H$55:$H$564,"AG",$L$55:$L$564,$V$567)</f>
        <v>0</v>
      </c>
      <c r="Z576" s="13">
        <f>SUMIFS($J$55:$J$564,$I$55:$I$564,$A576,$K$55:$K$564,Z$568,$H$55:$H$564,"AG",$L$55:$L$564,$V$567)</f>
        <v>0</v>
      </c>
      <c r="AA576" s="8">
        <f>SUMIFS($J$55:$J$564,$I$55:$I$564,$A576,$K$55:$K$564,AA$568,$H$55:$H$564,"AG",$L$55:$L$564,$AA$567)</f>
        <v>0</v>
      </c>
      <c r="AB576" s="6">
        <f>SUMIFS($J$55:$J$564,$I$55:$I$564,$A576,$K$55:$K$564,AB$568,$H$55:$H$564,"AG",$L$55:$L$564,$AA$567)</f>
        <v>0</v>
      </c>
      <c r="AC576" s="6">
        <f>SUMIFS($J$55:$J$564,$I$55:$I$564,$A576,$K$55:$K$564,AC$568,$H$55:$H$564,"AG",$L$55:$L$564,$AA$567)</f>
        <v>0</v>
      </c>
      <c r="AD576" s="6">
        <f>SUMIFS($J$55:$J$564,$I$55:$I$564,$A576,$K$55:$K$564,AD$568,$H$55:$H$564,"AG",$L$55:$L$564,$AA$567)</f>
        <v>0</v>
      </c>
      <c r="AE576" s="13">
        <f>SUMIFS($J$55:$J$564,$I$55:$I$564,$A576,$K$55:$K$564,AE$568,$H$55:$H$564,"AG",$L$55:$L$564,$AA$567)</f>
        <v>0</v>
      </c>
      <c r="AF576" s="16">
        <f t="shared" si="114"/>
        <v>0</v>
      </c>
      <c r="AG576" s="16">
        <f t="shared" si="115"/>
        <v>0</v>
      </c>
    </row>
    <row r="577" spans="1:33" ht="15.75" thickBot="1" x14ac:dyDescent="0.3">
      <c r="A577" s="59">
        <v>10000</v>
      </c>
      <c r="B577" s="31">
        <f>SUMIFS($J$55:$J$564,$I$55:$I$564,$A577,$K$55:$K$564,B$568,$H$55:$H$564,"AG",$L$55:$L$564,$B$567)</f>
        <v>0</v>
      </c>
      <c r="C577" s="32">
        <f>SUMIFS($J$55:$J$564,$I$55:$I$564,$A577,$K$55:$K$564,C$568,$H$55:$H$564,"AG",$L$55:$L$564,$B$567)</f>
        <v>0</v>
      </c>
      <c r="D577" s="32">
        <f>SUMIFS($J$55:$J$564,$I$55:$I$564,$A577,$K$55:$K$564,D$568,$H$55:$H$564,"AG",$L$55:$L$564,$B$567)</f>
        <v>0</v>
      </c>
      <c r="E577" s="32">
        <f>SUMIFS($J$55:$J$564,$I$55:$I$564,$A577,$K$55:$K$564,E$568,$H$55:$H$564,"AG",$L$55:$L$564,$B$567)</f>
        <v>0</v>
      </c>
      <c r="F577" s="33">
        <f>SUMIFS($J$55:$J$564,$I$55:$I$564,$A577,$K$55:$K$564,F$568,$H$55:$H$564,"AG",$L$55:$L$564,$B$567)</f>
        <v>0</v>
      </c>
      <c r="G577" s="31">
        <f>SUMIFS($J$55:$J$564,$I$55:$I$564,$A577,$K$55:$K$564,G$568,$H$55:$H$564,"AG",$L$55:$L$564,$G$567)</f>
        <v>0</v>
      </c>
      <c r="H577" s="32">
        <f>SUMIFS($J$55:$J$564,$I$55:$I$564,$A577,$K$55:$K$564,H$568,$H$55:$H$564,"AG",$L$55:$L$564,$G$567)</f>
        <v>0</v>
      </c>
      <c r="I577" s="32">
        <f>SUMIFS($J$55:$J$564,$I$55:$I$564,$A577,$K$55:$K$564,I$568,$H$55:$H$564,"AG",$L$55:$L$564,$G$567)</f>
        <v>0</v>
      </c>
      <c r="J577" s="32">
        <f>SUMIFS($J$55:$J$564,$I$55:$I$564,$A577,$K$55:$K$564,J$568,$H$55:$H$564,"AG",$L$55:$L$564,$G$567)</f>
        <v>0</v>
      </c>
      <c r="K577" s="33">
        <f>SUMIFS($J$55:$J$564,$I$55:$I$564,$A577,$K$55:$K$564,K$568,$H$55:$H$564,"AG",$L$55:$L$564,$G$567)</f>
        <v>0</v>
      </c>
      <c r="L577" s="31">
        <f>SUMIFS($J$55:$J$564,$I$55:$I$564,$A577,$K$55:$K$564,L$568,$H$55:$H$564,"AG",$L$55:$L$564,$L$567)</f>
        <v>0</v>
      </c>
      <c r="M577" s="32">
        <f>SUMIFS($J$55:$J$564,$I$55:$I$564,$A577,$K$55:$K$564,M$568,$H$55:$H$564,"AG",$L$55:$L$564,$L$567)</f>
        <v>0</v>
      </c>
      <c r="N577" s="32">
        <f>SUMIFS($J$55:$J$564,$I$55:$I$564,$A577,$K$55:$K$564,N$568,$H$55:$H$564,"AG",$L$55:$L$564,$L$567)</f>
        <v>0</v>
      </c>
      <c r="O577" s="32">
        <f>SUMIFS($J$55:$J$564,$I$55:$I$564,$A577,$K$55:$K$564,O$568,$H$55:$H$564,"AG",$L$55:$L$564,$L$567)</f>
        <v>0</v>
      </c>
      <c r="P577" s="33">
        <f>SUMIFS($J$55:$J$564,$I$55:$I$564,$A577,$K$55:$K$564,P$568,$H$55:$H$564,"AG",$L$55:$L$564,$L$567)</f>
        <v>0</v>
      </c>
      <c r="Q577" s="31">
        <f>SUMIFS($J$55:$J$564,$I$55:$I$564,$A577,$K$55:$K$564,Q$568,$H$55:$H$564,"AG",$L$55:$L$564,$Q$567)</f>
        <v>0</v>
      </c>
      <c r="R577" s="32">
        <f>SUMIFS($J$55:$J$564,$I$55:$I$564,$A577,$K$55:$K$564,R$568,$H$55:$H$564,"AG",$L$55:$L$564,$Q$567)</f>
        <v>0</v>
      </c>
      <c r="S577" s="32">
        <f>SUMIFS($J$55:$J$564,$I$55:$I$564,$A577,$K$55:$K$564,S$568,$H$55:$H$564,"AG",$L$55:$L$564,$Q$567)</f>
        <v>0</v>
      </c>
      <c r="T577" s="32">
        <f>SUMIFS($J$55:$J$564,$I$55:$I$564,$A577,$K$55:$K$564,T$568,$H$55:$H$564,"AG",$L$55:$L$564,$Q$567)</f>
        <v>0</v>
      </c>
      <c r="U577" s="33">
        <f>SUMIFS($J$55:$J$564,$I$55:$I$564,$A577,$K$55:$K$564,U$568,$H$55:$H$564,"AG",$L$55:$L$564,$Q$567)</f>
        <v>0</v>
      </c>
      <c r="V577" s="31">
        <f>SUMIFS($J$55:$J$564,$I$55:$I$564,$A577,$K$55:$K$564,V$568,$H$55:$H$564,"AG",$L$55:$L$564,$V$567)</f>
        <v>0</v>
      </c>
      <c r="W577" s="32">
        <f>SUMIFS($J$55:$J$564,$I$55:$I$564,$A577,$K$55:$K$564,W$568,$H$55:$H$564,"AG",$L$55:$L$564,$V$567)</f>
        <v>0</v>
      </c>
      <c r="X577" s="32">
        <f>SUMIFS($J$55:$J$564,$I$55:$I$564,$A577,$K$55:$K$564,X$568,$H$55:$H$564,"AG",$L$55:$L$564,$V$567)</f>
        <v>0</v>
      </c>
      <c r="Y577" s="32">
        <f>SUMIFS($J$55:$J$564,$I$55:$I$564,$A577,$K$55:$K$564,Y$568,$H$55:$H$564,"AG",$L$55:$L$564,$V$567)</f>
        <v>0</v>
      </c>
      <c r="Z577" s="33">
        <f>SUMIFS($J$55:$J$564,$I$55:$I$564,$A577,$K$55:$K$564,Z$568,$H$55:$H$564,"AG",$L$55:$L$564,$V$567)</f>
        <v>0</v>
      </c>
      <c r="AA577" s="31">
        <f>SUMIFS($J$55:$J$564,$I$55:$I$564,$A577,$K$55:$K$564,AA$568,$H$55:$H$564,"AG",$L$55:$L$564,$AA$567)</f>
        <v>0</v>
      </c>
      <c r="AB577" s="32">
        <f>SUMIFS($J$55:$J$564,$I$55:$I$564,$A577,$K$55:$K$564,AB$568,$H$55:$H$564,"AG",$L$55:$L$564,$AA$567)</f>
        <v>0</v>
      </c>
      <c r="AC577" s="32">
        <f>SUMIFS($J$55:$J$564,$I$55:$I$564,$A577,$K$55:$K$564,AC$568,$H$55:$H$564,"AG",$L$55:$L$564,$AA$567)</f>
        <v>0</v>
      </c>
      <c r="AD577" s="32">
        <f>SUMIFS($J$55:$J$564,$I$55:$I$564,$A577,$K$55:$K$564,AD$568,$H$55:$H$564,"AG",$L$55:$L$564,$AA$567)</f>
        <v>0</v>
      </c>
      <c r="AE577" s="33">
        <f>SUMIFS($J$55:$J$564,$I$55:$I$564,$A577,$K$55:$K$564,AE$568,$H$55:$H$564,"AG",$L$55:$L$564,$AA$567)</f>
        <v>0</v>
      </c>
      <c r="AF577" s="16">
        <f t="shared" si="114"/>
        <v>0</v>
      </c>
      <c r="AG577" s="43">
        <f t="shared" si="115"/>
        <v>0</v>
      </c>
    </row>
    <row r="578" spans="1:33" ht="15.75" thickBot="1" x14ac:dyDescent="0.3">
      <c r="A578" s="35"/>
      <c r="B578" s="60">
        <f t="shared" ref="B578:AG578" si="116">SUM(B569:B577)</f>
        <v>0</v>
      </c>
      <c r="C578" s="61">
        <f t="shared" si="116"/>
        <v>0</v>
      </c>
      <c r="D578" s="61">
        <f t="shared" si="116"/>
        <v>0</v>
      </c>
      <c r="E578" s="61">
        <f t="shared" si="116"/>
        <v>0</v>
      </c>
      <c r="F578" s="62">
        <f t="shared" si="116"/>
        <v>0</v>
      </c>
      <c r="G578" s="60">
        <f t="shared" si="116"/>
        <v>0</v>
      </c>
      <c r="H578" s="61">
        <f t="shared" si="116"/>
        <v>0</v>
      </c>
      <c r="I578" s="61">
        <f t="shared" si="116"/>
        <v>0</v>
      </c>
      <c r="J578" s="61">
        <f t="shared" si="116"/>
        <v>0</v>
      </c>
      <c r="K578" s="62">
        <f t="shared" si="116"/>
        <v>0</v>
      </c>
      <c r="L578" s="60">
        <f t="shared" si="116"/>
        <v>0</v>
      </c>
      <c r="M578" s="61">
        <f t="shared" si="116"/>
        <v>0</v>
      </c>
      <c r="N578" s="61">
        <f t="shared" si="116"/>
        <v>0</v>
      </c>
      <c r="O578" s="61">
        <f t="shared" si="116"/>
        <v>0</v>
      </c>
      <c r="P578" s="62">
        <f t="shared" si="116"/>
        <v>0</v>
      </c>
      <c r="Q578" s="60">
        <f t="shared" si="116"/>
        <v>0</v>
      </c>
      <c r="R578" s="61">
        <f t="shared" si="116"/>
        <v>0</v>
      </c>
      <c r="S578" s="61">
        <f t="shared" si="116"/>
        <v>0</v>
      </c>
      <c r="T578" s="61">
        <f t="shared" si="116"/>
        <v>0</v>
      </c>
      <c r="U578" s="62">
        <f t="shared" si="116"/>
        <v>0</v>
      </c>
      <c r="V578" s="60">
        <f t="shared" si="116"/>
        <v>0</v>
      </c>
      <c r="W578" s="61">
        <f t="shared" si="116"/>
        <v>0</v>
      </c>
      <c r="X578" s="61">
        <f t="shared" si="116"/>
        <v>0</v>
      </c>
      <c r="Y578" s="61">
        <f t="shared" si="116"/>
        <v>0</v>
      </c>
      <c r="Z578" s="62">
        <f t="shared" si="116"/>
        <v>0</v>
      </c>
      <c r="AA578" s="60">
        <f t="shared" si="116"/>
        <v>0</v>
      </c>
      <c r="AB578" s="61">
        <f t="shared" si="116"/>
        <v>0</v>
      </c>
      <c r="AC578" s="61">
        <f t="shared" si="116"/>
        <v>0</v>
      </c>
      <c r="AD578" s="61">
        <f t="shared" si="116"/>
        <v>0</v>
      </c>
      <c r="AE578" s="62">
        <f t="shared" si="116"/>
        <v>0</v>
      </c>
      <c r="AF578" s="35">
        <f>SUM(AF569:AF577)</f>
        <v>0</v>
      </c>
      <c r="AG578" s="35">
        <f t="shared" si="115"/>
        <v>0</v>
      </c>
    </row>
    <row r="579" spans="1:33" ht="15.75" thickBot="1" x14ac:dyDescent="0.3"/>
    <row r="580" spans="1:33" ht="19.5" thickBot="1" x14ac:dyDescent="0.35">
      <c r="A580" s="199" t="s">
        <v>249</v>
      </c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  <c r="AB580" s="200"/>
      <c r="AC580" s="200"/>
      <c r="AD580" s="200"/>
      <c r="AE580" s="200"/>
      <c r="AF580" s="200"/>
      <c r="AG580" s="201"/>
    </row>
    <row r="581" spans="1:33" x14ac:dyDescent="0.25">
      <c r="A581" s="123" t="s">
        <v>31</v>
      </c>
      <c r="B581" s="113" t="s">
        <v>22</v>
      </c>
      <c r="C581" s="114"/>
      <c r="D581" s="114"/>
      <c r="E581" s="114"/>
      <c r="F581" s="115"/>
      <c r="G581" s="113" t="s">
        <v>20</v>
      </c>
      <c r="H581" s="114"/>
      <c r="I581" s="114"/>
      <c r="J581" s="114"/>
      <c r="K581" s="115"/>
      <c r="L581" s="113" t="s">
        <v>34</v>
      </c>
      <c r="M581" s="114"/>
      <c r="N581" s="114"/>
      <c r="O581" s="114"/>
      <c r="P581" s="115"/>
      <c r="Q581" s="113" t="s">
        <v>127</v>
      </c>
      <c r="R581" s="114"/>
      <c r="S581" s="114"/>
      <c r="T581" s="114"/>
      <c r="U581" s="115"/>
      <c r="V581" s="113" t="s">
        <v>129</v>
      </c>
      <c r="W581" s="114"/>
      <c r="X581" s="114"/>
      <c r="Y581" s="114"/>
      <c r="Z581" s="115"/>
      <c r="AA581" s="113" t="s">
        <v>26</v>
      </c>
      <c r="AB581" s="114"/>
      <c r="AC581" s="114"/>
      <c r="AD581" s="114"/>
      <c r="AE581" s="115"/>
      <c r="AF581" s="116" t="s">
        <v>24</v>
      </c>
      <c r="AG581" s="116" t="s">
        <v>86</v>
      </c>
    </row>
    <row r="582" spans="1:33" ht="15.75" thickBot="1" x14ac:dyDescent="0.3">
      <c r="A582" s="124"/>
      <c r="B582" s="9" t="s">
        <v>32</v>
      </c>
      <c r="C582" s="12" t="s">
        <v>17</v>
      </c>
      <c r="D582" s="12" t="s">
        <v>19</v>
      </c>
      <c r="E582" s="12" t="s">
        <v>33</v>
      </c>
      <c r="F582" s="14" t="s">
        <v>80</v>
      </c>
      <c r="G582" s="9" t="s">
        <v>32</v>
      </c>
      <c r="H582" s="12" t="s">
        <v>17</v>
      </c>
      <c r="I582" s="12" t="s">
        <v>19</v>
      </c>
      <c r="J582" s="12" t="s">
        <v>33</v>
      </c>
      <c r="K582" s="14" t="s">
        <v>80</v>
      </c>
      <c r="L582" s="9" t="s">
        <v>32</v>
      </c>
      <c r="M582" s="12" t="s">
        <v>17</v>
      </c>
      <c r="N582" s="12" t="s">
        <v>19</v>
      </c>
      <c r="O582" s="12" t="s">
        <v>33</v>
      </c>
      <c r="P582" s="14" t="s">
        <v>80</v>
      </c>
      <c r="Q582" s="9" t="s">
        <v>32</v>
      </c>
      <c r="R582" s="12" t="s">
        <v>17</v>
      </c>
      <c r="S582" s="12" t="s">
        <v>19</v>
      </c>
      <c r="T582" s="12" t="s">
        <v>33</v>
      </c>
      <c r="U582" s="14" t="s">
        <v>80</v>
      </c>
      <c r="V582" s="9" t="s">
        <v>32</v>
      </c>
      <c r="W582" s="12" t="s">
        <v>17</v>
      </c>
      <c r="X582" s="12" t="s">
        <v>19</v>
      </c>
      <c r="Y582" s="12" t="s">
        <v>33</v>
      </c>
      <c r="Z582" s="14" t="s">
        <v>80</v>
      </c>
      <c r="AA582" s="9" t="s">
        <v>32</v>
      </c>
      <c r="AB582" s="12" t="s">
        <v>17</v>
      </c>
      <c r="AC582" s="12" t="s">
        <v>19</v>
      </c>
      <c r="AD582" s="12" t="s">
        <v>33</v>
      </c>
      <c r="AE582" s="14" t="s">
        <v>80</v>
      </c>
      <c r="AF582" s="117"/>
      <c r="AG582" s="117"/>
    </row>
    <row r="583" spans="1:33" x14ac:dyDescent="0.25">
      <c r="A583" s="16">
        <v>300</v>
      </c>
      <c r="B583" s="10">
        <f>SUMIFS($J$55:$J$564,$I$55:$I$564,$A583,$K$55:$K$564,B$568,$H$55:$H$564,"NG",$L$55:$L$564,$B$567)</f>
        <v>0</v>
      </c>
      <c r="C583" s="11">
        <f>SUMIFS($J$55:$J$564,$I$55:$I$564,$A583,$K$55:$K$564,C$568,$H$55:$H$564,"NG",$L$55:$L$564,$B$567)</f>
        <v>0</v>
      </c>
      <c r="D583" s="11">
        <f>SUMIFS($J$55:$J$564,$I$55:$I$564,$A583,$K$55:$K$564,D$568,$H$55:$H$564,"NG",$L$55:$L$564,$B$567)</f>
        <v>0</v>
      </c>
      <c r="E583" s="11">
        <f>SUMIFS($J$55:$J$564,$I$55:$I$564,$A583,$K$55:$K$564,E$568,$H$55:$H$564,"NG",$L$55:$L$564,$B$567)</f>
        <v>0</v>
      </c>
      <c r="F583" s="17">
        <f>SUMIFS($J$55:$J$564,$I$55:$I$564,$A583,$K$55:$K$564,F$568,$H$55:$H$564,"NG",$L$55:$L$564,$B$567)</f>
        <v>0</v>
      </c>
      <c r="G583" s="10">
        <f>SUMIFS($J$55:$J$564,$I$55:$I$564,$A583,$K$55:$K$564,G$568,$H$55:$H$564,"NG",$L$55:$L$564,$G$567)</f>
        <v>0</v>
      </c>
      <c r="H583" s="11">
        <f>SUMIFS($J$55:$J$564,$I$55:$I$564,$A583,$K$55:$K$564,H$568,$H$55:$H$564,"NG",$L$55:$L$564,$G$567)</f>
        <v>0</v>
      </c>
      <c r="I583" s="11">
        <f>SUMIFS($J$55:$J$564,$I$55:$I$564,$A583,$K$55:$K$564,I$568,$H$55:$H$564,"NG",$L$55:$L$564,$G$567)</f>
        <v>0</v>
      </c>
      <c r="J583" s="11">
        <f>SUMIFS($J$55:$J$564,$I$55:$I$564,$A583,$K$55:$K$564,J$568,$H$55:$H$564,"NG",$L$55:$L$564,$G$567)</f>
        <v>0</v>
      </c>
      <c r="K583" s="17">
        <f>SUMIFS($J$55:$J$564,$I$55:$I$564,$A583,$K$55:$K$564,K$568,$H$55:$H$564,"NG",$L$55:$L$564,$G$567)</f>
        <v>0</v>
      </c>
      <c r="L583" s="10">
        <f>SUMIFS($J$55:$J$564,$I$55:$I$564,$A583,$K$55:$K$564,L$568,$H$55:$H$564,"NG",$L$55:$L$564,$L$567)</f>
        <v>0</v>
      </c>
      <c r="M583" s="11">
        <f>SUMIFS($J$55:$J$564,$I$55:$I$564,$A583,$K$55:$K$564,M$568,$H$55:$H$564,"NG",$L$55:$L$564,$L$567)</f>
        <v>0</v>
      </c>
      <c r="N583" s="11">
        <f>SUMIFS($J$55:$J$564,$I$55:$I$564,$A583,$K$55:$K$564,N$568,$H$55:$H$564,"NG",$L$55:$L$564,$L$567)</f>
        <v>0</v>
      </c>
      <c r="O583" s="11">
        <f>SUMIFS($J$55:$J$564,$I$55:$I$564,$A583,$K$55:$K$564,O$568,$H$55:$H$564,"NG",$L$55:$L$564,$L$567)</f>
        <v>0</v>
      </c>
      <c r="P583" s="17">
        <f>SUMIFS($J$55:$J$564,$I$55:$I$564,$A583,$K$55:$K$564,P$568,$H$55:$H$564,"NG",$L$55:$L$564,$L$567)</f>
        <v>0</v>
      </c>
      <c r="Q583" s="10">
        <f>SUMIFS($J$55:$J$564,$I$55:$I$564,$A583,$K$55:$K$564,Q$568,$H$55:$H$564,"NG",$L$55:$L$564,$Q$567)</f>
        <v>0</v>
      </c>
      <c r="R583" s="11">
        <f>SUMIFS($J$55:$J$564,$I$55:$I$564,$A583,$K$55:$K$564,R$568,$H$55:$H$564,"NG",$L$55:$L$564,$Q$567)</f>
        <v>0</v>
      </c>
      <c r="S583" s="11">
        <f>SUMIFS($J$55:$J$564,$I$55:$I$564,$A583,$K$55:$K$564,S$568,$H$55:$H$564,"NG",$L$55:$L$564,$Q$567)</f>
        <v>0</v>
      </c>
      <c r="T583" s="11">
        <f>SUMIFS($J$55:$J$564,$I$55:$I$564,$A583,$K$55:$K$564,T$568,$H$55:$H$564,"NG",$L$55:$L$564,$Q$567)</f>
        <v>0</v>
      </c>
      <c r="U583" s="17">
        <f>SUMIFS($J$55:$J$564,$I$55:$I$564,$A583,$K$55:$K$564,U$568,$H$55:$H$564,"NG",$L$55:$L$564,$Q$567)</f>
        <v>0</v>
      </c>
      <c r="V583" s="10">
        <f>SUMIFS($J$55:$J$564,$I$55:$I$564,$A583,$K$55:$K$564,V$568,$H$55:$H$564,"NG",$L$55:$L$564,$V$567)</f>
        <v>0</v>
      </c>
      <c r="W583" s="11">
        <f>SUMIFS($J$55:$J$564,$I$55:$I$564,$A583,$K$55:$K$564,W$568,$H$55:$H$564,"NG",$L$55:$L$564,$V$567)</f>
        <v>0</v>
      </c>
      <c r="X583" s="11">
        <f>SUMIFS($J$55:$J$564,$I$55:$I$564,$A583,$K$55:$K$564,X$568,$H$55:$H$564,"NG",$L$55:$L$564,$V$567)</f>
        <v>0</v>
      </c>
      <c r="Y583" s="11">
        <f>SUMIFS($J$55:$J$564,$I$55:$I$564,$A583,$K$55:$K$564,Y$568,$H$55:$H$564,"NG",$L$55:$L$564,$V$567)</f>
        <v>0</v>
      </c>
      <c r="Z583" s="17">
        <f>SUMIFS($J$55:$J$564,$I$55:$I$564,$A583,$K$55:$K$564,Z$568,$H$55:$H$564,"NG",$L$55:$L$564,$V$567)</f>
        <v>0</v>
      </c>
      <c r="AA583" s="10">
        <f>SUMIFS($J$55:$J$564,$I$55:$I$564,$A583,$K$55:$K$564,AA$568,$H$55:$H$564,"NG",$L$55:$L$564,$AA$567)</f>
        <v>0</v>
      </c>
      <c r="AB583" s="11">
        <f>SUMIFS($J$55:$J$564,$I$55:$I$564,$A583,$K$55:$K$564,AB$568,$H$55:$H$564,"NG",$L$55:$L$564,$AA$567)</f>
        <v>0</v>
      </c>
      <c r="AC583" s="11">
        <f>SUMIFS($J$55:$J$564,$I$55:$I$564,$A583,$K$55:$K$564,AC$568,$H$55:$H$564,"NG",$L$55:$L$564,$AA$567)</f>
        <v>0</v>
      </c>
      <c r="AD583" s="11">
        <f>SUMIFS($J$55:$J$564,$I$55:$I$564,$A583,$K$55:$K$564,AD$568,$H$55:$H$564,"NG",$L$55:$L$564,$AA$567)</f>
        <v>0</v>
      </c>
      <c r="AE583" s="17">
        <f>SUMIFS($J$55:$J$564,$I$55:$I$564,$A583,$K$55:$K$564,AE$568,$H$55:$H$564,"NG",$L$55:$L$564,$AA$567)</f>
        <v>0</v>
      </c>
      <c r="AF583" s="16">
        <f>SUM(B583:AE583)*A583</f>
        <v>0</v>
      </c>
      <c r="AG583" s="16">
        <f>SUM(B583:AE583)</f>
        <v>0</v>
      </c>
    </row>
    <row r="584" spans="1:33" x14ac:dyDescent="0.25">
      <c r="A584" s="16">
        <v>500</v>
      </c>
      <c r="B584" s="10">
        <f>SUMIFS($J$55:$J$564,$I$55:$I$564,$A584,$K$55:$K$564,B$568,$H$55:$H$564,"NG",$L$55:$L$564,$B$567)</f>
        <v>0</v>
      </c>
      <c r="C584" s="11">
        <f>SUMIFS($J$55:$J$564,$I$55:$I$564,$A584,$K$55:$K$564,C$568,$H$55:$H$564,"NG",$L$55:$L$564,$B$567)</f>
        <v>0</v>
      </c>
      <c r="D584" s="11">
        <f>SUMIFS($J$55:$J$564,$I$55:$I$564,$A584,$K$55:$K$564,D$568,$H$55:$H$564,"NG",$L$55:$L$564,$B$567)</f>
        <v>0</v>
      </c>
      <c r="E584" s="11">
        <f>SUMIFS($J$55:$J$564,$I$55:$I$564,$A584,$K$55:$K$564,E$568,$H$55:$H$564,"NG",$L$55:$L$564,$B$567)</f>
        <v>0</v>
      </c>
      <c r="F584" s="17">
        <f>SUMIFS($J$55:$J$564,$I$55:$I$564,$A584,$K$55:$K$564,F$568,$H$55:$H$564,"NG",$L$55:$L$564,$B$567)</f>
        <v>0</v>
      </c>
      <c r="G584" s="10">
        <f>SUMIFS($J$55:$J$564,$I$55:$I$564,$A584,$K$55:$K$564,G$568,$H$55:$H$564,"NG",$L$55:$L$564,$G$567)</f>
        <v>0</v>
      </c>
      <c r="H584" s="11">
        <f>SUMIFS($J$55:$J$564,$I$55:$I$564,$A584,$K$55:$K$564,H$568,$H$55:$H$564,"NG",$L$55:$L$564,$G$567)</f>
        <v>0</v>
      </c>
      <c r="I584" s="11">
        <f>SUMIFS($J$55:$J$564,$I$55:$I$564,$A584,$K$55:$K$564,I$568,$H$55:$H$564,"NG",$L$55:$L$564,$G$567)</f>
        <v>0</v>
      </c>
      <c r="J584" s="11">
        <f>SUMIFS($J$55:$J$564,$I$55:$I$564,$A584,$K$55:$K$564,J$568,$H$55:$H$564,"NG",$L$55:$L$564,$G$567)</f>
        <v>0</v>
      </c>
      <c r="K584" s="17">
        <f>SUMIFS($J$55:$J$564,$I$55:$I$564,$A584,$K$55:$K$564,K$568,$H$55:$H$564,"NG",$L$55:$L$564,$G$567)</f>
        <v>0</v>
      </c>
      <c r="L584" s="10">
        <f>SUMIFS($J$55:$J$564,$I$55:$I$564,$A584,$K$55:$K$564,L$568,$H$55:$H$564,"NG",$L$55:$L$564,$L$567)</f>
        <v>0</v>
      </c>
      <c r="M584" s="11">
        <f>SUMIFS($J$55:$J$564,$I$55:$I$564,$A584,$K$55:$K$564,M$568,$H$55:$H$564,"NG",$L$55:$L$564,$L$567)</f>
        <v>0</v>
      </c>
      <c r="N584" s="11">
        <f>SUMIFS($J$55:$J$564,$I$55:$I$564,$A584,$K$55:$K$564,N$568,$H$55:$H$564,"NG",$L$55:$L$564,$L$567)</f>
        <v>0</v>
      </c>
      <c r="O584" s="11">
        <f>SUMIFS($J$55:$J$564,$I$55:$I$564,$A584,$K$55:$K$564,O$568,$H$55:$H$564,"NG",$L$55:$L$564,$L$567)</f>
        <v>0</v>
      </c>
      <c r="P584" s="17">
        <f>SUMIFS($J$55:$J$564,$I$55:$I$564,$A584,$K$55:$K$564,P$568,$H$55:$H$564,"NG",$L$55:$L$564,$L$567)</f>
        <v>0</v>
      </c>
      <c r="Q584" s="10">
        <f>SUMIFS($J$55:$J$564,$I$55:$I$564,$A584,$K$55:$K$564,Q$568,$H$55:$H$564,"NG",$L$55:$L$564,$Q$567)</f>
        <v>0</v>
      </c>
      <c r="R584" s="11">
        <f>SUMIFS($J$55:$J$564,$I$55:$I$564,$A584,$K$55:$K$564,R$568,$H$55:$H$564,"NG",$L$55:$L$564,$Q$567)</f>
        <v>0</v>
      </c>
      <c r="S584" s="11">
        <f>SUMIFS($J$55:$J$564,$I$55:$I$564,$A584,$K$55:$K$564,S$568,$H$55:$H$564,"NG",$L$55:$L$564,$Q$567)</f>
        <v>0</v>
      </c>
      <c r="T584" s="11">
        <f>SUMIFS($J$55:$J$564,$I$55:$I$564,$A584,$K$55:$K$564,T$568,$H$55:$H$564,"NG",$L$55:$L$564,$Q$567)</f>
        <v>0</v>
      </c>
      <c r="U584" s="17">
        <f>SUMIFS($J$55:$J$564,$I$55:$I$564,$A584,$K$55:$K$564,U$568,$H$55:$H$564,"NG",$L$55:$L$564,$Q$567)</f>
        <v>0</v>
      </c>
      <c r="V584" s="10">
        <f>SUMIFS($J$55:$J$564,$I$55:$I$564,$A584,$K$55:$K$564,V$568,$H$55:$H$564,"NG",$L$55:$L$564,$V$567)</f>
        <v>0</v>
      </c>
      <c r="W584" s="11">
        <f>SUMIFS($J$55:$J$564,$I$55:$I$564,$A584,$K$55:$K$564,W$568,$H$55:$H$564,"NG",$L$55:$L$564,$V$567)</f>
        <v>0</v>
      </c>
      <c r="X584" s="11">
        <f>SUMIFS($J$55:$J$564,$I$55:$I$564,$A584,$K$55:$K$564,X$568,$H$55:$H$564,"NG",$L$55:$L$564,$V$567)</f>
        <v>0</v>
      </c>
      <c r="Y584" s="11">
        <f>SUMIFS($J$55:$J$564,$I$55:$I$564,$A584,$K$55:$K$564,Y$568,$H$55:$H$564,"NG",$L$55:$L$564,$V$567)</f>
        <v>0</v>
      </c>
      <c r="Z584" s="17">
        <f>SUMIFS($J$55:$J$564,$I$55:$I$564,$A584,$K$55:$K$564,Z$568,$H$55:$H$564,"NG",$L$55:$L$564,$V$567)</f>
        <v>0</v>
      </c>
      <c r="AA584" s="10">
        <f>SUMIFS($J$55:$J$564,$I$55:$I$564,$A584,$K$55:$K$564,AA$568,$H$55:$H$564,"NG",$L$55:$L$564,$AA$567)</f>
        <v>0</v>
      </c>
      <c r="AB584" s="11">
        <f>SUMIFS($J$55:$J$564,$I$55:$I$564,$A584,$K$55:$K$564,AB$568,$H$55:$H$564,"NG",$L$55:$L$564,$AA$567)</f>
        <v>0</v>
      </c>
      <c r="AC584" s="11">
        <f>SUMIFS($J$55:$J$564,$I$55:$I$564,$A584,$K$55:$K$564,AC$568,$H$55:$H$564,"NG",$L$55:$L$564,$AA$567)</f>
        <v>0</v>
      </c>
      <c r="AD584" s="11">
        <f>SUMIFS($J$55:$J$564,$I$55:$I$564,$A584,$K$55:$K$564,AD$568,$H$55:$H$564,"NG",$L$55:$L$564,$AA$567)</f>
        <v>0</v>
      </c>
      <c r="AE584" s="17">
        <f>SUMIFS($J$55:$J$564,$I$55:$I$564,$A584,$K$55:$K$564,AE$568,$H$55:$H$564,"NG",$L$55:$L$564,$AA$567)</f>
        <v>0</v>
      </c>
      <c r="AF584" s="16">
        <f t="shared" ref="AF584:AF591" si="117">SUM(B584:AE584)*A584</f>
        <v>0</v>
      </c>
      <c r="AG584" s="16">
        <f t="shared" ref="AG584:AG592" si="118">SUM(B584:AE584)</f>
        <v>0</v>
      </c>
    </row>
    <row r="585" spans="1:33" x14ac:dyDescent="0.25">
      <c r="A585" s="15">
        <v>750</v>
      </c>
      <c r="B585" s="8">
        <f>SUMIFS($J$55:$J$564,$I$55:$I$564,$A585,$K$55:$K$564,B$568,$H$55:$H$564,"NG",$L$55:$L$564,$B$567)</f>
        <v>0</v>
      </c>
      <c r="C585" s="6">
        <f>SUMIFS($J$55:$J$564,$I$55:$I$564,$A585,$K$55:$K$564,C$568,$H$55:$H$564,"NG",$L$55:$L$564,$B$567)</f>
        <v>0</v>
      </c>
      <c r="D585" s="6">
        <f>SUMIFS($J$55:$J$564,$I$55:$I$564,$A585,$K$55:$K$564,D$568,$H$55:$H$564,"NG",$L$55:$L$564,$B$567)</f>
        <v>0</v>
      </c>
      <c r="E585" s="6">
        <f>SUMIFS($J$55:$J$564,$I$55:$I$564,$A585,$K$55:$K$564,E$568,$H$55:$H$564,"NG",$L$55:$L$564,$B$567)</f>
        <v>0</v>
      </c>
      <c r="F585" s="13">
        <f>SUMIFS($J$55:$J$564,$I$55:$I$564,$A585,$K$55:$K$564,F$568,$H$55:$H$564,"NG",$L$55:$L$564,$B$567)</f>
        <v>0</v>
      </c>
      <c r="G585" s="8">
        <f>SUMIFS($J$55:$J$564,$I$55:$I$564,$A585,$K$55:$K$564,G$568,$H$55:$H$564,"NG",$L$55:$L$564,$G$567)</f>
        <v>0</v>
      </c>
      <c r="H585" s="6">
        <f>SUMIFS($J$55:$J$564,$I$55:$I$564,$A585,$K$55:$K$564,H$568,$H$55:$H$564,"NG",$L$55:$L$564,$G$567)</f>
        <v>0</v>
      </c>
      <c r="I585" s="6">
        <f>SUMIFS($J$55:$J$564,$I$55:$I$564,$A585,$K$55:$K$564,I$568,$H$55:$H$564,"NG",$L$55:$L$564,$G$567)</f>
        <v>0</v>
      </c>
      <c r="J585" s="6">
        <f>SUMIFS($J$55:$J$564,$I$55:$I$564,$A585,$K$55:$K$564,J$568,$H$55:$H$564,"NG",$L$55:$L$564,$G$567)</f>
        <v>0</v>
      </c>
      <c r="K585" s="13">
        <f>SUMIFS($J$55:$J$564,$I$55:$I$564,$A585,$K$55:$K$564,K$568,$H$55:$H$564,"NG",$L$55:$L$564,$G$567)</f>
        <v>0</v>
      </c>
      <c r="L585" s="8">
        <f>SUMIFS($J$55:$J$564,$I$55:$I$564,$A585,$K$55:$K$564,L$568,$H$55:$H$564,"NG",$L$55:$L$564,$L$567)</f>
        <v>0</v>
      </c>
      <c r="M585" s="6">
        <f>SUMIFS($J$55:$J$564,$I$55:$I$564,$A585,$K$55:$K$564,M$568,$H$55:$H$564,"NG",$L$55:$L$564,$L$567)</f>
        <v>0</v>
      </c>
      <c r="N585" s="6">
        <f>SUMIFS($J$55:$J$564,$I$55:$I$564,$A585,$K$55:$K$564,N$568,$H$55:$H$564,"NG",$L$55:$L$564,$L$567)</f>
        <v>0</v>
      </c>
      <c r="O585" s="6">
        <f>SUMIFS($J$55:$J$564,$I$55:$I$564,$A585,$K$55:$K$564,O$568,$H$55:$H$564,"NG",$L$55:$L$564,$L$567)</f>
        <v>0</v>
      </c>
      <c r="P585" s="13">
        <f>SUMIFS($J$55:$J$564,$I$55:$I$564,$A585,$K$55:$K$564,P$568,$H$55:$H$564,"NG",$L$55:$L$564,$L$567)</f>
        <v>0</v>
      </c>
      <c r="Q585" s="8">
        <f>SUMIFS($J$55:$J$564,$I$55:$I$564,$A585,$K$55:$K$564,Q$568,$H$55:$H$564,"NG",$L$55:$L$564,$Q$567)</f>
        <v>0</v>
      </c>
      <c r="R585" s="6">
        <f>SUMIFS($J$55:$J$564,$I$55:$I$564,$A585,$K$55:$K$564,R$568,$H$55:$H$564,"NG",$L$55:$L$564,$Q$567)</f>
        <v>0</v>
      </c>
      <c r="S585" s="6">
        <f>SUMIFS($J$55:$J$564,$I$55:$I$564,$A585,$K$55:$K$564,S$568,$H$55:$H$564,"NG",$L$55:$L$564,$Q$567)</f>
        <v>0</v>
      </c>
      <c r="T585" s="6">
        <f>SUMIFS($J$55:$J$564,$I$55:$I$564,$A585,$K$55:$K$564,T$568,$H$55:$H$564,"NG",$L$55:$L$564,$Q$567)</f>
        <v>0</v>
      </c>
      <c r="U585" s="13">
        <f>SUMIFS($J$55:$J$564,$I$55:$I$564,$A585,$K$55:$K$564,U$568,$H$55:$H$564,"NG",$L$55:$L$564,$Q$567)</f>
        <v>0</v>
      </c>
      <c r="V585" s="8">
        <f>SUMIFS($J$55:$J$564,$I$55:$I$564,$A585,$K$55:$K$564,V$568,$H$55:$H$564,"NG",$L$55:$L$564,$V$567)</f>
        <v>0</v>
      </c>
      <c r="W585" s="6">
        <f>SUMIFS($J$55:$J$564,$I$55:$I$564,$A585,$K$55:$K$564,W$568,$H$55:$H$564,"NG",$L$55:$L$564,$V$567)</f>
        <v>0</v>
      </c>
      <c r="X585" s="6">
        <f>SUMIFS($J$55:$J$564,$I$55:$I$564,$A585,$K$55:$K$564,X$568,$H$55:$H$564,"NG",$L$55:$L$564,$V$567)</f>
        <v>0</v>
      </c>
      <c r="Y585" s="6">
        <f>SUMIFS($J$55:$J$564,$I$55:$I$564,$A585,$K$55:$K$564,Y$568,$H$55:$H$564,"NG",$L$55:$L$564,$V$567)</f>
        <v>0</v>
      </c>
      <c r="Z585" s="13">
        <f>SUMIFS($J$55:$J$564,$I$55:$I$564,$A585,$K$55:$K$564,Z$568,$H$55:$H$564,"NG",$L$55:$L$564,$V$567)</f>
        <v>0</v>
      </c>
      <c r="AA585" s="8">
        <f>SUMIFS($J$55:$J$564,$I$55:$I$564,$A585,$K$55:$K$564,AA$568,$H$55:$H$564,"NG",$L$55:$L$564,$AA$567)</f>
        <v>0</v>
      </c>
      <c r="AB585" s="6">
        <f>SUMIFS($J$55:$J$564,$I$55:$I$564,$A585,$K$55:$K$564,AB$568,$H$55:$H$564,"NG",$L$55:$L$564,$AA$567)</f>
        <v>0</v>
      </c>
      <c r="AC585" s="6">
        <f>SUMIFS($J$55:$J$564,$I$55:$I$564,$A585,$K$55:$K$564,AC$568,$H$55:$H$564,"NG",$L$55:$L$564,$AA$567)</f>
        <v>0</v>
      </c>
      <c r="AD585" s="6">
        <f>SUMIFS($J$55:$J$564,$I$55:$I$564,$A585,$K$55:$K$564,AD$568,$H$55:$H$564,"NG",$L$55:$L$564,$AA$567)</f>
        <v>0</v>
      </c>
      <c r="AE585" s="13">
        <f>SUMIFS($J$55:$J$564,$I$55:$I$564,$A585,$K$55:$K$564,AE$568,$H$55:$H$564,"NG",$L$55:$L$564,$AA$567)</f>
        <v>0</v>
      </c>
      <c r="AF585" s="16">
        <f t="shared" si="117"/>
        <v>0</v>
      </c>
      <c r="AG585" s="16">
        <f t="shared" si="118"/>
        <v>0</v>
      </c>
    </row>
    <row r="586" spans="1:33" x14ac:dyDescent="0.25">
      <c r="A586" s="15">
        <v>1000</v>
      </c>
      <c r="B586" s="8">
        <f>SUMIFS($J$55:$J$564,$I$55:$I$564,$A586,$K$55:$K$564,B$568,$H$55:$H$564,"NG",$L$55:$L$564,$B$567)</f>
        <v>0</v>
      </c>
      <c r="C586" s="6">
        <f>SUMIFS($J$55:$J$564,$I$55:$I$564,$A586,$K$55:$K$564,C$568,$H$55:$H$564,"NG",$L$55:$L$564,$B$567)</f>
        <v>0</v>
      </c>
      <c r="D586" s="6">
        <f>SUMIFS($J$55:$J$564,$I$55:$I$564,$A586,$K$55:$K$564,D$568,$H$55:$H$564,"NG",$L$55:$L$564,$B$567)</f>
        <v>0</v>
      </c>
      <c r="E586" s="6">
        <f>SUMIFS($J$55:$J$564,$I$55:$I$564,$A586,$K$55:$K$564,E$568,$H$55:$H$564,"NG",$L$55:$L$564,$B$567)</f>
        <v>0</v>
      </c>
      <c r="F586" s="13">
        <f>SUMIFS($J$55:$J$564,$I$55:$I$564,$A586,$K$55:$K$564,F$568,$H$55:$H$564,"NG",$L$55:$L$564,$B$567)</f>
        <v>0</v>
      </c>
      <c r="G586" s="8">
        <f>SUMIFS($J$55:$J$564,$I$55:$I$564,$A586,$K$55:$K$564,G$568,$H$55:$H$564,"NG",$L$55:$L$564,$G$567)</f>
        <v>0</v>
      </c>
      <c r="H586" s="6">
        <f>SUMIFS($J$55:$J$564,$I$55:$I$564,$A586,$K$55:$K$564,H$568,$H$55:$H$564,"NG",$L$55:$L$564,$G$567)</f>
        <v>0</v>
      </c>
      <c r="I586" s="6">
        <f>SUMIFS($J$55:$J$564,$I$55:$I$564,$A586,$K$55:$K$564,I$568,$H$55:$H$564,"NG",$L$55:$L$564,$G$567)</f>
        <v>0</v>
      </c>
      <c r="J586" s="6">
        <f>SUMIFS($J$55:$J$564,$I$55:$I$564,$A586,$K$55:$K$564,J$568,$H$55:$H$564,"NG",$L$55:$L$564,$G$567)</f>
        <v>0</v>
      </c>
      <c r="K586" s="13">
        <f>SUMIFS($J$55:$J$564,$I$55:$I$564,$A586,$K$55:$K$564,K$568,$H$55:$H$564,"NG",$L$55:$L$564,$G$567)</f>
        <v>0</v>
      </c>
      <c r="L586" s="8">
        <f>SUMIFS($J$55:$J$564,$I$55:$I$564,$A586,$K$55:$K$564,L$568,$H$55:$H$564,"NG",$L$55:$L$564,$L$567)</f>
        <v>0</v>
      </c>
      <c r="M586" s="6">
        <f>SUMIFS($J$55:$J$564,$I$55:$I$564,$A586,$K$55:$K$564,M$568,$H$55:$H$564,"NG",$L$55:$L$564,$L$567)</f>
        <v>0</v>
      </c>
      <c r="N586" s="6">
        <f>SUMIFS($J$55:$J$564,$I$55:$I$564,$A586,$K$55:$K$564,N$568,$H$55:$H$564,"NG",$L$55:$L$564,$L$567)</f>
        <v>0</v>
      </c>
      <c r="O586" s="6">
        <f>SUMIFS($J$55:$J$564,$I$55:$I$564,$A586,$K$55:$K$564,O$568,$H$55:$H$564,"NG",$L$55:$L$564,$L$567)</f>
        <v>0</v>
      </c>
      <c r="P586" s="13">
        <f>SUMIFS($J$55:$J$564,$I$55:$I$564,$A586,$K$55:$K$564,P$568,$H$55:$H$564,"NG",$L$55:$L$564,$L$567)</f>
        <v>0</v>
      </c>
      <c r="Q586" s="8">
        <f>SUMIFS($J$55:$J$564,$I$55:$I$564,$A586,$K$55:$K$564,Q$568,$H$55:$H$564,"NG",$L$55:$L$564,$Q$567)</f>
        <v>0</v>
      </c>
      <c r="R586" s="6">
        <f>SUMIFS($J$55:$J$564,$I$55:$I$564,$A586,$K$55:$K$564,R$568,$H$55:$H$564,"NG",$L$55:$L$564,$Q$567)</f>
        <v>0</v>
      </c>
      <c r="S586" s="6">
        <f>SUMIFS($J$55:$J$564,$I$55:$I$564,$A586,$K$55:$K$564,S$568,$H$55:$H$564,"NG",$L$55:$L$564,$Q$567)</f>
        <v>0</v>
      </c>
      <c r="T586" s="6">
        <f>SUMIFS($J$55:$J$564,$I$55:$I$564,$A586,$K$55:$K$564,T$568,$H$55:$H$564,"NG",$L$55:$L$564,$Q$567)</f>
        <v>0</v>
      </c>
      <c r="U586" s="13">
        <f>SUMIFS($J$55:$J$564,$I$55:$I$564,$A586,$K$55:$K$564,U$568,$H$55:$H$564,"NG",$L$55:$L$564,$Q$567)</f>
        <v>0</v>
      </c>
      <c r="V586" s="8">
        <f>SUMIFS($J$55:$J$564,$I$55:$I$564,$A586,$K$55:$K$564,V$568,$H$55:$H$564,"NG",$L$55:$L$564,$V$567)</f>
        <v>0</v>
      </c>
      <c r="W586" s="6">
        <f>SUMIFS($J$55:$J$564,$I$55:$I$564,$A586,$K$55:$K$564,W$568,$H$55:$H$564,"NG",$L$55:$L$564,$V$567)</f>
        <v>0</v>
      </c>
      <c r="X586" s="6">
        <f>SUMIFS($J$55:$J$564,$I$55:$I$564,$A586,$K$55:$K$564,X$568,$H$55:$H$564,"NG",$L$55:$L$564,$V$567)</f>
        <v>0</v>
      </c>
      <c r="Y586" s="6">
        <f>SUMIFS($J$55:$J$564,$I$55:$I$564,$A586,$K$55:$K$564,Y$568,$H$55:$H$564,"NG",$L$55:$L$564,$V$567)</f>
        <v>0</v>
      </c>
      <c r="Z586" s="13">
        <f>SUMIFS($J$55:$J$564,$I$55:$I$564,$A586,$K$55:$K$564,Z$568,$H$55:$H$564,"NG",$L$55:$L$564,$V$567)</f>
        <v>0</v>
      </c>
      <c r="AA586" s="8">
        <f>SUMIFS($J$55:$J$564,$I$55:$I$564,$A586,$K$55:$K$564,AA$568,$H$55:$H$564,"NG",$L$55:$L$564,$AA$567)</f>
        <v>0</v>
      </c>
      <c r="AB586" s="6">
        <f>SUMIFS($J$55:$J$564,$I$55:$I$564,$A586,$K$55:$K$564,AB$568,$H$55:$H$564,"NG",$L$55:$L$564,$AA$567)</f>
        <v>0</v>
      </c>
      <c r="AC586" s="6">
        <f>SUMIFS($J$55:$J$564,$I$55:$I$564,$A586,$K$55:$K$564,AC$568,$H$55:$H$564,"NG",$L$55:$L$564,$AA$567)</f>
        <v>0</v>
      </c>
      <c r="AD586" s="6">
        <f>SUMIFS($J$55:$J$564,$I$55:$I$564,$A586,$K$55:$K$564,AD$568,$H$55:$H$564,"NG",$L$55:$L$564,$AA$567)</f>
        <v>0</v>
      </c>
      <c r="AE586" s="13">
        <f>SUMIFS($J$55:$J$564,$I$55:$I$564,$A586,$K$55:$K$564,AE$568,$H$55:$H$564,"NG",$L$55:$L$564,$AA$567)</f>
        <v>0</v>
      </c>
      <c r="AF586" s="16">
        <f t="shared" si="117"/>
        <v>0</v>
      </c>
      <c r="AG586" s="16">
        <f t="shared" si="118"/>
        <v>0</v>
      </c>
    </row>
    <row r="587" spans="1:33" x14ac:dyDescent="0.25">
      <c r="A587" s="15">
        <v>1500</v>
      </c>
      <c r="B587" s="8">
        <f>SUMIFS($J$55:$J$564,$I$55:$I$564,$A587,$K$55:$K$564,B$568,$H$55:$H$564,"NG",$L$55:$L$564,$B$567)</f>
        <v>0</v>
      </c>
      <c r="C587" s="6">
        <f>SUMIFS($J$55:$J$564,$I$55:$I$564,$A587,$K$55:$K$564,C$568,$H$55:$H$564,"NG",$L$55:$L$564,$B$567)</f>
        <v>0</v>
      </c>
      <c r="D587" s="6">
        <f>SUMIFS($J$55:$J$564,$I$55:$I$564,$A587,$K$55:$K$564,D$568,$H$55:$H$564,"NG",$L$55:$L$564,$B$567)</f>
        <v>0</v>
      </c>
      <c r="E587" s="6">
        <f>SUMIFS($J$55:$J$564,$I$55:$I$564,$A587,$K$55:$K$564,E$568,$H$55:$H$564,"NG",$L$55:$L$564,$B$567)</f>
        <v>0</v>
      </c>
      <c r="F587" s="13">
        <f>SUMIFS($J$55:$J$564,$I$55:$I$564,$A587,$K$55:$K$564,F$568,$H$55:$H$564,"NG",$L$55:$L$564,$B$567)</f>
        <v>0</v>
      </c>
      <c r="G587" s="8">
        <f>SUMIFS($J$55:$J$564,$I$55:$I$564,$A587,$K$55:$K$564,G$568,$H$55:$H$564,"NG",$L$55:$L$564,$G$567)</f>
        <v>0</v>
      </c>
      <c r="H587" s="6">
        <f>SUMIFS($J$55:$J$564,$I$55:$I$564,$A587,$K$55:$K$564,H$568,$H$55:$H$564,"NG",$L$55:$L$564,$G$567)</f>
        <v>0</v>
      </c>
      <c r="I587" s="6">
        <f>SUMIFS($J$55:$J$564,$I$55:$I$564,$A587,$K$55:$K$564,I$568,$H$55:$H$564,"NG",$L$55:$L$564,$G$567)</f>
        <v>0</v>
      </c>
      <c r="J587" s="6">
        <f>SUMIFS($J$55:$J$564,$I$55:$I$564,$A587,$K$55:$K$564,J$568,$H$55:$H$564,"NG",$L$55:$L$564,$G$567)</f>
        <v>0</v>
      </c>
      <c r="K587" s="13">
        <f>SUMIFS($J$55:$J$564,$I$55:$I$564,$A587,$K$55:$K$564,K$568,$H$55:$H$564,"NG",$L$55:$L$564,$G$567)</f>
        <v>0</v>
      </c>
      <c r="L587" s="8">
        <f>SUMIFS($J$55:$J$564,$I$55:$I$564,$A587,$K$55:$K$564,L$568,$H$55:$H$564,"NG",$L$55:$L$564,$L$567)</f>
        <v>0</v>
      </c>
      <c r="M587" s="6">
        <f>SUMIFS($J$55:$J$564,$I$55:$I$564,$A587,$K$55:$K$564,M$568,$H$55:$H$564,"NG",$L$55:$L$564,$L$567)</f>
        <v>0</v>
      </c>
      <c r="N587" s="6">
        <f>SUMIFS($J$55:$J$564,$I$55:$I$564,$A587,$K$55:$K$564,N$568,$H$55:$H$564,"NG",$L$55:$L$564,$L$567)</f>
        <v>0</v>
      </c>
      <c r="O587" s="6">
        <f>SUMIFS($J$55:$J$564,$I$55:$I$564,$A587,$K$55:$K$564,O$568,$H$55:$H$564,"NG",$L$55:$L$564,$L$567)</f>
        <v>0</v>
      </c>
      <c r="P587" s="13">
        <f>SUMIFS($J$55:$J$564,$I$55:$I$564,$A587,$K$55:$K$564,P$568,$H$55:$H$564,"NG",$L$55:$L$564,$L$567)</f>
        <v>0</v>
      </c>
      <c r="Q587" s="8">
        <f>SUMIFS($J$55:$J$564,$I$55:$I$564,$A587,$K$55:$K$564,Q$568,$H$55:$H$564,"NG",$L$55:$L$564,$Q$567)</f>
        <v>0</v>
      </c>
      <c r="R587" s="6">
        <f>SUMIFS($J$55:$J$564,$I$55:$I$564,$A587,$K$55:$K$564,R$568,$H$55:$H$564,"NG",$L$55:$L$564,$Q$567)</f>
        <v>0</v>
      </c>
      <c r="S587" s="6">
        <f>SUMIFS($J$55:$J$564,$I$55:$I$564,$A587,$K$55:$K$564,S$568,$H$55:$H$564,"NG",$L$55:$L$564,$Q$567)</f>
        <v>0</v>
      </c>
      <c r="T587" s="6">
        <f>SUMIFS($J$55:$J$564,$I$55:$I$564,$A587,$K$55:$K$564,T$568,$H$55:$H$564,"NG",$L$55:$L$564,$Q$567)</f>
        <v>0</v>
      </c>
      <c r="U587" s="13">
        <f>SUMIFS($J$55:$J$564,$I$55:$I$564,$A587,$K$55:$K$564,U$568,$H$55:$H$564,"NG",$L$55:$L$564,$Q$567)</f>
        <v>0</v>
      </c>
      <c r="V587" s="8">
        <f>SUMIFS($J$55:$J$564,$I$55:$I$564,$A587,$K$55:$K$564,V$568,$H$55:$H$564,"NG",$L$55:$L$564,$V$567)</f>
        <v>0</v>
      </c>
      <c r="W587" s="6">
        <f>SUMIFS($J$55:$J$564,$I$55:$I$564,$A587,$K$55:$K$564,W$568,$H$55:$H$564,"NG",$L$55:$L$564,$V$567)</f>
        <v>0</v>
      </c>
      <c r="X587" s="6">
        <f>SUMIFS($J$55:$J$564,$I$55:$I$564,$A587,$K$55:$K$564,X$568,$H$55:$H$564,"NG",$L$55:$L$564,$V$567)</f>
        <v>0</v>
      </c>
      <c r="Y587" s="6">
        <f>SUMIFS($J$55:$J$564,$I$55:$I$564,$A587,$K$55:$K$564,Y$568,$H$55:$H$564,"NG",$L$55:$L$564,$V$567)</f>
        <v>0</v>
      </c>
      <c r="Z587" s="13">
        <f>SUMIFS($J$55:$J$564,$I$55:$I$564,$A587,$K$55:$K$564,Z$568,$H$55:$H$564,"NG",$L$55:$L$564,$V$567)</f>
        <v>0</v>
      </c>
      <c r="AA587" s="8">
        <f>SUMIFS($J$55:$J$564,$I$55:$I$564,$A587,$K$55:$K$564,AA$568,$H$55:$H$564,"NG",$L$55:$L$564,$AA$567)</f>
        <v>0</v>
      </c>
      <c r="AB587" s="6">
        <f>SUMIFS($J$55:$J$564,$I$55:$I$564,$A587,$K$55:$K$564,AB$568,$H$55:$H$564,"NG",$L$55:$L$564,$AA$567)</f>
        <v>0</v>
      </c>
      <c r="AC587" s="6">
        <f>SUMIFS($J$55:$J$564,$I$55:$I$564,$A587,$K$55:$K$564,AC$568,$H$55:$H$564,"NG",$L$55:$L$564,$AA$567)</f>
        <v>0</v>
      </c>
      <c r="AD587" s="6">
        <f>SUMIFS($J$55:$J$564,$I$55:$I$564,$A587,$K$55:$K$564,AD$568,$H$55:$H$564,"NG",$L$55:$L$564,$AA$567)</f>
        <v>0</v>
      </c>
      <c r="AE587" s="13">
        <f>SUMIFS($J$55:$J$564,$I$55:$I$564,$A587,$K$55:$K$564,AE$568,$H$55:$H$564,"NG",$L$55:$L$564,$AA$567)</f>
        <v>0</v>
      </c>
      <c r="AF587" s="16">
        <f t="shared" si="117"/>
        <v>0</v>
      </c>
      <c r="AG587" s="16">
        <f t="shared" si="118"/>
        <v>0</v>
      </c>
    </row>
    <row r="588" spans="1:33" x14ac:dyDescent="0.25">
      <c r="A588" s="15">
        <v>2000</v>
      </c>
      <c r="B588" s="8">
        <f>SUMIFS($J$55:$J$564,$I$55:$I$564,$A588,$K$55:$K$564,B$568,$H$55:$H$564,"NG",$L$55:$L$564,$B$567)</f>
        <v>0</v>
      </c>
      <c r="C588" s="6">
        <f>SUMIFS($J$55:$J$564,$I$55:$I$564,$A588,$K$55:$K$564,C$568,$H$55:$H$564,"NG",$L$55:$L$564,$B$567)</f>
        <v>0</v>
      </c>
      <c r="D588" s="6">
        <f>SUMIFS($J$55:$J$564,$I$55:$I$564,$A588,$K$55:$K$564,D$568,$H$55:$H$564,"NG",$L$55:$L$564,$B$567)</f>
        <v>0</v>
      </c>
      <c r="E588" s="6">
        <f>SUMIFS($J$55:$J$564,$I$55:$I$564,$A588,$K$55:$K$564,E$568,$H$55:$H$564,"NG",$L$55:$L$564,$B$567)</f>
        <v>0</v>
      </c>
      <c r="F588" s="13">
        <f>SUMIFS($J$55:$J$564,$I$55:$I$564,$A588,$K$55:$K$564,F$568,$H$55:$H$564,"NG",$L$55:$L$564,$B$567)</f>
        <v>0</v>
      </c>
      <c r="G588" s="8">
        <f>SUMIFS($J$55:$J$564,$I$55:$I$564,$A588,$K$55:$K$564,G$568,$H$55:$H$564,"NG",$L$55:$L$564,$G$567)</f>
        <v>0</v>
      </c>
      <c r="H588" s="6">
        <f>SUMIFS($J$55:$J$564,$I$55:$I$564,$A588,$K$55:$K$564,H$568,$H$55:$H$564,"NG",$L$55:$L$564,$G$567)</f>
        <v>0</v>
      </c>
      <c r="I588" s="6">
        <f>SUMIFS($J$55:$J$564,$I$55:$I$564,$A588,$K$55:$K$564,I$568,$H$55:$H$564,"NG",$L$55:$L$564,$G$567)</f>
        <v>0</v>
      </c>
      <c r="J588" s="6">
        <f>SUMIFS($J$55:$J$564,$I$55:$I$564,$A588,$K$55:$K$564,J$568,$H$55:$H$564,"NG",$L$55:$L$564,$G$567)</f>
        <v>0</v>
      </c>
      <c r="K588" s="13">
        <f>SUMIFS($J$55:$J$564,$I$55:$I$564,$A588,$K$55:$K$564,K$568,$H$55:$H$564,"NG",$L$55:$L$564,$G$567)</f>
        <v>0</v>
      </c>
      <c r="L588" s="8">
        <f>SUMIFS($J$55:$J$564,$I$55:$I$564,$A588,$K$55:$K$564,L$568,$H$55:$H$564,"NG",$L$55:$L$564,$L$567)</f>
        <v>0</v>
      </c>
      <c r="M588" s="6">
        <f>SUMIFS($J$55:$J$564,$I$55:$I$564,$A588,$K$55:$K$564,M$568,$H$55:$H$564,"NG",$L$55:$L$564,$L$567)</f>
        <v>0</v>
      </c>
      <c r="N588" s="6">
        <f>SUMIFS($J$55:$J$564,$I$55:$I$564,$A588,$K$55:$K$564,N$568,$H$55:$H$564,"NG",$L$55:$L$564,$L$567)</f>
        <v>0</v>
      </c>
      <c r="O588" s="6">
        <f>SUMIFS($J$55:$J$564,$I$55:$I$564,$A588,$K$55:$K$564,O$568,$H$55:$H$564,"NG",$L$55:$L$564,$L$567)</f>
        <v>0</v>
      </c>
      <c r="P588" s="13">
        <f>SUMIFS($J$55:$J$564,$I$55:$I$564,$A588,$K$55:$K$564,P$568,$H$55:$H$564,"NG",$L$55:$L$564,$L$567)</f>
        <v>0</v>
      </c>
      <c r="Q588" s="8">
        <f>SUMIFS($J$55:$J$564,$I$55:$I$564,$A588,$K$55:$K$564,Q$568,$H$55:$H$564,"NG",$L$55:$L$564,$Q$567)</f>
        <v>0</v>
      </c>
      <c r="R588" s="6">
        <f>SUMIFS($J$55:$J$564,$I$55:$I$564,$A588,$K$55:$K$564,R$568,$H$55:$H$564,"NG",$L$55:$L$564,$Q$567)</f>
        <v>0</v>
      </c>
      <c r="S588" s="6">
        <f>SUMIFS($J$55:$J$564,$I$55:$I$564,$A588,$K$55:$K$564,S$568,$H$55:$H$564,"NG",$L$55:$L$564,$Q$567)</f>
        <v>0</v>
      </c>
      <c r="T588" s="6">
        <f>SUMIFS($J$55:$J$564,$I$55:$I$564,$A588,$K$55:$K$564,T$568,$H$55:$H$564,"NG",$L$55:$L$564,$Q$567)</f>
        <v>0</v>
      </c>
      <c r="U588" s="13">
        <f>SUMIFS($J$55:$J$564,$I$55:$I$564,$A588,$K$55:$K$564,U$568,$H$55:$H$564,"NG",$L$55:$L$564,$Q$567)</f>
        <v>0</v>
      </c>
      <c r="V588" s="8">
        <f>SUMIFS($J$55:$J$564,$I$55:$I$564,$A588,$K$55:$K$564,V$568,$H$55:$H$564,"NG",$L$55:$L$564,$V$567)</f>
        <v>0</v>
      </c>
      <c r="W588" s="6">
        <f>SUMIFS($J$55:$J$564,$I$55:$I$564,$A588,$K$55:$K$564,W$568,$H$55:$H$564,"NG",$L$55:$L$564,$V$567)</f>
        <v>0</v>
      </c>
      <c r="X588" s="6">
        <f>SUMIFS($J$55:$J$564,$I$55:$I$564,$A588,$K$55:$K$564,X$568,$H$55:$H$564,"NG",$L$55:$L$564,$V$567)</f>
        <v>0</v>
      </c>
      <c r="Y588" s="6">
        <f>SUMIFS($J$55:$J$564,$I$55:$I$564,$A588,$K$55:$K$564,Y$568,$H$55:$H$564,"NG",$L$55:$L$564,$V$567)</f>
        <v>0</v>
      </c>
      <c r="Z588" s="13">
        <f>SUMIFS($J$55:$J$564,$I$55:$I$564,$A588,$K$55:$K$564,Z$568,$H$55:$H$564,"NG",$L$55:$L$564,$V$567)</f>
        <v>0</v>
      </c>
      <c r="AA588" s="8">
        <f>SUMIFS($J$55:$J$564,$I$55:$I$564,$A588,$K$55:$K$564,AA$568,$H$55:$H$564,"NG",$L$55:$L$564,$AA$567)</f>
        <v>0</v>
      </c>
      <c r="AB588" s="6">
        <f>SUMIFS($J$55:$J$564,$I$55:$I$564,$A588,$K$55:$K$564,AB$568,$H$55:$H$564,"NG",$L$55:$L$564,$AA$567)</f>
        <v>0</v>
      </c>
      <c r="AC588" s="6">
        <f>SUMIFS($J$55:$J$564,$I$55:$I$564,$A588,$K$55:$K$564,AC$568,$H$55:$H$564,"NG",$L$55:$L$564,$AA$567)</f>
        <v>0</v>
      </c>
      <c r="AD588" s="6">
        <f>SUMIFS($J$55:$J$564,$I$55:$I$564,$A588,$K$55:$K$564,AD$568,$H$55:$H$564,"NG",$L$55:$L$564,$AA$567)</f>
        <v>0</v>
      </c>
      <c r="AE588" s="13">
        <f>SUMIFS($J$55:$J$564,$I$55:$I$564,$A588,$K$55:$K$564,AE$568,$H$55:$H$564,"NG",$L$55:$L$564,$AA$567)</f>
        <v>0</v>
      </c>
      <c r="AF588" s="16">
        <f t="shared" si="117"/>
        <v>0</v>
      </c>
      <c r="AG588" s="16">
        <f t="shared" si="118"/>
        <v>0</v>
      </c>
    </row>
    <row r="589" spans="1:33" x14ac:dyDescent="0.25">
      <c r="A589" s="15">
        <v>3000</v>
      </c>
      <c r="B589" s="8">
        <f>SUMIFS($J$55:$J$564,$I$55:$I$564,$A589,$K$55:$K$564,B$568,$H$55:$H$564,"NG",$L$55:$L$564,$B$567)</f>
        <v>0</v>
      </c>
      <c r="C589" s="6">
        <f>SUMIFS($J$55:$J$564,$I$55:$I$564,$A589,$K$55:$K$564,C$568,$H$55:$H$564,"NG",$L$55:$L$564,$B$567)</f>
        <v>0</v>
      </c>
      <c r="D589" s="6">
        <f>SUMIFS($J$55:$J$564,$I$55:$I$564,$A589,$K$55:$K$564,D$568,$H$55:$H$564,"NG",$L$55:$L$564,$B$567)</f>
        <v>0</v>
      </c>
      <c r="E589" s="6">
        <f>SUMIFS($J$55:$J$564,$I$55:$I$564,$A589,$K$55:$K$564,E$568,$H$55:$H$564,"NG",$L$55:$L$564,$B$567)</f>
        <v>0</v>
      </c>
      <c r="F589" s="13">
        <f>SUMIFS($J$55:$J$564,$I$55:$I$564,$A589,$K$55:$K$564,F$568,$H$55:$H$564,"NG",$L$55:$L$564,$B$567)</f>
        <v>0</v>
      </c>
      <c r="G589" s="8">
        <f>SUMIFS($J$55:$J$564,$I$55:$I$564,$A589,$K$55:$K$564,G$568,$H$55:$H$564,"NG",$L$55:$L$564,$G$567)</f>
        <v>0</v>
      </c>
      <c r="H589" s="6">
        <f>SUMIFS($J$55:$J$564,$I$55:$I$564,$A589,$K$55:$K$564,H$568,$H$55:$H$564,"NG",$L$55:$L$564,$G$567)</f>
        <v>0</v>
      </c>
      <c r="I589" s="6">
        <f>SUMIFS($J$55:$J$564,$I$55:$I$564,$A589,$K$55:$K$564,I$568,$H$55:$H$564,"NG",$L$55:$L$564,$G$567)</f>
        <v>0</v>
      </c>
      <c r="J589" s="6">
        <f>SUMIFS($J$55:$J$564,$I$55:$I$564,$A589,$K$55:$K$564,J$568,$H$55:$H$564,"NG",$L$55:$L$564,$G$567)</f>
        <v>0</v>
      </c>
      <c r="K589" s="13">
        <f>SUMIFS($J$55:$J$564,$I$55:$I$564,$A589,$K$55:$K$564,K$568,$H$55:$H$564,"NG",$L$55:$L$564,$G$567)</f>
        <v>0</v>
      </c>
      <c r="L589" s="8">
        <f>SUMIFS($J$55:$J$564,$I$55:$I$564,$A589,$K$55:$K$564,L$568,$H$55:$H$564,"NG",$L$55:$L$564,$L$567)</f>
        <v>0</v>
      </c>
      <c r="M589" s="6">
        <f>SUMIFS($J$55:$J$564,$I$55:$I$564,$A589,$K$55:$K$564,M$568,$H$55:$H$564,"NG",$L$55:$L$564,$L$567)</f>
        <v>0</v>
      </c>
      <c r="N589" s="6">
        <f>SUMIFS($J$55:$J$564,$I$55:$I$564,$A589,$K$55:$K$564,N$568,$H$55:$H$564,"NG",$L$55:$L$564,$L$567)</f>
        <v>0</v>
      </c>
      <c r="O589" s="6">
        <f>SUMIFS($J$55:$J$564,$I$55:$I$564,$A589,$K$55:$K$564,O$568,$H$55:$H$564,"NG",$L$55:$L$564,$L$567)</f>
        <v>0</v>
      </c>
      <c r="P589" s="13">
        <f>SUMIFS($J$55:$J$564,$I$55:$I$564,$A589,$K$55:$K$564,P$568,$H$55:$H$564,"NG",$L$55:$L$564,$L$567)</f>
        <v>0</v>
      </c>
      <c r="Q589" s="8">
        <f>SUMIFS($J$55:$J$564,$I$55:$I$564,$A589,$K$55:$K$564,Q$568,$H$55:$H$564,"NG",$L$55:$L$564,$Q$567)</f>
        <v>0</v>
      </c>
      <c r="R589" s="6">
        <f>SUMIFS($J$55:$J$564,$I$55:$I$564,$A589,$K$55:$K$564,R$568,$H$55:$H$564,"NG",$L$55:$L$564,$Q$567)</f>
        <v>0</v>
      </c>
      <c r="S589" s="6">
        <f>SUMIFS($J$55:$J$564,$I$55:$I$564,$A589,$K$55:$K$564,S$568,$H$55:$H$564,"NG",$L$55:$L$564,$Q$567)</f>
        <v>0</v>
      </c>
      <c r="T589" s="6">
        <f>SUMIFS($J$55:$J$564,$I$55:$I$564,$A589,$K$55:$K$564,T$568,$H$55:$H$564,"NG",$L$55:$L$564,$Q$567)</f>
        <v>0</v>
      </c>
      <c r="U589" s="13">
        <f>SUMIFS($J$55:$J$564,$I$55:$I$564,$A589,$K$55:$K$564,U$568,$H$55:$H$564,"NG",$L$55:$L$564,$Q$567)</f>
        <v>0</v>
      </c>
      <c r="V589" s="8">
        <f>SUMIFS($J$55:$J$564,$I$55:$I$564,$A589,$K$55:$K$564,V$568,$H$55:$H$564,"NG",$L$55:$L$564,$V$567)</f>
        <v>0</v>
      </c>
      <c r="W589" s="6">
        <f>SUMIFS($J$55:$J$564,$I$55:$I$564,$A589,$K$55:$K$564,W$568,$H$55:$H$564,"NG",$L$55:$L$564,$V$567)</f>
        <v>0</v>
      </c>
      <c r="X589" s="6">
        <f>SUMIFS($J$55:$J$564,$I$55:$I$564,$A589,$K$55:$K$564,X$568,$H$55:$H$564,"NG",$L$55:$L$564,$V$567)</f>
        <v>0</v>
      </c>
      <c r="Y589" s="6">
        <f>SUMIFS($J$55:$J$564,$I$55:$I$564,$A589,$K$55:$K$564,Y$568,$H$55:$H$564,"NG",$L$55:$L$564,$V$567)</f>
        <v>0</v>
      </c>
      <c r="Z589" s="13">
        <f>SUMIFS($J$55:$J$564,$I$55:$I$564,$A589,$K$55:$K$564,Z$568,$H$55:$H$564,"NG",$L$55:$L$564,$V$567)</f>
        <v>0</v>
      </c>
      <c r="AA589" s="8">
        <f>SUMIFS($J$55:$J$564,$I$55:$I$564,$A589,$K$55:$K$564,AA$568,$H$55:$H$564,"NG",$L$55:$L$564,$AA$567)</f>
        <v>0</v>
      </c>
      <c r="AB589" s="6">
        <f>SUMIFS($J$55:$J$564,$I$55:$I$564,$A589,$K$55:$K$564,AB$568,$H$55:$H$564,"NG",$L$55:$L$564,$AA$567)</f>
        <v>0</v>
      </c>
      <c r="AC589" s="6">
        <f>SUMIFS($J$55:$J$564,$I$55:$I$564,$A589,$K$55:$K$564,AC$568,$H$55:$H$564,"NG",$L$55:$L$564,$AA$567)</f>
        <v>0</v>
      </c>
      <c r="AD589" s="6">
        <f>SUMIFS($J$55:$J$564,$I$55:$I$564,$A589,$K$55:$K$564,AD$568,$H$55:$H$564,"NG",$L$55:$L$564,$AA$567)</f>
        <v>0</v>
      </c>
      <c r="AE589" s="13">
        <f>SUMIFS($J$55:$J$564,$I$55:$I$564,$A589,$K$55:$K$564,AE$568,$H$55:$H$564,"NG",$L$55:$L$564,$AA$567)</f>
        <v>0</v>
      </c>
      <c r="AF589" s="16">
        <f t="shared" si="117"/>
        <v>0</v>
      </c>
      <c r="AG589" s="16">
        <f t="shared" si="118"/>
        <v>0</v>
      </c>
    </row>
    <row r="590" spans="1:33" x14ac:dyDescent="0.25">
      <c r="A590" s="15">
        <v>5000</v>
      </c>
      <c r="B590" s="8">
        <f>SUMIFS($J$55:$J$564,$I$55:$I$564,$A590,$K$55:$K$564,B$568,$H$55:$H$564,"NG",$L$55:$L$564,$B$567)</f>
        <v>0</v>
      </c>
      <c r="C590" s="6">
        <f>SUMIFS($J$55:$J$564,$I$55:$I$564,$A590,$K$55:$K$564,C$568,$H$55:$H$564,"NG",$L$55:$L$564,$B$567)</f>
        <v>0</v>
      </c>
      <c r="D590" s="6">
        <f>SUMIFS($J$55:$J$564,$I$55:$I$564,$A590,$K$55:$K$564,D$568,$H$55:$H$564,"NG",$L$55:$L$564,$B$567)</f>
        <v>0</v>
      </c>
      <c r="E590" s="6">
        <f>SUMIFS($J$55:$J$564,$I$55:$I$564,$A590,$K$55:$K$564,E$568,$H$55:$H$564,"NG",$L$55:$L$564,$B$567)</f>
        <v>0</v>
      </c>
      <c r="F590" s="13">
        <f>SUMIFS($J$55:$J$564,$I$55:$I$564,$A590,$K$55:$K$564,F$568,$H$55:$H$564,"NG",$L$55:$L$564,$B$567)</f>
        <v>0</v>
      </c>
      <c r="G590" s="8">
        <f>SUMIFS($J$55:$J$564,$I$55:$I$564,$A590,$K$55:$K$564,G$568,$H$55:$H$564,"NG",$L$55:$L$564,$G$567)</f>
        <v>0</v>
      </c>
      <c r="H590" s="6">
        <f>SUMIFS($J$55:$J$564,$I$55:$I$564,$A590,$K$55:$K$564,H$568,$H$55:$H$564,"NG",$L$55:$L$564,$G$567)</f>
        <v>0</v>
      </c>
      <c r="I590" s="6">
        <f>SUMIFS($J$55:$J$564,$I$55:$I$564,$A590,$K$55:$K$564,I$568,$H$55:$H$564,"NG",$L$55:$L$564,$G$567)</f>
        <v>0</v>
      </c>
      <c r="J590" s="6">
        <f>SUMIFS($J$55:$J$564,$I$55:$I$564,$A590,$K$55:$K$564,J$568,$H$55:$H$564,"NG",$L$55:$L$564,$G$567)</f>
        <v>0</v>
      </c>
      <c r="K590" s="13">
        <f>SUMIFS($J$55:$J$564,$I$55:$I$564,$A590,$K$55:$K$564,K$568,$H$55:$H$564,"NG",$L$55:$L$564,$G$567)</f>
        <v>0</v>
      </c>
      <c r="L590" s="8">
        <f>SUMIFS($J$55:$J$564,$I$55:$I$564,$A590,$K$55:$K$564,L$568,$H$55:$H$564,"NG",$L$55:$L$564,$L$567)</f>
        <v>0</v>
      </c>
      <c r="M590" s="6">
        <f>SUMIFS($J$55:$J$564,$I$55:$I$564,$A590,$K$55:$K$564,M$568,$H$55:$H$564,"NG",$L$55:$L$564,$L$567)</f>
        <v>0</v>
      </c>
      <c r="N590" s="6">
        <f>SUMIFS($J$55:$J$564,$I$55:$I$564,$A590,$K$55:$K$564,N$568,$H$55:$H$564,"NG",$L$55:$L$564,$L$567)</f>
        <v>0</v>
      </c>
      <c r="O590" s="6">
        <f>SUMIFS($J$55:$J$564,$I$55:$I$564,$A590,$K$55:$K$564,O$568,$H$55:$H$564,"NG",$L$55:$L$564,$L$567)</f>
        <v>0</v>
      </c>
      <c r="P590" s="13">
        <f>SUMIFS($J$55:$J$564,$I$55:$I$564,$A590,$K$55:$K$564,P$568,$H$55:$H$564,"NG",$L$55:$L$564,$L$567)</f>
        <v>0</v>
      </c>
      <c r="Q590" s="8">
        <f>SUMIFS($J$55:$J$564,$I$55:$I$564,$A590,$K$55:$K$564,Q$568,$H$55:$H$564,"NG",$L$55:$L$564,$Q$567)</f>
        <v>0</v>
      </c>
      <c r="R590" s="6">
        <f>SUMIFS($J$55:$J$564,$I$55:$I$564,$A590,$K$55:$K$564,R$568,$H$55:$H$564,"NG",$L$55:$L$564,$Q$567)</f>
        <v>0</v>
      </c>
      <c r="S590" s="6">
        <f>SUMIFS($J$55:$J$564,$I$55:$I$564,$A590,$K$55:$K$564,S$568,$H$55:$H$564,"NG",$L$55:$L$564,$Q$567)</f>
        <v>0</v>
      </c>
      <c r="T590" s="6">
        <f>SUMIFS($J$55:$J$564,$I$55:$I$564,$A590,$K$55:$K$564,T$568,$H$55:$H$564,"NG",$L$55:$L$564,$Q$567)</f>
        <v>0</v>
      </c>
      <c r="U590" s="13">
        <f>SUMIFS($J$55:$J$564,$I$55:$I$564,$A590,$K$55:$K$564,U$568,$H$55:$H$564,"NG",$L$55:$L$564,$Q$567)</f>
        <v>0</v>
      </c>
      <c r="V590" s="8">
        <f>SUMIFS($J$55:$J$564,$I$55:$I$564,$A590,$K$55:$K$564,V$568,$H$55:$H$564,"NG",$L$55:$L$564,$V$567)</f>
        <v>0</v>
      </c>
      <c r="W590" s="6">
        <f>SUMIFS($J$55:$J$564,$I$55:$I$564,$A590,$K$55:$K$564,W$568,$H$55:$H$564,"NG",$L$55:$L$564,$V$567)</f>
        <v>0</v>
      </c>
      <c r="X590" s="6">
        <f>SUMIFS($J$55:$J$564,$I$55:$I$564,$A590,$K$55:$K$564,X$568,$H$55:$H$564,"NG",$L$55:$L$564,$V$567)</f>
        <v>0</v>
      </c>
      <c r="Y590" s="6">
        <f>SUMIFS($J$55:$J$564,$I$55:$I$564,$A590,$K$55:$K$564,Y$568,$H$55:$H$564,"NG",$L$55:$L$564,$V$567)</f>
        <v>0</v>
      </c>
      <c r="Z590" s="13">
        <f>SUMIFS($J$55:$J$564,$I$55:$I$564,$A590,$K$55:$K$564,Z$568,$H$55:$H$564,"NG",$L$55:$L$564,$V$567)</f>
        <v>0</v>
      </c>
      <c r="AA590" s="8">
        <f>SUMIFS($J$55:$J$564,$I$55:$I$564,$A590,$K$55:$K$564,AA$568,$H$55:$H$564,"NG",$L$55:$L$564,$AA$567)</f>
        <v>0</v>
      </c>
      <c r="AB590" s="6">
        <f>SUMIFS($J$55:$J$564,$I$55:$I$564,$A590,$K$55:$K$564,AB$568,$H$55:$H$564,"NG",$L$55:$L$564,$AA$567)</f>
        <v>0</v>
      </c>
      <c r="AC590" s="6">
        <f>SUMIFS($J$55:$J$564,$I$55:$I$564,$A590,$K$55:$K$564,AC$568,$H$55:$H$564,"NG",$L$55:$L$564,$AA$567)</f>
        <v>0</v>
      </c>
      <c r="AD590" s="6">
        <f>SUMIFS($J$55:$J$564,$I$55:$I$564,$A590,$K$55:$K$564,AD$568,$H$55:$H$564,"NG",$L$55:$L$564,$AA$567)</f>
        <v>0</v>
      </c>
      <c r="AE590" s="13">
        <f>SUMIFS($J$55:$J$564,$I$55:$I$564,$A590,$K$55:$K$564,AE$568,$H$55:$H$564,"NG",$L$55:$L$564,$AA$567)</f>
        <v>0</v>
      </c>
      <c r="AF590" s="16">
        <f t="shared" si="117"/>
        <v>0</v>
      </c>
      <c r="AG590" s="16">
        <f t="shared" si="118"/>
        <v>0</v>
      </c>
    </row>
    <row r="591" spans="1:33" ht="15.75" thickBot="1" x14ac:dyDescent="0.3">
      <c r="A591" s="59">
        <v>10000</v>
      </c>
      <c r="B591" s="31">
        <f>SUMIFS($J$55:$J$564,$I$55:$I$564,$A591,$K$55:$K$564,B$568,$H$55:$H$564,"NG",$L$55:$L$564,$B$567)</f>
        <v>0</v>
      </c>
      <c r="C591" s="32">
        <f>SUMIFS($J$55:$J$564,$I$55:$I$564,$A591,$K$55:$K$564,C$568,$H$55:$H$564,"NG",$L$55:$L$564,$B$567)</f>
        <v>0</v>
      </c>
      <c r="D591" s="32">
        <f>SUMIFS($J$55:$J$564,$I$55:$I$564,$A591,$K$55:$K$564,D$568,$H$55:$H$564,"NG",$L$55:$L$564,$B$567)</f>
        <v>0</v>
      </c>
      <c r="E591" s="32">
        <f>SUMIFS($J$55:$J$564,$I$55:$I$564,$A591,$K$55:$K$564,E$568,$H$55:$H$564,"NG",$L$55:$L$564,$B$567)</f>
        <v>0</v>
      </c>
      <c r="F591" s="33">
        <f>SUMIFS($J$55:$J$564,$I$55:$I$564,$A591,$K$55:$K$564,F$568,$H$55:$H$564,"NG",$L$55:$L$564,$B$567)</f>
        <v>0</v>
      </c>
      <c r="G591" s="31">
        <f>SUMIFS($J$55:$J$564,$I$55:$I$564,$A591,$K$55:$K$564,G$568,$H$55:$H$564,"NG",$L$55:$L$564,$G$567)</f>
        <v>0</v>
      </c>
      <c r="H591" s="32">
        <f>SUMIFS($J$55:$J$564,$I$55:$I$564,$A591,$K$55:$K$564,H$568,$H$55:$H$564,"NG",$L$55:$L$564,$G$567)</f>
        <v>0</v>
      </c>
      <c r="I591" s="32">
        <f>SUMIFS($J$55:$J$564,$I$55:$I$564,$A591,$K$55:$K$564,I$568,$H$55:$H$564,"NG",$L$55:$L$564,$G$567)</f>
        <v>0</v>
      </c>
      <c r="J591" s="32">
        <f>SUMIFS($J$55:$J$564,$I$55:$I$564,$A591,$K$55:$K$564,J$568,$H$55:$H$564,"NG",$L$55:$L$564,$G$567)</f>
        <v>0</v>
      </c>
      <c r="K591" s="33">
        <f>SUMIFS($J$55:$J$564,$I$55:$I$564,$A591,$K$55:$K$564,K$568,$H$55:$H$564,"NG",$L$55:$L$564,$G$567)</f>
        <v>0</v>
      </c>
      <c r="L591" s="31">
        <f>SUMIFS($J$55:$J$564,$I$55:$I$564,$A591,$K$55:$K$564,L$568,$H$55:$H$564,"NG",$L$55:$L$564,$L$567)</f>
        <v>0</v>
      </c>
      <c r="M591" s="32">
        <f>SUMIFS($J$55:$J$564,$I$55:$I$564,$A591,$K$55:$K$564,M$568,$H$55:$H$564,"NG",$L$55:$L$564,$L$567)</f>
        <v>0</v>
      </c>
      <c r="N591" s="32">
        <f>SUMIFS($J$55:$J$564,$I$55:$I$564,$A591,$K$55:$K$564,N$568,$H$55:$H$564,"NG",$L$55:$L$564,$L$567)</f>
        <v>0</v>
      </c>
      <c r="O591" s="32">
        <f>SUMIFS($J$55:$J$564,$I$55:$I$564,$A591,$K$55:$K$564,O$568,$H$55:$H$564,"NG",$L$55:$L$564,$L$567)</f>
        <v>0</v>
      </c>
      <c r="P591" s="33">
        <f>SUMIFS($J$55:$J$564,$I$55:$I$564,$A591,$K$55:$K$564,P$568,$H$55:$H$564,"NG",$L$55:$L$564,$L$567)</f>
        <v>0</v>
      </c>
      <c r="Q591" s="31">
        <f>SUMIFS($J$55:$J$564,$I$55:$I$564,$A591,$K$55:$K$564,Q$568,$H$55:$H$564,"NG",$L$55:$L$564,$Q$567)</f>
        <v>0</v>
      </c>
      <c r="R591" s="32">
        <f>SUMIFS($J$55:$J$564,$I$55:$I$564,$A591,$K$55:$K$564,R$568,$H$55:$H$564,"NG",$L$55:$L$564,$Q$567)</f>
        <v>0</v>
      </c>
      <c r="S591" s="32">
        <f>SUMIFS($J$55:$J$564,$I$55:$I$564,$A591,$K$55:$K$564,S$568,$H$55:$H$564,"NG",$L$55:$L$564,$Q$567)</f>
        <v>0</v>
      </c>
      <c r="T591" s="32">
        <f>SUMIFS($J$55:$J$564,$I$55:$I$564,$A591,$K$55:$K$564,T$568,$H$55:$H$564,"NG",$L$55:$L$564,$Q$567)</f>
        <v>0</v>
      </c>
      <c r="U591" s="33">
        <f>SUMIFS($J$55:$J$564,$I$55:$I$564,$A591,$K$55:$K$564,U$568,$H$55:$H$564,"NG",$L$55:$L$564,$Q$567)</f>
        <v>0</v>
      </c>
      <c r="V591" s="31">
        <f>SUMIFS($J$55:$J$564,$I$55:$I$564,$A591,$K$55:$K$564,V$568,$H$55:$H$564,"NG",$L$55:$L$564,$V$567)</f>
        <v>0</v>
      </c>
      <c r="W591" s="32">
        <f>SUMIFS($J$55:$J$564,$I$55:$I$564,$A591,$K$55:$K$564,W$568,$H$55:$H$564,"NG",$L$55:$L$564,$V$567)</f>
        <v>0</v>
      </c>
      <c r="X591" s="32">
        <f>SUMIFS($J$55:$J$564,$I$55:$I$564,$A591,$K$55:$K$564,X$568,$H$55:$H$564,"NG",$L$55:$L$564,$V$567)</f>
        <v>0</v>
      </c>
      <c r="Y591" s="32">
        <f>SUMIFS($J$55:$J$564,$I$55:$I$564,$A591,$K$55:$K$564,Y$568,$H$55:$H$564,"NG",$L$55:$L$564,$V$567)</f>
        <v>0</v>
      </c>
      <c r="Z591" s="33">
        <f>SUMIFS($J$55:$J$564,$I$55:$I$564,$A591,$K$55:$K$564,Z$568,$H$55:$H$564,"NG",$L$55:$L$564,$V$567)</f>
        <v>0</v>
      </c>
      <c r="AA591" s="31">
        <f>SUMIFS($J$55:$J$564,$I$55:$I$564,$A591,$K$55:$K$564,AA$568,$H$55:$H$564,"NG",$L$55:$L$564,$AA$567)</f>
        <v>0</v>
      </c>
      <c r="AB591" s="32">
        <f>SUMIFS($J$55:$J$564,$I$55:$I$564,$A591,$K$55:$K$564,AB$568,$H$55:$H$564,"NG",$L$55:$L$564,$AA$567)</f>
        <v>0</v>
      </c>
      <c r="AC591" s="32">
        <f>SUMIFS($J$55:$J$564,$I$55:$I$564,$A591,$K$55:$K$564,AC$568,$H$55:$H$564,"NG",$L$55:$L$564,$AA$567)</f>
        <v>0</v>
      </c>
      <c r="AD591" s="32">
        <f>SUMIFS($J$55:$J$564,$I$55:$I$564,$A591,$K$55:$K$564,AD$568,$H$55:$H$564,"NG",$L$55:$L$564,$AA$567)</f>
        <v>0</v>
      </c>
      <c r="AE591" s="33">
        <f>SUMIFS($J$55:$J$564,$I$55:$I$564,$A591,$K$55:$K$564,AE$568,$H$55:$H$564,"NG",$L$55:$L$564,$AA$567)</f>
        <v>0</v>
      </c>
      <c r="AF591" s="16">
        <f t="shared" si="117"/>
        <v>0</v>
      </c>
      <c r="AG591" s="43">
        <f t="shared" si="118"/>
        <v>0</v>
      </c>
    </row>
    <row r="592" spans="1:33" ht="15.75" thickBot="1" x14ac:dyDescent="0.3">
      <c r="A592" s="35"/>
      <c r="B592" s="60">
        <f t="shared" ref="B592:AG592" si="119">SUM(B583:B591)</f>
        <v>0</v>
      </c>
      <c r="C592" s="61">
        <f t="shared" si="119"/>
        <v>0</v>
      </c>
      <c r="D592" s="61">
        <f t="shared" si="119"/>
        <v>0</v>
      </c>
      <c r="E592" s="61">
        <f t="shared" si="119"/>
        <v>0</v>
      </c>
      <c r="F592" s="62">
        <f t="shared" si="119"/>
        <v>0</v>
      </c>
      <c r="G592" s="60">
        <f t="shared" si="119"/>
        <v>0</v>
      </c>
      <c r="H592" s="61">
        <f t="shared" si="119"/>
        <v>0</v>
      </c>
      <c r="I592" s="61">
        <f t="shared" si="119"/>
        <v>0</v>
      </c>
      <c r="J592" s="61">
        <f t="shared" si="119"/>
        <v>0</v>
      </c>
      <c r="K592" s="62">
        <f t="shared" si="119"/>
        <v>0</v>
      </c>
      <c r="L592" s="60">
        <f t="shared" si="119"/>
        <v>0</v>
      </c>
      <c r="M592" s="61">
        <f t="shared" si="119"/>
        <v>0</v>
      </c>
      <c r="N592" s="61">
        <f t="shared" si="119"/>
        <v>0</v>
      </c>
      <c r="O592" s="61">
        <f t="shared" si="119"/>
        <v>0</v>
      </c>
      <c r="P592" s="62">
        <f t="shared" si="119"/>
        <v>0</v>
      </c>
      <c r="Q592" s="60">
        <f t="shared" si="119"/>
        <v>0</v>
      </c>
      <c r="R592" s="61">
        <f t="shared" si="119"/>
        <v>0</v>
      </c>
      <c r="S592" s="61">
        <f t="shared" si="119"/>
        <v>0</v>
      </c>
      <c r="T592" s="61">
        <f t="shared" si="119"/>
        <v>0</v>
      </c>
      <c r="U592" s="62">
        <f t="shared" si="119"/>
        <v>0</v>
      </c>
      <c r="V592" s="60">
        <f t="shared" si="119"/>
        <v>0</v>
      </c>
      <c r="W592" s="61">
        <f t="shared" si="119"/>
        <v>0</v>
      </c>
      <c r="X592" s="61">
        <f t="shared" si="119"/>
        <v>0</v>
      </c>
      <c r="Y592" s="61">
        <f t="shared" si="119"/>
        <v>0</v>
      </c>
      <c r="Z592" s="62">
        <f t="shared" si="119"/>
        <v>0</v>
      </c>
      <c r="AA592" s="60">
        <f t="shared" si="119"/>
        <v>0</v>
      </c>
      <c r="AB592" s="61">
        <f t="shared" si="119"/>
        <v>0</v>
      </c>
      <c r="AC592" s="61">
        <f t="shared" si="119"/>
        <v>0</v>
      </c>
      <c r="AD592" s="61">
        <f t="shared" si="119"/>
        <v>0</v>
      </c>
      <c r="AE592" s="62">
        <f t="shared" si="119"/>
        <v>0</v>
      </c>
      <c r="AF592" s="35">
        <f>SUM(AF583:AF591)</f>
        <v>0</v>
      </c>
      <c r="AG592" s="35">
        <f t="shared" si="118"/>
        <v>0</v>
      </c>
    </row>
    <row r="593" spans="1:14" ht="15.75" thickBot="1" x14ac:dyDescent="0.3"/>
    <row r="594" spans="1:14" ht="15.75" thickBot="1" x14ac:dyDescent="0.3">
      <c r="A594" s="111" t="s">
        <v>130</v>
      </c>
      <c r="B594" s="112"/>
      <c r="D594" s="111" t="s">
        <v>131</v>
      </c>
      <c r="E594" s="112"/>
      <c r="G594" s="111" t="s">
        <v>132</v>
      </c>
      <c r="H594" s="112"/>
      <c r="J594" s="123" t="s">
        <v>31</v>
      </c>
      <c r="K594" s="113" t="s">
        <v>84</v>
      </c>
      <c r="L594" s="115"/>
      <c r="M594" s="116" t="s">
        <v>24</v>
      </c>
      <c r="N594" s="116" t="s">
        <v>86</v>
      </c>
    </row>
    <row r="595" spans="1:14" ht="15.75" thickBot="1" x14ac:dyDescent="0.3">
      <c r="A595" s="60" t="s">
        <v>27</v>
      </c>
      <c r="B595" s="62" t="s">
        <v>102</v>
      </c>
      <c r="D595" s="34" t="s">
        <v>27</v>
      </c>
      <c r="E595" s="79" t="s">
        <v>102</v>
      </c>
      <c r="G595" s="34" t="s">
        <v>27</v>
      </c>
      <c r="H595" s="79" t="s">
        <v>102</v>
      </c>
      <c r="J595" s="124"/>
      <c r="K595" s="12" t="s">
        <v>17</v>
      </c>
      <c r="L595" s="14" t="s">
        <v>19</v>
      </c>
      <c r="M595" s="117"/>
      <c r="N595" s="117"/>
    </row>
    <row r="596" spans="1:14" x14ac:dyDescent="0.25">
      <c r="A596" s="10">
        <v>225</v>
      </c>
      <c r="B596" s="17">
        <f>SUMIFS($J$55:$J$564,$H$55:$H$564,$A$594,$I$55:$I$564,A596)</f>
        <v>0</v>
      </c>
      <c r="D596" s="10">
        <v>1000</v>
      </c>
      <c r="E596" s="17">
        <f>SUMIFS($J$55:$J$564,$H$55:$H$564,$D$594,$I$55:$I$564,D596)</f>
        <v>0</v>
      </c>
      <c r="G596" s="10">
        <v>1000</v>
      </c>
      <c r="H596" s="17">
        <f>SUMIFS($J$55:$J$564,$H$55:$H$564,$G$594,$I$55:$I$564,G596)</f>
        <v>0</v>
      </c>
      <c r="J596" s="16">
        <v>300</v>
      </c>
      <c r="K596" s="11">
        <f>SUMIFS($J$55:$J$564,$I$55:$I$564,$A596,$K$55:$K$564,K$595,$H$55:$H$564,$K$594)</f>
        <v>0</v>
      </c>
      <c r="L596" s="17">
        <f>SUMIFS($J$55:$J$564,$I$55:$I$564,$A596,$K$55:$K$564,L$595,$H$55:$H$564,$K$594)</f>
        <v>0</v>
      </c>
      <c r="M596" s="16">
        <f>SUM(K596:L596)*J596</f>
        <v>0</v>
      </c>
      <c r="N596" s="16">
        <f>K596+L596</f>
        <v>0</v>
      </c>
    </row>
    <row r="597" spans="1:14" ht="15.75" thickBot="1" x14ac:dyDescent="0.3">
      <c r="A597" s="8">
        <v>325</v>
      </c>
      <c r="B597" s="17">
        <f>SUMIFS($J$55:$J$564,$H$55:$H$564,$A$594,$I$55:$I$564,A597)</f>
        <v>0</v>
      </c>
      <c r="D597" s="9">
        <v>3000</v>
      </c>
      <c r="E597" s="17">
        <f>SUMIFS($J$55:$J$564,$H$55:$H$564,$D$594,$I$55:$I$564,D597)</f>
        <v>0</v>
      </c>
      <c r="G597" s="31">
        <v>2000</v>
      </c>
      <c r="H597" s="17">
        <f>SUMIFS($J$55:$J$564,$H$55:$H$564,$G$594,$I$55:$I$564,G597)</f>
        <v>0</v>
      </c>
      <c r="J597" s="16">
        <v>500</v>
      </c>
      <c r="K597" s="11">
        <f>SUMIFS($J$55:$J$564,$I$55:$I$564,$A597,$K$55:$K$564,K$595,$H$55:$H$564,$K$594)</f>
        <v>0</v>
      </c>
      <c r="L597" s="17">
        <f>SUMIFS($J$55:$J$564,$I$55:$I$564,$A597,$K$55:$K$564,L$595,$H$55:$H$564,$K$594)</f>
        <v>0</v>
      </c>
      <c r="M597" s="16">
        <f t="shared" ref="M597:M604" si="120">SUM(K597:L597)*J597</f>
        <v>0</v>
      </c>
      <c r="N597" s="16">
        <f t="shared" ref="N597:N604" si="121">K597+L597</f>
        <v>0</v>
      </c>
    </row>
    <row r="598" spans="1:14" ht="15.75" thickBot="1" x14ac:dyDescent="0.3">
      <c r="A598" s="8">
        <v>400</v>
      </c>
      <c r="B598" s="17">
        <f>SUMIFS($J$55:$J$564,$H$55:$H$564,$A$594,$I$55:$I$564,A598)</f>
        <v>0</v>
      </c>
      <c r="D598" s="60" t="s">
        <v>24</v>
      </c>
      <c r="E598" s="62">
        <f>SUMPRODUCT(D596:D597,E596:E597)</f>
        <v>0</v>
      </c>
      <c r="G598" s="60" t="s">
        <v>24</v>
      </c>
      <c r="H598" s="62">
        <f>SUMPRODUCT(G596:G597,H596:H597)</f>
        <v>0</v>
      </c>
      <c r="J598" s="15">
        <v>750</v>
      </c>
      <c r="K598" s="11">
        <f>SUMIFS($J$55:$J$564,$I$55:$I$564,$A598,$K$55:$K$564,K$595,$H$55:$H$564,$K$594)</f>
        <v>0</v>
      </c>
      <c r="L598" s="17">
        <f>SUMIFS($J$55:$J$564,$I$55:$I$564,$A598,$K$55:$K$564,L$595,$H$55:$H$564,$K$594)</f>
        <v>0</v>
      </c>
      <c r="M598" s="16">
        <f t="shared" si="120"/>
        <v>0</v>
      </c>
      <c r="N598" s="16">
        <f t="shared" si="121"/>
        <v>0</v>
      </c>
    </row>
    <row r="599" spans="1:14" x14ac:dyDescent="0.25">
      <c r="A599" s="8">
        <v>500</v>
      </c>
      <c r="B599" s="17">
        <f>SUMIFS($J$55:$J$564,$H$55:$H$564,$A$594,$I$55:$I$564,A599)</f>
        <v>0</v>
      </c>
      <c r="J599" s="15">
        <v>1000</v>
      </c>
      <c r="K599" s="11">
        <f>SUMIFS($J$55:$J$564,$I$55:$I$564,$A599,$K$55:$K$564,K$595,$H$55:$H$564,$K$594)</f>
        <v>0</v>
      </c>
      <c r="L599" s="17">
        <f>SUMIFS($J$55:$J$564,$I$55:$I$564,$A599,$K$55:$K$564,L$595,$H$55:$H$564,$K$594)</f>
        <v>0</v>
      </c>
      <c r="M599" s="16">
        <f t="shared" si="120"/>
        <v>0</v>
      </c>
      <c r="N599" s="16">
        <f t="shared" si="121"/>
        <v>0</v>
      </c>
    </row>
    <row r="600" spans="1:14" x14ac:dyDescent="0.25">
      <c r="A600" s="8">
        <v>750</v>
      </c>
      <c r="B600" s="17">
        <f>SUMIFS($J$55:$J$564,$H$55:$H$564,$A$594,$I$55:$I$564,A600)</f>
        <v>0</v>
      </c>
      <c r="J600" s="15">
        <v>1500</v>
      </c>
      <c r="K600" s="11">
        <f>SUMIFS($J$55:$J$564,$I$55:$I$564,$A600,$K$55:$K$564,K$595,$H$55:$H$564,$K$594)</f>
        <v>0</v>
      </c>
      <c r="L600" s="17">
        <f>SUMIFS($J$55:$J$564,$I$55:$I$564,$A600,$K$55:$K$564,L$595,$H$55:$H$564,$K$594)</f>
        <v>0</v>
      </c>
      <c r="M600" s="16">
        <f t="shared" si="120"/>
        <v>0</v>
      </c>
      <c r="N600" s="16">
        <f t="shared" si="121"/>
        <v>0</v>
      </c>
    </row>
    <row r="601" spans="1:14" ht="15.75" thickBot="1" x14ac:dyDescent="0.3">
      <c r="A601" s="9">
        <v>1000</v>
      </c>
      <c r="B601" s="17">
        <f>SUMIFS($J$55:$J$564,$H$55:$H$564,$A$594,$I$55:$I$564,A601)</f>
        <v>0</v>
      </c>
      <c r="J601" s="15">
        <v>2000</v>
      </c>
      <c r="K601" s="11">
        <f>SUMIFS($J$55:$J$564,$I$55:$I$564,$A601,$K$55:$K$564,K$595,$H$55:$H$564,$K$594)</f>
        <v>0</v>
      </c>
      <c r="L601" s="17">
        <f>SUMIFS($J$55:$J$564,$I$55:$I$564,$A601,$K$55:$K$564,L$595,$H$55:$H$564,$K$594)</f>
        <v>0</v>
      </c>
      <c r="M601" s="16">
        <f t="shared" si="120"/>
        <v>0</v>
      </c>
      <c r="N601" s="16">
        <f t="shared" si="121"/>
        <v>0</v>
      </c>
    </row>
    <row r="602" spans="1:14" ht="15.75" thickBot="1" x14ac:dyDescent="0.3">
      <c r="A602" s="60" t="s">
        <v>24</v>
      </c>
      <c r="B602" s="62">
        <f>SUMPRODUCT(A596:A601,B596:B601)</f>
        <v>0</v>
      </c>
      <c r="J602" s="15">
        <v>3000</v>
      </c>
      <c r="K602" s="11">
        <f>SUMIFS($J$55:$J$564,$I$55:$I$564,$A602,$K$55:$K$564,K$595,$H$55:$H$564,$K$594)</f>
        <v>0</v>
      </c>
      <c r="L602" s="17">
        <f>SUMIFS($J$55:$J$564,$I$55:$I$564,$A602,$K$55:$K$564,L$595,$H$55:$H$564,$K$594)</f>
        <v>0</v>
      </c>
      <c r="M602" s="16">
        <f t="shared" si="120"/>
        <v>0</v>
      </c>
      <c r="N602" s="16">
        <f t="shared" si="121"/>
        <v>0</v>
      </c>
    </row>
    <row r="603" spans="1:14" x14ac:dyDescent="0.25">
      <c r="A603" s="28"/>
      <c r="B603" s="28"/>
      <c r="J603" s="15">
        <v>5000</v>
      </c>
      <c r="K603" s="11">
        <f>SUMIFS($J$55:$J$564,$I$55:$I$564,$A603,$K$55:$K$564,K$595,$H$55:$H$564,$K$594)</f>
        <v>0</v>
      </c>
      <c r="L603" s="17">
        <f>SUMIFS($J$55:$J$564,$I$55:$I$564,$A603,$K$55:$K$564,L$595,$H$55:$H$564,$K$594)</f>
        <v>0</v>
      </c>
      <c r="M603" s="16">
        <f t="shared" si="120"/>
        <v>0</v>
      </c>
      <c r="N603" s="16">
        <f t="shared" si="121"/>
        <v>0</v>
      </c>
    </row>
    <row r="604" spans="1:14" ht="15.75" thickBot="1" x14ac:dyDescent="0.3">
      <c r="J604" s="59">
        <v>10000</v>
      </c>
      <c r="K604" s="11">
        <f>SUMIFS($J$55:$J$564,$I$55:$I$564,$A604,$K$55:$K$564,K$595,$H$55:$H$564,$K$594)</f>
        <v>0</v>
      </c>
      <c r="L604" s="17">
        <f>SUMIFS($J$55:$J$564,$I$55:$I$564,$A604,$K$55:$K$564,L$595,$H$55:$H$564,$K$594)</f>
        <v>0</v>
      </c>
      <c r="M604" s="16">
        <f t="shared" si="120"/>
        <v>0</v>
      </c>
      <c r="N604" s="16">
        <f t="shared" si="121"/>
        <v>0</v>
      </c>
    </row>
    <row r="605" spans="1:14" ht="15.75" thickBot="1" x14ac:dyDescent="0.3">
      <c r="J605" s="35"/>
      <c r="K605" s="61">
        <f>SUM(K596:K604)</f>
        <v>0</v>
      </c>
      <c r="L605" s="62">
        <f>SUM(L596:L604)</f>
        <v>0</v>
      </c>
      <c r="M605" s="35">
        <f t="shared" ref="M605:N605" si="122">SUM(M596:M604)</f>
        <v>0</v>
      </c>
      <c r="N605" s="35">
        <f t="shared" si="122"/>
        <v>0</v>
      </c>
    </row>
    <row r="609" spans="1:2" x14ac:dyDescent="0.25">
      <c r="A609" s="28"/>
      <c r="B609" s="28"/>
    </row>
  </sheetData>
  <sortState xmlns:xlrd2="http://schemas.microsoft.com/office/spreadsheetml/2017/richdata2" ref="A2:BJ43">
    <sortCondition ref="E2:E43"/>
  </sortState>
  <mergeCells count="31">
    <mergeCell ref="A566:AG566"/>
    <mergeCell ref="A580:AG580"/>
    <mergeCell ref="M594:M595"/>
    <mergeCell ref="N594:N595"/>
    <mergeCell ref="L581:P581"/>
    <mergeCell ref="Q581:U581"/>
    <mergeCell ref="V581:Z581"/>
    <mergeCell ref="AA581:AE581"/>
    <mergeCell ref="AF581:AF582"/>
    <mergeCell ref="V53:X53"/>
    <mergeCell ref="V565:X565"/>
    <mergeCell ref="T53:U53"/>
    <mergeCell ref="T565:U565"/>
    <mergeCell ref="A567:A568"/>
    <mergeCell ref="B567:F567"/>
    <mergeCell ref="G567:K567"/>
    <mergeCell ref="L567:P567"/>
    <mergeCell ref="Q567:U567"/>
    <mergeCell ref="V567:Z567"/>
    <mergeCell ref="A581:A582"/>
    <mergeCell ref="B581:F581"/>
    <mergeCell ref="G581:K581"/>
    <mergeCell ref="G594:H594"/>
    <mergeCell ref="AA567:AE567"/>
    <mergeCell ref="AF567:AF568"/>
    <mergeCell ref="AG567:AG568"/>
    <mergeCell ref="A594:B594"/>
    <mergeCell ref="D594:E594"/>
    <mergeCell ref="AG581:AG582"/>
    <mergeCell ref="J594:J595"/>
    <mergeCell ref="K594:L594"/>
  </mergeCells>
  <pageMargins left="0.2" right="0.2" top="0.43" bottom="0.34" header="0.31496062992125984" footer="0.31496062992125984"/>
  <pageSetup paperSize="9" scale="85" orientation="landscape" r:id="rId1"/>
  <headerFooter>
    <oddFooter>&amp;LPRINTED ON &amp;D AT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BY609"/>
  <sheetViews>
    <sheetView showZeros="0" topLeftCell="A46" workbookViewId="0">
      <selection activeCell="T595" sqref="T595"/>
    </sheetView>
  </sheetViews>
  <sheetFormatPr defaultRowHeight="15" x14ac:dyDescent="0.25"/>
  <cols>
    <col min="1" max="1" width="6.85546875" customWidth="1"/>
    <col min="2" max="2" width="5.140625" bestFit="1" customWidth="1"/>
    <col min="3" max="3" width="4.42578125" customWidth="1"/>
    <col min="4" max="4" width="6.85546875" customWidth="1"/>
    <col min="5" max="5" width="5.42578125" customWidth="1"/>
    <col min="6" max="6" width="4.42578125" customWidth="1"/>
    <col min="7" max="7" width="6.85546875" customWidth="1"/>
    <col min="8" max="8" width="5.42578125" customWidth="1"/>
    <col min="9" max="9" width="4.42578125" customWidth="1"/>
    <col min="10" max="10" width="6.85546875" customWidth="1"/>
    <col min="11" max="12" width="4.7109375" customWidth="1"/>
    <col min="13" max="14" width="6.7109375" customWidth="1"/>
    <col min="15" max="31" width="4.42578125" customWidth="1"/>
    <col min="32" max="33" width="6.85546875" customWidth="1"/>
    <col min="34" max="34" width="7" bestFit="1" customWidth="1"/>
    <col min="35" max="35" width="6.85546875" bestFit="1" customWidth="1"/>
    <col min="36" max="58" width="3.85546875" customWidth="1"/>
  </cols>
  <sheetData>
    <row r="1" spans="1:77" s="28" customFormat="1" ht="16.5" customHeight="1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15</v>
      </c>
      <c r="J1" s="24" t="s">
        <v>133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133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133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12</v>
      </c>
      <c r="AB1" s="24" t="s">
        <v>133</v>
      </c>
      <c r="AC1" s="24" t="s">
        <v>8</v>
      </c>
      <c r="AD1" s="24" t="s">
        <v>9</v>
      </c>
      <c r="AE1" s="24" t="s">
        <v>10</v>
      </c>
      <c r="AF1" s="24" t="s">
        <v>11</v>
      </c>
      <c r="AG1" s="24" t="s">
        <v>12</v>
      </c>
      <c r="AH1" s="24" t="s">
        <v>133</v>
      </c>
      <c r="AI1" s="24" t="s">
        <v>8</v>
      </c>
      <c r="AJ1" s="24" t="s">
        <v>9</v>
      </c>
      <c r="AK1" s="24" t="s">
        <v>10</v>
      </c>
      <c r="AL1" s="24" t="s">
        <v>11</v>
      </c>
      <c r="AM1" s="24" t="s">
        <v>12</v>
      </c>
      <c r="AN1" s="24" t="s">
        <v>133</v>
      </c>
      <c r="AO1" s="24" t="s">
        <v>8</v>
      </c>
      <c r="AP1" s="24" t="s">
        <v>9</v>
      </c>
      <c r="AQ1" s="24" t="s">
        <v>10</v>
      </c>
      <c r="AR1" s="24" t="s">
        <v>11</v>
      </c>
      <c r="AS1" s="24" t="s">
        <v>12</v>
      </c>
      <c r="AT1" s="24" t="s">
        <v>133</v>
      </c>
      <c r="AU1" s="24" t="s">
        <v>8</v>
      </c>
      <c r="AV1" s="24" t="s">
        <v>9</v>
      </c>
      <c r="AW1" s="24" t="s">
        <v>10</v>
      </c>
      <c r="AX1" s="24" t="s">
        <v>11</v>
      </c>
      <c r="AY1" s="24" t="s">
        <v>12</v>
      </c>
      <c r="AZ1" s="24" t="s">
        <v>133</v>
      </c>
      <c r="BA1" s="24" t="s">
        <v>8</v>
      </c>
      <c r="BB1" s="24" t="s">
        <v>9</v>
      </c>
      <c r="BC1" s="24" t="s">
        <v>10</v>
      </c>
      <c r="BD1" s="24" t="s">
        <v>11</v>
      </c>
      <c r="BE1" s="24" t="s">
        <v>12</v>
      </c>
      <c r="BF1" s="24" t="s">
        <v>133</v>
      </c>
      <c r="BG1" s="24" t="s">
        <v>8</v>
      </c>
      <c r="BH1" s="24" t="s">
        <v>9</v>
      </c>
      <c r="BI1" s="24" t="s">
        <v>10</v>
      </c>
      <c r="BJ1" s="24" t="s">
        <v>11</v>
      </c>
      <c r="BK1" s="24" t="s">
        <v>12</v>
      </c>
      <c r="BL1" s="24" t="s">
        <v>133</v>
      </c>
      <c r="BM1" s="24" t="s">
        <v>8</v>
      </c>
      <c r="BN1" s="24" t="s">
        <v>9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36</v>
      </c>
      <c r="BU1" s="26"/>
      <c r="BV1" s="27"/>
      <c r="BW1" s="27"/>
      <c r="BX1" s="27"/>
      <c r="BY1" s="27"/>
    </row>
    <row r="2" spans="1:77" s="53" customFormat="1" ht="18.75" customHeight="1" thickBot="1" x14ac:dyDescent="0.3"/>
    <row r="3" spans="1:77" s="56" customFormat="1" ht="15.75" thickBot="1" x14ac:dyDescent="0.3">
      <c r="A3" s="48"/>
      <c r="B3" s="49"/>
      <c r="C3" s="20"/>
      <c r="D3" s="20"/>
      <c r="E3" s="20"/>
      <c r="F3" s="20"/>
      <c r="G3" s="20"/>
      <c r="H3" s="20"/>
      <c r="I3" s="20"/>
      <c r="J3" s="48"/>
      <c r="K3" s="48"/>
      <c r="L3" s="48"/>
      <c r="M3" s="20"/>
      <c r="N3" s="20"/>
      <c r="O3" s="48"/>
      <c r="P3" s="48"/>
      <c r="Q3" s="48"/>
      <c r="R3" s="48"/>
      <c r="S3" s="20"/>
      <c r="T3" s="20"/>
      <c r="U3" s="48"/>
      <c r="V3" s="48"/>
      <c r="W3" s="48"/>
      <c r="X3" s="48"/>
      <c r="Y3" s="20"/>
      <c r="Z3" s="20"/>
      <c r="AA3" s="48"/>
      <c r="AB3" s="48"/>
      <c r="AC3" s="48"/>
      <c r="AD3" s="48"/>
      <c r="AE3" s="20"/>
      <c r="AF3" s="20"/>
      <c r="AG3" s="48"/>
      <c r="AH3" s="48"/>
      <c r="AI3" s="48"/>
      <c r="AJ3" s="48"/>
      <c r="AK3" s="20"/>
      <c r="AL3" s="20"/>
      <c r="AM3" s="48"/>
      <c r="AN3" s="48"/>
      <c r="AO3" s="20"/>
      <c r="AP3" s="20"/>
      <c r="AQ3" s="20"/>
      <c r="AR3" s="20"/>
      <c r="AS3" s="20"/>
      <c r="AT3" s="48"/>
      <c r="AU3" s="20"/>
      <c r="AV3" s="20"/>
      <c r="AW3" s="20"/>
      <c r="AX3" s="20"/>
      <c r="AY3" s="20"/>
      <c r="AZ3" s="48"/>
      <c r="BA3" s="20"/>
      <c r="BB3" s="20"/>
      <c r="BC3" s="20"/>
      <c r="BD3" s="20"/>
      <c r="BE3" s="20"/>
      <c r="BF3" s="48"/>
      <c r="BG3" s="20"/>
      <c r="BH3" s="20"/>
      <c r="BI3" s="20"/>
      <c r="BJ3" s="20"/>
      <c r="BK3" s="20"/>
      <c r="BL3" s="48"/>
      <c r="BM3" s="20"/>
      <c r="BN3" s="20"/>
      <c r="BO3" s="20"/>
      <c r="BP3" s="20"/>
      <c r="BQ3" s="20"/>
      <c r="BR3" s="20"/>
      <c r="BS3" s="20"/>
      <c r="BT3" s="55"/>
      <c r="BU3" s="20"/>
      <c r="BV3" s="20"/>
      <c r="BW3" s="20"/>
      <c r="BX3" s="20"/>
      <c r="BY3" s="20"/>
    </row>
    <row r="4" spans="1:77" s="56" customFormat="1" ht="15.75" thickBot="1" x14ac:dyDescent="0.3">
      <c r="A4" s="48"/>
      <c r="B4" s="49"/>
      <c r="C4" s="20"/>
      <c r="D4" s="20"/>
      <c r="E4" s="20"/>
      <c r="F4" s="20"/>
      <c r="G4" s="20"/>
      <c r="H4" s="20"/>
      <c r="I4" s="20"/>
      <c r="J4" s="48"/>
      <c r="K4" s="48"/>
      <c r="L4" s="48"/>
      <c r="M4" s="20"/>
      <c r="N4" s="20"/>
      <c r="O4" s="48"/>
      <c r="P4" s="48"/>
      <c r="Q4" s="48"/>
      <c r="R4" s="48"/>
      <c r="S4" s="20"/>
      <c r="T4" s="20"/>
      <c r="U4" s="48"/>
      <c r="V4" s="48"/>
      <c r="W4" s="48"/>
      <c r="X4" s="48"/>
      <c r="Y4" s="20"/>
      <c r="Z4" s="20"/>
      <c r="AA4" s="48"/>
      <c r="AB4" s="48"/>
      <c r="AC4" s="48"/>
      <c r="AD4" s="48"/>
      <c r="AE4" s="20"/>
      <c r="AF4" s="20"/>
      <c r="AG4" s="48"/>
      <c r="AH4" s="48"/>
      <c r="AI4" s="48"/>
      <c r="AJ4" s="48"/>
      <c r="AK4" s="20"/>
      <c r="AL4" s="20"/>
      <c r="AM4" s="48"/>
      <c r="AN4" s="48"/>
      <c r="AO4" s="20"/>
      <c r="AP4" s="20"/>
      <c r="AQ4" s="20"/>
      <c r="AR4" s="20"/>
      <c r="AS4" s="20"/>
      <c r="AT4" s="48"/>
      <c r="AU4" s="20"/>
      <c r="AV4" s="20"/>
      <c r="AW4" s="20"/>
      <c r="AX4" s="20"/>
      <c r="AY4" s="20"/>
      <c r="AZ4" s="48"/>
      <c r="BA4" s="20"/>
      <c r="BB4" s="20"/>
      <c r="BC4" s="20"/>
      <c r="BD4" s="20"/>
      <c r="BE4" s="20"/>
      <c r="BF4" s="48"/>
      <c r="BG4" s="20"/>
      <c r="BH4" s="20"/>
      <c r="BI4" s="20"/>
      <c r="BJ4" s="20"/>
      <c r="BK4" s="20"/>
      <c r="BL4" s="48"/>
      <c r="BM4" s="20"/>
      <c r="BN4" s="20"/>
      <c r="BO4" s="20"/>
      <c r="BP4" s="20"/>
      <c r="BQ4" s="20"/>
      <c r="BR4" s="20"/>
      <c r="BS4" s="20"/>
      <c r="BT4" s="55"/>
      <c r="BU4" s="20"/>
      <c r="BV4" s="20"/>
      <c r="BW4" s="20"/>
      <c r="BX4" s="20"/>
      <c r="BY4" s="20"/>
    </row>
    <row r="5" spans="1:77" s="56" customFormat="1" ht="15.75" thickBot="1" x14ac:dyDescent="0.3">
      <c r="A5" s="48"/>
      <c r="B5" s="49"/>
      <c r="C5" s="20"/>
      <c r="D5" s="20"/>
      <c r="E5" s="20"/>
      <c r="F5" s="20"/>
      <c r="G5" s="20"/>
      <c r="H5" s="20"/>
      <c r="I5" s="20"/>
      <c r="J5" s="48"/>
      <c r="K5" s="48"/>
      <c r="L5" s="48"/>
      <c r="M5" s="20"/>
      <c r="N5" s="20"/>
      <c r="O5" s="48"/>
      <c r="P5" s="48"/>
      <c r="Q5" s="48"/>
      <c r="R5" s="48"/>
      <c r="S5" s="20"/>
      <c r="T5" s="20"/>
      <c r="U5" s="48"/>
      <c r="V5" s="48"/>
      <c r="W5" s="48"/>
      <c r="X5" s="48"/>
      <c r="Y5" s="20"/>
      <c r="Z5" s="20"/>
      <c r="AA5" s="48"/>
      <c r="AB5" s="48"/>
      <c r="AC5" s="48"/>
      <c r="AD5" s="48"/>
      <c r="AE5" s="20"/>
      <c r="AF5" s="20"/>
      <c r="AG5" s="48"/>
      <c r="AH5" s="48"/>
      <c r="AI5" s="48"/>
      <c r="AJ5" s="48"/>
      <c r="AK5" s="20"/>
      <c r="AL5" s="20"/>
      <c r="AM5" s="48"/>
      <c r="AN5" s="48"/>
      <c r="AO5" s="20"/>
      <c r="AP5" s="20"/>
      <c r="AQ5" s="20"/>
      <c r="AR5" s="20"/>
      <c r="AS5" s="20"/>
      <c r="AT5" s="48"/>
      <c r="AU5" s="20"/>
      <c r="AV5" s="20"/>
      <c r="AW5" s="20"/>
      <c r="AX5" s="20"/>
      <c r="AY5" s="20"/>
      <c r="AZ5" s="48"/>
      <c r="BA5" s="20"/>
      <c r="BB5" s="20"/>
      <c r="BC5" s="20"/>
      <c r="BD5" s="20"/>
      <c r="BE5" s="20"/>
      <c r="BF5" s="48"/>
      <c r="BG5" s="20"/>
      <c r="BH5" s="20"/>
      <c r="BI5" s="20"/>
      <c r="BJ5" s="20"/>
      <c r="BK5" s="20"/>
      <c r="BL5" s="48"/>
      <c r="BM5" s="20"/>
      <c r="BN5" s="20"/>
      <c r="BO5" s="20"/>
      <c r="BP5" s="20"/>
      <c r="BQ5" s="20"/>
      <c r="BR5" s="20"/>
      <c r="BS5" s="20"/>
      <c r="BT5" s="55"/>
      <c r="BU5" s="20"/>
      <c r="BV5" s="20"/>
      <c r="BW5" s="20"/>
      <c r="BX5" s="20"/>
      <c r="BY5" s="20"/>
    </row>
    <row r="6" spans="1:77" s="56" customFormat="1" ht="15.75" thickBot="1" x14ac:dyDescent="0.3">
      <c r="A6" s="48"/>
      <c r="B6" s="49"/>
      <c r="C6" s="20"/>
      <c r="D6" s="20"/>
      <c r="E6" s="20"/>
      <c r="F6" s="20"/>
      <c r="G6" s="20"/>
      <c r="H6" s="20"/>
      <c r="I6" s="20"/>
      <c r="J6" s="48"/>
      <c r="K6" s="48"/>
      <c r="L6" s="48"/>
      <c r="M6" s="20"/>
      <c r="N6" s="20"/>
      <c r="O6" s="48"/>
      <c r="P6" s="48"/>
      <c r="Q6" s="48"/>
      <c r="R6" s="48"/>
      <c r="S6" s="20"/>
      <c r="T6" s="20"/>
      <c r="U6" s="48"/>
      <c r="V6" s="48"/>
      <c r="W6" s="48"/>
      <c r="X6" s="48"/>
      <c r="Y6" s="20"/>
      <c r="Z6" s="20"/>
      <c r="AA6" s="48"/>
      <c r="AB6" s="48"/>
      <c r="AC6" s="48"/>
      <c r="AD6" s="48"/>
      <c r="AE6" s="20"/>
      <c r="AF6" s="20"/>
      <c r="AG6" s="48"/>
      <c r="AH6" s="48"/>
      <c r="AI6" s="48"/>
      <c r="AJ6" s="48"/>
      <c r="AK6" s="20"/>
      <c r="AL6" s="20"/>
      <c r="AM6" s="48"/>
      <c r="AN6" s="48"/>
      <c r="AO6" s="20"/>
      <c r="AP6" s="20"/>
      <c r="AQ6" s="20"/>
      <c r="AR6" s="20"/>
      <c r="AS6" s="20"/>
      <c r="AT6" s="48"/>
      <c r="AU6" s="20"/>
      <c r="AV6" s="20"/>
      <c r="AW6" s="20"/>
      <c r="AX6" s="20"/>
      <c r="AY6" s="20"/>
      <c r="AZ6" s="48"/>
      <c r="BA6" s="20"/>
      <c r="BB6" s="20"/>
      <c r="BC6" s="20"/>
      <c r="BD6" s="20"/>
      <c r="BE6" s="20"/>
      <c r="BF6" s="48"/>
      <c r="BG6" s="20"/>
      <c r="BH6" s="20"/>
      <c r="BI6" s="20"/>
      <c r="BJ6" s="20"/>
      <c r="BK6" s="20"/>
      <c r="BL6" s="48"/>
      <c r="BM6" s="20"/>
      <c r="BN6" s="20"/>
      <c r="BO6" s="20"/>
      <c r="BP6" s="20"/>
      <c r="BQ6" s="20"/>
      <c r="BR6" s="20"/>
      <c r="BS6" s="20"/>
      <c r="BT6" s="55"/>
      <c r="BU6" s="20"/>
      <c r="BV6" s="20"/>
      <c r="BW6" s="20"/>
      <c r="BX6" s="20"/>
      <c r="BY6" s="20"/>
    </row>
    <row r="7" spans="1:77" s="56" customFormat="1" ht="15.75" thickBot="1" x14ac:dyDescent="0.3">
      <c r="A7" s="48"/>
      <c r="B7" s="49"/>
      <c r="C7" s="20"/>
      <c r="D7" s="20"/>
      <c r="E7" s="20"/>
      <c r="F7" s="20"/>
      <c r="G7" s="20"/>
      <c r="H7" s="20"/>
      <c r="I7" s="20"/>
      <c r="J7" s="48"/>
      <c r="K7" s="48"/>
      <c r="L7" s="48"/>
      <c r="M7" s="20"/>
      <c r="N7" s="20"/>
      <c r="O7" s="48"/>
      <c r="P7" s="48"/>
      <c r="Q7" s="48"/>
      <c r="R7" s="48"/>
      <c r="S7" s="20"/>
      <c r="T7" s="20"/>
      <c r="U7" s="48"/>
      <c r="V7" s="48"/>
      <c r="W7" s="48"/>
      <c r="X7" s="48"/>
      <c r="Y7" s="20"/>
      <c r="Z7" s="20"/>
      <c r="AA7" s="48"/>
      <c r="AB7" s="48"/>
      <c r="AC7" s="48"/>
      <c r="AD7" s="48"/>
      <c r="AE7" s="20"/>
      <c r="AF7" s="20"/>
      <c r="AG7" s="48"/>
      <c r="AH7" s="48"/>
      <c r="AI7" s="48"/>
      <c r="AJ7" s="48"/>
      <c r="AK7" s="20"/>
      <c r="AL7" s="20"/>
      <c r="AM7" s="48"/>
      <c r="AN7" s="48"/>
      <c r="AO7" s="20"/>
      <c r="AP7" s="20"/>
      <c r="AQ7" s="20"/>
      <c r="AR7" s="20"/>
      <c r="AS7" s="20"/>
      <c r="AT7" s="48"/>
      <c r="AU7" s="20"/>
      <c r="AV7" s="20"/>
      <c r="AW7" s="20"/>
      <c r="AX7" s="20"/>
      <c r="AY7" s="20"/>
      <c r="AZ7" s="48"/>
      <c r="BA7" s="20"/>
      <c r="BB7" s="20"/>
      <c r="BC7" s="20"/>
      <c r="BD7" s="20"/>
      <c r="BE7" s="20"/>
      <c r="BF7" s="48"/>
      <c r="BG7" s="20"/>
      <c r="BH7" s="20"/>
      <c r="BI7" s="20"/>
      <c r="BJ7" s="20"/>
      <c r="BK7" s="20"/>
      <c r="BL7" s="48"/>
      <c r="BM7" s="20"/>
      <c r="BN7" s="20"/>
      <c r="BO7" s="20"/>
      <c r="BP7" s="20"/>
      <c r="BQ7" s="20"/>
      <c r="BR7" s="20"/>
      <c r="BS7" s="20"/>
      <c r="BT7" s="55"/>
      <c r="BU7" s="20"/>
      <c r="BV7" s="20"/>
      <c r="BW7" s="20"/>
      <c r="BX7" s="20"/>
      <c r="BY7" s="20"/>
    </row>
    <row r="8" spans="1:77" s="56" customFormat="1" ht="15.75" thickBot="1" x14ac:dyDescent="0.3">
      <c r="A8" s="48"/>
      <c r="B8" s="49"/>
      <c r="C8" s="20"/>
      <c r="D8" s="20"/>
      <c r="E8" s="20"/>
      <c r="F8" s="20"/>
      <c r="G8" s="20"/>
      <c r="H8" s="20"/>
      <c r="I8" s="20"/>
      <c r="J8" s="48"/>
      <c r="K8" s="48"/>
      <c r="L8" s="48"/>
      <c r="M8" s="20"/>
      <c r="N8" s="20"/>
      <c r="O8" s="48"/>
      <c r="P8" s="48"/>
      <c r="Q8" s="48"/>
      <c r="R8" s="48"/>
      <c r="S8" s="20"/>
      <c r="T8" s="20"/>
      <c r="U8" s="48"/>
      <c r="V8" s="48"/>
      <c r="W8" s="48"/>
      <c r="X8" s="48"/>
      <c r="Y8" s="20"/>
      <c r="Z8" s="20"/>
      <c r="AA8" s="48"/>
      <c r="AB8" s="48"/>
      <c r="AC8" s="48"/>
      <c r="AD8" s="48"/>
      <c r="AE8" s="20"/>
      <c r="AF8" s="20"/>
      <c r="AG8" s="48"/>
      <c r="AH8" s="48"/>
      <c r="AI8" s="48"/>
      <c r="AJ8" s="48"/>
      <c r="AK8" s="20"/>
      <c r="AL8" s="20"/>
      <c r="AM8" s="48"/>
      <c r="AN8" s="48"/>
      <c r="AO8" s="20"/>
      <c r="AP8" s="20"/>
      <c r="AQ8" s="20"/>
      <c r="AR8" s="20"/>
      <c r="AS8" s="20"/>
      <c r="AT8" s="48"/>
      <c r="AU8" s="20"/>
      <c r="AV8" s="20"/>
      <c r="AW8" s="20"/>
      <c r="AX8" s="20"/>
      <c r="AY8" s="20"/>
      <c r="AZ8" s="48"/>
      <c r="BA8" s="20"/>
      <c r="BB8" s="20"/>
      <c r="BC8" s="20"/>
      <c r="BD8" s="20"/>
      <c r="BE8" s="20"/>
      <c r="BF8" s="48"/>
      <c r="BG8" s="20"/>
      <c r="BH8" s="20"/>
      <c r="BI8" s="20"/>
      <c r="BJ8" s="20"/>
      <c r="BK8" s="20"/>
      <c r="BL8" s="48"/>
      <c r="BM8" s="20"/>
      <c r="BN8" s="20"/>
      <c r="BO8" s="20"/>
      <c r="BP8" s="20"/>
      <c r="BQ8" s="20"/>
      <c r="BR8" s="20"/>
      <c r="BS8" s="20"/>
      <c r="BT8" s="55"/>
      <c r="BU8" s="20"/>
      <c r="BV8" s="20"/>
      <c r="BW8" s="20"/>
      <c r="BX8" s="20"/>
      <c r="BY8" s="20"/>
    </row>
    <row r="9" spans="1:77" s="56" customFormat="1" ht="15.75" thickBot="1" x14ac:dyDescent="0.3">
      <c r="A9" s="48"/>
      <c r="B9" s="49"/>
      <c r="C9" s="20"/>
      <c r="D9" s="20"/>
      <c r="E9" s="20"/>
      <c r="F9" s="20"/>
      <c r="G9" s="20"/>
      <c r="H9" s="20"/>
      <c r="I9" s="20"/>
      <c r="J9" s="48"/>
      <c r="K9" s="48"/>
      <c r="L9" s="48"/>
      <c r="M9" s="20"/>
      <c r="N9" s="20"/>
      <c r="O9" s="48"/>
      <c r="P9" s="48"/>
      <c r="Q9" s="48"/>
      <c r="R9" s="48"/>
      <c r="S9" s="20"/>
      <c r="T9" s="20"/>
      <c r="U9" s="48"/>
      <c r="V9" s="48"/>
      <c r="W9" s="48"/>
      <c r="X9" s="48"/>
      <c r="Y9" s="20"/>
      <c r="Z9" s="20"/>
      <c r="AA9" s="48"/>
      <c r="AB9" s="48"/>
      <c r="AC9" s="48"/>
      <c r="AD9" s="48"/>
      <c r="AE9" s="20"/>
      <c r="AF9" s="20"/>
      <c r="AG9" s="48"/>
      <c r="AH9" s="48"/>
      <c r="AI9" s="48"/>
      <c r="AJ9" s="48"/>
      <c r="AK9" s="20"/>
      <c r="AL9" s="20"/>
      <c r="AM9" s="48"/>
      <c r="AN9" s="48"/>
      <c r="AO9" s="20"/>
      <c r="AP9" s="20"/>
      <c r="AQ9" s="20"/>
      <c r="AR9" s="20"/>
      <c r="AS9" s="20"/>
      <c r="AT9" s="48"/>
      <c r="AU9" s="20"/>
      <c r="AV9" s="20"/>
      <c r="AW9" s="20"/>
      <c r="AX9" s="20"/>
      <c r="AY9" s="20"/>
      <c r="AZ9" s="48"/>
      <c r="BA9" s="20"/>
      <c r="BB9" s="20"/>
      <c r="BC9" s="20"/>
      <c r="BD9" s="20"/>
      <c r="BE9" s="20"/>
      <c r="BF9" s="48"/>
      <c r="BG9" s="20"/>
      <c r="BH9" s="20"/>
      <c r="BI9" s="20"/>
      <c r="BJ9" s="20"/>
      <c r="BK9" s="20"/>
      <c r="BL9" s="48"/>
      <c r="BM9" s="20"/>
      <c r="BN9" s="20"/>
      <c r="BO9" s="20"/>
      <c r="BP9" s="20"/>
      <c r="BQ9" s="20"/>
      <c r="BR9" s="20"/>
      <c r="BS9" s="20"/>
      <c r="BT9" s="55"/>
      <c r="BU9" s="20"/>
      <c r="BV9" s="20"/>
      <c r="BW9" s="20"/>
      <c r="BX9" s="20"/>
      <c r="BY9" s="20"/>
    </row>
    <row r="10" spans="1:77" s="56" customFormat="1" ht="15.75" thickBot="1" x14ac:dyDescent="0.3">
      <c r="A10" s="48"/>
      <c r="B10" s="49"/>
      <c r="C10" s="20"/>
      <c r="D10" s="20"/>
      <c r="E10" s="20"/>
      <c r="F10" s="20"/>
      <c r="G10" s="20"/>
      <c r="H10" s="20"/>
      <c r="I10" s="20"/>
      <c r="J10" s="48"/>
      <c r="K10" s="48"/>
      <c r="L10" s="48"/>
      <c r="M10" s="20"/>
      <c r="N10" s="20"/>
      <c r="O10" s="48"/>
      <c r="P10" s="48"/>
      <c r="Q10" s="48"/>
      <c r="R10" s="48"/>
      <c r="S10" s="20"/>
      <c r="T10" s="20"/>
      <c r="U10" s="48"/>
      <c r="V10" s="48"/>
      <c r="W10" s="48"/>
      <c r="X10" s="48"/>
      <c r="Y10" s="20"/>
      <c r="Z10" s="20"/>
      <c r="AA10" s="48"/>
      <c r="AB10" s="48"/>
      <c r="AC10" s="48"/>
      <c r="AD10" s="48"/>
      <c r="AE10" s="20"/>
      <c r="AF10" s="20"/>
      <c r="AG10" s="48"/>
      <c r="AH10" s="48"/>
      <c r="AI10" s="48"/>
      <c r="AJ10" s="48"/>
      <c r="AK10" s="20"/>
      <c r="AL10" s="20"/>
      <c r="AM10" s="48"/>
      <c r="AN10" s="48"/>
      <c r="AO10" s="20"/>
      <c r="AP10" s="20"/>
      <c r="AQ10" s="20"/>
      <c r="AR10" s="20"/>
      <c r="AS10" s="20"/>
      <c r="AT10" s="48"/>
      <c r="AU10" s="20"/>
      <c r="AV10" s="20"/>
      <c r="AW10" s="20"/>
      <c r="AX10" s="20"/>
      <c r="AY10" s="20"/>
      <c r="AZ10" s="48"/>
      <c r="BA10" s="20"/>
      <c r="BB10" s="20"/>
      <c r="BC10" s="20"/>
      <c r="BD10" s="20"/>
      <c r="BE10" s="20"/>
      <c r="BF10" s="48"/>
      <c r="BG10" s="20"/>
      <c r="BH10" s="20"/>
      <c r="BI10" s="20"/>
      <c r="BJ10" s="20"/>
      <c r="BK10" s="20"/>
      <c r="BL10" s="48"/>
      <c r="BM10" s="20"/>
      <c r="BN10" s="20"/>
      <c r="BO10" s="20"/>
      <c r="BP10" s="20"/>
      <c r="BQ10" s="20"/>
      <c r="BR10" s="20"/>
      <c r="BS10" s="20"/>
      <c r="BT10" s="55"/>
      <c r="BU10" s="20"/>
      <c r="BV10" s="20"/>
      <c r="BW10" s="20"/>
      <c r="BX10" s="20"/>
      <c r="BY10" s="20"/>
    </row>
    <row r="11" spans="1:77" s="56" customFormat="1" ht="15.75" thickBot="1" x14ac:dyDescent="0.3">
      <c r="A11" s="48"/>
      <c r="B11" s="49"/>
      <c r="C11" s="20"/>
      <c r="D11" s="20"/>
      <c r="E11" s="20"/>
      <c r="F11" s="20"/>
      <c r="G11" s="20"/>
      <c r="H11" s="20"/>
      <c r="I11" s="20"/>
      <c r="J11" s="48"/>
      <c r="K11" s="48"/>
      <c r="L11" s="48"/>
      <c r="M11" s="20"/>
      <c r="N11" s="20"/>
      <c r="O11" s="48"/>
      <c r="P11" s="48"/>
      <c r="Q11" s="48"/>
      <c r="R11" s="48"/>
      <c r="S11" s="20"/>
      <c r="T11" s="20"/>
      <c r="U11" s="48"/>
      <c r="V11" s="48"/>
      <c r="W11" s="48"/>
      <c r="X11" s="48"/>
      <c r="Y11" s="20"/>
      <c r="Z11" s="20"/>
      <c r="AA11" s="48"/>
      <c r="AB11" s="48"/>
      <c r="AC11" s="48"/>
      <c r="AD11" s="48"/>
      <c r="AE11" s="20"/>
      <c r="AF11" s="20"/>
      <c r="AG11" s="48"/>
      <c r="AH11" s="48"/>
      <c r="AI11" s="48"/>
      <c r="AJ11" s="48"/>
      <c r="AK11" s="20"/>
      <c r="AL11" s="20"/>
      <c r="AM11" s="48"/>
      <c r="AN11" s="48"/>
      <c r="AO11" s="20"/>
      <c r="AP11" s="20"/>
      <c r="AQ11" s="20"/>
      <c r="AR11" s="20"/>
      <c r="AS11" s="20"/>
      <c r="AT11" s="48"/>
      <c r="AU11" s="20"/>
      <c r="AV11" s="20"/>
      <c r="AW11" s="20"/>
      <c r="AX11" s="20"/>
      <c r="AY11" s="20"/>
      <c r="AZ11" s="48"/>
      <c r="BA11" s="20"/>
      <c r="BB11" s="20"/>
      <c r="BC11" s="20"/>
      <c r="BD11" s="20"/>
      <c r="BE11" s="20"/>
      <c r="BF11" s="48"/>
      <c r="BG11" s="20"/>
      <c r="BH11" s="20"/>
      <c r="BI11" s="20"/>
      <c r="BJ11" s="20"/>
      <c r="BK11" s="20"/>
      <c r="BL11" s="48"/>
      <c r="BM11" s="20"/>
      <c r="BN11" s="20"/>
      <c r="BO11" s="20"/>
      <c r="BP11" s="20"/>
      <c r="BQ11" s="20"/>
      <c r="BR11" s="20"/>
      <c r="BS11" s="20"/>
      <c r="BT11" s="55"/>
      <c r="BU11" s="20"/>
      <c r="BV11" s="20"/>
      <c r="BW11" s="20"/>
      <c r="BX11" s="20"/>
      <c r="BY11" s="20"/>
    </row>
    <row r="12" spans="1:77" s="56" customFormat="1" ht="15.75" thickBot="1" x14ac:dyDescent="0.3">
      <c r="A12" s="3"/>
      <c r="B12" s="2"/>
      <c r="C12" s="1"/>
      <c r="D12" s="1"/>
      <c r="E12" s="1"/>
      <c r="F12" s="1"/>
      <c r="G12" s="1"/>
      <c r="H12" s="1"/>
      <c r="I12" s="1"/>
      <c r="J12" s="3"/>
      <c r="K12" s="3"/>
      <c r="L12" s="1"/>
      <c r="M12" s="1"/>
      <c r="N12" s="3"/>
      <c r="O12" s="3"/>
      <c r="P12" s="3"/>
      <c r="Q12" s="1"/>
      <c r="R12" s="1"/>
      <c r="S12" s="3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9"/>
      <c r="BI12" s="1"/>
      <c r="BJ12" s="77"/>
      <c r="BK12" s="1"/>
      <c r="BL12" s="1"/>
      <c r="BM12" s="1"/>
      <c r="BN12" s="1"/>
      <c r="BO12" s="1"/>
      <c r="BP12" s="1"/>
    </row>
    <row r="13" spans="1:77" s="56" customFormat="1" ht="15.75" thickBot="1" x14ac:dyDescent="0.3">
      <c r="A13" s="3"/>
      <c r="B13" s="2"/>
      <c r="C13" s="1"/>
      <c r="D13" s="1"/>
      <c r="E13" s="1"/>
      <c r="F13" s="1"/>
      <c r="G13" s="1"/>
      <c r="H13" s="1"/>
      <c r="I13" s="1"/>
      <c r="J13" s="3"/>
      <c r="K13" s="3"/>
      <c r="L13" s="1"/>
      <c r="M13" s="1"/>
      <c r="N13" s="3"/>
      <c r="O13" s="3"/>
      <c r="P13" s="3"/>
      <c r="Q13" s="1"/>
      <c r="R13" s="1"/>
      <c r="S13" s="3"/>
      <c r="T13" s="3"/>
      <c r="U13" s="3"/>
      <c r="V13" s="1"/>
      <c r="W13" s="1"/>
      <c r="X13" s="1"/>
      <c r="Y13" s="3"/>
      <c r="Z13" s="3"/>
      <c r="AA13" s="1"/>
      <c r="AB13" s="1"/>
      <c r="AC13" s="3"/>
      <c r="AD13" s="3"/>
      <c r="AE13" s="3"/>
      <c r="AF13" s="1"/>
      <c r="AG13" s="1"/>
      <c r="AH13" s="3"/>
      <c r="AI13" s="3"/>
      <c r="AJ13" s="3"/>
      <c r="AK13" s="1"/>
      <c r="AL13" s="1"/>
      <c r="AM13" s="3"/>
      <c r="AN13" s="3"/>
      <c r="AO13" s="3"/>
      <c r="AP13" s="1"/>
      <c r="AQ13" s="1"/>
      <c r="AR13" s="3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77"/>
      <c r="BK13" s="1"/>
      <c r="BL13" s="1"/>
      <c r="BM13" s="1"/>
      <c r="BN13" s="1"/>
      <c r="BO13" s="1"/>
      <c r="BP13" s="1"/>
    </row>
    <row r="14" spans="1:77" s="56" customFormat="1" ht="15.75" thickBot="1" x14ac:dyDescent="0.3">
      <c r="A14" s="3"/>
      <c r="B14" s="2"/>
      <c r="C14" s="1"/>
      <c r="D14" s="1"/>
      <c r="E14" s="1"/>
      <c r="F14" s="1"/>
      <c r="G14" s="1"/>
      <c r="H14" s="1"/>
      <c r="I14" s="1"/>
      <c r="J14" s="3"/>
      <c r="K14" s="3"/>
      <c r="L14" s="1"/>
      <c r="M14" s="1"/>
      <c r="N14" s="3"/>
      <c r="O14" s="3"/>
      <c r="P14" s="3"/>
      <c r="Q14" s="1"/>
      <c r="R14" s="1"/>
      <c r="S14" s="3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9"/>
      <c r="BI14" s="1"/>
      <c r="BJ14" s="77"/>
      <c r="BK14" s="1"/>
      <c r="BL14" s="1"/>
      <c r="BM14" s="1"/>
      <c r="BN14" s="1"/>
      <c r="BO14" s="1"/>
      <c r="BP14" s="1"/>
    </row>
    <row r="15" spans="1:77" s="56" customFormat="1" ht="18" customHeight="1" thickBot="1" x14ac:dyDescent="0.3">
      <c r="A15" s="3"/>
      <c r="B15" s="2"/>
      <c r="C15" s="1"/>
      <c r="D15" s="1"/>
      <c r="E15" s="1"/>
      <c r="F15" s="1"/>
      <c r="G15" s="1"/>
      <c r="H15" s="1"/>
      <c r="I15" s="1"/>
      <c r="J15" s="3"/>
      <c r="K15" s="3"/>
      <c r="L15" s="1"/>
      <c r="M15" s="1"/>
      <c r="N15" s="3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9"/>
      <c r="BI15" s="1"/>
      <c r="BJ15" s="77"/>
      <c r="BK15" s="1"/>
      <c r="BL15" s="1"/>
      <c r="BM15" s="1"/>
      <c r="BN15" s="1"/>
      <c r="BO15" s="1"/>
      <c r="BP15" s="1"/>
    </row>
    <row r="16" spans="1:77" s="56" customFormat="1" ht="17.25" customHeight="1" thickBot="1" x14ac:dyDescent="0.3">
      <c r="A16" s="3"/>
      <c r="B16" s="2"/>
      <c r="C16" s="1"/>
      <c r="D16" s="1"/>
      <c r="E16" s="1"/>
      <c r="F16" s="1"/>
      <c r="G16" s="1"/>
      <c r="H16" s="1"/>
      <c r="I16" s="1"/>
      <c r="J16" s="3"/>
      <c r="K16" s="3"/>
      <c r="L16" s="1"/>
      <c r="M16" s="1"/>
      <c r="N16" s="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9"/>
      <c r="BI16" s="1"/>
      <c r="BJ16" s="77"/>
      <c r="BK16" s="1"/>
      <c r="BL16" s="1"/>
      <c r="BM16" s="1"/>
      <c r="BN16" s="1"/>
      <c r="BO16" s="1"/>
      <c r="BP16" s="1"/>
    </row>
    <row r="17" spans="1:68" s="56" customFormat="1" ht="15.75" thickBot="1" x14ac:dyDescent="0.3">
      <c r="A17" s="3"/>
      <c r="B17" s="2"/>
      <c r="C17" s="1"/>
      <c r="D17" s="1"/>
      <c r="E17" s="1"/>
      <c r="F17" s="1"/>
      <c r="G17" s="1"/>
      <c r="H17" s="1"/>
      <c r="I17" s="1"/>
      <c r="J17" s="3"/>
      <c r="K17" s="3"/>
      <c r="L17" s="1"/>
      <c r="M17" s="1"/>
      <c r="N17" s="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77"/>
      <c r="BK17" s="1"/>
      <c r="BL17" s="1"/>
      <c r="BM17" s="1"/>
      <c r="BN17" s="1"/>
      <c r="BO17" s="1"/>
      <c r="BP17" s="1"/>
    </row>
    <row r="18" spans="1:68" s="56" customFormat="1" ht="18.75" customHeight="1" thickBot="1" x14ac:dyDescent="0.3">
      <c r="A18" s="3"/>
      <c r="B18" s="2"/>
      <c r="C18" s="1"/>
      <c r="D18" s="1"/>
      <c r="E18" s="1"/>
      <c r="F18" s="3"/>
      <c r="G18" s="1"/>
      <c r="H18" s="1"/>
      <c r="I18" s="1"/>
      <c r="J18" s="3"/>
      <c r="K18" s="3"/>
      <c r="L18" s="1"/>
      <c r="M18" s="1"/>
      <c r="N18" s="3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77"/>
      <c r="BK18" s="1"/>
      <c r="BL18" s="1"/>
      <c r="BM18" s="1"/>
      <c r="BN18" s="1"/>
      <c r="BO18" s="1"/>
      <c r="BP18" s="1"/>
    </row>
    <row r="19" spans="1:68" ht="15.75" thickBot="1" x14ac:dyDescent="0.3">
      <c r="A19" s="3"/>
      <c r="B19" s="2"/>
      <c r="C19" s="1"/>
      <c r="D19" s="1"/>
      <c r="E19" s="1"/>
      <c r="F19" s="1"/>
      <c r="G19" s="1"/>
      <c r="H19" s="1"/>
      <c r="I19" s="1"/>
      <c r="J19" s="3"/>
      <c r="K19" s="3"/>
      <c r="L19" s="1"/>
      <c r="M19" s="1"/>
      <c r="N19" s="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77"/>
      <c r="BK19" s="1"/>
      <c r="BL19" s="1"/>
      <c r="BM19" s="1"/>
      <c r="BN19" s="1"/>
      <c r="BO19" s="1"/>
      <c r="BP19" s="1"/>
    </row>
    <row r="20" spans="1:68" s="73" customFormat="1" ht="15.75" thickBot="1" x14ac:dyDescent="0.3">
      <c r="A20" s="3"/>
      <c r="B20" s="2"/>
      <c r="C20" s="1"/>
      <c r="D20" s="1"/>
      <c r="E20" s="1"/>
      <c r="F20" s="3"/>
      <c r="G20" s="1"/>
      <c r="H20" s="1"/>
      <c r="I20" s="1"/>
      <c r="J20" s="3"/>
      <c r="K20" s="3"/>
      <c r="L20" s="1"/>
      <c r="M20" s="1"/>
      <c r="N20" s="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77"/>
      <c r="BK20" s="1"/>
      <c r="BL20" s="1"/>
      <c r="BM20" s="1"/>
      <c r="BN20" s="1"/>
      <c r="BO20" s="1"/>
      <c r="BP20" s="1"/>
    </row>
    <row r="21" spans="1:68" s="73" customFormat="1" ht="39" customHeight="1" thickBot="1" x14ac:dyDescent="0.3">
      <c r="A21" s="3"/>
      <c r="B21" s="2"/>
      <c r="C21" s="1"/>
      <c r="D21" s="1"/>
      <c r="E21" s="1"/>
      <c r="F21" s="1"/>
      <c r="G21" s="1"/>
      <c r="H21" s="1"/>
      <c r="I21" s="1"/>
      <c r="J21" s="3"/>
      <c r="K21" s="3"/>
      <c r="L21" s="1"/>
      <c r="M21" s="1"/>
      <c r="N21" s="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77"/>
      <c r="BK21" s="1"/>
      <c r="BL21" s="1"/>
      <c r="BM21" s="1"/>
      <c r="BN21" s="1"/>
      <c r="BO21" s="1"/>
      <c r="BP21" s="1"/>
    </row>
    <row r="22" spans="1:68" s="56" customFormat="1" ht="39" customHeight="1" thickBot="1" x14ac:dyDescent="0.3">
      <c r="A22" s="3"/>
      <c r="B22" s="2"/>
      <c r="C22" s="1"/>
      <c r="D22" s="1"/>
      <c r="E22" s="1"/>
      <c r="F22" s="1"/>
      <c r="G22" s="1"/>
      <c r="H22" s="1"/>
      <c r="I22" s="1"/>
      <c r="J22" s="3"/>
      <c r="K22" s="3"/>
      <c r="L22" s="1"/>
      <c r="M22" s="1"/>
      <c r="N22" s="3"/>
      <c r="O22" s="3"/>
      <c r="P22" s="3"/>
      <c r="Q22" s="1"/>
      <c r="R22" s="1"/>
      <c r="S22" s="3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9"/>
      <c r="BI22" s="1"/>
      <c r="BJ22" s="77"/>
      <c r="BK22" s="1"/>
      <c r="BL22" s="1"/>
      <c r="BM22" s="1"/>
      <c r="BN22" s="1"/>
      <c r="BO22" s="1"/>
      <c r="BP22" s="1"/>
    </row>
    <row r="23" spans="1:68" s="56" customFormat="1" ht="18.75" customHeight="1" thickBot="1" x14ac:dyDescent="0.3">
      <c r="A23" s="3"/>
      <c r="B23" s="2"/>
      <c r="C23" s="1"/>
      <c r="D23" s="1"/>
      <c r="E23" s="1"/>
      <c r="F23" s="1"/>
      <c r="G23" s="1"/>
      <c r="H23" s="1"/>
      <c r="I23" s="1"/>
      <c r="J23" s="3"/>
      <c r="K23" s="3"/>
      <c r="L23" s="1"/>
      <c r="M23" s="1"/>
      <c r="N23" s="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9"/>
      <c r="BI23" s="1"/>
      <c r="BJ23" s="77"/>
      <c r="BK23" s="1"/>
      <c r="BL23" s="1"/>
      <c r="BM23" s="1"/>
      <c r="BN23" s="1"/>
      <c r="BO23" s="1"/>
      <c r="BP23" s="1"/>
    </row>
    <row r="24" spans="1:68" s="73" customFormat="1" ht="17.25" customHeight="1" thickBot="1" x14ac:dyDescent="0.3">
      <c r="A24" s="3"/>
      <c r="B24" s="2"/>
      <c r="C24" s="1"/>
      <c r="D24" s="1"/>
      <c r="E24" s="1"/>
      <c r="F24" s="1"/>
      <c r="G24" s="1"/>
      <c r="H24" s="1"/>
      <c r="I24" s="1"/>
      <c r="J24" s="3"/>
      <c r="K24" s="3"/>
      <c r="L24" s="1"/>
      <c r="M24" s="1"/>
      <c r="N24" s="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9"/>
      <c r="BI24" s="1"/>
      <c r="BJ24" s="77"/>
      <c r="BK24" s="1"/>
      <c r="BL24" s="1"/>
      <c r="BM24" s="1"/>
      <c r="BN24" s="1"/>
      <c r="BO24" s="1"/>
      <c r="BP24" s="1"/>
    </row>
    <row r="25" spans="1:68" s="56" customFormat="1" ht="17.45" customHeight="1" thickBot="1" x14ac:dyDescent="0.3">
      <c r="A25" s="75"/>
      <c r="B25" s="49"/>
      <c r="C25" s="20"/>
      <c r="D25" s="20"/>
      <c r="E25" s="20"/>
      <c r="F25" s="20"/>
      <c r="G25" s="20"/>
      <c r="H25" s="20"/>
      <c r="I25" s="20"/>
      <c r="J25" s="48"/>
      <c r="K25" s="48"/>
      <c r="L25" s="20"/>
      <c r="M25" s="20"/>
      <c r="N25" s="48"/>
      <c r="O25" s="48"/>
      <c r="P25" s="48"/>
      <c r="Q25" s="20"/>
      <c r="R25" s="20"/>
      <c r="S25" s="48"/>
      <c r="T25" s="48"/>
      <c r="U25" s="48"/>
      <c r="V25" s="20"/>
      <c r="W25" s="20"/>
      <c r="X25" s="48"/>
      <c r="Y25" s="48"/>
      <c r="Z25" s="48"/>
      <c r="AA25" s="20"/>
      <c r="AB25" s="20"/>
      <c r="AC25" s="48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19"/>
      <c r="BI25" s="20"/>
      <c r="BJ25" s="55"/>
      <c r="BK25" s="20"/>
      <c r="BL25" s="20"/>
      <c r="BM25" s="20"/>
      <c r="BN25" s="20"/>
      <c r="BO25" s="20"/>
      <c r="BP25" s="20"/>
    </row>
    <row r="26" spans="1:68" s="56" customFormat="1" ht="15.75" customHeight="1" thickBot="1" x14ac:dyDescent="0.3">
      <c r="A26" s="75"/>
      <c r="B26" s="49"/>
      <c r="C26" s="20"/>
      <c r="D26" s="20"/>
      <c r="E26" s="20"/>
      <c r="F26" s="20"/>
      <c r="G26" s="20"/>
      <c r="H26" s="20"/>
      <c r="I26" s="20"/>
      <c r="J26" s="48"/>
      <c r="K26" s="48"/>
      <c r="L26" s="20"/>
      <c r="M26" s="20"/>
      <c r="N26" s="48"/>
      <c r="O26" s="48"/>
      <c r="P26" s="48"/>
      <c r="Q26" s="20"/>
      <c r="R26" s="20"/>
      <c r="S26" s="48"/>
      <c r="T26" s="48"/>
      <c r="U26" s="48"/>
      <c r="V26" s="20"/>
      <c r="W26" s="20"/>
      <c r="X26" s="48"/>
      <c r="Y26" s="48"/>
      <c r="Z26" s="48"/>
      <c r="AA26" s="20"/>
      <c r="AB26" s="20"/>
      <c r="AC26" s="48"/>
      <c r="AD26" s="48"/>
      <c r="AE26" s="48"/>
      <c r="AF26" s="20"/>
      <c r="AG26" s="20"/>
      <c r="AH26" s="48"/>
      <c r="AI26" s="48"/>
      <c r="AJ26" s="48"/>
      <c r="AK26" s="20"/>
      <c r="AL26" s="20"/>
      <c r="AM26" s="48"/>
      <c r="AN26" s="48"/>
      <c r="AO26" s="48"/>
      <c r="AP26" s="20"/>
      <c r="AQ26" s="20"/>
      <c r="AR26" s="48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19"/>
      <c r="BJ26" s="55"/>
      <c r="BK26" s="20"/>
      <c r="BL26" s="20"/>
      <c r="BM26" s="20"/>
      <c r="BN26" s="20"/>
      <c r="BO26" s="20"/>
      <c r="BP26" s="20"/>
    </row>
    <row r="27" spans="1:68" s="56" customFormat="1" ht="16.5" customHeight="1" thickBot="1" x14ac:dyDescent="0.3">
      <c r="A27" s="75"/>
      <c r="B27" s="49"/>
      <c r="C27" s="20"/>
      <c r="D27" s="20"/>
      <c r="E27" s="20"/>
      <c r="F27" s="20"/>
      <c r="G27" s="20"/>
      <c r="H27" s="20"/>
      <c r="I27" s="20"/>
      <c r="J27" s="48"/>
      <c r="K27" s="48"/>
      <c r="L27" s="20"/>
      <c r="M27" s="20"/>
      <c r="N27" s="48"/>
      <c r="O27" s="48"/>
      <c r="P27" s="48"/>
      <c r="Q27" s="20"/>
      <c r="R27" s="20"/>
      <c r="S27" s="48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55"/>
      <c r="BK27" s="20"/>
      <c r="BL27" s="20"/>
      <c r="BM27" s="20"/>
      <c r="BN27" s="20"/>
      <c r="BO27" s="20"/>
      <c r="BP27" s="20"/>
    </row>
    <row r="28" spans="1:68" s="56" customFormat="1" ht="17.25" customHeight="1" thickBot="1" x14ac:dyDescent="0.3">
      <c r="A28" s="75"/>
      <c r="B28" s="49"/>
      <c r="C28" s="20"/>
      <c r="D28" s="20"/>
      <c r="E28" s="20"/>
      <c r="F28" s="20"/>
      <c r="G28" s="20"/>
      <c r="H28" s="20"/>
      <c r="I28" s="20"/>
      <c r="J28" s="48"/>
      <c r="K28" s="48"/>
      <c r="L28" s="20"/>
      <c r="M28" s="20"/>
      <c r="N28" s="48"/>
      <c r="O28" s="48"/>
      <c r="P28" s="48"/>
      <c r="Q28" s="20"/>
      <c r="R28" s="20"/>
      <c r="S28" s="48"/>
      <c r="T28" s="48"/>
      <c r="U28" s="48"/>
      <c r="V28" s="20"/>
      <c r="W28" s="20"/>
      <c r="X28" s="48"/>
      <c r="Y28" s="48"/>
      <c r="Z28" s="48"/>
      <c r="AA28" s="20"/>
      <c r="AB28" s="20"/>
      <c r="AC28" s="48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55"/>
      <c r="BK28" s="20"/>
      <c r="BL28" s="20"/>
      <c r="BM28" s="20"/>
      <c r="BN28" s="20"/>
      <c r="BO28" s="20"/>
      <c r="BP28" s="20"/>
    </row>
    <row r="29" spans="1:68" s="56" customFormat="1" ht="18.75" customHeight="1" thickBot="1" x14ac:dyDescent="0.3">
      <c r="A29" s="75"/>
      <c r="B29" s="49"/>
      <c r="C29" s="20"/>
      <c r="D29" s="20"/>
      <c r="E29" s="20"/>
      <c r="F29" s="72"/>
      <c r="G29" s="20"/>
      <c r="H29" s="20"/>
      <c r="I29" s="20"/>
      <c r="J29" s="48"/>
      <c r="K29" s="48"/>
      <c r="L29" s="20"/>
      <c r="M29" s="20"/>
      <c r="N29" s="48"/>
      <c r="O29" s="48"/>
      <c r="P29" s="48"/>
      <c r="Q29" s="20"/>
      <c r="R29" s="20"/>
      <c r="S29" s="48"/>
      <c r="T29" s="48"/>
      <c r="U29" s="48"/>
      <c r="V29" s="20"/>
      <c r="W29" s="20"/>
      <c r="X29" s="19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55"/>
      <c r="BK29" s="20"/>
      <c r="BL29" s="20"/>
      <c r="BM29" s="20"/>
      <c r="BN29" s="20"/>
      <c r="BO29" s="20"/>
      <c r="BP29" s="20"/>
    </row>
    <row r="30" spans="1:68" s="56" customFormat="1" ht="15.75" thickBot="1" x14ac:dyDescent="0.3">
      <c r="A30" s="75"/>
      <c r="B30" s="49"/>
      <c r="C30" s="20"/>
      <c r="D30" s="20"/>
      <c r="E30" s="20"/>
      <c r="F30" s="72"/>
      <c r="G30" s="20"/>
      <c r="H30" s="20"/>
      <c r="I30" s="20"/>
      <c r="J30" s="48"/>
      <c r="K30" s="48"/>
      <c r="L30" s="20"/>
      <c r="M30" s="20"/>
      <c r="N30" s="48"/>
      <c r="O30" s="48"/>
      <c r="P30" s="48"/>
      <c r="Q30" s="20"/>
      <c r="R30" s="20"/>
      <c r="S30" s="48"/>
      <c r="T30" s="48"/>
      <c r="U30" s="48"/>
      <c r="V30" s="20"/>
      <c r="W30" s="20"/>
      <c r="X30" s="48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19"/>
      <c r="BI30" s="20"/>
      <c r="BJ30" s="55"/>
      <c r="BK30" s="20"/>
      <c r="BL30" s="20"/>
      <c r="BM30" s="20"/>
      <c r="BN30" s="20"/>
      <c r="BO30" s="20"/>
      <c r="BP30" s="20"/>
    </row>
    <row r="31" spans="1:68" s="56" customFormat="1" ht="16.5" customHeight="1" thickBot="1" x14ac:dyDescent="0.3">
      <c r="A31" s="75"/>
      <c r="B31" s="49"/>
      <c r="C31" s="20"/>
      <c r="D31" s="20"/>
      <c r="E31" s="20"/>
      <c r="F31" s="20"/>
      <c r="G31" s="20"/>
      <c r="H31" s="20"/>
      <c r="I31" s="20"/>
      <c r="J31" s="48"/>
      <c r="K31" s="48"/>
      <c r="L31" s="20"/>
      <c r="M31" s="20"/>
      <c r="N31" s="48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19"/>
      <c r="BI31" s="20"/>
      <c r="BJ31" s="55"/>
      <c r="BK31" s="20"/>
      <c r="BL31" s="20"/>
      <c r="BM31" s="20"/>
      <c r="BN31" s="20"/>
      <c r="BO31" s="20"/>
      <c r="BP31" s="20"/>
    </row>
    <row r="32" spans="1:68" s="56" customFormat="1" ht="15.75" customHeight="1" thickBot="1" x14ac:dyDescent="0.3">
      <c r="A32" s="75"/>
      <c r="B32" s="49"/>
      <c r="C32" s="20"/>
      <c r="D32" s="20"/>
      <c r="E32" s="20"/>
      <c r="F32" s="20"/>
      <c r="G32" s="20"/>
      <c r="H32" s="20"/>
      <c r="I32" s="20"/>
      <c r="J32" s="48"/>
      <c r="K32" s="48"/>
      <c r="L32" s="20"/>
      <c r="M32" s="20"/>
      <c r="N32" s="48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19"/>
      <c r="BI32" s="20"/>
      <c r="BJ32" s="55"/>
      <c r="BK32" s="20"/>
      <c r="BL32" s="20"/>
      <c r="BM32" s="20"/>
      <c r="BN32" s="20"/>
      <c r="BO32" s="20"/>
      <c r="BP32" s="20"/>
    </row>
    <row r="33" spans="1:68" s="56" customFormat="1" ht="17.45" customHeight="1" thickBot="1" x14ac:dyDescent="0.3">
      <c r="A33" s="75"/>
      <c r="B33" s="49"/>
      <c r="C33" s="20"/>
      <c r="D33" s="20"/>
      <c r="E33" s="20"/>
      <c r="F33" s="20"/>
      <c r="G33" s="20"/>
      <c r="H33" s="20"/>
      <c r="I33" s="20"/>
      <c r="J33" s="48"/>
      <c r="K33" s="48"/>
      <c r="L33" s="20"/>
      <c r="M33" s="20"/>
      <c r="N33" s="48"/>
      <c r="O33" s="48"/>
      <c r="P33" s="48"/>
      <c r="Q33" s="20"/>
      <c r="R33" s="20"/>
      <c r="S33" s="48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19"/>
      <c r="BI33" s="20"/>
      <c r="BJ33" s="55"/>
      <c r="BK33" s="20"/>
      <c r="BL33" s="20"/>
      <c r="BM33" s="20"/>
      <c r="BN33" s="20"/>
      <c r="BO33" s="20"/>
      <c r="BP33" s="20"/>
    </row>
    <row r="34" spans="1:68" s="56" customFormat="1" ht="17.25" customHeight="1" thickBot="1" x14ac:dyDescent="0.3">
      <c r="A34" s="75"/>
      <c r="B34" s="49"/>
      <c r="C34" s="20"/>
      <c r="D34" s="20"/>
      <c r="E34" s="20"/>
      <c r="F34" s="20"/>
      <c r="G34" s="20"/>
      <c r="H34" s="20"/>
      <c r="I34" s="20"/>
      <c r="J34" s="48"/>
      <c r="K34" s="48"/>
      <c r="L34" s="20"/>
      <c r="M34" s="20"/>
      <c r="N34" s="48"/>
      <c r="O34" s="48"/>
      <c r="P34" s="48"/>
      <c r="Q34" s="20"/>
      <c r="R34" s="20"/>
      <c r="S34" s="48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19"/>
      <c r="BI34" s="20"/>
      <c r="BJ34" s="55"/>
      <c r="BK34" s="20"/>
      <c r="BL34" s="20"/>
      <c r="BM34" s="20"/>
      <c r="BN34" s="20"/>
      <c r="BO34" s="20"/>
      <c r="BP34" s="20"/>
    </row>
    <row r="35" spans="1:68" s="56" customFormat="1" ht="17.25" customHeight="1" thickBot="1" x14ac:dyDescent="0.3">
      <c r="A35" s="75"/>
      <c r="B35" s="49"/>
      <c r="C35" s="20"/>
      <c r="D35" s="20"/>
      <c r="E35" s="20"/>
      <c r="F35" s="72"/>
      <c r="G35" s="20"/>
      <c r="H35" s="20"/>
      <c r="I35" s="20"/>
      <c r="J35" s="48"/>
      <c r="K35" s="48"/>
      <c r="L35" s="20"/>
      <c r="M35" s="20"/>
      <c r="N35" s="48"/>
      <c r="O35" s="48"/>
      <c r="P35" s="48"/>
      <c r="Q35" s="20"/>
      <c r="R35" s="20"/>
      <c r="S35" s="48"/>
      <c r="T35" s="48"/>
      <c r="U35" s="48"/>
      <c r="V35" s="20"/>
      <c r="W35" s="20"/>
      <c r="X35" s="48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19"/>
      <c r="BI35" s="20"/>
      <c r="BJ35" s="55"/>
      <c r="BK35" s="20"/>
      <c r="BL35" s="20"/>
      <c r="BM35" s="20"/>
      <c r="BN35" s="20"/>
      <c r="BO35" s="20"/>
      <c r="BP35" s="20"/>
    </row>
    <row r="36" spans="1:68" s="56" customFormat="1" ht="16.5" customHeight="1" thickBot="1" x14ac:dyDescent="0.3">
      <c r="A36" s="75"/>
      <c r="B36" s="49"/>
      <c r="C36" s="20"/>
      <c r="D36" s="20"/>
      <c r="E36" s="20"/>
      <c r="F36" s="20"/>
      <c r="G36" s="20"/>
      <c r="H36" s="20"/>
      <c r="I36" s="20"/>
      <c r="J36" s="48"/>
      <c r="K36" s="48"/>
      <c r="L36" s="20"/>
      <c r="M36" s="20"/>
      <c r="N36" s="48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48"/>
      <c r="BJ36" s="55"/>
      <c r="BK36" s="20"/>
      <c r="BL36" s="20"/>
      <c r="BM36" s="20"/>
      <c r="BN36" s="20"/>
      <c r="BO36" s="20"/>
      <c r="BP36" s="20"/>
    </row>
    <row r="37" spans="1:68" s="56" customFormat="1" ht="15.75" thickBot="1" x14ac:dyDescent="0.3">
      <c r="A37" s="75"/>
      <c r="B37" s="49"/>
      <c r="C37" s="20"/>
      <c r="D37" s="20"/>
      <c r="E37" s="20"/>
      <c r="F37" s="72"/>
      <c r="G37" s="20"/>
      <c r="H37" s="20"/>
      <c r="I37" s="20"/>
      <c r="J37" s="48"/>
      <c r="K37" s="48"/>
      <c r="L37" s="20"/>
      <c r="M37" s="20"/>
      <c r="N37" s="48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55"/>
      <c r="BK37" s="20"/>
      <c r="BL37" s="20"/>
      <c r="BM37" s="20"/>
      <c r="BN37" s="20"/>
      <c r="BO37" s="20"/>
      <c r="BP37" s="20"/>
    </row>
    <row r="38" spans="1:68" s="56" customFormat="1" ht="15.75" customHeight="1" thickBot="1" x14ac:dyDescent="0.3">
      <c r="A38" s="75"/>
      <c r="B38" s="49"/>
      <c r="C38" s="20"/>
      <c r="D38" s="20"/>
      <c r="E38" s="20"/>
      <c r="F38" s="20"/>
      <c r="G38" s="20"/>
      <c r="H38" s="20"/>
      <c r="I38" s="20"/>
      <c r="J38" s="48"/>
      <c r="K38" s="48"/>
      <c r="L38" s="20"/>
      <c r="M38" s="20"/>
      <c r="N38" s="48"/>
      <c r="O38" s="48"/>
      <c r="P38" s="48"/>
      <c r="Q38" s="20"/>
      <c r="R38" s="20"/>
      <c r="S38" s="48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19"/>
      <c r="BI38" s="20"/>
      <c r="BJ38" s="55"/>
      <c r="BK38" s="20"/>
      <c r="BL38" s="20"/>
      <c r="BM38" s="20"/>
      <c r="BN38" s="20"/>
      <c r="BO38" s="20"/>
      <c r="BP38" s="20"/>
    </row>
    <row r="39" spans="1:68" s="56" customFormat="1" ht="16.5" customHeight="1" thickBot="1" x14ac:dyDescent="0.3">
      <c r="A39" s="75"/>
      <c r="B39" s="49"/>
      <c r="C39" s="20"/>
      <c r="D39" s="20"/>
      <c r="E39" s="20"/>
      <c r="F39" s="20"/>
      <c r="G39" s="20"/>
      <c r="H39" s="20"/>
      <c r="I39" s="20"/>
      <c r="J39" s="48"/>
      <c r="K39" s="48"/>
      <c r="L39" s="20"/>
      <c r="M39" s="20"/>
      <c r="N39" s="48"/>
      <c r="O39" s="48"/>
      <c r="P39" s="48"/>
      <c r="Q39" s="20"/>
      <c r="R39" s="20"/>
      <c r="S39" s="48"/>
      <c r="T39" s="48"/>
      <c r="U39" s="48"/>
      <c r="V39" s="20"/>
      <c r="W39" s="20"/>
      <c r="X39" s="48"/>
      <c r="Y39" s="48"/>
      <c r="Z39" s="48"/>
      <c r="AA39" s="20"/>
      <c r="AB39" s="20"/>
      <c r="AC39" s="48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19"/>
      <c r="BJ39" s="55"/>
      <c r="BK39" s="20"/>
      <c r="BL39" s="20"/>
      <c r="BM39" s="20"/>
      <c r="BN39" s="20"/>
      <c r="BO39" s="20"/>
      <c r="BP39" s="20"/>
    </row>
    <row r="40" spans="1:68" s="56" customFormat="1" ht="15.75" thickBot="1" x14ac:dyDescent="0.3">
      <c r="A40" s="75"/>
      <c r="B40" s="49"/>
      <c r="C40" s="20"/>
      <c r="D40" s="20"/>
      <c r="E40" s="20"/>
      <c r="F40" s="20"/>
      <c r="G40" s="20"/>
      <c r="H40" s="20"/>
      <c r="I40" s="20"/>
      <c r="J40" s="48"/>
      <c r="K40" s="48"/>
      <c r="L40" s="20"/>
      <c r="M40" s="20"/>
      <c r="N40" s="48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19"/>
      <c r="BI40" s="20"/>
      <c r="BJ40" s="55"/>
      <c r="BK40" s="20"/>
      <c r="BL40" s="20"/>
      <c r="BM40" s="20"/>
      <c r="BN40" s="20"/>
      <c r="BO40" s="20"/>
      <c r="BP40" s="20"/>
    </row>
    <row r="41" spans="1:68" s="73" customFormat="1" ht="16.5" customHeight="1" thickBot="1" x14ac:dyDescent="0.3">
      <c r="A41" s="75"/>
      <c r="B41" s="49"/>
      <c r="C41" s="20"/>
      <c r="D41" s="20"/>
      <c r="E41" s="20"/>
      <c r="F41" s="20"/>
      <c r="G41" s="20"/>
      <c r="H41" s="20"/>
      <c r="I41" s="20"/>
      <c r="J41" s="48"/>
      <c r="K41" s="48"/>
      <c r="L41" s="20"/>
      <c r="M41" s="20"/>
      <c r="N41" s="48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19"/>
      <c r="BI41" s="20"/>
      <c r="BJ41" s="55"/>
      <c r="BK41" s="20"/>
      <c r="BL41" s="20"/>
      <c r="BM41" s="20"/>
      <c r="BN41" s="20"/>
      <c r="BO41" s="20"/>
      <c r="BP41" s="20"/>
    </row>
    <row r="42" spans="1:68" s="56" customFormat="1" ht="15.75" thickBot="1" x14ac:dyDescent="0.3">
      <c r="A42" s="75"/>
      <c r="B42" s="49"/>
      <c r="C42" s="20"/>
      <c r="D42" s="20"/>
      <c r="E42" s="20"/>
      <c r="F42" s="20"/>
      <c r="G42" s="20"/>
      <c r="H42" s="20"/>
      <c r="I42" s="20"/>
      <c r="J42" s="48"/>
      <c r="K42" s="48"/>
      <c r="L42" s="20"/>
      <c r="M42" s="20"/>
      <c r="N42" s="48"/>
      <c r="O42" s="48"/>
      <c r="P42" s="48"/>
      <c r="Q42" s="20"/>
      <c r="R42" s="20"/>
      <c r="S42" s="48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19"/>
      <c r="BI42" s="20"/>
      <c r="BJ42" s="57"/>
      <c r="BK42" s="20"/>
      <c r="BL42" s="20"/>
      <c r="BM42" s="20"/>
      <c r="BN42" s="20"/>
      <c r="BO42" s="20"/>
      <c r="BP42" s="20"/>
    </row>
    <row r="43" spans="1:68" s="56" customFormat="1" ht="15.75" thickBot="1" x14ac:dyDescent="0.3">
      <c r="A43" s="75"/>
      <c r="B43" s="49"/>
      <c r="C43" s="20"/>
      <c r="D43" s="20"/>
      <c r="E43" s="20"/>
      <c r="F43" s="20"/>
      <c r="G43" s="20"/>
      <c r="H43" s="20"/>
      <c r="I43" s="20"/>
      <c r="J43" s="48"/>
      <c r="K43" s="48"/>
      <c r="L43" s="20"/>
      <c r="M43" s="20"/>
      <c r="N43" s="48"/>
      <c r="O43" s="48"/>
      <c r="P43" s="48"/>
      <c r="Q43" s="20"/>
      <c r="R43" s="20"/>
      <c r="S43" s="48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19"/>
      <c r="BI43" s="20"/>
      <c r="BJ43" s="57"/>
      <c r="BK43" s="20"/>
      <c r="BL43" s="20"/>
      <c r="BM43" s="20"/>
      <c r="BN43" s="20"/>
      <c r="BO43" s="20"/>
      <c r="BP43" s="20"/>
    </row>
    <row r="44" spans="1:68" s="56" customFormat="1" ht="15.75" thickBot="1" x14ac:dyDescent="0.3">
      <c r="A44" s="75"/>
      <c r="B44" s="2"/>
      <c r="C44" s="1"/>
      <c r="D44" s="1"/>
      <c r="E44" s="1"/>
      <c r="F44" s="1"/>
      <c r="G44" s="1"/>
      <c r="H44" s="1"/>
      <c r="I44" s="1"/>
      <c r="J44" s="3"/>
      <c r="K44" s="3"/>
      <c r="L44" s="1"/>
      <c r="M44" s="1"/>
      <c r="N44" s="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9"/>
      <c r="BJ44" s="55"/>
      <c r="BK44" s="1"/>
      <c r="BL44" s="1"/>
      <c r="BM44" s="1"/>
      <c r="BN44" s="1"/>
      <c r="BO44" s="1"/>
    </row>
    <row r="45" spans="1:68" ht="15.75" thickBot="1" x14ac:dyDescent="0.3">
      <c r="A45" s="75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</row>
    <row r="46" spans="1:68" ht="15.75" thickBot="1" x14ac:dyDescent="0.3">
      <c r="A46" s="75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</row>
    <row r="47" spans="1:68" ht="15.75" thickBot="1" x14ac:dyDescent="0.3">
      <c r="A47" s="75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</row>
    <row r="48" spans="1:68" ht="15.75" thickBot="1" x14ac:dyDescent="0.3">
      <c r="A48" s="75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</row>
    <row r="49" spans="1:62" ht="15.75" thickBot="1" x14ac:dyDescent="0.3">
      <c r="A49" s="75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</row>
    <row r="50" spans="1:62" ht="15.75" thickBot="1" x14ac:dyDescent="0.3">
      <c r="A50" s="75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</row>
    <row r="51" spans="1:62" ht="15.75" thickBot="1" x14ac:dyDescent="0.3">
      <c r="A51" s="75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</row>
    <row r="52" spans="1:62" ht="15.75" thickBot="1" x14ac:dyDescent="0.3">
      <c r="A52" s="75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</row>
    <row r="53" spans="1:62" hidden="1" x14ac:dyDescent="0.25">
      <c r="T53" s="121" t="s">
        <v>82</v>
      </c>
      <c r="U53" s="122"/>
      <c r="V53" s="119">
        <v>45999</v>
      </c>
      <c r="W53" s="120"/>
      <c r="X53" s="120"/>
    </row>
    <row r="54" spans="1:62" ht="26.25" hidden="1" x14ac:dyDescent="0.25">
      <c r="H54" s="42" t="s">
        <v>133</v>
      </c>
      <c r="I54" s="42" t="s">
        <v>8</v>
      </c>
      <c r="J54" s="41" t="s">
        <v>9</v>
      </c>
      <c r="K54" s="41" t="s">
        <v>10</v>
      </c>
      <c r="L54" s="41" t="s">
        <v>11</v>
      </c>
      <c r="M54" s="41" t="s">
        <v>12</v>
      </c>
      <c r="U54" s="7"/>
      <c r="V54" s="7"/>
    </row>
    <row r="55" spans="1:62" hidden="1" x14ac:dyDescent="0.25">
      <c r="H55" s="41" t="e">
        <f>#REF!</f>
        <v>#REF!</v>
      </c>
      <c r="I55" s="41" t="e">
        <f>#REF!</f>
        <v>#REF!</v>
      </c>
      <c r="J55" s="41" t="e">
        <f>#REF!</f>
        <v>#REF!</v>
      </c>
      <c r="K55" s="41" t="e">
        <f>#REF!</f>
        <v>#REF!</v>
      </c>
      <c r="L55" s="41" t="e">
        <f>#REF!</f>
        <v>#REF!</v>
      </c>
      <c r="M55" s="41" t="e">
        <f>#REF!</f>
        <v>#REF!</v>
      </c>
      <c r="U55" s="7"/>
      <c r="V55" s="7"/>
    </row>
    <row r="56" spans="1:62" hidden="1" x14ac:dyDescent="0.25">
      <c r="H56" s="41">
        <f t="shared" ref="H56:M86" si="0">J3</f>
        <v>0</v>
      </c>
      <c r="I56" s="41">
        <f t="shared" si="0"/>
        <v>0</v>
      </c>
      <c r="J56" s="41">
        <f t="shared" si="0"/>
        <v>0</v>
      </c>
      <c r="K56" s="41">
        <f t="shared" si="0"/>
        <v>0</v>
      </c>
      <c r="L56" s="41">
        <f t="shared" si="0"/>
        <v>0</v>
      </c>
      <c r="M56" s="41">
        <f t="shared" si="0"/>
        <v>0</v>
      </c>
      <c r="U56" s="7"/>
      <c r="V56" s="7"/>
    </row>
    <row r="57" spans="1:62" hidden="1" x14ac:dyDescent="0.25">
      <c r="H57" s="41">
        <f t="shared" si="0"/>
        <v>0</v>
      </c>
      <c r="I57" s="41">
        <f t="shared" si="0"/>
        <v>0</v>
      </c>
      <c r="J57" s="41">
        <f t="shared" si="0"/>
        <v>0</v>
      </c>
      <c r="K57" s="41">
        <f t="shared" si="0"/>
        <v>0</v>
      </c>
      <c r="L57" s="41">
        <f t="shared" si="0"/>
        <v>0</v>
      </c>
      <c r="M57" s="41">
        <f t="shared" si="0"/>
        <v>0</v>
      </c>
      <c r="U57" s="7"/>
      <c r="V57" s="7"/>
    </row>
    <row r="58" spans="1:62" hidden="1" x14ac:dyDescent="0.25">
      <c r="H58" s="41">
        <f t="shared" si="0"/>
        <v>0</v>
      </c>
      <c r="I58" s="41">
        <f t="shared" si="0"/>
        <v>0</v>
      </c>
      <c r="J58" s="41">
        <f t="shared" si="0"/>
        <v>0</v>
      </c>
      <c r="K58" s="41">
        <f t="shared" si="0"/>
        <v>0</v>
      </c>
      <c r="L58" s="41">
        <f t="shared" si="0"/>
        <v>0</v>
      </c>
      <c r="M58" s="41">
        <f t="shared" si="0"/>
        <v>0</v>
      </c>
      <c r="U58" s="7"/>
      <c r="V58" s="7"/>
    </row>
    <row r="59" spans="1:62" hidden="1" x14ac:dyDescent="0.25">
      <c r="H59" s="41">
        <f t="shared" si="0"/>
        <v>0</v>
      </c>
      <c r="I59" s="41">
        <f t="shared" si="0"/>
        <v>0</v>
      </c>
      <c r="J59" s="41">
        <f t="shared" si="0"/>
        <v>0</v>
      </c>
      <c r="K59" s="41">
        <f t="shared" si="0"/>
        <v>0</v>
      </c>
      <c r="L59" s="41">
        <f t="shared" si="0"/>
        <v>0</v>
      </c>
      <c r="M59" s="41">
        <f t="shared" si="0"/>
        <v>0</v>
      </c>
      <c r="U59" s="7"/>
      <c r="V59" s="7"/>
    </row>
    <row r="60" spans="1:62" hidden="1" x14ac:dyDescent="0.25">
      <c r="H60" s="41">
        <f t="shared" si="0"/>
        <v>0</v>
      </c>
      <c r="I60" s="41">
        <f t="shared" si="0"/>
        <v>0</v>
      </c>
      <c r="J60" s="41">
        <f t="shared" si="0"/>
        <v>0</v>
      </c>
      <c r="K60" s="41">
        <f t="shared" si="0"/>
        <v>0</v>
      </c>
      <c r="L60" s="41">
        <f t="shared" si="0"/>
        <v>0</v>
      </c>
      <c r="M60" s="41">
        <f t="shared" si="0"/>
        <v>0</v>
      </c>
      <c r="U60" s="7"/>
      <c r="V60" s="7"/>
    </row>
    <row r="61" spans="1:62" hidden="1" x14ac:dyDescent="0.25">
      <c r="H61" s="41">
        <f t="shared" si="0"/>
        <v>0</v>
      </c>
      <c r="I61" s="41">
        <f t="shared" si="0"/>
        <v>0</v>
      </c>
      <c r="J61" s="41">
        <f t="shared" si="0"/>
        <v>0</v>
      </c>
      <c r="K61" s="41">
        <f t="shared" si="0"/>
        <v>0</v>
      </c>
      <c r="L61" s="41">
        <f t="shared" si="0"/>
        <v>0</v>
      </c>
      <c r="M61" s="41">
        <f t="shared" si="0"/>
        <v>0</v>
      </c>
      <c r="U61" s="7"/>
      <c r="V61" s="7"/>
    </row>
    <row r="62" spans="1:62" hidden="1" x14ac:dyDescent="0.25">
      <c r="H62" s="41">
        <f t="shared" si="0"/>
        <v>0</v>
      </c>
      <c r="I62" s="41">
        <f t="shared" si="0"/>
        <v>0</v>
      </c>
      <c r="J62" s="41">
        <f t="shared" si="0"/>
        <v>0</v>
      </c>
      <c r="K62" s="41">
        <f t="shared" si="0"/>
        <v>0</v>
      </c>
      <c r="L62" s="41">
        <f t="shared" si="0"/>
        <v>0</v>
      </c>
      <c r="M62" s="41">
        <f t="shared" si="0"/>
        <v>0</v>
      </c>
      <c r="U62" s="7"/>
      <c r="V62" s="7"/>
    </row>
    <row r="63" spans="1:62" hidden="1" x14ac:dyDescent="0.25">
      <c r="H63" s="41">
        <f t="shared" si="0"/>
        <v>0</v>
      </c>
      <c r="I63" s="41">
        <f t="shared" si="0"/>
        <v>0</v>
      </c>
      <c r="J63" s="41">
        <f t="shared" si="0"/>
        <v>0</v>
      </c>
      <c r="K63" s="41">
        <f t="shared" si="0"/>
        <v>0</v>
      </c>
      <c r="L63" s="41">
        <f t="shared" si="0"/>
        <v>0</v>
      </c>
      <c r="M63" s="41">
        <f t="shared" si="0"/>
        <v>0</v>
      </c>
      <c r="U63" s="7"/>
      <c r="V63" s="7"/>
    </row>
    <row r="64" spans="1:62" hidden="1" x14ac:dyDescent="0.25">
      <c r="H64" s="41">
        <f t="shared" si="0"/>
        <v>0</v>
      </c>
      <c r="I64" s="41">
        <f t="shared" si="0"/>
        <v>0</v>
      </c>
      <c r="J64" s="41">
        <f t="shared" si="0"/>
        <v>0</v>
      </c>
      <c r="K64" s="41">
        <f t="shared" si="0"/>
        <v>0</v>
      </c>
      <c r="L64" s="41">
        <f t="shared" si="0"/>
        <v>0</v>
      </c>
      <c r="M64" s="41">
        <f t="shared" si="0"/>
        <v>0</v>
      </c>
      <c r="U64" s="7"/>
      <c r="V64" s="7"/>
    </row>
    <row r="65" spans="8:22" hidden="1" x14ac:dyDescent="0.25">
      <c r="H65" s="41">
        <f t="shared" si="0"/>
        <v>0</v>
      </c>
      <c r="I65" s="41">
        <f t="shared" si="0"/>
        <v>0</v>
      </c>
      <c r="J65" s="41">
        <f t="shared" si="0"/>
        <v>0</v>
      </c>
      <c r="K65" s="41">
        <f t="shared" si="0"/>
        <v>0</v>
      </c>
      <c r="L65" s="41">
        <f t="shared" si="0"/>
        <v>0</v>
      </c>
      <c r="M65" s="41">
        <f t="shared" si="0"/>
        <v>0</v>
      </c>
      <c r="U65" s="7"/>
      <c r="V65" s="7"/>
    </row>
    <row r="66" spans="8:22" hidden="1" x14ac:dyDescent="0.25">
      <c r="H66" s="41">
        <f t="shared" si="0"/>
        <v>0</v>
      </c>
      <c r="I66" s="41">
        <f t="shared" si="0"/>
        <v>0</v>
      </c>
      <c r="J66" s="41">
        <f t="shared" si="0"/>
        <v>0</v>
      </c>
      <c r="K66" s="41">
        <f t="shared" si="0"/>
        <v>0</v>
      </c>
      <c r="L66" s="41">
        <f t="shared" si="0"/>
        <v>0</v>
      </c>
      <c r="M66" s="41">
        <f t="shared" si="0"/>
        <v>0</v>
      </c>
      <c r="U66" s="7"/>
      <c r="V66" s="7"/>
    </row>
    <row r="67" spans="8:22" hidden="1" x14ac:dyDescent="0.25">
      <c r="H67" s="41">
        <f t="shared" si="0"/>
        <v>0</v>
      </c>
      <c r="I67" s="41">
        <f t="shared" si="0"/>
        <v>0</v>
      </c>
      <c r="J67" s="41">
        <f t="shared" si="0"/>
        <v>0</v>
      </c>
      <c r="K67" s="41">
        <f t="shared" si="0"/>
        <v>0</v>
      </c>
      <c r="L67" s="41">
        <f t="shared" si="0"/>
        <v>0</v>
      </c>
      <c r="M67" s="41">
        <f t="shared" si="0"/>
        <v>0</v>
      </c>
      <c r="U67" s="7"/>
      <c r="V67" s="7"/>
    </row>
    <row r="68" spans="8:22" hidden="1" x14ac:dyDescent="0.25">
      <c r="H68" s="41">
        <f t="shared" si="0"/>
        <v>0</v>
      </c>
      <c r="I68" s="41">
        <f t="shared" si="0"/>
        <v>0</v>
      </c>
      <c r="J68" s="41">
        <f t="shared" si="0"/>
        <v>0</v>
      </c>
      <c r="K68" s="41">
        <f t="shared" si="0"/>
        <v>0</v>
      </c>
      <c r="L68" s="41">
        <f t="shared" si="0"/>
        <v>0</v>
      </c>
      <c r="M68" s="41">
        <f t="shared" si="0"/>
        <v>0</v>
      </c>
      <c r="U68" s="7"/>
      <c r="V68" s="7"/>
    </row>
    <row r="69" spans="8:22" hidden="1" x14ac:dyDescent="0.25">
      <c r="H69" s="41">
        <f t="shared" si="0"/>
        <v>0</v>
      </c>
      <c r="I69" s="41">
        <f t="shared" si="0"/>
        <v>0</v>
      </c>
      <c r="J69" s="41">
        <f t="shared" si="0"/>
        <v>0</v>
      </c>
      <c r="K69" s="41">
        <f t="shared" si="0"/>
        <v>0</v>
      </c>
      <c r="L69" s="41">
        <f t="shared" si="0"/>
        <v>0</v>
      </c>
      <c r="M69" s="41">
        <f t="shared" si="0"/>
        <v>0</v>
      </c>
      <c r="U69" s="7"/>
      <c r="V69" s="7"/>
    </row>
    <row r="70" spans="8:22" hidden="1" x14ac:dyDescent="0.25">
      <c r="H70" s="41">
        <f t="shared" si="0"/>
        <v>0</v>
      </c>
      <c r="I70" s="41">
        <f t="shared" si="0"/>
        <v>0</v>
      </c>
      <c r="J70" s="41">
        <f t="shared" si="0"/>
        <v>0</v>
      </c>
      <c r="K70" s="41">
        <f t="shared" si="0"/>
        <v>0</v>
      </c>
      <c r="L70" s="41">
        <f t="shared" si="0"/>
        <v>0</v>
      </c>
      <c r="M70" s="41">
        <f t="shared" si="0"/>
        <v>0</v>
      </c>
      <c r="U70" s="7"/>
      <c r="V70" s="7"/>
    </row>
    <row r="71" spans="8:22" hidden="1" x14ac:dyDescent="0.25">
      <c r="H71" s="41">
        <f t="shared" si="0"/>
        <v>0</v>
      </c>
      <c r="I71" s="41">
        <f t="shared" si="0"/>
        <v>0</v>
      </c>
      <c r="J71" s="41">
        <f t="shared" si="0"/>
        <v>0</v>
      </c>
      <c r="K71" s="41">
        <f t="shared" si="0"/>
        <v>0</v>
      </c>
      <c r="L71" s="41">
        <f t="shared" si="0"/>
        <v>0</v>
      </c>
      <c r="M71" s="41">
        <f t="shared" si="0"/>
        <v>0</v>
      </c>
      <c r="U71" s="7"/>
      <c r="V71" s="7"/>
    </row>
    <row r="72" spans="8:22" hidden="1" x14ac:dyDescent="0.25">
      <c r="H72" s="41">
        <f t="shared" si="0"/>
        <v>0</v>
      </c>
      <c r="I72" s="41">
        <f t="shared" si="0"/>
        <v>0</v>
      </c>
      <c r="J72" s="41">
        <f t="shared" si="0"/>
        <v>0</v>
      </c>
      <c r="K72" s="41">
        <f t="shared" si="0"/>
        <v>0</v>
      </c>
      <c r="L72" s="41">
        <f t="shared" si="0"/>
        <v>0</v>
      </c>
      <c r="M72" s="41">
        <f t="shared" si="0"/>
        <v>0</v>
      </c>
      <c r="U72" s="7"/>
      <c r="V72" s="7"/>
    </row>
    <row r="73" spans="8:22" hidden="1" x14ac:dyDescent="0.25">
      <c r="H73" s="41">
        <f t="shared" si="0"/>
        <v>0</v>
      </c>
      <c r="I73" s="41">
        <f t="shared" si="0"/>
        <v>0</v>
      </c>
      <c r="J73" s="41">
        <f t="shared" si="0"/>
        <v>0</v>
      </c>
      <c r="K73" s="41">
        <f t="shared" si="0"/>
        <v>0</v>
      </c>
      <c r="L73" s="41">
        <f t="shared" si="0"/>
        <v>0</v>
      </c>
      <c r="M73" s="41">
        <f t="shared" si="0"/>
        <v>0</v>
      </c>
      <c r="U73" s="7"/>
      <c r="V73" s="7"/>
    </row>
    <row r="74" spans="8:22" hidden="1" x14ac:dyDescent="0.25">
      <c r="H74" s="41">
        <f t="shared" si="0"/>
        <v>0</v>
      </c>
      <c r="I74" s="41">
        <f t="shared" si="0"/>
        <v>0</v>
      </c>
      <c r="J74" s="41">
        <f t="shared" si="0"/>
        <v>0</v>
      </c>
      <c r="K74" s="41">
        <f t="shared" si="0"/>
        <v>0</v>
      </c>
      <c r="L74" s="41">
        <f t="shared" si="0"/>
        <v>0</v>
      </c>
      <c r="M74" s="41">
        <f t="shared" si="0"/>
        <v>0</v>
      </c>
      <c r="U74" s="7"/>
      <c r="V74" s="7"/>
    </row>
    <row r="75" spans="8:22" hidden="1" x14ac:dyDescent="0.25">
      <c r="H75" s="41">
        <f t="shared" si="0"/>
        <v>0</v>
      </c>
      <c r="I75" s="41">
        <f t="shared" si="0"/>
        <v>0</v>
      </c>
      <c r="J75" s="41">
        <f t="shared" si="0"/>
        <v>0</v>
      </c>
      <c r="K75" s="41">
        <f t="shared" si="0"/>
        <v>0</v>
      </c>
      <c r="L75" s="41">
        <f t="shared" si="0"/>
        <v>0</v>
      </c>
      <c r="M75" s="41">
        <f t="shared" si="0"/>
        <v>0</v>
      </c>
      <c r="U75" s="7"/>
      <c r="V75" s="7"/>
    </row>
    <row r="76" spans="8:22" hidden="1" x14ac:dyDescent="0.25">
      <c r="H76" s="41">
        <f t="shared" si="0"/>
        <v>0</v>
      </c>
      <c r="I76" s="41">
        <f t="shared" si="0"/>
        <v>0</v>
      </c>
      <c r="J76" s="41">
        <f t="shared" si="0"/>
        <v>0</v>
      </c>
      <c r="K76" s="41">
        <f t="shared" si="0"/>
        <v>0</v>
      </c>
      <c r="L76" s="41">
        <f t="shared" si="0"/>
        <v>0</v>
      </c>
      <c r="M76" s="41">
        <f t="shared" si="0"/>
        <v>0</v>
      </c>
      <c r="U76" s="7"/>
      <c r="V76" s="7"/>
    </row>
    <row r="77" spans="8:22" hidden="1" x14ac:dyDescent="0.25">
      <c r="H77" s="41">
        <f t="shared" si="0"/>
        <v>0</v>
      </c>
      <c r="I77" s="41">
        <f t="shared" si="0"/>
        <v>0</v>
      </c>
      <c r="J77" s="41">
        <f t="shared" si="0"/>
        <v>0</v>
      </c>
      <c r="K77" s="41">
        <f t="shared" si="0"/>
        <v>0</v>
      </c>
      <c r="L77" s="41">
        <f t="shared" si="0"/>
        <v>0</v>
      </c>
      <c r="M77" s="41">
        <f t="shared" si="0"/>
        <v>0</v>
      </c>
      <c r="U77" s="7"/>
      <c r="V77" s="7"/>
    </row>
    <row r="78" spans="8:22" hidden="1" x14ac:dyDescent="0.25">
      <c r="H78" s="41">
        <f t="shared" si="0"/>
        <v>0</v>
      </c>
      <c r="I78" s="41">
        <f t="shared" si="0"/>
        <v>0</v>
      </c>
      <c r="J78" s="41">
        <f t="shared" si="0"/>
        <v>0</v>
      </c>
      <c r="K78" s="41">
        <f t="shared" si="0"/>
        <v>0</v>
      </c>
      <c r="L78" s="41">
        <f t="shared" si="0"/>
        <v>0</v>
      </c>
      <c r="M78" s="41">
        <f t="shared" si="0"/>
        <v>0</v>
      </c>
      <c r="U78" s="7"/>
      <c r="V78" s="7"/>
    </row>
    <row r="79" spans="8:22" hidden="1" x14ac:dyDescent="0.25">
      <c r="H79" s="41">
        <f t="shared" si="0"/>
        <v>0</v>
      </c>
      <c r="I79" s="41">
        <f t="shared" si="0"/>
        <v>0</v>
      </c>
      <c r="J79" s="41">
        <f t="shared" si="0"/>
        <v>0</v>
      </c>
      <c r="K79" s="41">
        <f t="shared" si="0"/>
        <v>0</v>
      </c>
      <c r="L79" s="41">
        <f t="shared" si="0"/>
        <v>0</v>
      </c>
      <c r="M79" s="41">
        <f t="shared" si="0"/>
        <v>0</v>
      </c>
      <c r="U79" s="7"/>
      <c r="V79" s="7"/>
    </row>
    <row r="80" spans="8:22" hidden="1" x14ac:dyDescent="0.25">
      <c r="H80" s="41">
        <f t="shared" si="0"/>
        <v>0</v>
      </c>
      <c r="I80" s="41">
        <f t="shared" si="0"/>
        <v>0</v>
      </c>
      <c r="J80" s="41">
        <f t="shared" si="0"/>
        <v>0</v>
      </c>
      <c r="K80" s="41">
        <f t="shared" si="0"/>
        <v>0</v>
      </c>
      <c r="L80" s="41">
        <f t="shared" si="0"/>
        <v>0</v>
      </c>
      <c r="M80" s="41">
        <f t="shared" si="0"/>
        <v>0</v>
      </c>
      <c r="U80" s="7"/>
      <c r="V80" s="7"/>
    </row>
    <row r="81" spans="8:22" hidden="1" x14ac:dyDescent="0.25">
      <c r="H81" s="41">
        <f t="shared" si="0"/>
        <v>0</v>
      </c>
      <c r="I81" s="41">
        <f t="shared" si="0"/>
        <v>0</v>
      </c>
      <c r="J81" s="41">
        <f t="shared" si="0"/>
        <v>0</v>
      </c>
      <c r="K81" s="41">
        <f t="shared" si="0"/>
        <v>0</v>
      </c>
      <c r="L81" s="41">
        <f t="shared" si="0"/>
        <v>0</v>
      </c>
      <c r="M81" s="41">
        <f t="shared" si="0"/>
        <v>0</v>
      </c>
      <c r="U81" s="7"/>
      <c r="V81" s="7"/>
    </row>
    <row r="82" spans="8:22" hidden="1" x14ac:dyDescent="0.25">
      <c r="H82" s="41">
        <f t="shared" si="0"/>
        <v>0</v>
      </c>
      <c r="I82" s="41">
        <f t="shared" si="0"/>
        <v>0</v>
      </c>
      <c r="J82" s="41">
        <f t="shared" si="0"/>
        <v>0</v>
      </c>
      <c r="K82" s="41">
        <f t="shared" si="0"/>
        <v>0</v>
      </c>
      <c r="L82" s="41">
        <f t="shared" si="0"/>
        <v>0</v>
      </c>
      <c r="M82" s="41">
        <f t="shared" si="0"/>
        <v>0</v>
      </c>
      <c r="U82" s="7"/>
      <c r="V82" s="7"/>
    </row>
    <row r="83" spans="8:22" hidden="1" x14ac:dyDescent="0.25">
      <c r="H83" s="41">
        <f t="shared" si="0"/>
        <v>0</v>
      </c>
      <c r="I83" s="41">
        <f t="shared" si="0"/>
        <v>0</v>
      </c>
      <c r="J83" s="41">
        <f t="shared" si="0"/>
        <v>0</v>
      </c>
      <c r="K83" s="41">
        <f t="shared" si="0"/>
        <v>0</v>
      </c>
      <c r="L83" s="41">
        <f t="shared" si="0"/>
        <v>0</v>
      </c>
      <c r="M83" s="41">
        <f t="shared" si="0"/>
        <v>0</v>
      </c>
      <c r="U83" s="7"/>
      <c r="V83" s="7"/>
    </row>
    <row r="84" spans="8:22" hidden="1" x14ac:dyDescent="0.25">
      <c r="H84" s="41">
        <f t="shared" si="0"/>
        <v>0</v>
      </c>
      <c r="I84" s="41">
        <f t="shared" si="0"/>
        <v>0</v>
      </c>
      <c r="J84" s="41">
        <f t="shared" si="0"/>
        <v>0</v>
      </c>
      <c r="K84" s="41">
        <f t="shared" si="0"/>
        <v>0</v>
      </c>
      <c r="L84" s="41">
        <f t="shared" si="0"/>
        <v>0</v>
      </c>
      <c r="M84" s="41">
        <f t="shared" si="0"/>
        <v>0</v>
      </c>
      <c r="U84" s="7"/>
      <c r="V84" s="7"/>
    </row>
    <row r="85" spans="8:22" hidden="1" x14ac:dyDescent="0.25">
      <c r="H85" s="41">
        <f t="shared" si="0"/>
        <v>0</v>
      </c>
      <c r="I85" s="41">
        <f t="shared" si="0"/>
        <v>0</v>
      </c>
      <c r="J85" s="41">
        <f t="shared" si="0"/>
        <v>0</v>
      </c>
      <c r="K85" s="41">
        <f t="shared" si="0"/>
        <v>0</v>
      </c>
      <c r="L85" s="41">
        <f t="shared" si="0"/>
        <v>0</v>
      </c>
      <c r="M85" s="41">
        <f t="shared" si="0"/>
        <v>0</v>
      </c>
      <c r="U85" s="7"/>
      <c r="V85" s="7"/>
    </row>
    <row r="86" spans="8:22" hidden="1" x14ac:dyDescent="0.25">
      <c r="H86" s="41">
        <f t="shared" si="0"/>
        <v>0</v>
      </c>
      <c r="I86" s="41">
        <f t="shared" si="0"/>
        <v>0</v>
      </c>
      <c r="J86" s="41">
        <f t="shared" si="0"/>
        <v>0</v>
      </c>
      <c r="K86" s="41">
        <f t="shared" si="0"/>
        <v>0</v>
      </c>
      <c r="L86" s="41">
        <f t="shared" si="0"/>
        <v>0</v>
      </c>
      <c r="M86" s="41">
        <f t="shared" si="0"/>
        <v>0</v>
      </c>
      <c r="U86" s="7"/>
      <c r="V86" s="7"/>
    </row>
    <row r="87" spans="8:22" hidden="1" x14ac:dyDescent="0.25">
      <c r="H87" s="41">
        <f t="shared" ref="H87:M105" si="1">J34</f>
        <v>0</v>
      </c>
      <c r="I87" s="41">
        <f t="shared" si="1"/>
        <v>0</v>
      </c>
      <c r="J87" s="41">
        <f t="shared" si="1"/>
        <v>0</v>
      </c>
      <c r="K87" s="41">
        <f t="shared" si="1"/>
        <v>0</v>
      </c>
      <c r="L87" s="41">
        <f t="shared" si="1"/>
        <v>0</v>
      </c>
      <c r="M87" s="41">
        <f t="shared" si="1"/>
        <v>0</v>
      </c>
      <c r="U87" s="7"/>
      <c r="V87" s="7"/>
    </row>
    <row r="88" spans="8:22" hidden="1" x14ac:dyDescent="0.25">
      <c r="H88" s="41">
        <f t="shared" si="1"/>
        <v>0</v>
      </c>
      <c r="I88" s="41">
        <f t="shared" si="1"/>
        <v>0</v>
      </c>
      <c r="J88" s="41">
        <f t="shared" si="1"/>
        <v>0</v>
      </c>
      <c r="K88" s="41">
        <f t="shared" si="1"/>
        <v>0</v>
      </c>
      <c r="L88" s="41">
        <f t="shared" si="1"/>
        <v>0</v>
      </c>
      <c r="M88" s="41">
        <f t="shared" si="1"/>
        <v>0</v>
      </c>
      <c r="U88" s="7"/>
      <c r="V88" s="7"/>
    </row>
    <row r="89" spans="8:22" hidden="1" x14ac:dyDescent="0.25">
      <c r="H89" s="41">
        <f t="shared" si="1"/>
        <v>0</v>
      </c>
      <c r="I89" s="41">
        <f t="shared" si="1"/>
        <v>0</v>
      </c>
      <c r="J89" s="41">
        <f t="shared" si="1"/>
        <v>0</v>
      </c>
      <c r="K89" s="41">
        <f t="shared" si="1"/>
        <v>0</v>
      </c>
      <c r="L89" s="41">
        <f t="shared" si="1"/>
        <v>0</v>
      </c>
      <c r="M89" s="41">
        <f t="shared" si="1"/>
        <v>0</v>
      </c>
      <c r="U89" s="7"/>
      <c r="V89" s="7"/>
    </row>
    <row r="90" spans="8:22" hidden="1" x14ac:dyDescent="0.25">
      <c r="H90" s="41">
        <f t="shared" si="1"/>
        <v>0</v>
      </c>
      <c r="I90" s="41">
        <f t="shared" si="1"/>
        <v>0</v>
      </c>
      <c r="J90" s="41">
        <f t="shared" si="1"/>
        <v>0</v>
      </c>
      <c r="K90" s="41">
        <f t="shared" si="1"/>
        <v>0</v>
      </c>
      <c r="L90" s="41">
        <f t="shared" si="1"/>
        <v>0</v>
      </c>
      <c r="M90" s="41">
        <f t="shared" si="1"/>
        <v>0</v>
      </c>
      <c r="U90" s="7"/>
      <c r="V90" s="7"/>
    </row>
    <row r="91" spans="8:22" hidden="1" x14ac:dyDescent="0.25">
      <c r="H91" s="41">
        <f t="shared" si="1"/>
        <v>0</v>
      </c>
      <c r="I91" s="41">
        <f t="shared" si="1"/>
        <v>0</v>
      </c>
      <c r="J91" s="41">
        <f t="shared" si="1"/>
        <v>0</v>
      </c>
      <c r="K91" s="41">
        <f t="shared" si="1"/>
        <v>0</v>
      </c>
      <c r="L91" s="41">
        <f t="shared" si="1"/>
        <v>0</v>
      </c>
      <c r="M91" s="41">
        <f t="shared" si="1"/>
        <v>0</v>
      </c>
      <c r="U91" s="7"/>
      <c r="V91" s="7"/>
    </row>
    <row r="92" spans="8:22" hidden="1" x14ac:dyDescent="0.25">
      <c r="H92" s="41">
        <f t="shared" si="1"/>
        <v>0</v>
      </c>
      <c r="I92" s="41">
        <f t="shared" si="1"/>
        <v>0</v>
      </c>
      <c r="J92" s="41">
        <f t="shared" si="1"/>
        <v>0</v>
      </c>
      <c r="K92" s="41">
        <f t="shared" si="1"/>
        <v>0</v>
      </c>
      <c r="L92" s="41">
        <f t="shared" si="1"/>
        <v>0</v>
      </c>
      <c r="M92" s="41">
        <f t="shared" si="1"/>
        <v>0</v>
      </c>
      <c r="U92" s="7"/>
      <c r="V92" s="7"/>
    </row>
    <row r="93" spans="8:22" hidden="1" x14ac:dyDescent="0.25">
      <c r="H93" s="41">
        <f t="shared" si="1"/>
        <v>0</v>
      </c>
      <c r="I93" s="41">
        <f t="shared" si="1"/>
        <v>0</v>
      </c>
      <c r="J93" s="41">
        <f t="shared" si="1"/>
        <v>0</v>
      </c>
      <c r="K93" s="41">
        <f t="shared" si="1"/>
        <v>0</v>
      </c>
      <c r="L93" s="41">
        <f t="shared" si="1"/>
        <v>0</v>
      </c>
      <c r="M93" s="41">
        <f t="shared" si="1"/>
        <v>0</v>
      </c>
      <c r="U93" s="7"/>
      <c r="V93" s="7"/>
    </row>
    <row r="94" spans="8:22" hidden="1" x14ac:dyDescent="0.25">
      <c r="H94" s="41">
        <f t="shared" si="1"/>
        <v>0</v>
      </c>
      <c r="I94" s="41">
        <f t="shared" si="1"/>
        <v>0</v>
      </c>
      <c r="J94" s="41">
        <f t="shared" si="1"/>
        <v>0</v>
      </c>
      <c r="K94" s="41">
        <f t="shared" si="1"/>
        <v>0</v>
      </c>
      <c r="L94" s="41">
        <f t="shared" si="1"/>
        <v>0</v>
      </c>
      <c r="M94" s="41">
        <f t="shared" si="1"/>
        <v>0</v>
      </c>
      <c r="U94" s="7"/>
      <c r="V94" s="7"/>
    </row>
    <row r="95" spans="8:22" hidden="1" x14ac:dyDescent="0.25">
      <c r="H95" s="41">
        <f t="shared" si="1"/>
        <v>0</v>
      </c>
      <c r="I95" s="41">
        <f t="shared" si="1"/>
        <v>0</v>
      </c>
      <c r="J95" s="41">
        <f t="shared" si="1"/>
        <v>0</v>
      </c>
      <c r="K95" s="41">
        <f t="shared" si="1"/>
        <v>0</v>
      </c>
      <c r="L95" s="41">
        <f t="shared" si="1"/>
        <v>0</v>
      </c>
      <c r="M95" s="41">
        <f t="shared" si="1"/>
        <v>0</v>
      </c>
      <c r="U95" s="7"/>
      <c r="V95" s="7"/>
    </row>
    <row r="96" spans="8:22" hidden="1" x14ac:dyDescent="0.25">
      <c r="H96" s="41">
        <f t="shared" si="1"/>
        <v>0</v>
      </c>
      <c r="I96" s="41">
        <f t="shared" si="1"/>
        <v>0</v>
      </c>
      <c r="J96" s="41">
        <f t="shared" si="1"/>
        <v>0</v>
      </c>
      <c r="K96" s="41">
        <f t="shared" si="1"/>
        <v>0</v>
      </c>
      <c r="L96" s="41">
        <f t="shared" si="1"/>
        <v>0</v>
      </c>
      <c r="M96" s="41">
        <f t="shared" si="1"/>
        <v>0</v>
      </c>
      <c r="U96" s="7"/>
      <c r="V96" s="7"/>
    </row>
    <row r="97" spans="8:22" hidden="1" x14ac:dyDescent="0.25">
      <c r="H97" s="41">
        <f t="shared" si="1"/>
        <v>0</v>
      </c>
      <c r="I97" s="41">
        <f t="shared" si="1"/>
        <v>0</v>
      </c>
      <c r="J97" s="41">
        <f t="shared" si="1"/>
        <v>0</v>
      </c>
      <c r="K97" s="41">
        <f t="shared" si="1"/>
        <v>0</v>
      </c>
      <c r="L97" s="41">
        <f t="shared" si="1"/>
        <v>0</v>
      </c>
      <c r="M97" s="41">
        <f t="shared" si="1"/>
        <v>0</v>
      </c>
      <c r="U97" s="7"/>
      <c r="V97" s="7"/>
    </row>
    <row r="98" spans="8:22" hidden="1" x14ac:dyDescent="0.25">
      <c r="H98" s="41">
        <f t="shared" si="1"/>
        <v>0</v>
      </c>
      <c r="I98" s="41">
        <f t="shared" si="1"/>
        <v>0</v>
      </c>
      <c r="J98" s="41">
        <f t="shared" si="1"/>
        <v>0</v>
      </c>
      <c r="K98" s="41">
        <f t="shared" si="1"/>
        <v>0</v>
      </c>
      <c r="L98" s="41">
        <f t="shared" si="1"/>
        <v>0</v>
      </c>
      <c r="M98" s="41">
        <f t="shared" si="1"/>
        <v>0</v>
      </c>
      <c r="U98" s="7"/>
      <c r="V98" s="7"/>
    </row>
    <row r="99" spans="8:22" hidden="1" x14ac:dyDescent="0.25">
      <c r="H99" s="41">
        <f t="shared" si="1"/>
        <v>0</v>
      </c>
      <c r="I99" s="41">
        <f t="shared" si="1"/>
        <v>0</v>
      </c>
      <c r="J99" s="41">
        <f t="shared" si="1"/>
        <v>0</v>
      </c>
      <c r="K99" s="41">
        <f t="shared" si="1"/>
        <v>0</v>
      </c>
      <c r="L99" s="41">
        <f t="shared" si="1"/>
        <v>0</v>
      </c>
      <c r="M99" s="41">
        <f t="shared" si="1"/>
        <v>0</v>
      </c>
      <c r="U99" s="7"/>
      <c r="V99" s="7"/>
    </row>
    <row r="100" spans="8:22" hidden="1" x14ac:dyDescent="0.25">
      <c r="H100" s="41">
        <f t="shared" si="1"/>
        <v>0</v>
      </c>
      <c r="I100" s="41">
        <f t="shared" si="1"/>
        <v>0</v>
      </c>
      <c r="J100" s="41">
        <f t="shared" si="1"/>
        <v>0</v>
      </c>
      <c r="K100" s="41">
        <f t="shared" si="1"/>
        <v>0</v>
      </c>
      <c r="L100" s="41">
        <f t="shared" si="1"/>
        <v>0</v>
      </c>
      <c r="M100" s="41">
        <f t="shared" si="1"/>
        <v>0</v>
      </c>
      <c r="U100" s="7"/>
      <c r="V100" s="7"/>
    </row>
    <row r="101" spans="8:22" hidden="1" x14ac:dyDescent="0.25">
      <c r="H101" s="41">
        <f t="shared" si="1"/>
        <v>0</v>
      </c>
      <c r="I101" s="41">
        <f t="shared" si="1"/>
        <v>0</v>
      </c>
      <c r="J101" s="41">
        <f t="shared" si="1"/>
        <v>0</v>
      </c>
      <c r="K101" s="41">
        <f t="shared" si="1"/>
        <v>0</v>
      </c>
      <c r="L101" s="41">
        <f t="shared" si="1"/>
        <v>0</v>
      </c>
      <c r="M101" s="41">
        <f t="shared" si="1"/>
        <v>0</v>
      </c>
      <c r="U101" s="7"/>
      <c r="V101" s="7"/>
    </row>
    <row r="102" spans="8:22" hidden="1" x14ac:dyDescent="0.25">
      <c r="H102" s="41">
        <f t="shared" si="1"/>
        <v>0</v>
      </c>
      <c r="I102" s="41">
        <f t="shared" si="1"/>
        <v>0</v>
      </c>
      <c r="J102" s="41">
        <f t="shared" si="1"/>
        <v>0</v>
      </c>
      <c r="K102" s="41">
        <f t="shared" si="1"/>
        <v>0</v>
      </c>
      <c r="L102" s="41">
        <f t="shared" si="1"/>
        <v>0</v>
      </c>
      <c r="M102" s="41">
        <f t="shared" si="1"/>
        <v>0</v>
      </c>
      <c r="U102" s="7"/>
      <c r="V102" s="7"/>
    </row>
    <row r="103" spans="8:22" hidden="1" x14ac:dyDescent="0.25">
      <c r="H103" s="41">
        <f t="shared" si="1"/>
        <v>0</v>
      </c>
      <c r="I103" s="41">
        <f t="shared" si="1"/>
        <v>0</v>
      </c>
      <c r="J103" s="41">
        <f t="shared" si="1"/>
        <v>0</v>
      </c>
      <c r="K103" s="41">
        <f t="shared" si="1"/>
        <v>0</v>
      </c>
      <c r="L103" s="41">
        <f t="shared" si="1"/>
        <v>0</v>
      </c>
      <c r="M103" s="41">
        <f t="shared" si="1"/>
        <v>0</v>
      </c>
      <c r="U103" s="7"/>
      <c r="V103" s="7"/>
    </row>
    <row r="104" spans="8:22" hidden="1" x14ac:dyDescent="0.25">
      <c r="H104" s="41">
        <f t="shared" si="1"/>
        <v>0</v>
      </c>
      <c r="I104" s="41">
        <f t="shared" si="1"/>
        <v>0</v>
      </c>
      <c r="J104" s="41">
        <f t="shared" si="1"/>
        <v>0</v>
      </c>
      <c r="K104" s="41">
        <f t="shared" si="1"/>
        <v>0</v>
      </c>
      <c r="L104" s="41">
        <f t="shared" si="1"/>
        <v>0</v>
      </c>
      <c r="M104" s="41">
        <f t="shared" si="1"/>
        <v>0</v>
      </c>
      <c r="U104" s="7"/>
      <c r="V104" s="7"/>
    </row>
    <row r="105" spans="8:22" hidden="1" x14ac:dyDescent="0.25">
      <c r="H105" s="41">
        <f t="shared" si="1"/>
        <v>0</v>
      </c>
      <c r="I105" s="41">
        <f t="shared" si="1"/>
        <v>0</v>
      </c>
      <c r="J105" s="41">
        <f t="shared" si="1"/>
        <v>0</v>
      </c>
      <c r="K105" s="41">
        <f t="shared" si="1"/>
        <v>0</v>
      </c>
      <c r="L105" s="41">
        <f t="shared" si="1"/>
        <v>0</v>
      </c>
      <c r="M105" s="41">
        <f t="shared" si="1"/>
        <v>0</v>
      </c>
      <c r="U105" s="7"/>
      <c r="V105" s="7"/>
    </row>
    <row r="106" spans="8:22" hidden="1" x14ac:dyDescent="0.25">
      <c r="H106" s="41" t="e">
        <f>#REF!</f>
        <v>#REF!</v>
      </c>
      <c r="I106" s="41" t="e">
        <f>#REF!</f>
        <v>#REF!</v>
      </c>
      <c r="J106" s="41" t="e">
        <f>#REF!</f>
        <v>#REF!</v>
      </c>
      <c r="K106" s="41" t="e">
        <f>#REF!</f>
        <v>#REF!</v>
      </c>
      <c r="L106" s="41" t="e">
        <f>#REF!</f>
        <v>#REF!</v>
      </c>
      <c r="M106" s="41" t="e">
        <f>#REF!</f>
        <v>#REF!</v>
      </c>
      <c r="U106" s="7"/>
      <c r="V106" s="7"/>
    </row>
    <row r="107" spans="8:22" hidden="1" x14ac:dyDescent="0.25">
      <c r="H107" s="41">
        <f t="shared" ref="H107:M137" si="2">P3</f>
        <v>0</v>
      </c>
      <c r="I107" s="41">
        <f t="shared" si="2"/>
        <v>0</v>
      </c>
      <c r="J107" s="41">
        <f t="shared" si="2"/>
        <v>0</v>
      </c>
      <c r="K107" s="41">
        <f t="shared" si="2"/>
        <v>0</v>
      </c>
      <c r="L107" s="41">
        <f t="shared" si="2"/>
        <v>0</v>
      </c>
      <c r="M107" s="41">
        <f t="shared" si="2"/>
        <v>0</v>
      </c>
      <c r="U107" s="7"/>
      <c r="V107" s="7"/>
    </row>
    <row r="108" spans="8:22" hidden="1" x14ac:dyDescent="0.25">
      <c r="H108" s="41">
        <f t="shared" si="2"/>
        <v>0</v>
      </c>
      <c r="I108" s="41">
        <f t="shared" si="2"/>
        <v>0</v>
      </c>
      <c r="J108" s="41">
        <f t="shared" si="2"/>
        <v>0</v>
      </c>
      <c r="K108" s="41">
        <f t="shared" si="2"/>
        <v>0</v>
      </c>
      <c r="L108" s="41">
        <f t="shared" si="2"/>
        <v>0</v>
      </c>
      <c r="M108" s="41">
        <f t="shared" si="2"/>
        <v>0</v>
      </c>
      <c r="U108" s="7"/>
      <c r="V108" s="7"/>
    </row>
    <row r="109" spans="8:22" hidden="1" x14ac:dyDescent="0.25">
      <c r="H109" s="41">
        <f t="shared" si="2"/>
        <v>0</v>
      </c>
      <c r="I109" s="41">
        <f t="shared" si="2"/>
        <v>0</v>
      </c>
      <c r="J109" s="41">
        <f t="shared" si="2"/>
        <v>0</v>
      </c>
      <c r="K109" s="41">
        <f t="shared" si="2"/>
        <v>0</v>
      </c>
      <c r="L109" s="41">
        <f t="shared" si="2"/>
        <v>0</v>
      </c>
      <c r="M109" s="41">
        <f t="shared" si="2"/>
        <v>0</v>
      </c>
      <c r="U109" s="7"/>
      <c r="V109" s="7"/>
    </row>
    <row r="110" spans="8:22" hidden="1" x14ac:dyDescent="0.25">
      <c r="H110" s="41">
        <f t="shared" si="2"/>
        <v>0</v>
      </c>
      <c r="I110" s="41">
        <f t="shared" si="2"/>
        <v>0</v>
      </c>
      <c r="J110" s="41">
        <f t="shared" si="2"/>
        <v>0</v>
      </c>
      <c r="K110" s="41">
        <f t="shared" si="2"/>
        <v>0</v>
      </c>
      <c r="L110" s="41">
        <f t="shared" si="2"/>
        <v>0</v>
      </c>
      <c r="M110" s="41">
        <f t="shared" si="2"/>
        <v>0</v>
      </c>
      <c r="U110" s="7"/>
      <c r="V110" s="7"/>
    </row>
    <row r="111" spans="8:22" hidden="1" x14ac:dyDescent="0.25">
      <c r="H111" s="41">
        <f t="shared" si="2"/>
        <v>0</v>
      </c>
      <c r="I111" s="41">
        <f t="shared" si="2"/>
        <v>0</v>
      </c>
      <c r="J111" s="41">
        <f t="shared" si="2"/>
        <v>0</v>
      </c>
      <c r="K111" s="41">
        <f t="shared" si="2"/>
        <v>0</v>
      </c>
      <c r="L111" s="41">
        <f t="shared" si="2"/>
        <v>0</v>
      </c>
      <c r="M111" s="41">
        <f t="shared" si="2"/>
        <v>0</v>
      </c>
      <c r="U111" s="7"/>
      <c r="V111" s="7"/>
    </row>
    <row r="112" spans="8:22" hidden="1" x14ac:dyDescent="0.25">
      <c r="H112" s="41">
        <f t="shared" si="2"/>
        <v>0</v>
      </c>
      <c r="I112" s="41">
        <f t="shared" si="2"/>
        <v>0</v>
      </c>
      <c r="J112" s="41">
        <f t="shared" si="2"/>
        <v>0</v>
      </c>
      <c r="K112" s="41">
        <f t="shared" si="2"/>
        <v>0</v>
      </c>
      <c r="L112" s="41">
        <f t="shared" si="2"/>
        <v>0</v>
      </c>
      <c r="M112" s="41">
        <f t="shared" si="2"/>
        <v>0</v>
      </c>
      <c r="U112" s="7"/>
      <c r="V112" s="7"/>
    </row>
    <row r="113" spans="8:22" hidden="1" x14ac:dyDescent="0.25">
      <c r="H113" s="41">
        <f t="shared" si="2"/>
        <v>0</v>
      </c>
      <c r="I113" s="41">
        <f t="shared" si="2"/>
        <v>0</v>
      </c>
      <c r="J113" s="41">
        <f t="shared" si="2"/>
        <v>0</v>
      </c>
      <c r="K113" s="41">
        <f t="shared" si="2"/>
        <v>0</v>
      </c>
      <c r="L113" s="41">
        <f t="shared" si="2"/>
        <v>0</v>
      </c>
      <c r="M113" s="41">
        <f t="shared" si="2"/>
        <v>0</v>
      </c>
      <c r="U113" s="7"/>
      <c r="V113" s="7"/>
    </row>
    <row r="114" spans="8:22" hidden="1" x14ac:dyDescent="0.25">
      <c r="H114" s="41">
        <f t="shared" si="2"/>
        <v>0</v>
      </c>
      <c r="I114" s="41">
        <f t="shared" si="2"/>
        <v>0</v>
      </c>
      <c r="J114" s="41">
        <f t="shared" si="2"/>
        <v>0</v>
      </c>
      <c r="K114" s="41">
        <f t="shared" si="2"/>
        <v>0</v>
      </c>
      <c r="L114" s="41">
        <f t="shared" si="2"/>
        <v>0</v>
      </c>
      <c r="M114" s="41">
        <f t="shared" si="2"/>
        <v>0</v>
      </c>
      <c r="U114" s="7"/>
      <c r="V114" s="7"/>
    </row>
    <row r="115" spans="8:22" hidden="1" x14ac:dyDescent="0.25">
      <c r="H115" s="41">
        <f t="shared" si="2"/>
        <v>0</v>
      </c>
      <c r="I115" s="41">
        <f t="shared" si="2"/>
        <v>0</v>
      </c>
      <c r="J115" s="41">
        <f t="shared" si="2"/>
        <v>0</v>
      </c>
      <c r="K115" s="41">
        <f t="shared" si="2"/>
        <v>0</v>
      </c>
      <c r="L115" s="41">
        <f t="shared" si="2"/>
        <v>0</v>
      </c>
      <c r="M115" s="41">
        <f t="shared" si="2"/>
        <v>0</v>
      </c>
      <c r="U115" s="7"/>
      <c r="V115" s="7"/>
    </row>
    <row r="116" spans="8:22" hidden="1" x14ac:dyDescent="0.25">
      <c r="H116" s="41">
        <f t="shared" si="2"/>
        <v>0</v>
      </c>
      <c r="I116" s="41">
        <f t="shared" si="2"/>
        <v>0</v>
      </c>
      <c r="J116" s="41">
        <f t="shared" si="2"/>
        <v>0</v>
      </c>
      <c r="K116" s="41">
        <f t="shared" si="2"/>
        <v>0</v>
      </c>
      <c r="L116" s="41">
        <f t="shared" si="2"/>
        <v>0</v>
      </c>
      <c r="M116" s="41">
        <f t="shared" si="2"/>
        <v>0</v>
      </c>
      <c r="U116" s="7"/>
      <c r="V116" s="7"/>
    </row>
    <row r="117" spans="8:22" hidden="1" x14ac:dyDescent="0.25">
      <c r="H117" s="41">
        <f t="shared" si="2"/>
        <v>0</v>
      </c>
      <c r="I117" s="41">
        <f t="shared" si="2"/>
        <v>0</v>
      </c>
      <c r="J117" s="41">
        <f t="shared" si="2"/>
        <v>0</v>
      </c>
      <c r="K117" s="41">
        <f t="shared" si="2"/>
        <v>0</v>
      </c>
      <c r="L117" s="41">
        <f t="shared" si="2"/>
        <v>0</v>
      </c>
      <c r="M117" s="41">
        <f t="shared" si="2"/>
        <v>0</v>
      </c>
      <c r="U117" s="7"/>
      <c r="V117" s="7"/>
    </row>
    <row r="118" spans="8:22" hidden="1" x14ac:dyDescent="0.25">
      <c r="H118" s="41">
        <f t="shared" si="2"/>
        <v>0</v>
      </c>
      <c r="I118" s="41">
        <f t="shared" si="2"/>
        <v>0</v>
      </c>
      <c r="J118" s="41">
        <f t="shared" si="2"/>
        <v>0</v>
      </c>
      <c r="K118" s="41">
        <f t="shared" si="2"/>
        <v>0</v>
      </c>
      <c r="L118" s="41">
        <f t="shared" si="2"/>
        <v>0</v>
      </c>
      <c r="M118" s="41">
        <f t="shared" si="2"/>
        <v>0</v>
      </c>
      <c r="U118" s="7"/>
      <c r="V118" s="7"/>
    </row>
    <row r="119" spans="8:22" hidden="1" x14ac:dyDescent="0.25">
      <c r="H119" s="41">
        <f t="shared" si="2"/>
        <v>0</v>
      </c>
      <c r="I119" s="41">
        <f t="shared" si="2"/>
        <v>0</v>
      </c>
      <c r="J119" s="41">
        <f t="shared" si="2"/>
        <v>0</v>
      </c>
      <c r="K119" s="41">
        <f t="shared" si="2"/>
        <v>0</v>
      </c>
      <c r="L119" s="41">
        <f t="shared" si="2"/>
        <v>0</v>
      </c>
      <c r="M119" s="41">
        <f t="shared" si="2"/>
        <v>0</v>
      </c>
      <c r="U119" s="7"/>
      <c r="V119" s="7"/>
    </row>
    <row r="120" spans="8:22" hidden="1" x14ac:dyDescent="0.25">
      <c r="H120" s="41">
        <f t="shared" si="2"/>
        <v>0</v>
      </c>
      <c r="I120" s="41">
        <f t="shared" si="2"/>
        <v>0</v>
      </c>
      <c r="J120" s="41">
        <f t="shared" si="2"/>
        <v>0</v>
      </c>
      <c r="K120" s="41">
        <f t="shared" si="2"/>
        <v>0</v>
      </c>
      <c r="L120" s="41">
        <f t="shared" si="2"/>
        <v>0</v>
      </c>
      <c r="M120" s="41">
        <f t="shared" si="2"/>
        <v>0</v>
      </c>
      <c r="U120" s="7"/>
      <c r="V120" s="7"/>
    </row>
    <row r="121" spans="8:22" hidden="1" x14ac:dyDescent="0.25">
      <c r="H121" s="41">
        <f t="shared" si="2"/>
        <v>0</v>
      </c>
      <c r="I121" s="41">
        <f t="shared" si="2"/>
        <v>0</v>
      </c>
      <c r="J121" s="41">
        <f t="shared" si="2"/>
        <v>0</v>
      </c>
      <c r="K121" s="41">
        <f t="shared" si="2"/>
        <v>0</v>
      </c>
      <c r="L121" s="41">
        <f t="shared" si="2"/>
        <v>0</v>
      </c>
      <c r="M121" s="41">
        <f t="shared" si="2"/>
        <v>0</v>
      </c>
      <c r="U121" s="7"/>
      <c r="V121" s="7"/>
    </row>
    <row r="122" spans="8:22" hidden="1" x14ac:dyDescent="0.25">
      <c r="H122" s="41">
        <f t="shared" si="2"/>
        <v>0</v>
      </c>
      <c r="I122" s="41">
        <f t="shared" si="2"/>
        <v>0</v>
      </c>
      <c r="J122" s="41">
        <f t="shared" si="2"/>
        <v>0</v>
      </c>
      <c r="K122" s="41">
        <f t="shared" si="2"/>
        <v>0</v>
      </c>
      <c r="L122" s="41">
        <f t="shared" si="2"/>
        <v>0</v>
      </c>
      <c r="M122" s="41">
        <f t="shared" si="2"/>
        <v>0</v>
      </c>
      <c r="U122" s="7"/>
      <c r="V122" s="7"/>
    </row>
    <row r="123" spans="8:22" hidden="1" x14ac:dyDescent="0.25">
      <c r="H123" s="41">
        <f t="shared" si="2"/>
        <v>0</v>
      </c>
      <c r="I123" s="41">
        <f t="shared" si="2"/>
        <v>0</v>
      </c>
      <c r="J123" s="41">
        <f t="shared" si="2"/>
        <v>0</v>
      </c>
      <c r="K123" s="41">
        <f t="shared" si="2"/>
        <v>0</v>
      </c>
      <c r="L123" s="41">
        <f t="shared" si="2"/>
        <v>0</v>
      </c>
      <c r="M123" s="41">
        <f t="shared" si="2"/>
        <v>0</v>
      </c>
      <c r="U123" s="7"/>
      <c r="V123" s="7"/>
    </row>
    <row r="124" spans="8:22" hidden="1" x14ac:dyDescent="0.25">
      <c r="H124" s="41">
        <f t="shared" si="2"/>
        <v>0</v>
      </c>
      <c r="I124" s="41">
        <f t="shared" si="2"/>
        <v>0</v>
      </c>
      <c r="J124" s="41">
        <f t="shared" si="2"/>
        <v>0</v>
      </c>
      <c r="K124" s="41">
        <f t="shared" si="2"/>
        <v>0</v>
      </c>
      <c r="L124" s="41">
        <f t="shared" si="2"/>
        <v>0</v>
      </c>
      <c r="M124" s="41">
        <f t="shared" si="2"/>
        <v>0</v>
      </c>
      <c r="U124" s="7"/>
      <c r="V124" s="7"/>
    </row>
    <row r="125" spans="8:22" hidden="1" x14ac:dyDescent="0.25">
      <c r="H125" s="41">
        <f t="shared" si="2"/>
        <v>0</v>
      </c>
      <c r="I125" s="41">
        <f t="shared" si="2"/>
        <v>0</v>
      </c>
      <c r="J125" s="41">
        <f t="shared" si="2"/>
        <v>0</v>
      </c>
      <c r="K125" s="41">
        <f t="shared" si="2"/>
        <v>0</v>
      </c>
      <c r="L125" s="41">
        <f t="shared" si="2"/>
        <v>0</v>
      </c>
      <c r="M125" s="41">
        <f t="shared" si="2"/>
        <v>0</v>
      </c>
      <c r="U125" s="7"/>
      <c r="V125" s="7"/>
    </row>
    <row r="126" spans="8:22" hidden="1" x14ac:dyDescent="0.25">
      <c r="H126" s="41">
        <f t="shared" si="2"/>
        <v>0</v>
      </c>
      <c r="I126" s="41">
        <f t="shared" si="2"/>
        <v>0</v>
      </c>
      <c r="J126" s="41">
        <f t="shared" si="2"/>
        <v>0</v>
      </c>
      <c r="K126" s="41">
        <f t="shared" si="2"/>
        <v>0</v>
      </c>
      <c r="L126" s="41">
        <f t="shared" si="2"/>
        <v>0</v>
      </c>
      <c r="M126" s="41">
        <f t="shared" si="2"/>
        <v>0</v>
      </c>
      <c r="U126" s="7"/>
      <c r="V126" s="7"/>
    </row>
    <row r="127" spans="8:22" hidden="1" x14ac:dyDescent="0.25">
      <c r="H127" s="41">
        <f t="shared" si="2"/>
        <v>0</v>
      </c>
      <c r="I127" s="41">
        <f t="shared" si="2"/>
        <v>0</v>
      </c>
      <c r="J127" s="41">
        <f t="shared" si="2"/>
        <v>0</v>
      </c>
      <c r="K127" s="41">
        <f t="shared" si="2"/>
        <v>0</v>
      </c>
      <c r="L127" s="41">
        <f t="shared" si="2"/>
        <v>0</v>
      </c>
      <c r="M127" s="41">
        <f t="shared" si="2"/>
        <v>0</v>
      </c>
      <c r="U127" s="7"/>
      <c r="V127" s="7"/>
    </row>
    <row r="128" spans="8:22" hidden="1" x14ac:dyDescent="0.25">
      <c r="H128" s="41">
        <f t="shared" si="2"/>
        <v>0</v>
      </c>
      <c r="I128" s="41">
        <f t="shared" si="2"/>
        <v>0</v>
      </c>
      <c r="J128" s="41">
        <f t="shared" si="2"/>
        <v>0</v>
      </c>
      <c r="K128" s="41">
        <f t="shared" si="2"/>
        <v>0</v>
      </c>
      <c r="L128" s="41">
        <f t="shared" si="2"/>
        <v>0</v>
      </c>
      <c r="M128" s="41">
        <f t="shared" si="2"/>
        <v>0</v>
      </c>
      <c r="U128" s="7"/>
      <c r="V128" s="7"/>
    </row>
    <row r="129" spans="8:22" hidden="1" x14ac:dyDescent="0.25">
      <c r="H129" s="41">
        <f t="shared" si="2"/>
        <v>0</v>
      </c>
      <c r="I129" s="41">
        <f t="shared" si="2"/>
        <v>0</v>
      </c>
      <c r="J129" s="41">
        <f t="shared" si="2"/>
        <v>0</v>
      </c>
      <c r="K129" s="41">
        <f t="shared" si="2"/>
        <v>0</v>
      </c>
      <c r="L129" s="41">
        <f t="shared" si="2"/>
        <v>0</v>
      </c>
      <c r="M129" s="41">
        <f t="shared" si="2"/>
        <v>0</v>
      </c>
      <c r="U129" s="7"/>
      <c r="V129" s="7"/>
    </row>
    <row r="130" spans="8:22" hidden="1" x14ac:dyDescent="0.25">
      <c r="H130" s="41">
        <f t="shared" si="2"/>
        <v>0</v>
      </c>
      <c r="I130" s="41">
        <f t="shared" si="2"/>
        <v>0</v>
      </c>
      <c r="J130" s="41">
        <f t="shared" si="2"/>
        <v>0</v>
      </c>
      <c r="K130" s="41">
        <f t="shared" si="2"/>
        <v>0</v>
      </c>
      <c r="L130" s="41">
        <f t="shared" si="2"/>
        <v>0</v>
      </c>
      <c r="M130" s="41">
        <f t="shared" si="2"/>
        <v>0</v>
      </c>
      <c r="U130" s="7"/>
      <c r="V130" s="7"/>
    </row>
    <row r="131" spans="8:22" hidden="1" x14ac:dyDescent="0.25">
      <c r="H131" s="41">
        <f t="shared" si="2"/>
        <v>0</v>
      </c>
      <c r="I131" s="41">
        <f t="shared" si="2"/>
        <v>0</v>
      </c>
      <c r="J131" s="41">
        <f t="shared" si="2"/>
        <v>0</v>
      </c>
      <c r="K131" s="41">
        <f t="shared" si="2"/>
        <v>0</v>
      </c>
      <c r="L131" s="41">
        <f t="shared" si="2"/>
        <v>0</v>
      </c>
      <c r="M131" s="41">
        <f t="shared" si="2"/>
        <v>0</v>
      </c>
      <c r="U131" s="7"/>
      <c r="V131" s="7"/>
    </row>
    <row r="132" spans="8:22" hidden="1" x14ac:dyDescent="0.25">
      <c r="H132" s="41">
        <f t="shared" si="2"/>
        <v>0</v>
      </c>
      <c r="I132" s="41">
        <f t="shared" si="2"/>
        <v>0</v>
      </c>
      <c r="J132" s="41">
        <f t="shared" si="2"/>
        <v>0</v>
      </c>
      <c r="K132" s="41">
        <f t="shared" si="2"/>
        <v>0</v>
      </c>
      <c r="L132" s="41">
        <f t="shared" si="2"/>
        <v>0</v>
      </c>
      <c r="M132" s="41">
        <f t="shared" si="2"/>
        <v>0</v>
      </c>
      <c r="U132" s="7"/>
      <c r="V132" s="7"/>
    </row>
    <row r="133" spans="8:22" hidden="1" x14ac:dyDescent="0.25">
      <c r="H133" s="41">
        <f t="shared" si="2"/>
        <v>0</v>
      </c>
      <c r="I133" s="41">
        <f t="shared" si="2"/>
        <v>0</v>
      </c>
      <c r="J133" s="41">
        <f t="shared" si="2"/>
        <v>0</v>
      </c>
      <c r="K133" s="41">
        <f t="shared" si="2"/>
        <v>0</v>
      </c>
      <c r="L133" s="41">
        <f t="shared" si="2"/>
        <v>0</v>
      </c>
      <c r="M133" s="41">
        <f t="shared" si="2"/>
        <v>0</v>
      </c>
      <c r="U133" s="7"/>
      <c r="V133" s="7"/>
    </row>
    <row r="134" spans="8:22" hidden="1" x14ac:dyDescent="0.25">
      <c r="H134" s="41">
        <f t="shared" si="2"/>
        <v>0</v>
      </c>
      <c r="I134" s="41">
        <f t="shared" si="2"/>
        <v>0</v>
      </c>
      <c r="J134" s="41">
        <f t="shared" si="2"/>
        <v>0</v>
      </c>
      <c r="K134" s="41">
        <f t="shared" si="2"/>
        <v>0</v>
      </c>
      <c r="L134" s="41">
        <f t="shared" si="2"/>
        <v>0</v>
      </c>
      <c r="M134" s="41">
        <f t="shared" si="2"/>
        <v>0</v>
      </c>
      <c r="U134" s="7"/>
      <c r="V134" s="7"/>
    </row>
    <row r="135" spans="8:22" hidden="1" x14ac:dyDescent="0.25">
      <c r="H135" s="41">
        <f t="shared" si="2"/>
        <v>0</v>
      </c>
      <c r="I135" s="41">
        <f t="shared" si="2"/>
        <v>0</v>
      </c>
      <c r="J135" s="41">
        <f t="shared" si="2"/>
        <v>0</v>
      </c>
      <c r="K135" s="41">
        <f t="shared" si="2"/>
        <v>0</v>
      </c>
      <c r="L135" s="41">
        <f t="shared" si="2"/>
        <v>0</v>
      </c>
      <c r="M135" s="41">
        <f t="shared" si="2"/>
        <v>0</v>
      </c>
      <c r="U135" s="7"/>
      <c r="V135" s="7"/>
    </row>
    <row r="136" spans="8:22" hidden="1" x14ac:dyDescent="0.25">
      <c r="H136" s="41">
        <f t="shared" si="2"/>
        <v>0</v>
      </c>
      <c r="I136" s="41">
        <f t="shared" si="2"/>
        <v>0</v>
      </c>
      <c r="J136" s="41">
        <f t="shared" si="2"/>
        <v>0</v>
      </c>
      <c r="K136" s="41">
        <f t="shared" si="2"/>
        <v>0</v>
      </c>
      <c r="L136" s="41">
        <f t="shared" si="2"/>
        <v>0</v>
      </c>
      <c r="M136" s="41">
        <f t="shared" si="2"/>
        <v>0</v>
      </c>
      <c r="U136" s="7"/>
      <c r="V136" s="7"/>
    </row>
    <row r="137" spans="8:22" hidden="1" x14ac:dyDescent="0.25">
      <c r="H137" s="41">
        <f t="shared" si="2"/>
        <v>0</v>
      </c>
      <c r="I137" s="41">
        <f t="shared" si="2"/>
        <v>0</v>
      </c>
      <c r="J137" s="41">
        <f t="shared" si="2"/>
        <v>0</v>
      </c>
      <c r="K137" s="41">
        <f t="shared" si="2"/>
        <v>0</v>
      </c>
      <c r="L137" s="41">
        <f t="shared" si="2"/>
        <v>0</v>
      </c>
      <c r="M137" s="41">
        <f t="shared" si="2"/>
        <v>0</v>
      </c>
      <c r="U137" s="7"/>
      <c r="V137" s="7"/>
    </row>
    <row r="138" spans="8:22" hidden="1" x14ac:dyDescent="0.25">
      <c r="H138" s="41">
        <f t="shared" ref="H138:M156" si="3">P34</f>
        <v>0</v>
      </c>
      <c r="I138" s="41">
        <f t="shared" si="3"/>
        <v>0</v>
      </c>
      <c r="J138" s="41">
        <f t="shared" si="3"/>
        <v>0</v>
      </c>
      <c r="K138" s="41">
        <f t="shared" si="3"/>
        <v>0</v>
      </c>
      <c r="L138" s="41">
        <f t="shared" si="3"/>
        <v>0</v>
      </c>
      <c r="M138" s="41">
        <f t="shared" si="3"/>
        <v>0</v>
      </c>
      <c r="U138" s="7"/>
      <c r="V138" s="7"/>
    </row>
    <row r="139" spans="8:22" hidden="1" x14ac:dyDescent="0.25">
      <c r="H139" s="41">
        <f t="shared" si="3"/>
        <v>0</v>
      </c>
      <c r="I139" s="41">
        <f t="shared" si="3"/>
        <v>0</v>
      </c>
      <c r="J139" s="41">
        <f t="shared" si="3"/>
        <v>0</v>
      </c>
      <c r="K139" s="41">
        <f t="shared" si="3"/>
        <v>0</v>
      </c>
      <c r="L139" s="41">
        <f t="shared" si="3"/>
        <v>0</v>
      </c>
      <c r="M139" s="41">
        <f t="shared" si="3"/>
        <v>0</v>
      </c>
      <c r="U139" s="7"/>
      <c r="V139" s="7"/>
    </row>
    <row r="140" spans="8:22" hidden="1" x14ac:dyDescent="0.25">
      <c r="H140" s="41">
        <f t="shared" si="3"/>
        <v>0</v>
      </c>
      <c r="I140" s="41">
        <f t="shared" si="3"/>
        <v>0</v>
      </c>
      <c r="J140" s="41">
        <f t="shared" si="3"/>
        <v>0</v>
      </c>
      <c r="K140" s="41">
        <f t="shared" si="3"/>
        <v>0</v>
      </c>
      <c r="L140" s="41">
        <f t="shared" si="3"/>
        <v>0</v>
      </c>
      <c r="M140" s="41">
        <f t="shared" si="3"/>
        <v>0</v>
      </c>
      <c r="U140" s="7"/>
      <c r="V140" s="7"/>
    </row>
    <row r="141" spans="8:22" hidden="1" x14ac:dyDescent="0.25">
      <c r="H141" s="41">
        <f t="shared" si="3"/>
        <v>0</v>
      </c>
      <c r="I141" s="41">
        <f t="shared" si="3"/>
        <v>0</v>
      </c>
      <c r="J141" s="41">
        <f t="shared" si="3"/>
        <v>0</v>
      </c>
      <c r="K141" s="41">
        <f t="shared" si="3"/>
        <v>0</v>
      </c>
      <c r="L141" s="41">
        <f t="shared" si="3"/>
        <v>0</v>
      </c>
      <c r="M141" s="41">
        <f t="shared" si="3"/>
        <v>0</v>
      </c>
      <c r="U141" s="7"/>
      <c r="V141" s="7"/>
    </row>
    <row r="142" spans="8:22" hidden="1" x14ac:dyDescent="0.25">
      <c r="H142" s="41">
        <f t="shared" si="3"/>
        <v>0</v>
      </c>
      <c r="I142" s="41">
        <f t="shared" si="3"/>
        <v>0</v>
      </c>
      <c r="J142" s="41">
        <f t="shared" si="3"/>
        <v>0</v>
      </c>
      <c r="K142" s="41">
        <f t="shared" si="3"/>
        <v>0</v>
      </c>
      <c r="L142" s="41">
        <f t="shared" si="3"/>
        <v>0</v>
      </c>
      <c r="M142" s="41">
        <f t="shared" si="3"/>
        <v>0</v>
      </c>
      <c r="U142" s="7"/>
      <c r="V142" s="7"/>
    </row>
    <row r="143" spans="8:22" hidden="1" x14ac:dyDescent="0.25">
      <c r="H143" s="41">
        <f t="shared" si="3"/>
        <v>0</v>
      </c>
      <c r="I143" s="41">
        <f t="shared" si="3"/>
        <v>0</v>
      </c>
      <c r="J143" s="41">
        <f t="shared" si="3"/>
        <v>0</v>
      </c>
      <c r="K143" s="41">
        <f t="shared" si="3"/>
        <v>0</v>
      </c>
      <c r="L143" s="41">
        <f t="shared" si="3"/>
        <v>0</v>
      </c>
      <c r="M143" s="41">
        <f t="shared" si="3"/>
        <v>0</v>
      </c>
      <c r="U143" s="7"/>
      <c r="V143" s="7"/>
    </row>
    <row r="144" spans="8:22" hidden="1" x14ac:dyDescent="0.25">
      <c r="H144" s="41">
        <f t="shared" si="3"/>
        <v>0</v>
      </c>
      <c r="I144" s="41">
        <f t="shared" si="3"/>
        <v>0</v>
      </c>
      <c r="J144" s="41">
        <f t="shared" si="3"/>
        <v>0</v>
      </c>
      <c r="K144" s="41">
        <f t="shared" si="3"/>
        <v>0</v>
      </c>
      <c r="L144" s="41">
        <f t="shared" si="3"/>
        <v>0</v>
      </c>
      <c r="M144" s="41">
        <f t="shared" si="3"/>
        <v>0</v>
      </c>
      <c r="U144" s="7"/>
      <c r="V144" s="7"/>
    </row>
    <row r="145" spans="8:22" hidden="1" x14ac:dyDescent="0.25">
      <c r="H145" s="41">
        <f t="shared" si="3"/>
        <v>0</v>
      </c>
      <c r="I145" s="41">
        <f t="shared" si="3"/>
        <v>0</v>
      </c>
      <c r="J145" s="41">
        <f t="shared" si="3"/>
        <v>0</v>
      </c>
      <c r="K145" s="41">
        <f t="shared" si="3"/>
        <v>0</v>
      </c>
      <c r="L145" s="41">
        <f t="shared" si="3"/>
        <v>0</v>
      </c>
      <c r="M145" s="41">
        <f t="shared" si="3"/>
        <v>0</v>
      </c>
      <c r="U145" s="7"/>
      <c r="V145" s="7"/>
    </row>
    <row r="146" spans="8:22" hidden="1" x14ac:dyDescent="0.25">
      <c r="H146" s="41">
        <f t="shared" si="3"/>
        <v>0</v>
      </c>
      <c r="I146" s="41">
        <f t="shared" si="3"/>
        <v>0</v>
      </c>
      <c r="J146" s="41">
        <f t="shared" si="3"/>
        <v>0</v>
      </c>
      <c r="K146" s="41">
        <f t="shared" si="3"/>
        <v>0</v>
      </c>
      <c r="L146" s="41">
        <f t="shared" si="3"/>
        <v>0</v>
      </c>
      <c r="M146" s="41">
        <f t="shared" si="3"/>
        <v>0</v>
      </c>
      <c r="U146" s="7"/>
      <c r="V146" s="7"/>
    </row>
    <row r="147" spans="8:22" hidden="1" x14ac:dyDescent="0.25">
      <c r="H147" s="41">
        <f t="shared" si="3"/>
        <v>0</v>
      </c>
      <c r="I147" s="41">
        <f t="shared" si="3"/>
        <v>0</v>
      </c>
      <c r="J147" s="41">
        <f t="shared" si="3"/>
        <v>0</v>
      </c>
      <c r="K147" s="41">
        <f t="shared" si="3"/>
        <v>0</v>
      </c>
      <c r="L147" s="41">
        <f t="shared" si="3"/>
        <v>0</v>
      </c>
      <c r="M147" s="41">
        <f t="shared" si="3"/>
        <v>0</v>
      </c>
      <c r="U147" s="7"/>
      <c r="V147" s="7"/>
    </row>
    <row r="148" spans="8:22" hidden="1" x14ac:dyDescent="0.25">
      <c r="H148" s="41">
        <f t="shared" si="3"/>
        <v>0</v>
      </c>
      <c r="I148" s="41">
        <f t="shared" si="3"/>
        <v>0</v>
      </c>
      <c r="J148" s="41">
        <f t="shared" si="3"/>
        <v>0</v>
      </c>
      <c r="K148" s="41">
        <f t="shared" si="3"/>
        <v>0</v>
      </c>
      <c r="L148" s="41">
        <f t="shared" si="3"/>
        <v>0</v>
      </c>
      <c r="M148" s="41">
        <f t="shared" si="3"/>
        <v>0</v>
      </c>
      <c r="U148" s="7"/>
      <c r="V148" s="7"/>
    </row>
    <row r="149" spans="8:22" hidden="1" x14ac:dyDescent="0.25">
      <c r="H149" s="41">
        <f t="shared" si="3"/>
        <v>0</v>
      </c>
      <c r="I149" s="41">
        <f t="shared" si="3"/>
        <v>0</v>
      </c>
      <c r="J149" s="41">
        <f t="shared" si="3"/>
        <v>0</v>
      </c>
      <c r="K149" s="41">
        <f t="shared" si="3"/>
        <v>0</v>
      </c>
      <c r="L149" s="41">
        <f t="shared" si="3"/>
        <v>0</v>
      </c>
      <c r="M149" s="41">
        <f t="shared" si="3"/>
        <v>0</v>
      </c>
      <c r="U149" s="7"/>
      <c r="V149" s="7"/>
    </row>
    <row r="150" spans="8:22" hidden="1" x14ac:dyDescent="0.25">
      <c r="H150" s="41">
        <f t="shared" si="3"/>
        <v>0</v>
      </c>
      <c r="I150" s="41">
        <f t="shared" si="3"/>
        <v>0</v>
      </c>
      <c r="J150" s="41">
        <f t="shared" si="3"/>
        <v>0</v>
      </c>
      <c r="K150" s="41">
        <f t="shared" si="3"/>
        <v>0</v>
      </c>
      <c r="L150" s="41">
        <f t="shared" si="3"/>
        <v>0</v>
      </c>
      <c r="M150" s="41">
        <f t="shared" si="3"/>
        <v>0</v>
      </c>
      <c r="U150" s="7"/>
      <c r="V150" s="7"/>
    </row>
    <row r="151" spans="8:22" hidden="1" x14ac:dyDescent="0.25">
      <c r="H151" s="41">
        <f t="shared" si="3"/>
        <v>0</v>
      </c>
      <c r="I151" s="41">
        <f t="shared" si="3"/>
        <v>0</v>
      </c>
      <c r="J151" s="41">
        <f t="shared" si="3"/>
        <v>0</v>
      </c>
      <c r="K151" s="41">
        <f t="shared" si="3"/>
        <v>0</v>
      </c>
      <c r="L151" s="41">
        <f t="shared" si="3"/>
        <v>0</v>
      </c>
      <c r="M151" s="41">
        <f t="shared" si="3"/>
        <v>0</v>
      </c>
      <c r="U151" s="7"/>
      <c r="V151" s="7"/>
    </row>
    <row r="152" spans="8:22" hidden="1" x14ac:dyDescent="0.25">
      <c r="H152" s="41">
        <f t="shared" si="3"/>
        <v>0</v>
      </c>
      <c r="I152" s="41">
        <f t="shared" si="3"/>
        <v>0</v>
      </c>
      <c r="J152" s="41">
        <f t="shared" si="3"/>
        <v>0</v>
      </c>
      <c r="K152" s="41">
        <f t="shared" si="3"/>
        <v>0</v>
      </c>
      <c r="L152" s="41">
        <f t="shared" si="3"/>
        <v>0</v>
      </c>
      <c r="M152" s="41">
        <f t="shared" si="3"/>
        <v>0</v>
      </c>
      <c r="U152" s="7"/>
      <c r="V152" s="7"/>
    </row>
    <row r="153" spans="8:22" hidden="1" x14ac:dyDescent="0.25">
      <c r="H153" s="41">
        <f t="shared" si="3"/>
        <v>0</v>
      </c>
      <c r="I153" s="41">
        <f t="shared" si="3"/>
        <v>0</v>
      </c>
      <c r="J153" s="41">
        <f t="shared" si="3"/>
        <v>0</v>
      </c>
      <c r="K153" s="41">
        <f t="shared" si="3"/>
        <v>0</v>
      </c>
      <c r="L153" s="41">
        <f t="shared" si="3"/>
        <v>0</v>
      </c>
      <c r="M153" s="41">
        <f t="shared" si="3"/>
        <v>0</v>
      </c>
      <c r="U153" s="7"/>
      <c r="V153" s="7"/>
    </row>
    <row r="154" spans="8:22" hidden="1" x14ac:dyDescent="0.25">
      <c r="H154" s="41">
        <f t="shared" si="3"/>
        <v>0</v>
      </c>
      <c r="I154" s="41">
        <f t="shared" si="3"/>
        <v>0</v>
      </c>
      <c r="J154" s="41">
        <f t="shared" si="3"/>
        <v>0</v>
      </c>
      <c r="K154" s="41">
        <f t="shared" si="3"/>
        <v>0</v>
      </c>
      <c r="L154" s="41">
        <f t="shared" si="3"/>
        <v>0</v>
      </c>
      <c r="M154" s="41">
        <f t="shared" si="3"/>
        <v>0</v>
      </c>
      <c r="U154" s="7"/>
      <c r="V154" s="7"/>
    </row>
    <row r="155" spans="8:22" hidden="1" x14ac:dyDescent="0.25">
      <c r="H155" s="41">
        <f t="shared" si="3"/>
        <v>0</v>
      </c>
      <c r="I155" s="41">
        <f t="shared" si="3"/>
        <v>0</v>
      </c>
      <c r="J155" s="41">
        <f t="shared" si="3"/>
        <v>0</v>
      </c>
      <c r="K155" s="41">
        <f t="shared" si="3"/>
        <v>0</v>
      </c>
      <c r="L155" s="41">
        <f t="shared" si="3"/>
        <v>0</v>
      </c>
      <c r="M155" s="41">
        <f t="shared" si="3"/>
        <v>0</v>
      </c>
      <c r="U155" s="7"/>
      <c r="V155" s="7"/>
    </row>
    <row r="156" spans="8:22" hidden="1" x14ac:dyDescent="0.25">
      <c r="H156" s="41">
        <f t="shared" si="3"/>
        <v>0</v>
      </c>
      <c r="I156" s="41">
        <f t="shared" si="3"/>
        <v>0</v>
      </c>
      <c r="J156" s="41">
        <f t="shared" si="3"/>
        <v>0</v>
      </c>
      <c r="K156" s="41">
        <f t="shared" si="3"/>
        <v>0</v>
      </c>
      <c r="L156" s="41">
        <f t="shared" si="3"/>
        <v>0</v>
      </c>
      <c r="M156" s="41">
        <f t="shared" si="3"/>
        <v>0</v>
      </c>
      <c r="U156" s="7"/>
      <c r="V156" s="7"/>
    </row>
    <row r="157" spans="8:22" hidden="1" x14ac:dyDescent="0.25">
      <c r="H157" s="41" t="e">
        <f>#REF!</f>
        <v>#REF!</v>
      </c>
      <c r="I157" s="41" t="e">
        <f>#REF!</f>
        <v>#REF!</v>
      </c>
      <c r="J157" s="41" t="e">
        <f>#REF!</f>
        <v>#REF!</v>
      </c>
      <c r="K157" s="41" t="e">
        <f>#REF!</f>
        <v>#REF!</v>
      </c>
      <c r="L157" s="41" t="e">
        <f>#REF!</f>
        <v>#REF!</v>
      </c>
      <c r="M157" s="41" t="e">
        <f>#REF!</f>
        <v>#REF!</v>
      </c>
      <c r="U157" s="7"/>
      <c r="V157" s="7"/>
    </row>
    <row r="158" spans="8:22" hidden="1" x14ac:dyDescent="0.25">
      <c r="H158" s="41">
        <f t="shared" ref="H158:M207" si="4">V3</f>
        <v>0</v>
      </c>
      <c r="I158" s="41">
        <f t="shared" si="4"/>
        <v>0</v>
      </c>
      <c r="J158" s="41">
        <f t="shared" si="4"/>
        <v>0</v>
      </c>
      <c r="K158" s="41">
        <f t="shared" si="4"/>
        <v>0</v>
      </c>
      <c r="L158" s="41">
        <f t="shared" si="4"/>
        <v>0</v>
      </c>
      <c r="M158" s="41">
        <f t="shared" si="4"/>
        <v>0</v>
      </c>
      <c r="U158" s="7"/>
      <c r="V158" s="7"/>
    </row>
    <row r="159" spans="8:22" hidden="1" x14ac:dyDescent="0.25">
      <c r="H159" s="41">
        <f t="shared" si="4"/>
        <v>0</v>
      </c>
      <c r="I159" s="41">
        <f t="shared" si="4"/>
        <v>0</v>
      </c>
      <c r="J159" s="41">
        <f t="shared" si="4"/>
        <v>0</v>
      </c>
      <c r="K159" s="41">
        <f t="shared" si="4"/>
        <v>0</v>
      </c>
      <c r="L159" s="41">
        <f t="shared" si="4"/>
        <v>0</v>
      </c>
      <c r="M159" s="41">
        <f t="shared" si="4"/>
        <v>0</v>
      </c>
      <c r="U159" s="7"/>
      <c r="V159" s="7"/>
    </row>
    <row r="160" spans="8:22" hidden="1" x14ac:dyDescent="0.25">
      <c r="H160" s="41">
        <f t="shared" si="4"/>
        <v>0</v>
      </c>
      <c r="I160" s="41">
        <f t="shared" si="4"/>
        <v>0</v>
      </c>
      <c r="J160" s="41">
        <f t="shared" si="4"/>
        <v>0</v>
      </c>
      <c r="K160" s="41">
        <f t="shared" si="4"/>
        <v>0</v>
      </c>
      <c r="L160" s="41">
        <f t="shared" si="4"/>
        <v>0</v>
      </c>
      <c r="M160" s="41">
        <f t="shared" si="4"/>
        <v>0</v>
      </c>
      <c r="U160" s="7"/>
      <c r="V160" s="7"/>
    </row>
    <row r="161" spans="8:22" hidden="1" x14ac:dyDescent="0.25">
      <c r="H161" s="41">
        <f t="shared" si="4"/>
        <v>0</v>
      </c>
      <c r="I161" s="41">
        <f t="shared" si="4"/>
        <v>0</v>
      </c>
      <c r="J161" s="41">
        <f t="shared" si="4"/>
        <v>0</v>
      </c>
      <c r="K161" s="41">
        <f t="shared" si="4"/>
        <v>0</v>
      </c>
      <c r="L161" s="41">
        <f t="shared" si="4"/>
        <v>0</v>
      </c>
      <c r="M161" s="41">
        <f t="shared" si="4"/>
        <v>0</v>
      </c>
      <c r="U161" s="7"/>
      <c r="V161" s="7"/>
    </row>
    <row r="162" spans="8:22" hidden="1" x14ac:dyDescent="0.25">
      <c r="H162" s="41">
        <f t="shared" si="4"/>
        <v>0</v>
      </c>
      <c r="I162" s="41">
        <f t="shared" si="4"/>
        <v>0</v>
      </c>
      <c r="J162" s="41">
        <f t="shared" si="4"/>
        <v>0</v>
      </c>
      <c r="K162" s="41">
        <f t="shared" si="4"/>
        <v>0</v>
      </c>
      <c r="L162" s="41">
        <f t="shared" si="4"/>
        <v>0</v>
      </c>
      <c r="M162" s="41">
        <f t="shared" si="4"/>
        <v>0</v>
      </c>
      <c r="U162" s="7"/>
      <c r="V162" s="7"/>
    </row>
    <row r="163" spans="8:22" hidden="1" x14ac:dyDescent="0.25">
      <c r="H163" s="41">
        <f t="shared" si="4"/>
        <v>0</v>
      </c>
      <c r="I163" s="41">
        <f t="shared" si="4"/>
        <v>0</v>
      </c>
      <c r="J163" s="41">
        <f t="shared" si="4"/>
        <v>0</v>
      </c>
      <c r="K163" s="41">
        <f t="shared" si="4"/>
        <v>0</v>
      </c>
      <c r="L163" s="41">
        <f t="shared" si="4"/>
        <v>0</v>
      </c>
      <c r="M163" s="41">
        <f t="shared" si="4"/>
        <v>0</v>
      </c>
      <c r="U163" s="7"/>
      <c r="V163" s="7"/>
    </row>
    <row r="164" spans="8:22" hidden="1" x14ac:dyDescent="0.25">
      <c r="H164" s="41">
        <f t="shared" si="4"/>
        <v>0</v>
      </c>
      <c r="I164" s="41">
        <f t="shared" si="4"/>
        <v>0</v>
      </c>
      <c r="J164" s="41">
        <f t="shared" si="4"/>
        <v>0</v>
      </c>
      <c r="K164" s="41">
        <f t="shared" si="4"/>
        <v>0</v>
      </c>
      <c r="L164" s="41">
        <f t="shared" si="4"/>
        <v>0</v>
      </c>
      <c r="M164" s="41">
        <f t="shared" si="4"/>
        <v>0</v>
      </c>
      <c r="U164" s="7"/>
      <c r="V164" s="7"/>
    </row>
    <row r="165" spans="8:22" hidden="1" x14ac:dyDescent="0.25">
      <c r="H165" s="41">
        <f t="shared" si="4"/>
        <v>0</v>
      </c>
      <c r="I165" s="41">
        <f t="shared" si="4"/>
        <v>0</v>
      </c>
      <c r="J165" s="41">
        <f t="shared" si="4"/>
        <v>0</v>
      </c>
      <c r="K165" s="41">
        <f t="shared" si="4"/>
        <v>0</v>
      </c>
      <c r="L165" s="41">
        <f t="shared" si="4"/>
        <v>0</v>
      </c>
      <c r="M165" s="41">
        <f t="shared" si="4"/>
        <v>0</v>
      </c>
      <c r="U165" s="7"/>
      <c r="V165" s="7"/>
    </row>
    <row r="166" spans="8:22" hidden="1" x14ac:dyDescent="0.25">
      <c r="H166" s="41">
        <f t="shared" si="4"/>
        <v>0</v>
      </c>
      <c r="I166" s="41">
        <f t="shared" si="4"/>
        <v>0</v>
      </c>
      <c r="J166" s="41">
        <f t="shared" si="4"/>
        <v>0</v>
      </c>
      <c r="K166" s="41">
        <f t="shared" si="4"/>
        <v>0</v>
      </c>
      <c r="L166" s="41">
        <f t="shared" si="4"/>
        <v>0</v>
      </c>
      <c r="M166" s="41">
        <f t="shared" si="4"/>
        <v>0</v>
      </c>
      <c r="U166" s="7"/>
      <c r="V166" s="7"/>
    </row>
    <row r="167" spans="8:22" hidden="1" x14ac:dyDescent="0.25">
      <c r="H167" s="41">
        <f t="shared" si="4"/>
        <v>0</v>
      </c>
      <c r="I167" s="41">
        <f t="shared" si="4"/>
        <v>0</v>
      </c>
      <c r="J167" s="41">
        <f t="shared" si="4"/>
        <v>0</v>
      </c>
      <c r="K167" s="41">
        <f t="shared" si="4"/>
        <v>0</v>
      </c>
      <c r="L167" s="41">
        <f t="shared" si="4"/>
        <v>0</v>
      </c>
      <c r="M167" s="41">
        <f t="shared" si="4"/>
        <v>0</v>
      </c>
      <c r="U167" s="7"/>
      <c r="V167" s="7"/>
    </row>
    <row r="168" spans="8:22" hidden="1" x14ac:dyDescent="0.25">
      <c r="H168" s="41">
        <f t="shared" si="4"/>
        <v>0</v>
      </c>
      <c r="I168" s="41">
        <f t="shared" si="4"/>
        <v>0</v>
      </c>
      <c r="J168" s="41">
        <f t="shared" si="4"/>
        <v>0</v>
      </c>
      <c r="K168" s="41">
        <f t="shared" si="4"/>
        <v>0</v>
      </c>
      <c r="L168" s="41">
        <f t="shared" si="4"/>
        <v>0</v>
      </c>
      <c r="M168" s="41">
        <f t="shared" si="4"/>
        <v>0</v>
      </c>
      <c r="U168" s="7"/>
      <c r="V168" s="7"/>
    </row>
    <row r="169" spans="8:22" hidden="1" x14ac:dyDescent="0.25">
      <c r="H169" s="41">
        <f t="shared" si="4"/>
        <v>0</v>
      </c>
      <c r="I169" s="41">
        <f t="shared" si="4"/>
        <v>0</v>
      </c>
      <c r="J169" s="41">
        <f t="shared" si="4"/>
        <v>0</v>
      </c>
      <c r="K169" s="41">
        <f t="shared" si="4"/>
        <v>0</v>
      </c>
      <c r="L169" s="41">
        <f t="shared" si="4"/>
        <v>0</v>
      </c>
      <c r="M169" s="41">
        <f t="shared" si="4"/>
        <v>0</v>
      </c>
      <c r="U169" s="7"/>
      <c r="V169" s="7"/>
    </row>
    <row r="170" spans="8:22" hidden="1" x14ac:dyDescent="0.25">
      <c r="H170" s="41">
        <f t="shared" si="4"/>
        <v>0</v>
      </c>
      <c r="I170" s="41">
        <f t="shared" si="4"/>
        <v>0</v>
      </c>
      <c r="J170" s="41">
        <f t="shared" si="4"/>
        <v>0</v>
      </c>
      <c r="K170" s="41">
        <f t="shared" si="4"/>
        <v>0</v>
      </c>
      <c r="L170" s="41">
        <f t="shared" si="4"/>
        <v>0</v>
      </c>
      <c r="M170" s="41">
        <f t="shared" si="4"/>
        <v>0</v>
      </c>
      <c r="U170" s="7"/>
      <c r="V170" s="7"/>
    </row>
    <row r="171" spans="8:22" hidden="1" x14ac:dyDescent="0.25">
      <c r="H171" s="41">
        <f t="shared" si="4"/>
        <v>0</v>
      </c>
      <c r="I171" s="41">
        <f t="shared" si="4"/>
        <v>0</v>
      </c>
      <c r="J171" s="41">
        <f t="shared" si="4"/>
        <v>0</v>
      </c>
      <c r="K171" s="41">
        <f t="shared" si="4"/>
        <v>0</v>
      </c>
      <c r="L171" s="41">
        <f t="shared" si="4"/>
        <v>0</v>
      </c>
      <c r="M171" s="41">
        <f t="shared" si="4"/>
        <v>0</v>
      </c>
      <c r="U171" s="7"/>
      <c r="V171" s="7"/>
    </row>
    <row r="172" spans="8:22" hidden="1" x14ac:dyDescent="0.25">
      <c r="H172" s="41">
        <f t="shared" si="4"/>
        <v>0</v>
      </c>
      <c r="I172" s="41">
        <f t="shared" si="4"/>
        <v>0</v>
      </c>
      <c r="J172" s="41">
        <f t="shared" si="4"/>
        <v>0</v>
      </c>
      <c r="K172" s="41">
        <f t="shared" si="4"/>
        <v>0</v>
      </c>
      <c r="L172" s="41">
        <f t="shared" si="4"/>
        <v>0</v>
      </c>
      <c r="M172" s="41">
        <f t="shared" si="4"/>
        <v>0</v>
      </c>
      <c r="U172" s="7"/>
      <c r="V172" s="7"/>
    </row>
    <row r="173" spans="8:22" hidden="1" x14ac:dyDescent="0.25">
      <c r="H173" s="41">
        <f t="shared" si="4"/>
        <v>0</v>
      </c>
      <c r="I173" s="41">
        <f t="shared" si="4"/>
        <v>0</v>
      </c>
      <c r="J173" s="41">
        <f t="shared" si="4"/>
        <v>0</v>
      </c>
      <c r="K173" s="41">
        <f t="shared" si="4"/>
        <v>0</v>
      </c>
      <c r="L173" s="41">
        <f t="shared" si="4"/>
        <v>0</v>
      </c>
      <c r="M173" s="41">
        <f t="shared" si="4"/>
        <v>0</v>
      </c>
      <c r="U173" s="7"/>
      <c r="V173" s="7"/>
    </row>
    <row r="174" spans="8:22" hidden="1" x14ac:dyDescent="0.25">
      <c r="H174" s="41">
        <f t="shared" si="4"/>
        <v>0</v>
      </c>
      <c r="I174" s="41">
        <f t="shared" si="4"/>
        <v>0</v>
      </c>
      <c r="J174" s="41">
        <f t="shared" si="4"/>
        <v>0</v>
      </c>
      <c r="K174" s="41">
        <f t="shared" si="4"/>
        <v>0</v>
      </c>
      <c r="L174" s="41">
        <f t="shared" si="4"/>
        <v>0</v>
      </c>
      <c r="M174" s="41">
        <f t="shared" si="4"/>
        <v>0</v>
      </c>
      <c r="U174" s="7"/>
      <c r="V174" s="7"/>
    </row>
    <row r="175" spans="8:22" hidden="1" x14ac:dyDescent="0.25">
      <c r="H175" s="41">
        <f t="shared" si="4"/>
        <v>0</v>
      </c>
      <c r="I175" s="41">
        <f t="shared" si="4"/>
        <v>0</v>
      </c>
      <c r="J175" s="41">
        <f t="shared" si="4"/>
        <v>0</v>
      </c>
      <c r="K175" s="41">
        <f t="shared" si="4"/>
        <v>0</v>
      </c>
      <c r="L175" s="41">
        <f t="shared" si="4"/>
        <v>0</v>
      </c>
      <c r="M175" s="41">
        <f t="shared" si="4"/>
        <v>0</v>
      </c>
      <c r="U175" s="7"/>
      <c r="V175" s="7"/>
    </row>
    <row r="176" spans="8:22" hidden="1" x14ac:dyDescent="0.25">
      <c r="H176" s="41">
        <f t="shared" si="4"/>
        <v>0</v>
      </c>
      <c r="I176" s="41">
        <f t="shared" si="4"/>
        <v>0</v>
      </c>
      <c r="J176" s="41">
        <f t="shared" si="4"/>
        <v>0</v>
      </c>
      <c r="K176" s="41">
        <f t="shared" si="4"/>
        <v>0</v>
      </c>
      <c r="L176" s="41">
        <f t="shared" si="4"/>
        <v>0</v>
      </c>
      <c r="M176" s="41">
        <f t="shared" si="4"/>
        <v>0</v>
      </c>
      <c r="U176" s="7"/>
      <c r="V176" s="7"/>
    </row>
    <row r="177" spans="8:22" hidden="1" x14ac:dyDescent="0.25">
      <c r="H177" s="41">
        <f t="shared" si="4"/>
        <v>0</v>
      </c>
      <c r="I177" s="41">
        <f t="shared" si="4"/>
        <v>0</v>
      </c>
      <c r="J177" s="41">
        <f t="shared" si="4"/>
        <v>0</v>
      </c>
      <c r="K177" s="41">
        <f t="shared" si="4"/>
        <v>0</v>
      </c>
      <c r="L177" s="41">
        <f t="shared" si="4"/>
        <v>0</v>
      </c>
      <c r="M177" s="41">
        <f t="shared" si="4"/>
        <v>0</v>
      </c>
      <c r="U177" s="7"/>
      <c r="V177" s="7"/>
    </row>
    <row r="178" spans="8:22" hidden="1" x14ac:dyDescent="0.25">
      <c r="H178" s="41">
        <f t="shared" si="4"/>
        <v>0</v>
      </c>
      <c r="I178" s="41">
        <f t="shared" si="4"/>
        <v>0</v>
      </c>
      <c r="J178" s="41">
        <f t="shared" si="4"/>
        <v>0</v>
      </c>
      <c r="K178" s="41">
        <f t="shared" si="4"/>
        <v>0</v>
      </c>
      <c r="L178" s="41">
        <f t="shared" si="4"/>
        <v>0</v>
      </c>
      <c r="M178" s="41">
        <f t="shared" si="4"/>
        <v>0</v>
      </c>
      <c r="U178" s="7"/>
      <c r="V178" s="7"/>
    </row>
    <row r="179" spans="8:22" hidden="1" x14ac:dyDescent="0.25">
      <c r="H179" s="41">
        <f t="shared" si="4"/>
        <v>0</v>
      </c>
      <c r="I179" s="41">
        <f t="shared" si="4"/>
        <v>0</v>
      </c>
      <c r="J179" s="41">
        <f t="shared" si="4"/>
        <v>0</v>
      </c>
      <c r="K179" s="41">
        <f t="shared" si="4"/>
        <v>0</v>
      </c>
      <c r="L179" s="41">
        <f t="shared" si="4"/>
        <v>0</v>
      </c>
      <c r="M179" s="41">
        <f t="shared" si="4"/>
        <v>0</v>
      </c>
      <c r="U179" s="7"/>
      <c r="V179" s="7"/>
    </row>
    <row r="180" spans="8:22" hidden="1" x14ac:dyDescent="0.25">
      <c r="H180" s="41">
        <f t="shared" si="4"/>
        <v>0</v>
      </c>
      <c r="I180" s="41">
        <f t="shared" si="4"/>
        <v>0</v>
      </c>
      <c r="J180" s="41">
        <f t="shared" si="4"/>
        <v>0</v>
      </c>
      <c r="K180" s="41">
        <f t="shared" si="4"/>
        <v>0</v>
      </c>
      <c r="L180" s="41">
        <f t="shared" si="4"/>
        <v>0</v>
      </c>
      <c r="M180" s="41">
        <f t="shared" si="4"/>
        <v>0</v>
      </c>
      <c r="U180" s="7"/>
      <c r="V180" s="7"/>
    </row>
    <row r="181" spans="8:22" hidden="1" x14ac:dyDescent="0.25">
      <c r="H181" s="41">
        <f t="shared" si="4"/>
        <v>0</v>
      </c>
      <c r="I181" s="41">
        <f t="shared" si="4"/>
        <v>0</v>
      </c>
      <c r="J181" s="41">
        <f t="shared" si="4"/>
        <v>0</v>
      </c>
      <c r="K181" s="41">
        <f t="shared" si="4"/>
        <v>0</v>
      </c>
      <c r="L181" s="41">
        <f t="shared" si="4"/>
        <v>0</v>
      </c>
      <c r="M181" s="41">
        <f t="shared" si="4"/>
        <v>0</v>
      </c>
      <c r="U181" s="7"/>
      <c r="V181" s="7"/>
    </row>
    <row r="182" spans="8:22" hidden="1" x14ac:dyDescent="0.25">
      <c r="H182" s="41">
        <f t="shared" si="4"/>
        <v>0</v>
      </c>
      <c r="I182" s="41">
        <f t="shared" si="4"/>
        <v>0</v>
      </c>
      <c r="J182" s="41">
        <f t="shared" si="4"/>
        <v>0</v>
      </c>
      <c r="K182" s="41">
        <f t="shared" si="4"/>
        <v>0</v>
      </c>
      <c r="L182" s="41">
        <f t="shared" si="4"/>
        <v>0</v>
      </c>
      <c r="M182" s="41">
        <f t="shared" si="4"/>
        <v>0</v>
      </c>
      <c r="U182" s="7"/>
      <c r="V182" s="7"/>
    </row>
    <row r="183" spans="8:22" hidden="1" x14ac:dyDescent="0.25">
      <c r="H183" s="41">
        <f t="shared" si="4"/>
        <v>0</v>
      </c>
      <c r="I183" s="41">
        <f t="shared" si="4"/>
        <v>0</v>
      </c>
      <c r="J183" s="41">
        <f t="shared" si="4"/>
        <v>0</v>
      </c>
      <c r="K183" s="41">
        <f t="shared" si="4"/>
        <v>0</v>
      </c>
      <c r="L183" s="41">
        <f t="shared" si="4"/>
        <v>0</v>
      </c>
      <c r="M183" s="41">
        <f t="shared" si="4"/>
        <v>0</v>
      </c>
      <c r="U183" s="7"/>
      <c r="V183" s="7"/>
    </row>
    <row r="184" spans="8:22" hidden="1" x14ac:dyDescent="0.25">
      <c r="H184" s="41">
        <f t="shared" si="4"/>
        <v>0</v>
      </c>
      <c r="I184" s="41">
        <f t="shared" si="4"/>
        <v>0</v>
      </c>
      <c r="J184" s="41">
        <f t="shared" si="4"/>
        <v>0</v>
      </c>
      <c r="K184" s="41">
        <f t="shared" si="4"/>
        <v>0</v>
      </c>
      <c r="L184" s="41">
        <f t="shared" si="4"/>
        <v>0</v>
      </c>
      <c r="M184" s="41">
        <f t="shared" si="4"/>
        <v>0</v>
      </c>
      <c r="U184" s="7"/>
      <c r="V184" s="7"/>
    </row>
    <row r="185" spans="8:22" hidden="1" x14ac:dyDescent="0.25">
      <c r="H185" s="41">
        <f t="shared" si="4"/>
        <v>0</v>
      </c>
      <c r="I185" s="41">
        <f t="shared" si="4"/>
        <v>0</v>
      </c>
      <c r="J185" s="41">
        <f t="shared" si="4"/>
        <v>0</v>
      </c>
      <c r="K185" s="41">
        <f t="shared" si="4"/>
        <v>0</v>
      </c>
      <c r="L185" s="41">
        <f t="shared" si="4"/>
        <v>0</v>
      </c>
      <c r="M185" s="41">
        <f t="shared" si="4"/>
        <v>0</v>
      </c>
      <c r="U185" s="7"/>
      <c r="V185" s="7"/>
    </row>
    <row r="186" spans="8:22" hidden="1" x14ac:dyDescent="0.25">
      <c r="H186" s="41">
        <f t="shared" si="4"/>
        <v>0</v>
      </c>
      <c r="I186" s="41">
        <f t="shared" si="4"/>
        <v>0</v>
      </c>
      <c r="J186" s="41">
        <f t="shared" si="4"/>
        <v>0</v>
      </c>
      <c r="K186" s="41">
        <f t="shared" si="4"/>
        <v>0</v>
      </c>
      <c r="L186" s="41">
        <f t="shared" si="4"/>
        <v>0</v>
      </c>
      <c r="M186" s="41">
        <f t="shared" si="4"/>
        <v>0</v>
      </c>
      <c r="U186" s="7"/>
      <c r="V186" s="7"/>
    </row>
    <row r="187" spans="8:22" hidden="1" x14ac:dyDescent="0.25">
      <c r="H187" s="41">
        <f t="shared" si="4"/>
        <v>0</v>
      </c>
      <c r="I187" s="41">
        <f t="shared" si="4"/>
        <v>0</v>
      </c>
      <c r="J187" s="41">
        <f t="shared" si="4"/>
        <v>0</v>
      </c>
      <c r="K187" s="41">
        <f t="shared" si="4"/>
        <v>0</v>
      </c>
      <c r="L187" s="41">
        <f t="shared" si="4"/>
        <v>0</v>
      </c>
      <c r="M187" s="41">
        <f t="shared" si="4"/>
        <v>0</v>
      </c>
      <c r="U187" s="7"/>
      <c r="V187" s="7"/>
    </row>
    <row r="188" spans="8:22" hidden="1" x14ac:dyDescent="0.25">
      <c r="H188" s="41">
        <f t="shared" si="4"/>
        <v>0</v>
      </c>
      <c r="I188" s="41">
        <f t="shared" si="4"/>
        <v>0</v>
      </c>
      <c r="J188" s="41">
        <f t="shared" si="4"/>
        <v>0</v>
      </c>
      <c r="K188" s="41">
        <f t="shared" si="4"/>
        <v>0</v>
      </c>
      <c r="L188" s="41">
        <f t="shared" si="4"/>
        <v>0</v>
      </c>
      <c r="M188" s="41">
        <f t="shared" si="4"/>
        <v>0</v>
      </c>
      <c r="U188" s="7"/>
      <c r="V188" s="7"/>
    </row>
    <row r="189" spans="8:22" hidden="1" x14ac:dyDescent="0.25">
      <c r="H189" s="41">
        <f t="shared" si="4"/>
        <v>0</v>
      </c>
      <c r="I189" s="41">
        <f t="shared" si="4"/>
        <v>0</v>
      </c>
      <c r="J189" s="41">
        <f t="shared" si="4"/>
        <v>0</v>
      </c>
      <c r="K189" s="41">
        <f t="shared" si="4"/>
        <v>0</v>
      </c>
      <c r="L189" s="41">
        <f t="shared" si="4"/>
        <v>0</v>
      </c>
      <c r="M189" s="41">
        <f t="shared" si="4"/>
        <v>0</v>
      </c>
      <c r="U189" s="7"/>
      <c r="V189" s="7"/>
    </row>
    <row r="190" spans="8:22" hidden="1" x14ac:dyDescent="0.25">
      <c r="H190" s="41">
        <f t="shared" si="4"/>
        <v>0</v>
      </c>
      <c r="I190" s="41">
        <f t="shared" si="4"/>
        <v>0</v>
      </c>
      <c r="J190" s="41">
        <f t="shared" si="4"/>
        <v>0</v>
      </c>
      <c r="K190" s="41">
        <f t="shared" si="4"/>
        <v>0</v>
      </c>
      <c r="L190" s="41">
        <f t="shared" si="4"/>
        <v>0</v>
      </c>
      <c r="M190" s="41">
        <f t="shared" si="4"/>
        <v>0</v>
      </c>
      <c r="U190" s="7"/>
      <c r="V190" s="7"/>
    </row>
    <row r="191" spans="8:22" hidden="1" x14ac:dyDescent="0.25">
      <c r="H191" s="41">
        <f t="shared" si="4"/>
        <v>0</v>
      </c>
      <c r="I191" s="41">
        <f t="shared" si="4"/>
        <v>0</v>
      </c>
      <c r="J191" s="41">
        <f t="shared" si="4"/>
        <v>0</v>
      </c>
      <c r="K191" s="41">
        <f t="shared" si="4"/>
        <v>0</v>
      </c>
      <c r="L191" s="41">
        <f t="shared" si="4"/>
        <v>0</v>
      </c>
      <c r="M191" s="41">
        <f t="shared" si="4"/>
        <v>0</v>
      </c>
      <c r="U191" s="7"/>
      <c r="V191" s="7"/>
    </row>
    <row r="192" spans="8:22" hidden="1" x14ac:dyDescent="0.25">
      <c r="H192" s="41">
        <f t="shared" si="4"/>
        <v>0</v>
      </c>
      <c r="I192" s="41">
        <f t="shared" si="4"/>
        <v>0</v>
      </c>
      <c r="J192" s="41">
        <f t="shared" si="4"/>
        <v>0</v>
      </c>
      <c r="K192" s="41">
        <f t="shared" si="4"/>
        <v>0</v>
      </c>
      <c r="L192" s="41">
        <f t="shared" si="4"/>
        <v>0</v>
      </c>
      <c r="M192" s="41">
        <f t="shared" si="4"/>
        <v>0</v>
      </c>
      <c r="U192" s="7"/>
      <c r="V192" s="7"/>
    </row>
    <row r="193" spans="8:22" hidden="1" x14ac:dyDescent="0.25">
      <c r="H193" s="41">
        <f t="shared" si="4"/>
        <v>0</v>
      </c>
      <c r="I193" s="41">
        <f t="shared" si="4"/>
        <v>0</v>
      </c>
      <c r="J193" s="41">
        <f t="shared" si="4"/>
        <v>0</v>
      </c>
      <c r="K193" s="41">
        <f t="shared" si="4"/>
        <v>0</v>
      </c>
      <c r="L193" s="41">
        <f t="shared" si="4"/>
        <v>0</v>
      </c>
      <c r="M193" s="41">
        <f t="shared" si="4"/>
        <v>0</v>
      </c>
      <c r="U193" s="7"/>
      <c r="V193" s="7"/>
    </row>
    <row r="194" spans="8:22" hidden="1" x14ac:dyDescent="0.25">
      <c r="H194" s="41">
        <f t="shared" si="4"/>
        <v>0</v>
      </c>
      <c r="I194" s="41">
        <f t="shared" si="4"/>
        <v>0</v>
      </c>
      <c r="J194" s="41">
        <f t="shared" si="4"/>
        <v>0</v>
      </c>
      <c r="K194" s="41">
        <f t="shared" si="4"/>
        <v>0</v>
      </c>
      <c r="L194" s="41">
        <f t="shared" si="4"/>
        <v>0</v>
      </c>
      <c r="M194" s="41">
        <f t="shared" si="4"/>
        <v>0</v>
      </c>
      <c r="U194" s="7"/>
      <c r="V194" s="7"/>
    </row>
    <row r="195" spans="8:22" hidden="1" x14ac:dyDescent="0.25">
      <c r="H195" s="41">
        <f t="shared" si="4"/>
        <v>0</v>
      </c>
      <c r="I195" s="41">
        <f t="shared" si="4"/>
        <v>0</v>
      </c>
      <c r="J195" s="41">
        <f t="shared" si="4"/>
        <v>0</v>
      </c>
      <c r="K195" s="41">
        <f t="shared" si="4"/>
        <v>0</v>
      </c>
      <c r="L195" s="41">
        <f t="shared" si="4"/>
        <v>0</v>
      </c>
      <c r="M195" s="41">
        <f t="shared" si="4"/>
        <v>0</v>
      </c>
      <c r="U195" s="7"/>
      <c r="V195" s="7"/>
    </row>
    <row r="196" spans="8:22" hidden="1" x14ac:dyDescent="0.25">
      <c r="H196" s="41">
        <f t="shared" si="4"/>
        <v>0</v>
      </c>
      <c r="I196" s="41">
        <f t="shared" si="4"/>
        <v>0</v>
      </c>
      <c r="J196" s="41">
        <f t="shared" si="4"/>
        <v>0</v>
      </c>
      <c r="K196" s="41">
        <f t="shared" si="4"/>
        <v>0</v>
      </c>
      <c r="L196" s="41">
        <f t="shared" si="4"/>
        <v>0</v>
      </c>
      <c r="M196" s="41">
        <f t="shared" si="4"/>
        <v>0</v>
      </c>
      <c r="U196" s="7"/>
      <c r="V196" s="7"/>
    </row>
    <row r="197" spans="8:22" hidden="1" x14ac:dyDescent="0.25">
      <c r="H197" s="41">
        <f t="shared" si="4"/>
        <v>0</v>
      </c>
      <c r="I197" s="41">
        <f t="shared" si="4"/>
        <v>0</v>
      </c>
      <c r="J197" s="41">
        <f t="shared" si="4"/>
        <v>0</v>
      </c>
      <c r="K197" s="41">
        <f t="shared" si="4"/>
        <v>0</v>
      </c>
      <c r="L197" s="41">
        <f t="shared" si="4"/>
        <v>0</v>
      </c>
      <c r="M197" s="41">
        <f t="shared" si="4"/>
        <v>0</v>
      </c>
      <c r="U197" s="7"/>
      <c r="V197" s="7"/>
    </row>
    <row r="198" spans="8:22" hidden="1" x14ac:dyDescent="0.25">
      <c r="H198" s="41">
        <f t="shared" si="4"/>
        <v>0</v>
      </c>
      <c r="I198" s="41">
        <f t="shared" si="4"/>
        <v>0</v>
      </c>
      <c r="J198" s="41">
        <f t="shared" si="4"/>
        <v>0</v>
      </c>
      <c r="K198" s="41">
        <f t="shared" si="4"/>
        <v>0</v>
      </c>
      <c r="L198" s="41">
        <f t="shared" si="4"/>
        <v>0</v>
      </c>
      <c r="M198" s="41">
        <f t="shared" si="4"/>
        <v>0</v>
      </c>
      <c r="U198" s="7"/>
      <c r="V198" s="7"/>
    </row>
    <row r="199" spans="8:22" hidden="1" x14ac:dyDescent="0.25">
      <c r="H199" s="41">
        <f t="shared" si="4"/>
        <v>0</v>
      </c>
      <c r="I199" s="41">
        <f t="shared" si="4"/>
        <v>0</v>
      </c>
      <c r="J199" s="41">
        <f t="shared" si="4"/>
        <v>0</v>
      </c>
      <c r="K199" s="41">
        <f t="shared" si="4"/>
        <v>0</v>
      </c>
      <c r="L199" s="41">
        <f t="shared" si="4"/>
        <v>0</v>
      </c>
      <c r="M199" s="41">
        <f t="shared" si="4"/>
        <v>0</v>
      </c>
      <c r="U199" s="7"/>
      <c r="V199" s="7"/>
    </row>
    <row r="200" spans="8:22" hidden="1" x14ac:dyDescent="0.25">
      <c r="H200" s="41">
        <f t="shared" si="4"/>
        <v>0</v>
      </c>
      <c r="I200" s="41">
        <f t="shared" si="4"/>
        <v>0</v>
      </c>
      <c r="J200" s="41">
        <f t="shared" si="4"/>
        <v>0</v>
      </c>
      <c r="K200" s="41">
        <f t="shared" ref="K200:M249" si="5">Y45</f>
        <v>0</v>
      </c>
      <c r="L200" s="41">
        <f t="shared" si="5"/>
        <v>0</v>
      </c>
      <c r="M200" s="41">
        <f t="shared" si="5"/>
        <v>0</v>
      </c>
      <c r="U200" s="7"/>
      <c r="V200" s="7"/>
    </row>
    <row r="201" spans="8:22" hidden="1" x14ac:dyDescent="0.25">
      <c r="H201" s="41">
        <f t="shared" ref="H201:J250" si="6">V46</f>
        <v>0</v>
      </c>
      <c r="I201" s="41">
        <f t="shared" si="6"/>
        <v>0</v>
      </c>
      <c r="J201" s="41">
        <f t="shared" si="6"/>
        <v>0</v>
      </c>
      <c r="K201" s="41">
        <f t="shared" si="5"/>
        <v>0</v>
      </c>
      <c r="L201" s="41">
        <f t="shared" si="5"/>
        <v>0</v>
      </c>
      <c r="M201" s="41">
        <f t="shared" si="5"/>
        <v>0</v>
      </c>
      <c r="U201" s="7"/>
      <c r="V201" s="7"/>
    </row>
    <row r="202" spans="8:22" hidden="1" x14ac:dyDescent="0.25">
      <c r="H202" s="41">
        <f t="shared" si="6"/>
        <v>0</v>
      </c>
      <c r="I202" s="41">
        <f t="shared" si="6"/>
        <v>0</v>
      </c>
      <c r="J202" s="41">
        <f t="shared" si="6"/>
        <v>0</v>
      </c>
      <c r="K202" s="41">
        <f t="shared" si="5"/>
        <v>0</v>
      </c>
      <c r="L202" s="41">
        <f t="shared" si="5"/>
        <v>0</v>
      </c>
      <c r="M202" s="41">
        <f t="shared" si="5"/>
        <v>0</v>
      </c>
      <c r="U202" s="7"/>
      <c r="V202" s="7"/>
    </row>
    <row r="203" spans="8:22" hidden="1" x14ac:dyDescent="0.25">
      <c r="H203" s="41">
        <f t="shared" si="6"/>
        <v>0</v>
      </c>
      <c r="I203" s="41">
        <f t="shared" si="6"/>
        <v>0</v>
      </c>
      <c r="J203" s="41">
        <f t="shared" si="6"/>
        <v>0</v>
      </c>
      <c r="K203" s="41">
        <f t="shared" si="5"/>
        <v>0</v>
      </c>
      <c r="L203" s="41">
        <f t="shared" si="5"/>
        <v>0</v>
      </c>
      <c r="M203" s="41">
        <f t="shared" si="5"/>
        <v>0</v>
      </c>
      <c r="U203" s="7"/>
      <c r="V203" s="7"/>
    </row>
    <row r="204" spans="8:22" hidden="1" x14ac:dyDescent="0.25">
      <c r="H204" s="41">
        <f t="shared" si="6"/>
        <v>0</v>
      </c>
      <c r="I204" s="41">
        <f t="shared" si="6"/>
        <v>0</v>
      </c>
      <c r="J204" s="41">
        <f t="shared" si="6"/>
        <v>0</v>
      </c>
      <c r="K204" s="41">
        <f t="shared" si="5"/>
        <v>0</v>
      </c>
      <c r="L204" s="41">
        <f t="shared" si="5"/>
        <v>0</v>
      </c>
      <c r="M204" s="41">
        <f t="shared" si="5"/>
        <v>0</v>
      </c>
      <c r="U204" s="7"/>
      <c r="V204" s="7"/>
    </row>
    <row r="205" spans="8:22" hidden="1" x14ac:dyDescent="0.25">
      <c r="H205" s="41">
        <f t="shared" si="6"/>
        <v>0</v>
      </c>
      <c r="I205" s="41">
        <f t="shared" si="6"/>
        <v>0</v>
      </c>
      <c r="J205" s="41">
        <f t="shared" si="6"/>
        <v>0</v>
      </c>
      <c r="K205" s="41">
        <f t="shared" si="5"/>
        <v>0</v>
      </c>
      <c r="L205" s="41">
        <f t="shared" si="5"/>
        <v>0</v>
      </c>
      <c r="M205" s="41">
        <f t="shared" si="5"/>
        <v>0</v>
      </c>
      <c r="U205" s="7"/>
      <c r="V205" s="7"/>
    </row>
    <row r="206" spans="8:22" hidden="1" x14ac:dyDescent="0.25">
      <c r="H206" s="41">
        <f t="shared" si="6"/>
        <v>0</v>
      </c>
      <c r="I206" s="41">
        <f t="shared" si="6"/>
        <v>0</v>
      </c>
      <c r="J206" s="41">
        <f t="shared" si="6"/>
        <v>0</v>
      </c>
      <c r="K206" s="41">
        <f t="shared" si="5"/>
        <v>0</v>
      </c>
      <c r="L206" s="41">
        <f t="shared" si="5"/>
        <v>0</v>
      </c>
      <c r="M206" s="41">
        <f t="shared" si="5"/>
        <v>0</v>
      </c>
      <c r="U206" s="7"/>
      <c r="V206" s="7"/>
    </row>
    <row r="207" spans="8:22" hidden="1" x14ac:dyDescent="0.25">
      <c r="H207" s="41">
        <f t="shared" si="6"/>
        <v>0</v>
      </c>
      <c r="I207" s="41">
        <f t="shared" si="6"/>
        <v>0</v>
      </c>
      <c r="J207" s="41">
        <f t="shared" si="6"/>
        <v>0</v>
      </c>
      <c r="K207" s="41">
        <f t="shared" si="5"/>
        <v>0</v>
      </c>
      <c r="L207" s="41">
        <f t="shared" si="5"/>
        <v>0</v>
      </c>
      <c r="M207" s="41">
        <f t="shared" si="5"/>
        <v>0</v>
      </c>
      <c r="U207" s="7"/>
      <c r="V207" s="7"/>
    </row>
    <row r="208" spans="8:22" hidden="1" x14ac:dyDescent="0.25">
      <c r="H208" s="41" t="e">
        <f>#REF!</f>
        <v>#REF!</v>
      </c>
      <c r="I208" s="41" t="e">
        <f>#REF!</f>
        <v>#REF!</v>
      </c>
      <c r="J208" s="41" t="e">
        <f>#REF!</f>
        <v>#REF!</v>
      </c>
      <c r="K208" s="41" t="e">
        <f>#REF!</f>
        <v>#REF!</v>
      </c>
      <c r="L208" s="41" t="e">
        <f>#REF!</f>
        <v>#REF!</v>
      </c>
      <c r="M208" s="41" t="e">
        <f>#REF!</f>
        <v>#REF!</v>
      </c>
      <c r="U208" s="7"/>
      <c r="V208" s="7"/>
    </row>
    <row r="209" spans="8:22" hidden="1" x14ac:dyDescent="0.25">
      <c r="H209" s="41">
        <f t="shared" ref="H209:M239" si="7">AB3</f>
        <v>0</v>
      </c>
      <c r="I209" s="41">
        <f t="shared" si="7"/>
        <v>0</v>
      </c>
      <c r="J209" s="41">
        <f t="shared" si="7"/>
        <v>0</v>
      </c>
      <c r="K209" s="41">
        <f t="shared" si="7"/>
        <v>0</v>
      </c>
      <c r="L209" s="41">
        <f t="shared" si="7"/>
        <v>0</v>
      </c>
      <c r="M209" s="41">
        <f t="shared" si="7"/>
        <v>0</v>
      </c>
      <c r="U209" s="7"/>
      <c r="V209" s="7"/>
    </row>
    <row r="210" spans="8:22" hidden="1" x14ac:dyDescent="0.25">
      <c r="H210" s="41">
        <f t="shared" si="7"/>
        <v>0</v>
      </c>
      <c r="I210" s="41">
        <f t="shared" si="7"/>
        <v>0</v>
      </c>
      <c r="J210" s="41">
        <f t="shared" si="7"/>
        <v>0</v>
      </c>
      <c r="K210" s="41">
        <f t="shared" si="7"/>
        <v>0</v>
      </c>
      <c r="L210" s="41">
        <f t="shared" si="7"/>
        <v>0</v>
      </c>
      <c r="M210" s="41">
        <f t="shared" si="7"/>
        <v>0</v>
      </c>
      <c r="U210" s="7"/>
      <c r="V210" s="7"/>
    </row>
    <row r="211" spans="8:22" hidden="1" x14ac:dyDescent="0.25">
      <c r="H211" s="41">
        <f t="shared" si="7"/>
        <v>0</v>
      </c>
      <c r="I211" s="41">
        <f t="shared" si="7"/>
        <v>0</v>
      </c>
      <c r="J211" s="41">
        <f t="shared" si="7"/>
        <v>0</v>
      </c>
      <c r="K211" s="41">
        <f t="shared" si="7"/>
        <v>0</v>
      </c>
      <c r="L211" s="41">
        <f t="shared" si="7"/>
        <v>0</v>
      </c>
      <c r="M211" s="41">
        <f t="shared" si="7"/>
        <v>0</v>
      </c>
      <c r="U211" s="7"/>
      <c r="V211" s="7"/>
    </row>
    <row r="212" spans="8:22" hidden="1" x14ac:dyDescent="0.25">
      <c r="H212" s="41">
        <f t="shared" si="7"/>
        <v>0</v>
      </c>
      <c r="I212" s="41">
        <f t="shared" si="7"/>
        <v>0</v>
      </c>
      <c r="J212" s="41">
        <f t="shared" si="7"/>
        <v>0</v>
      </c>
      <c r="K212" s="41">
        <f t="shared" si="7"/>
        <v>0</v>
      </c>
      <c r="L212" s="41">
        <f t="shared" si="7"/>
        <v>0</v>
      </c>
      <c r="M212" s="41">
        <f t="shared" si="7"/>
        <v>0</v>
      </c>
      <c r="U212" s="7"/>
      <c r="V212" s="7"/>
    </row>
    <row r="213" spans="8:22" hidden="1" x14ac:dyDescent="0.25">
      <c r="H213" s="41">
        <f t="shared" si="7"/>
        <v>0</v>
      </c>
      <c r="I213" s="41">
        <f t="shared" si="7"/>
        <v>0</v>
      </c>
      <c r="J213" s="41">
        <f t="shared" si="7"/>
        <v>0</v>
      </c>
      <c r="K213" s="41">
        <f t="shared" si="7"/>
        <v>0</v>
      </c>
      <c r="L213" s="41">
        <f t="shared" si="7"/>
        <v>0</v>
      </c>
      <c r="M213" s="41">
        <f t="shared" si="7"/>
        <v>0</v>
      </c>
      <c r="U213" s="7"/>
      <c r="V213" s="7"/>
    </row>
    <row r="214" spans="8:22" hidden="1" x14ac:dyDescent="0.25">
      <c r="H214" s="41">
        <f t="shared" si="7"/>
        <v>0</v>
      </c>
      <c r="I214" s="41">
        <f t="shared" si="7"/>
        <v>0</v>
      </c>
      <c r="J214" s="41">
        <f t="shared" si="7"/>
        <v>0</v>
      </c>
      <c r="K214" s="41">
        <f t="shared" si="7"/>
        <v>0</v>
      </c>
      <c r="L214" s="41">
        <f t="shared" si="7"/>
        <v>0</v>
      </c>
      <c r="M214" s="41">
        <f t="shared" si="7"/>
        <v>0</v>
      </c>
      <c r="U214" s="7"/>
      <c r="V214" s="7"/>
    </row>
    <row r="215" spans="8:22" hidden="1" x14ac:dyDescent="0.25">
      <c r="H215" s="41">
        <f t="shared" si="7"/>
        <v>0</v>
      </c>
      <c r="I215" s="41">
        <f t="shared" si="7"/>
        <v>0</v>
      </c>
      <c r="J215" s="41">
        <f t="shared" si="7"/>
        <v>0</v>
      </c>
      <c r="K215" s="41">
        <f t="shared" si="7"/>
        <v>0</v>
      </c>
      <c r="L215" s="41">
        <f t="shared" si="7"/>
        <v>0</v>
      </c>
      <c r="M215" s="41">
        <f t="shared" si="7"/>
        <v>0</v>
      </c>
      <c r="U215" s="7"/>
      <c r="V215" s="7"/>
    </row>
    <row r="216" spans="8:22" hidden="1" x14ac:dyDescent="0.25">
      <c r="H216" s="41">
        <f t="shared" si="7"/>
        <v>0</v>
      </c>
      <c r="I216" s="41">
        <f t="shared" si="7"/>
        <v>0</v>
      </c>
      <c r="J216" s="41">
        <f t="shared" si="7"/>
        <v>0</v>
      </c>
      <c r="K216" s="41">
        <f t="shared" si="7"/>
        <v>0</v>
      </c>
      <c r="L216" s="41">
        <f t="shared" si="7"/>
        <v>0</v>
      </c>
      <c r="M216" s="41">
        <f t="shared" si="7"/>
        <v>0</v>
      </c>
      <c r="U216" s="7"/>
      <c r="V216" s="7"/>
    </row>
    <row r="217" spans="8:22" hidden="1" x14ac:dyDescent="0.25">
      <c r="H217" s="41">
        <f t="shared" si="7"/>
        <v>0</v>
      </c>
      <c r="I217" s="41">
        <f t="shared" si="7"/>
        <v>0</v>
      </c>
      <c r="J217" s="41">
        <f t="shared" si="7"/>
        <v>0</v>
      </c>
      <c r="K217" s="41">
        <f t="shared" si="7"/>
        <v>0</v>
      </c>
      <c r="L217" s="41">
        <f t="shared" si="7"/>
        <v>0</v>
      </c>
      <c r="M217" s="41">
        <f t="shared" si="7"/>
        <v>0</v>
      </c>
      <c r="U217" s="7"/>
      <c r="V217" s="7"/>
    </row>
    <row r="218" spans="8:22" hidden="1" x14ac:dyDescent="0.25">
      <c r="H218" s="41">
        <f t="shared" si="7"/>
        <v>0</v>
      </c>
      <c r="I218" s="41">
        <f t="shared" si="7"/>
        <v>0</v>
      </c>
      <c r="J218" s="41">
        <f t="shared" si="7"/>
        <v>0</v>
      </c>
      <c r="K218" s="41">
        <f t="shared" si="7"/>
        <v>0</v>
      </c>
      <c r="L218" s="41">
        <f t="shared" si="7"/>
        <v>0</v>
      </c>
      <c r="M218" s="41">
        <f t="shared" si="7"/>
        <v>0</v>
      </c>
      <c r="U218" s="7"/>
      <c r="V218" s="7"/>
    </row>
    <row r="219" spans="8:22" hidden="1" x14ac:dyDescent="0.25">
      <c r="H219" s="41">
        <f t="shared" si="7"/>
        <v>0</v>
      </c>
      <c r="I219" s="41">
        <f t="shared" si="7"/>
        <v>0</v>
      </c>
      <c r="J219" s="41">
        <f t="shared" si="7"/>
        <v>0</v>
      </c>
      <c r="K219" s="41">
        <f t="shared" si="7"/>
        <v>0</v>
      </c>
      <c r="L219" s="41">
        <f t="shared" si="7"/>
        <v>0</v>
      </c>
      <c r="M219" s="41">
        <f t="shared" si="7"/>
        <v>0</v>
      </c>
      <c r="U219" s="7"/>
      <c r="V219" s="7"/>
    </row>
    <row r="220" spans="8:22" hidden="1" x14ac:dyDescent="0.25">
      <c r="H220" s="41">
        <f t="shared" si="7"/>
        <v>0</v>
      </c>
      <c r="I220" s="41">
        <f t="shared" si="7"/>
        <v>0</v>
      </c>
      <c r="J220" s="41">
        <f t="shared" si="7"/>
        <v>0</v>
      </c>
      <c r="K220" s="41">
        <f t="shared" si="7"/>
        <v>0</v>
      </c>
      <c r="L220" s="41">
        <f t="shared" si="7"/>
        <v>0</v>
      </c>
      <c r="M220" s="41">
        <f t="shared" si="7"/>
        <v>0</v>
      </c>
      <c r="U220" s="7"/>
      <c r="V220" s="7"/>
    </row>
    <row r="221" spans="8:22" hidden="1" x14ac:dyDescent="0.25">
      <c r="H221" s="41">
        <f t="shared" si="7"/>
        <v>0</v>
      </c>
      <c r="I221" s="41">
        <f t="shared" si="7"/>
        <v>0</v>
      </c>
      <c r="J221" s="41">
        <f t="shared" si="7"/>
        <v>0</v>
      </c>
      <c r="K221" s="41">
        <f t="shared" si="7"/>
        <v>0</v>
      </c>
      <c r="L221" s="41">
        <f t="shared" si="7"/>
        <v>0</v>
      </c>
      <c r="M221" s="41">
        <f t="shared" si="7"/>
        <v>0</v>
      </c>
      <c r="U221" s="7"/>
      <c r="V221" s="7"/>
    </row>
    <row r="222" spans="8:22" hidden="1" x14ac:dyDescent="0.25">
      <c r="H222" s="41">
        <f t="shared" si="7"/>
        <v>0</v>
      </c>
      <c r="I222" s="41">
        <f t="shared" si="7"/>
        <v>0</v>
      </c>
      <c r="J222" s="41">
        <f t="shared" si="7"/>
        <v>0</v>
      </c>
      <c r="K222" s="41">
        <f t="shared" si="7"/>
        <v>0</v>
      </c>
      <c r="L222" s="41">
        <f t="shared" si="7"/>
        <v>0</v>
      </c>
      <c r="M222" s="41">
        <f t="shared" si="7"/>
        <v>0</v>
      </c>
      <c r="U222" s="7"/>
      <c r="V222" s="7"/>
    </row>
    <row r="223" spans="8:22" hidden="1" x14ac:dyDescent="0.25">
      <c r="H223" s="41">
        <f t="shared" si="7"/>
        <v>0</v>
      </c>
      <c r="I223" s="41">
        <f t="shared" si="7"/>
        <v>0</v>
      </c>
      <c r="J223" s="41">
        <f t="shared" si="7"/>
        <v>0</v>
      </c>
      <c r="K223" s="41">
        <f t="shared" si="7"/>
        <v>0</v>
      </c>
      <c r="L223" s="41">
        <f t="shared" si="7"/>
        <v>0</v>
      </c>
      <c r="M223" s="41">
        <f t="shared" si="7"/>
        <v>0</v>
      </c>
      <c r="U223" s="7"/>
      <c r="V223" s="7"/>
    </row>
    <row r="224" spans="8:22" hidden="1" x14ac:dyDescent="0.25">
      <c r="H224" s="41">
        <f t="shared" si="7"/>
        <v>0</v>
      </c>
      <c r="I224" s="41">
        <f t="shared" si="7"/>
        <v>0</v>
      </c>
      <c r="J224" s="41">
        <f t="shared" si="7"/>
        <v>0</v>
      </c>
      <c r="K224" s="41">
        <f t="shared" si="7"/>
        <v>0</v>
      </c>
      <c r="L224" s="41">
        <f t="shared" si="7"/>
        <v>0</v>
      </c>
      <c r="M224" s="41">
        <f t="shared" si="7"/>
        <v>0</v>
      </c>
      <c r="U224" s="7"/>
      <c r="V224" s="7"/>
    </row>
    <row r="225" spans="8:22" hidden="1" x14ac:dyDescent="0.25">
      <c r="H225" s="41">
        <f t="shared" si="7"/>
        <v>0</v>
      </c>
      <c r="I225" s="41">
        <f t="shared" si="7"/>
        <v>0</v>
      </c>
      <c r="J225" s="41">
        <f t="shared" si="7"/>
        <v>0</v>
      </c>
      <c r="K225" s="41">
        <f t="shared" si="7"/>
        <v>0</v>
      </c>
      <c r="L225" s="41">
        <f t="shared" si="7"/>
        <v>0</v>
      </c>
      <c r="M225" s="41">
        <f t="shared" si="7"/>
        <v>0</v>
      </c>
      <c r="U225" s="7"/>
      <c r="V225" s="7"/>
    </row>
    <row r="226" spans="8:22" hidden="1" x14ac:dyDescent="0.25">
      <c r="H226" s="41">
        <f t="shared" si="7"/>
        <v>0</v>
      </c>
      <c r="I226" s="41">
        <f t="shared" si="7"/>
        <v>0</v>
      </c>
      <c r="J226" s="41">
        <f t="shared" si="7"/>
        <v>0</v>
      </c>
      <c r="K226" s="41">
        <f t="shared" si="7"/>
        <v>0</v>
      </c>
      <c r="L226" s="41">
        <f t="shared" si="7"/>
        <v>0</v>
      </c>
      <c r="M226" s="41">
        <f t="shared" si="7"/>
        <v>0</v>
      </c>
      <c r="U226" s="7"/>
      <c r="V226" s="7"/>
    </row>
    <row r="227" spans="8:22" hidden="1" x14ac:dyDescent="0.25">
      <c r="H227" s="41">
        <f t="shared" si="7"/>
        <v>0</v>
      </c>
      <c r="I227" s="41">
        <f t="shared" si="7"/>
        <v>0</v>
      </c>
      <c r="J227" s="41">
        <f t="shared" si="7"/>
        <v>0</v>
      </c>
      <c r="K227" s="41">
        <f t="shared" si="7"/>
        <v>0</v>
      </c>
      <c r="L227" s="41">
        <f t="shared" si="7"/>
        <v>0</v>
      </c>
      <c r="M227" s="41">
        <f t="shared" si="7"/>
        <v>0</v>
      </c>
      <c r="U227" s="7"/>
      <c r="V227" s="7"/>
    </row>
    <row r="228" spans="8:22" hidden="1" x14ac:dyDescent="0.25">
      <c r="H228" s="41">
        <f t="shared" si="7"/>
        <v>0</v>
      </c>
      <c r="I228" s="41">
        <f t="shared" si="7"/>
        <v>0</v>
      </c>
      <c r="J228" s="41">
        <f t="shared" si="7"/>
        <v>0</v>
      </c>
      <c r="K228" s="41">
        <f t="shared" si="7"/>
        <v>0</v>
      </c>
      <c r="L228" s="41">
        <f t="shared" si="7"/>
        <v>0</v>
      </c>
      <c r="M228" s="41">
        <f t="shared" si="7"/>
        <v>0</v>
      </c>
      <c r="U228" s="7"/>
      <c r="V228" s="7"/>
    </row>
    <row r="229" spans="8:22" hidden="1" x14ac:dyDescent="0.25">
      <c r="H229" s="41">
        <f t="shared" si="7"/>
        <v>0</v>
      </c>
      <c r="I229" s="41">
        <f t="shared" si="7"/>
        <v>0</v>
      </c>
      <c r="J229" s="41">
        <f t="shared" si="7"/>
        <v>0</v>
      </c>
      <c r="K229" s="41">
        <f t="shared" si="7"/>
        <v>0</v>
      </c>
      <c r="L229" s="41">
        <f t="shared" si="7"/>
        <v>0</v>
      </c>
      <c r="M229" s="41">
        <f t="shared" si="7"/>
        <v>0</v>
      </c>
      <c r="U229" s="7"/>
      <c r="V229" s="7"/>
    </row>
    <row r="230" spans="8:22" hidden="1" x14ac:dyDescent="0.25">
      <c r="H230" s="41">
        <f t="shared" si="7"/>
        <v>0</v>
      </c>
      <c r="I230" s="41">
        <f t="shared" si="7"/>
        <v>0</v>
      </c>
      <c r="J230" s="41">
        <f t="shared" si="7"/>
        <v>0</v>
      </c>
      <c r="K230" s="41">
        <f t="shared" si="7"/>
        <v>0</v>
      </c>
      <c r="L230" s="41">
        <f t="shared" si="7"/>
        <v>0</v>
      </c>
      <c r="M230" s="41">
        <f t="shared" si="7"/>
        <v>0</v>
      </c>
      <c r="U230" s="7"/>
      <c r="V230" s="7"/>
    </row>
    <row r="231" spans="8:22" hidden="1" x14ac:dyDescent="0.25">
      <c r="H231" s="41">
        <f t="shared" si="7"/>
        <v>0</v>
      </c>
      <c r="I231" s="41">
        <f t="shared" si="7"/>
        <v>0</v>
      </c>
      <c r="J231" s="41">
        <f t="shared" si="7"/>
        <v>0</v>
      </c>
      <c r="K231" s="41">
        <f t="shared" si="7"/>
        <v>0</v>
      </c>
      <c r="L231" s="41">
        <f t="shared" si="7"/>
        <v>0</v>
      </c>
      <c r="M231" s="41">
        <f t="shared" si="7"/>
        <v>0</v>
      </c>
      <c r="U231" s="7"/>
      <c r="V231" s="7"/>
    </row>
    <row r="232" spans="8:22" hidden="1" x14ac:dyDescent="0.25">
      <c r="H232" s="41">
        <f t="shared" si="7"/>
        <v>0</v>
      </c>
      <c r="I232" s="41">
        <f t="shared" si="7"/>
        <v>0</v>
      </c>
      <c r="J232" s="41">
        <f t="shared" si="7"/>
        <v>0</v>
      </c>
      <c r="K232" s="41">
        <f t="shared" si="7"/>
        <v>0</v>
      </c>
      <c r="L232" s="41">
        <f t="shared" si="7"/>
        <v>0</v>
      </c>
      <c r="M232" s="41">
        <f t="shared" si="7"/>
        <v>0</v>
      </c>
      <c r="U232" s="7"/>
      <c r="V232" s="7"/>
    </row>
    <row r="233" spans="8:22" hidden="1" x14ac:dyDescent="0.25">
      <c r="H233" s="41">
        <f t="shared" si="7"/>
        <v>0</v>
      </c>
      <c r="I233" s="41">
        <f t="shared" si="7"/>
        <v>0</v>
      </c>
      <c r="J233" s="41">
        <f t="shared" si="7"/>
        <v>0</v>
      </c>
      <c r="K233" s="41">
        <f t="shared" si="7"/>
        <v>0</v>
      </c>
      <c r="L233" s="41">
        <f t="shared" si="7"/>
        <v>0</v>
      </c>
      <c r="M233" s="41">
        <f t="shared" si="7"/>
        <v>0</v>
      </c>
      <c r="U233" s="7"/>
      <c r="V233" s="7"/>
    </row>
    <row r="234" spans="8:22" hidden="1" x14ac:dyDescent="0.25">
      <c r="H234" s="41">
        <f t="shared" si="7"/>
        <v>0</v>
      </c>
      <c r="I234" s="41">
        <f t="shared" si="7"/>
        <v>0</v>
      </c>
      <c r="J234" s="41">
        <f t="shared" si="7"/>
        <v>0</v>
      </c>
      <c r="K234" s="41">
        <f t="shared" si="7"/>
        <v>0</v>
      </c>
      <c r="L234" s="41">
        <f t="shared" si="7"/>
        <v>0</v>
      </c>
      <c r="M234" s="41">
        <f t="shared" si="7"/>
        <v>0</v>
      </c>
      <c r="U234" s="7"/>
      <c r="V234" s="7"/>
    </row>
    <row r="235" spans="8:22" hidden="1" x14ac:dyDescent="0.25">
      <c r="H235" s="41">
        <f t="shared" si="7"/>
        <v>0</v>
      </c>
      <c r="I235" s="41">
        <f t="shared" si="7"/>
        <v>0</v>
      </c>
      <c r="J235" s="41">
        <f t="shared" si="7"/>
        <v>0</v>
      </c>
      <c r="K235" s="41">
        <f t="shared" si="7"/>
        <v>0</v>
      </c>
      <c r="L235" s="41">
        <f t="shared" si="7"/>
        <v>0</v>
      </c>
      <c r="M235" s="41">
        <f t="shared" si="7"/>
        <v>0</v>
      </c>
      <c r="U235" s="7"/>
      <c r="V235" s="7"/>
    </row>
    <row r="236" spans="8:22" hidden="1" x14ac:dyDescent="0.25">
      <c r="H236" s="41">
        <f t="shared" si="7"/>
        <v>0</v>
      </c>
      <c r="I236" s="41">
        <f t="shared" si="7"/>
        <v>0</v>
      </c>
      <c r="J236" s="41">
        <f t="shared" si="7"/>
        <v>0</v>
      </c>
      <c r="K236" s="41">
        <f t="shared" si="7"/>
        <v>0</v>
      </c>
      <c r="L236" s="41">
        <f t="shared" si="7"/>
        <v>0</v>
      </c>
      <c r="M236" s="41">
        <f t="shared" si="7"/>
        <v>0</v>
      </c>
      <c r="U236" s="7"/>
      <c r="V236" s="7"/>
    </row>
    <row r="237" spans="8:22" hidden="1" x14ac:dyDescent="0.25">
      <c r="H237" s="41">
        <f t="shared" si="7"/>
        <v>0</v>
      </c>
      <c r="I237" s="41">
        <f t="shared" si="7"/>
        <v>0</v>
      </c>
      <c r="J237" s="41">
        <f t="shared" si="7"/>
        <v>0</v>
      </c>
      <c r="K237" s="41">
        <f t="shared" si="7"/>
        <v>0</v>
      </c>
      <c r="L237" s="41">
        <f t="shared" si="7"/>
        <v>0</v>
      </c>
      <c r="M237" s="41">
        <f t="shared" si="7"/>
        <v>0</v>
      </c>
      <c r="U237" s="7"/>
      <c r="V237" s="7"/>
    </row>
    <row r="238" spans="8:22" hidden="1" x14ac:dyDescent="0.25">
      <c r="H238" s="41">
        <f t="shared" si="7"/>
        <v>0</v>
      </c>
      <c r="I238" s="41">
        <f t="shared" si="7"/>
        <v>0</v>
      </c>
      <c r="J238" s="41">
        <f t="shared" si="7"/>
        <v>0</v>
      </c>
      <c r="K238" s="41">
        <f t="shared" si="7"/>
        <v>0</v>
      </c>
      <c r="L238" s="41">
        <f t="shared" si="7"/>
        <v>0</v>
      </c>
      <c r="M238" s="41">
        <f t="shared" si="7"/>
        <v>0</v>
      </c>
      <c r="U238" s="7"/>
      <c r="V238" s="7"/>
    </row>
    <row r="239" spans="8:22" hidden="1" x14ac:dyDescent="0.25">
      <c r="H239" s="41">
        <f t="shared" si="7"/>
        <v>0</v>
      </c>
      <c r="I239" s="41">
        <f t="shared" si="7"/>
        <v>0</v>
      </c>
      <c r="J239" s="41">
        <f t="shared" si="7"/>
        <v>0</v>
      </c>
      <c r="K239" s="41">
        <f t="shared" si="7"/>
        <v>0</v>
      </c>
      <c r="L239" s="41">
        <f t="shared" si="7"/>
        <v>0</v>
      </c>
      <c r="M239" s="41">
        <f t="shared" si="7"/>
        <v>0</v>
      </c>
      <c r="U239" s="7"/>
      <c r="V239" s="7"/>
    </row>
    <row r="240" spans="8:22" hidden="1" x14ac:dyDescent="0.25">
      <c r="H240" s="41">
        <f t="shared" ref="H240:M258" si="8">AB34</f>
        <v>0</v>
      </c>
      <c r="I240" s="41">
        <f t="shared" si="8"/>
        <v>0</v>
      </c>
      <c r="J240" s="41">
        <f t="shared" si="8"/>
        <v>0</v>
      </c>
      <c r="K240" s="41">
        <f t="shared" si="8"/>
        <v>0</v>
      </c>
      <c r="L240" s="41">
        <f t="shared" si="8"/>
        <v>0</v>
      </c>
      <c r="M240" s="41">
        <f t="shared" si="8"/>
        <v>0</v>
      </c>
      <c r="U240" s="7"/>
      <c r="V240" s="7"/>
    </row>
    <row r="241" spans="8:22" hidden="1" x14ac:dyDescent="0.25">
      <c r="H241" s="41">
        <f t="shared" si="8"/>
        <v>0</v>
      </c>
      <c r="I241" s="41">
        <f t="shared" si="8"/>
        <v>0</v>
      </c>
      <c r="J241" s="41">
        <f t="shared" si="8"/>
        <v>0</v>
      </c>
      <c r="K241" s="41">
        <f t="shared" si="8"/>
        <v>0</v>
      </c>
      <c r="L241" s="41">
        <f t="shared" si="8"/>
        <v>0</v>
      </c>
      <c r="M241" s="41">
        <f t="shared" si="8"/>
        <v>0</v>
      </c>
      <c r="U241" s="7"/>
      <c r="V241" s="7"/>
    </row>
    <row r="242" spans="8:22" hidden="1" x14ac:dyDescent="0.25">
      <c r="H242" s="41">
        <f t="shared" si="8"/>
        <v>0</v>
      </c>
      <c r="I242" s="41">
        <f t="shared" si="8"/>
        <v>0</v>
      </c>
      <c r="J242" s="41">
        <f t="shared" si="8"/>
        <v>0</v>
      </c>
      <c r="K242" s="41">
        <f t="shared" si="8"/>
        <v>0</v>
      </c>
      <c r="L242" s="41">
        <f t="shared" si="8"/>
        <v>0</v>
      </c>
      <c r="M242" s="41">
        <f t="shared" si="8"/>
        <v>0</v>
      </c>
      <c r="U242" s="7"/>
      <c r="V242" s="7"/>
    </row>
    <row r="243" spans="8:22" hidden="1" x14ac:dyDescent="0.25">
      <c r="H243" s="41">
        <f t="shared" si="8"/>
        <v>0</v>
      </c>
      <c r="I243" s="41">
        <f t="shared" si="8"/>
        <v>0</v>
      </c>
      <c r="J243" s="41">
        <f t="shared" si="8"/>
        <v>0</v>
      </c>
      <c r="K243" s="41">
        <f t="shared" si="8"/>
        <v>0</v>
      </c>
      <c r="L243" s="41">
        <f t="shared" si="8"/>
        <v>0</v>
      </c>
      <c r="M243" s="41">
        <f t="shared" si="8"/>
        <v>0</v>
      </c>
      <c r="U243" s="7"/>
      <c r="V243" s="7"/>
    </row>
    <row r="244" spans="8:22" hidden="1" x14ac:dyDescent="0.25">
      <c r="H244" s="41">
        <f t="shared" si="8"/>
        <v>0</v>
      </c>
      <c r="I244" s="41">
        <f t="shared" si="8"/>
        <v>0</v>
      </c>
      <c r="J244" s="41">
        <f t="shared" si="8"/>
        <v>0</v>
      </c>
      <c r="K244" s="41">
        <f t="shared" si="8"/>
        <v>0</v>
      </c>
      <c r="L244" s="41">
        <f t="shared" si="8"/>
        <v>0</v>
      </c>
      <c r="M244" s="41">
        <f t="shared" si="8"/>
        <v>0</v>
      </c>
      <c r="U244" s="7"/>
      <c r="V244" s="7"/>
    </row>
    <row r="245" spans="8:22" hidden="1" x14ac:dyDescent="0.25">
      <c r="H245" s="41">
        <f t="shared" si="8"/>
        <v>0</v>
      </c>
      <c r="I245" s="41">
        <f t="shared" si="8"/>
        <v>0</v>
      </c>
      <c r="J245" s="41">
        <f t="shared" si="8"/>
        <v>0</v>
      </c>
      <c r="K245" s="41">
        <f t="shared" si="8"/>
        <v>0</v>
      </c>
      <c r="L245" s="41">
        <f t="shared" si="8"/>
        <v>0</v>
      </c>
      <c r="M245" s="41">
        <f t="shared" si="8"/>
        <v>0</v>
      </c>
      <c r="U245" s="7"/>
      <c r="V245" s="7"/>
    </row>
    <row r="246" spans="8:22" hidden="1" x14ac:dyDescent="0.25">
      <c r="H246" s="41">
        <f t="shared" si="8"/>
        <v>0</v>
      </c>
      <c r="I246" s="41">
        <f t="shared" si="8"/>
        <v>0</v>
      </c>
      <c r="J246" s="41">
        <f t="shared" si="8"/>
        <v>0</v>
      </c>
      <c r="K246" s="41">
        <f t="shared" si="8"/>
        <v>0</v>
      </c>
      <c r="L246" s="41">
        <f t="shared" si="8"/>
        <v>0</v>
      </c>
      <c r="M246" s="41">
        <f t="shared" si="8"/>
        <v>0</v>
      </c>
      <c r="U246" s="7"/>
      <c r="V246" s="7"/>
    </row>
    <row r="247" spans="8:22" hidden="1" x14ac:dyDescent="0.25">
      <c r="H247" s="41">
        <f t="shared" si="8"/>
        <v>0</v>
      </c>
      <c r="I247" s="41">
        <f t="shared" si="8"/>
        <v>0</v>
      </c>
      <c r="J247" s="41">
        <f t="shared" si="8"/>
        <v>0</v>
      </c>
      <c r="K247" s="41">
        <f t="shared" si="8"/>
        <v>0</v>
      </c>
      <c r="L247" s="41">
        <f t="shared" si="8"/>
        <v>0</v>
      </c>
      <c r="M247" s="41">
        <f t="shared" si="8"/>
        <v>0</v>
      </c>
      <c r="U247" s="7"/>
      <c r="V247" s="7"/>
    </row>
    <row r="248" spans="8:22" hidden="1" x14ac:dyDescent="0.25">
      <c r="H248" s="41">
        <f t="shared" si="8"/>
        <v>0</v>
      </c>
      <c r="I248" s="41">
        <f t="shared" si="8"/>
        <v>0</v>
      </c>
      <c r="J248" s="41">
        <f t="shared" si="8"/>
        <v>0</v>
      </c>
      <c r="K248" s="41">
        <f t="shared" si="8"/>
        <v>0</v>
      </c>
      <c r="L248" s="41">
        <f t="shared" si="8"/>
        <v>0</v>
      </c>
      <c r="M248" s="41">
        <f t="shared" si="8"/>
        <v>0</v>
      </c>
      <c r="U248" s="7"/>
      <c r="V248" s="7"/>
    </row>
    <row r="249" spans="8:22" hidden="1" x14ac:dyDescent="0.25">
      <c r="H249" s="41">
        <f t="shared" si="8"/>
        <v>0</v>
      </c>
      <c r="I249" s="41">
        <f t="shared" si="8"/>
        <v>0</v>
      </c>
      <c r="J249" s="41">
        <f t="shared" si="8"/>
        <v>0</v>
      </c>
      <c r="K249" s="41">
        <f t="shared" si="8"/>
        <v>0</v>
      </c>
      <c r="L249" s="41">
        <f t="shared" si="8"/>
        <v>0</v>
      </c>
      <c r="M249" s="41">
        <f t="shared" si="8"/>
        <v>0</v>
      </c>
      <c r="U249" s="7"/>
      <c r="V249" s="7"/>
    </row>
    <row r="250" spans="8:22" hidden="1" x14ac:dyDescent="0.25">
      <c r="H250" s="41">
        <f t="shared" si="8"/>
        <v>0</v>
      </c>
      <c r="I250" s="41">
        <f t="shared" si="8"/>
        <v>0</v>
      </c>
      <c r="J250" s="41">
        <f t="shared" si="8"/>
        <v>0</v>
      </c>
      <c r="K250" s="41">
        <f t="shared" si="8"/>
        <v>0</v>
      </c>
      <c r="L250" s="41">
        <f t="shared" si="8"/>
        <v>0</v>
      </c>
      <c r="M250" s="41">
        <f t="shared" si="8"/>
        <v>0</v>
      </c>
      <c r="U250" s="7"/>
      <c r="V250" s="7"/>
    </row>
    <row r="251" spans="8:22" hidden="1" x14ac:dyDescent="0.25">
      <c r="H251" s="41">
        <f t="shared" si="8"/>
        <v>0</v>
      </c>
      <c r="I251" s="41">
        <f t="shared" si="8"/>
        <v>0</v>
      </c>
      <c r="J251" s="41">
        <f t="shared" si="8"/>
        <v>0</v>
      </c>
      <c r="K251" s="41">
        <f t="shared" si="8"/>
        <v>0</v>
      </c>
      <c r="L251" s="41">
        <f t="shared" si="8"/>
        <v>0</v>
      </c>
      <c r="M251" s="41">
        <f t="shared" si="8"/>
        <v>0</v>
      </c>
      <c r="U251" s="7"/>
      <c r="V251" s="7"/>
    </row>
    <row r="252" spans="8:22" hidden="1" x14ac:dyDescent="0.25">
      <c r="H252" s="41">
        <f t="shared" si="8"/>
        <v>0</v>
      </c>
      <c r="I252" s="41">
        <f t="shared" si="8"/>
        <v>0</v>
      </c>
      <c r="J252" s="41">
        <f t="shared" si="8"/>
        <v>0</v>
      </c>
      <c r="K252" s="41">
        <f t="shared" si="8"/>
        <v>0</v>
      </c>
      <c r="L252" s="41">
        <f t="shared" si="8"/>
        <v>0</v>
      </c>
      <c r="M252" s="41">
        <f t="shared" si="8"/>
        <v>0</v>
      </c>
      <c r="U252" s="7"/>
      <c r="V252" s="7"/>
    </row>
    <row r="253" spans="8:22" hidden="1" x14ac:dyDescent="0.25">
      <c r="H253" s="41">
        <f t="shared" si="8"/>
        <v>0</v>
      </c>
      <c r="I253" s="41">
        <f t="shared" si="8"/>
        <v>0</v>
      </c>
      <c r="J253" s="41">
        <f t="shared" si="8"/>
        <v>0</v>
      </c>
      <c r="K253" s="41">
        <f t="shared" si="8"/>
        <v>0</v>
      </c>
      <c r="L253" s="41">
        <f t="shared" si="8"/>
        <v>0</v>
      </c>
      <c r="M253" s="41">
        <f t="shared" si="8"/>
        <v>0</v>
      </c>
      <c r="U253" s="7"/>
      <c r="V253" s="7"/>
    </row>
    <row r="254" spans="8:22" hidden="1" x14ac:dyDescent="0.25">
      <c r="H254" s="41">
        <f t="shared" si="8"/>
        <v>0</v>
      </c>
      <c r="I254" s="41">
        <f t="shared" si="8"/>
        <v>0</v>
      </c>
      <c r="J254" s="41">
        <f t="shared" si="8"/>
        <v>0</v>
      </c>
      <c r="K254" s="41">
        <f t="shared" si="8"/>
        <v>0</v>
      </c>
      <c r="L254" s="41">
        <f t="shared" si="8"/>
        <v>0</v>
      </c>
      <c r="M254" s="41">
        <f t="shared" si="8"/>
        <v>0</v>
      </c>
      <c r="U254" s="7"/>
      <c r="V254" s="7"/>
    </row>
    <row r="255" spans="8:22" hidden="1" x14ac:dyDescent="0.25">
      <c r="H255" s="41">
        <f t="shared" si="8"/>
        <v>0</v>
      </c>
      <c r="I255" s="41">
        <f t="shared" si="8"/>
        <v>0</v>
      </c>
      <c r="J255" s="41">
        <f t="shared" si="8"/>
        <v>0</v>
      </c>
      <c r="K255" s="41">
        <f t="shared" si="8"/>
        <v>0</v>
      </c>
      <c r="L255" s="41">
        <f t="shared" si="8"/>
        <v>0</v>
      </c>
      <c r="M255" s="41">
        <f t="shared" si="8"/>
        <v>0</v>
      </c>
      <c r="U255" s="7"/>
      <c r="V255" s="7"/>
    </row>
    <row r="256" spans="8:22" hidden="1" x14ac:dyDescent="0.25">
      <c r="H256" s="41">
        <f t="shared" si="8"/>
        <v>0</v>
      </c>
      <c r="I256" s="41">
        <f t="shared" si="8"/>
        <v>0</v>
      </c>
      <c r="J256" s="41">
        <f t="shared" si="8"/>
        <v>0</v>
      </c>
      <c r="K256" s="41">
        <f t="shared" si="8"/>
        <v>0</v>
      </c>
      <c r="L256" s="41">
        <f t="shared" si="8"/>
        <v>0</v>
      </c>
      <c r="M256" s="41">
        <f t="shared" si="8"/>
        <v>0</v>
      </c>
      <c r="U256" s="7"/>
      <c r="V256" s="7"/>
    </row>
    <row r="257" spans="8:22" hidden="1" x14ac:dyDescent="0.25">
      <c r="H257" s="41">
        <f t="shared" si="8"/>
        <v>0</v>
      </c>
      <c r="I257" s="41">
        <f t="shared" si="8"/>
        <v>0</v>
      </c>
      <c r="J257" s="41">
        <f t="shared" si="8"/>
        <v>0</v>
      </c>
      <c r="K257" s="41">
        <f t="shared" si="8"/>
        <v>0</v>
      </c>
      <c r="L257" s="41">
        <f t="shared" si="8"/>
        <v>0</v>
      </c>
      <c r="M257" s="41">
        <f t="shared" si="8"/>
        <v>0</v>
      </c>
      <c r="U257" s="7"/>
      <c r="V257" s="7"/>
    </row>
    <row r="258" spans="8:22" hidden="1" x14ac:dyDescent="0.25">
      <c r="H258" s="41">
        <f t="shared" si="8"/>
        <v>0</v>
      </c>
      <c r="I258" s="41">
        <f t="shared" si="8"/>
        <v>0</v>
      </c>
      <c r="J258" s="41">
        <f t="shared" si="8"/>
        <v>0</v>
      </c>
      <c r="K258" s="41">
        <f t="shared" si="8"/>
        <v>0</v>
      </c>
      <c r="L258" s="41">
        <f t="shared" si="8"/>
        <v>0</v>
      </c>
      <c r="M258" s="41">
        <f t="shared" si="8"/>
        <v>0</v>
      </c>
      <c r="U258" s="7"/>
      <c r="V258" s="7"/>
    </row>
    <row r="259" spans="8:22" hidden="1" x14ac:dyDescent="0.25">
      <c r="H259" s="41" t="e">
        <f>#REF!</f>
        <v>#REF!</v>
      </c>
      <c r="I259" s="41" t="e">
        <f>#REF!</f>
        <v>#REF!</v>
      </c>
      <c r="J259" s="41" t="e">
        <f>#REF!</f>
        <v>#REF!</v>
      </c>
      <c r="K259" s="41" t="e">
        <f>#REF!</f>
        <v>#REF!</v>
      </c>
      <c r="L259" s="41" t="e">
        <f>#REF!</f>
        <v>#REF!</v>
      </c>
      <c r="M259" s="41" t="e">
        <f>#REF!</f>
        <v>#REF!</v>
      </c>
      <c r="U259" s="7"/>
      <c r="V259" s="7"/>
    </row>
    <row r="260" spans="8:22" hidden="1" x14ac:dyDescent="0.25">
      <c r="H260" s="41">
        <f t="shared" ref="H260:M290" si="9">AH3</f>
        <v>0</v>
      </c>
      <c r="I260" s="41">
        <f t="shared" si="9"/>
        <v>0</v>
      </c>
      <c r="J260" s="41">
        <f t="shared" si="9"/>
        <v>0</v>
      </c>
      <c r="K260" s="41">
        <f t="shared" si="9"/>
        <v>0</v>
      </c>
      <c r="L260" s="41">
        <f t="shared" si="9"/>
        <v>0</v>
      </c>
      <c r="M260" s="41">
        <f t="shared" si="9"/>
        <v>0</v>
      </c>
      <c r="U260" s="7"/>
      <c r="V260" s="7"/>
    </row>
    <row r="261" spans="8:22" hidden="1" x14ac:dyDescent="0.25">
      <c r="H261" s="41">
        <f t="shared" si="9"/>
        <v>0</v>
      </c>
      <c r="I261" s="41">
        <f t="shared" si="9"/>
        <v>0</v>
      </c>
      <c r="J261" s="41">
        <f t="shared" si="9"/>
        <v>0</v>
      </c>
      <c r="K261" s="41">
        <f t="shared" si="9"/>
        <v>0</v>
      </c>
      <c r="L261" s="41">
        <f t="shared" si="9"/>
        <v>0</v>
      </c>
      <c r="M261" s="41">
        <f t="shared" si="9"/>
        <v>0</v>
      </c>
      <c r="U261" s="7"/>
      <c r="V261" s="7"/>
    </row>
    <row r="262" spans="8:22" hidden="1" x14ac:dyDescent="0.25">
      <c r="H262" s="41">
        <f t="shared" si="9"/>
        <v>0</v>
      </c>
      <c r="I262" s="41">
        <f t="shared" si="9"/>
        <v>0</v>
      </c>
      <c r="J262" s="41">
        <f t="shared" si="9"/>
        <v>0</v>
      </c>
      <c r="K262" s="41">
        <f t="shared" si="9"/>
        <v>0</v>
      </c>
      <c r="L262" s="41">
        <f t="shared" si="9"/>
        <v>0</v>
      </c>
      <c r="M262" s="41">
        <f t="shared" si="9"/>
        <v>0</v>
      </c>
      <c r="U262" s="7"/>
      <c r="V262" s="7"/>
    </row>
    <row r="263" spans="8:22" hidden="1" x14ac:dyDescent="0.25">
      <c r="H263" s="41">
        <f t="shared" si="9"/>
        <v>0</v>
      </c>
      <c r="I263" s="41">
        <f t="shared" si="9"/>
        <v>0</v>
      </c>
      <c r="J263" s="41">
        <f t="shared" si="9"/>
        <v>0</v>
      </c>
      <c r="K263" s="41">
        <f t="shared" si="9"/>
        <v>0</v>
      </c>
      <c r="L263" s="41">
        <f t="shared" si="9"/>
        <v>0</v>
      </c>
      <c r="M263" s="41">
        <f t="shared" si="9"/>
        <v>0</v>
      </c>
      <c r="U263" s="7"/>
      <c r="V263" s="7"/>
    </row>
    <row r="264" spans="8:22" hidden="1" x14ac:dyDescent="0.25">
      <c r="H264" s="41">
        <f t="shared" si="9"/>
        <v>0</v>
      </c>
      <c r="I264" s="41">
        <f t="shared" si="9"/>
        <v>0</v>
      </c>
      <c r="J264" s="41">
        <f t="shared" si="9"/>
        <v>0</v>
      </c>
      <c r="K264" s="41">
        <f t="shared" si="9"/>
        <v>0</v>
      </c>
      <c r="L264" s="41">
        <f t="shared" si="9"/>
        <v>0</v>
      </c>
      <c r="M264" s="41">
        <f t="shared" si="9"/>
        <v>0</v>
      </c>
      <c r="U264" s="7"/>
      <c r="V264" s="7"/>
    </row>
    <row r="265" spans="8:22" hidden="1" x14ac:dyDescent="0.25">
      <c r="H265" s="41">
        <f t="shared" si="9"/>
        <v>0</v>
      </c>
      <c r="I265" s="41">
        <f t="shared" si="9"/>
        <v>0</v>
      </c>
      <c r="J265" s="41">
        <f t="shared" si="9"/>
        <v>0</v>
      </c>
      <c r="K265" s="41">
        <f t="shared" si="9"/>
        <v>0</v>
      </c>
      <c r="L265" s="41">
        <f t="shared" si="9"/>
        <v>0</v>
      </c>
      <c r="M265" s="41">
        <f t="shared" si="9"/>
        <v>0</v>
      </c>
      <c r="U265" s="7"/>
      <c r="V265" s="7"/>
    </row>
    <row r="266" spans="8:22" hidden="1" x14ac:dyDescent="0.25">
      <c r="H266" s="41">
        <f t="shared" si="9"/>
        <v>0</v>
      </c>
      <c r="I266" s="41">
        <f t="shared" si="9"/>
        <v>0</v>
      </c>
      <c r="J266" s="41">
        <f t="shared" si="9"/>
        <v>0</v>
      </c>
      <c r="K266" s="41">
        <f t="shared" si="9"/>
        <v>0</v>
      </c>
      <c r="L266" s="41">
        <f t="shared" si="9"/>
        <v>0</v>
      </c>
      <c r="M266" s="41">
        <f t="shared" si="9"/>
        <v>0</v>
      </c>
      <c r="U266" s="7"/>
      <c r="V266" s="7"/>
    </row>
    <row r="267" spans="8:22" hidden="1" x14ac:dyDescent="0.25">
      <c r="H267" s="41">
        <f t="shared" si="9"/>
        <v>0</v>
      </c>
      <c r="I267" s="41">
        <f t="shared" si="9"/>
        <v>0</v>
      </c>
      <c r="J267" s="41">
        <f t="shared" si="9"/>
        <v>0</v>
      </c>
      <c r="K267" s="41">
        <f t="shared" si="9"/>
        <v>0</v>
      </c>
      <c r="L267" s="41">
        <f t="shared" si="9"/>
        <v>0</v>
      </c>
      <c r="M267" s="41">
        <f t="shared" si="9"/>
        <v>0</v>
      </c>
      <c r="U267" s="7"/>
      <c r="V267" s="7"/>
    </row>
    <row r="268" spans="8:22" hidden="1" x14ac:dyDescent="0.25">
      <c r="H268" s="41">
        <f t="shared" si="9"/>
        <v>0</v>
      </c>
      <c r="I268" s="41">
        <f t="shared" si="9"/>
        <v>0</v>
      </c>
      <c r="J268" s="41">
        <f t="shared" si="9"/>
        <v>0</v>
      </c>
      <c r="K268" s="41">
        <f t="shared" si="9"/>
        <v>0</v>
      </c>
      <c r="L268" s="41">
        <f t="shared" si="9"/>
        <v>0</v>
      </c>
      <c r="M268" s="41">
        <f t="shared" si="9"/>
        <v>0</v>
      </c>
      <c r="U268" s="7"/>
      <c r="V268" s="7"/>
    </row>
    <row r="269" spans="8:22" hidden="1" x14ac:dyDescent="0.25">
      <c r="H269" s="41">
        <f t="shared" si="9"/>
        <v>0</v>
      </c>
      <c r="I269" s="41">
        <f t="shared" si="9"/>
        <v>0</v>
      </c>
      <c r="J269" s="41">
        <f t="shared" si="9"/>
        <v>0</v>
      </c>
      <c r="K269" s="41">
        <f t="shared" si="9"/>
        <v>0</v>
      </c>
      <c r="L269" s="41">
        <f t="shared" si="9"/>
        <v>0</v>
      </c>
      <c r="M269" s="41">
        <f t="shared" si="9"/>
        <v>0</v>
      </c>
      <c r="U269" s="7"/>
      <c r="V269" s="7"/>
    </row>
    <row r="270" spans="8:22" hidden="1" x14ac:dyDescent="0.25">
      <c r="H270" s="41">
        <f t="shared" si="9"/>
        <v>0</v>
      </c>
      <c r="I270" s="41">
        <f t="shared" si="9"/>
        <v>0</v>
      </c>
      <c r="J270" s="41">
        <f t="shared" si="9"/>
        <v>0</v>
      </c>
      <c r="K270" s="41">
        <f t="shared" si="9"/>
        <v>0</v>
      </c>
      <c r="L270" s="41">
        <f t="shared" si="9"/>
        <v>0</v>
      </c>
      <c r="M270" s="41">
        <f t="shared" si="9"/>
        <v>0</v>
      </c>
      <c r="U270" s="7"/>
      <c r="V270" s="7"/>
    </row>
    <row r="271" spans="8:22" hidden="1" x14ac:dyDescent="0.25">
      <c r="H271" s="41">
        <f t="shared" si="9"/>
        <v>0</v>
      </c>
      <c r="I271" s="41">
        <f t="shared" si="9"/>
        <v>0</v>
      </c>
      <c r="J271" s="41">
        <f t="shared" si="9"/>
        <v>0</v>
      </c>
      <c r="K271" s="41">
        <f t="shared" si="9"/>
        <v>0</v>
      </c>
      <c r="L271" s="41">
        <f t="shared" si="9"/>
        <v>0</v>
      </c>
      <c r="M271" s="41">
        <f t="shared" si="9"/>
        <v>0</v>
      </c>
      <c r="U271" s="7"/>
      <c r="V271" s="7"/>
    </row>
    <row r="272" spans="8:22" hidden="1" x14ac:dyDescent="0.25">
      <c r="H272" s="41">
        <f t="shared" si="9"/>
        <v>0</v>
      </c>
      <c r="I272" s="41">
        <f t="shared" si="9"/>
        <v>0</v>
      </c>
      <c r="J272" s="41">
        <f t="shared" si="9"/>
        <v>0</v>
      </c>
      <c r="K272" s="41">
        <f t="shared" si="9"/>
        <v>0</v>
      </c>
      <c r="L272" s="41">
        <f t="shared" si="9"/>
        <v>0</v>
      </c>
      <c r="M272" s="41">
        <f t="shared" si="9"/>
        <v>0</v>
      </c>
      <c r="U272" s="7"/>
      <c r="V272" s="7"/>
    </row>
    <row r="273" spans="8:22" hidden="1" x14ac:dyDescent="0.25">
      <c r="H273" s="41">
        <f t="shared" si="9"/>
        <v>0</v>
      </c>
      <c r="I273" s="41">
        <f t="shared" si="9"/>
        <v>0</v>
      </c>
      <c r="J273" s="41">
        <f t="shared" si="9"/>
        <v>0</v>
      </c>
      <c r="K273" s="41">
        <f t="shared" si="9"/>
        <v>0</v>
      </c>
      <c r="L273" s="41">
        <f t="shared" si="9"/>
        <v>0</v>
      </c>
      <c r="M273" s="41">
        <f t="shared" si="9"/>
        <v>0</v>
      </c>
      <c r="U273" s="7"/>
      <c r="V273" s="7"/>
    </row>
    <row r="274" spans="8:22" hidden="1" x14ac:dyDescent="0.25">
      <c r="H274" s="41">
        <f t="shared" si="9"/>
        <v>0</v>
      </c>
      <c r="I274" s="41">
        <f t="shared" si="9"/>
        <v>0</v>
      </c>
      <c r="J274" s="41">
        <f t="shared" si="9"/>
        <v>0</v>
      </c>
      <c r="K274" s="41">
        <f t="shared" si="9"/>
        <v>0</v>
      </c>
      <c r="L274" s="41">
        <f t="shared" si="9"/>
        <v>0</v>
      </c>
      <c r="M274" s="41">
        <f t="shared" si="9"/>
        <v>0</v>
      </c>
      <c r="U274" s="7"/>
      <c r="V274" s="7"/>
    </row>
    <row r="275" spans="8:22" hidden="1" x14ac:dyDescent="0.25">
      <c r="H275" s="41">
        <f t="shared" si="9"/>
        <v>0</v>
      </c>
      <c r="I275" s="41">
        <f t="shared" si="9"/>
        <v>0</v>
      </c>
      <c r="J275" s="41">
        <f t="shared" si="9"/>
        <v>0</v>
      </c>
      <c r="K275" s="41">
        <f t="shared" si="9"/>
        <v>0</v>
      </c>
      <c r="L275" s="41">
        <f t="shared" si="9"/>
        <v>0</v>
      </c>
      <c r="M275" s="41">
        <f t="shared" si="9"/>
        <v>0</v>
      </c>
      <c r="U275" s="7"/>
      <c r="V275" s="7"/>
    </row>
    <row r="276" spans="8:22" hidden="1" x14ac:dyDescent="0.25">
      <c r="H276" s="41">
        <f t="shared" si="9"/>
        <v>0</v>
      </c>
      <c r="I276" s="41">
        <f t="shared" si="9"/>
        <v>0</v>
      </c>
      <c r="J276" s="41">
        <f t="shared" si="9"/>
        <v>0</v>
      </c>
      <c r="K276" s="41">
        <f t="shared" si="9"/>
        <v>0</v>
      </c>
      <c r="L276" s="41">
        <f t="shared" si="9"/>
        <v>0</v>
      </c>
      <c r="M276" s="41">
        <f t="shared" si="9"/>
        <v>0</v>
      </c>
      <c r="U276" s="7"/>
      <c r="V276" s="7"/>
    </row>
    <row r="277" spans="8:22" hidden="1" x14ac:dyDescent="0.25">
      <c r="H277" s="41">
        <f t="shared" si="9"/>
        <v>0</v>
      </c>
      <c r="I277" s="41">
        <f t="shared" si="9"/>
        <v>0</v>
      </c>
      <c r="J277" s="41">
        <f t="shared" si="9"/>
        <v>0</v>
      </c>
      <c r="K277" s="41">
        <f t="shared" si="9"/>
        <v>0</v>
      </c>
      <c r="L277" s="41">
        <f t="shared" si="9"/>
        <v>0</v>
      </c>
      <c r="M277" s="41">
        <f t="shared" si="9"/>
        <v>0</v>
      </c>
      <c r="U277" s="7"/>
      <c r="V277" s="7"/>
    </row>
    <row r="278" spans="8:22" hidden="1" x14ac:dyDescent="0.25">
      <c r="H278" s="41">
        <f t="shared" si="9"/>
        <v>0</v>
      </c>
      <c r="I278" s="41">
        <f t="shared" si="9"/>
        <v>0</v>
      </c>
      <c r="J278" s="41">
        <f t="shared" si="9"/>
        <v>0</v>
      </c>
      <c r="K278" s="41">
        <f t="shared" si="9"/>
        <v>0</v>
      </c>
      <c r="L278" s="41">
        <f t="shared" si="9"/>
        <v>0</v>
      </c>
      <c r="M278" s="41">
        <f t="shared" si="9"/>
        <v>0</v>
      </c>
      <c r="U278" s="7"/>
      <c r="V278" s="7"/>
    </row>
    <row r="279" spans="8:22" hidden="1" x14ac:dyDescent="0.25">
      <c r="H279" s="41">
        <f t="shared" si="9"/>
        <v>0</v>
      </c>
      <c r="I279" s="41">
        <f t="shared" si="9"/>
        <v>0</v>
      </c>
      <c r="J279" s="41">
        <f t="shared" si="9"/>
        <v>0</v>
      </c>
      <c r="K279" s="41">
        <f t="shared" si="9"/>
        <v>0</v>
      </c>
      <c r="L279" s="41">
        <f t="shared" si="9"/>
        <v>0</v>
      </c>
      <c r="M279" s="41">
        <f t="shared" si="9"/>
        <v>0</v>
      </c>
      <c r="U279" s="7"/>
      <c r="V279" s="7"/>
    </row>
    <row r="280" spans="8:22" hidden="1" x14ac:dyDescent="0.25">
      <c r="H280" s="41">
        <f t="shared" si="9"/>
        <v>0</v>
      </c>
      <c r="I280" s="41">
        <f t="shared" si="9"/>
        <v>0</v>
      </c>
      <c r="J280" s="41">
        <f t="shared" si="9"/>
        <v>0</v>
      </c>
      <c r="K280" s="41">
        <f t="shared" si="9"/>
        <v>0</v>
      </c>
      <c r="L280" s="41">
        <f t="shared" si="9"/>
        <v>0</v>
      </c>
      <c r="M280" s="41">
        <f t="shared" si="9"/>
        <v>0</v>
      </c>
      <c r="U280" s="7"/>
      <c r="V280" s="7"/>
    </row>
    <row r="281" spans="8:22" hidden="1" x14ac:dyDescent="0.25">
      <c r="H281" s="41">
        <f t="shared" si="9"/>
        <v>0</v>
      </c>
      <c r="I281" s="41">
        <f t="shared" si="9"/>
        <v>0</v>
      </c>
      <c r="J281" s="41">
        <f t="shared" si="9"/>
        <v>0</v>
      </c>
      <c r="K281" s="41">
        <f t="shared" si="9"/>
        <v>0</v>
      </c>
      <c r="L281" s="41">
        <f t="shared" si="9"/>
        <v>0</v>
      </c>
      <c r="M281" s="41">
        <f t="shared" si="9"/>
        <v>0</v>
      </c>
      <c r="U281" s="7"/>
      <c r="V281" s="7"/>
    </row>
    <row r="282" spans="8:22" hidden="1" x14ac:dyDescent="0.25">
      <c r="H282" s="41">
        <f t="shared" si="9"/>
        <v>0</v>
      </c>
      <c r="I282" s="41">
        <f t="shared" si="9"/>
        <v>0</v>
      </c>
      <c r="J282" s="41">
        <f t="shared" si="9"/>
        <v>0</v>
      </c>
      <c r="K282" s="41">
        <f t="shared" si="9"/>
        <v>0</v>
      </c>
      <c r="L282" s="41">
        <f t="shared" si="9"/>
        <v>0</v>
      </c>
      <c r="M282" s="41">
        <f t="shared" si="9"/>
        <v>0</v>
      </c>
      <c r="U282" s="7"/>
      <c r="V282" s="7"/>
    </row>
    <row r="283" spans="8:22" hidden="1" x14ac:dyDescent="0.25">
      <c r="H283" s="41">
        <f t="shared" si="9"/>
        <v>0</v>
      </c>
      <c r="I283" s="41">
        <f t="shared" si="9"/>
        <v>0</v>
      </c>
      <c r="J283" s="41">
        <f t="shared" si="9"/>
        <v>0</v>
      </c>
      <c r="K283" s="41">
        <f t="shared" si="9"/>
        <v>0</v>
      </c>
      <c r="L283" s="41">
        <f t="shared" si="9"/>
        <v>0</v>
      </c>
      <c r="M283" s="41">
        <f t="shared" si="9"/>
        <v>0</v>
      </c>
      <c r="U283" s="7"/>
      <c r="V283" s="7"/>
    </row>
    <row r="284" spans="8:22" hidden="1" x14ac:dyDescent="0.25">
      <c r="H284" s="41">
        <f t="shared" si="9"/>
        <v>0</v>
      </c>
      <c r="I284" s="41">
        <f t="shared" si="9"/>
        <v>0</v>
      </c>
      <c r="J284" s="41">
        <f t="shared" si="9"/>
        <v>0</v>
      </c>
      <c r="K284" s="41">
        <f t="shared" si="9"/>
        <v>0</v>
      </c>
      <c r="L284" s="41">
        <f t="shared" si="9"/>
        <v>0</v>
      </c>
      <c r="M284" s="41">
        <f t="shared" si="9"/>
        <v>0</v>
      </c>
      <c r="U284" s="7"/>
      <c r="V284" s="7"/>
    </row>
    <row r="285" spans="8:22" hidden="1" x14ac:dyDescent="0.25">
      <c r="H285" s="41">
        <f t="shared" si="9"/>
        <v>0</v>
      </c>
      <c r="I285" s="41">
        <f t="shared" si="9"/>
        <v>0</v>
      </c>
      <c r="J285" s="41">
        <f t="shared" si="9"/>
        <v>0</v>
      </c>
      <c r="K285" s="41">
        <f t="shared" si="9"/>
        <v>0</v>
      </c>
      <c r="L285" s="41">
        <f t="shared" si="9"/>
        <v>0</v>
      </c>
      <c r="M285" s="41">
        <f t="shared" si="9"/>
        <v>0</v>
      </c>
      <c r="U285" s="7"/>
      <c r="V285" s="7"/>
    </row>
    <row r="286" spans="8:22" hidden="1" x14ac:dyDescent="0.25">
      <c r="H286" s="41">
        <f t="shared" si="9"/>
        <v>0</v>
      </c>
      <c r="I286" s="41">
        <f t="shared" si="9"/>
        <v>0</v>
      </c>
      <c r="J286" s="41">
        <f t="shared" si="9"/>
        <v>0</v>
      </c>
      <c r="K286" s="41">
        <f t="shared" si="9"/>
        <v>0</v>
      </c>
      <c r="L286" s="41">
        <f t="shared" si="9"/>
        <v>0</v>
      </c>
      <c r="M286" s="41">
        <f t="shared" si="9"/>
        <v>0</v>
      </c>
      <c r="U286" s="7"/>
      <c r="V286" s="7"/>
    </row>
    <row r="287" spans="8:22" hidden="1" x14ac:dyDescent="0.25">
      <c r="H287" s="41">
        <f t="shared" si="9"/>
        <v>0</v>
      </c>
      <c r="I287" s="41">
        <f t="shared" si="9"/>
        <v>0</v>
      </c>
      <c r="J287" s="41">
        <f t="shared" si="9"/>
        <v>0</v>
      </c>
      <c r="K287" s="41">
        <f t="shared" si="9"/>
        <v>0</v>
      </c>
      <c r="L287" s="41">
        <f t="shared" si="9"/>
        <v>0</v>
      </c>
      <c r="M287" s="41">
        <f t="shared" si="9"/>
        <v>0</v>
      </c>
      <c r="U287" s="7"/>
      <c r="V287" s="7"/>
    </row>
    <row r="288" spans="8:22" hidden="1" x14ac:dyDescent="0.25">
      <c r="H288" s="41">
        <f t="shared" si="9"/>
        <v>0</v>
      </c>
      <c r="I288" s="41">
        <f t="shared" si="9"/>
        <v>0</v>
      </c>
      <c r="J288" s="41">
        <f t="shared" si="9"/>
        <v>0</v>
      </c>
      <c r="K288" s="41">
        <f t="shared" si="9"/>
        <v>0</v>
      </c>
      <c r="L288" s="41">
        <f t="shared" si="9"/>
        <v>0</v>
      </c>
      <c r="M288" s="41">
        <f t="shared" si="9"/>
        <v>0</v>
      </c>
      <c r="U288" s="7"/>
      <c r="V288" s="7"/>
    </row>
    <row r="289" spans="8:22" hidden="1" x14ac:dyDescent="0.25">
      <c r="H289" s="41">
        <f t="shared" si="9"/>
        <v>0</v>
      </c>
      <c r="I289" s="41">
        <f t="shared" si="9"/>
        <v>0</v>
      </c>
      <c r="J289" s="41">
        <f t="shared" si="9"/>
        <v>0</v>
      </c>
      <c r="K289" s="41">
        <f t="shared" si="9"/>
        <v>0</v>
      </c>
      <c r="L289" s="41">
        <f t="shared" si="9"/>
        <v>0</v>
      </c>
      <c r="M289" s="41">
        <f t="shared" si="9"/>
        <v>0</v>
      </c>
      <c r="U289" s="7"/>
      <c r="V289" s="7"/>
    </row>
    <row r="290" spans="8:22" hidden="1" x14ac:dyDescent="0.25">
      <c r="H290" s="41">
        <f t="shared" si="9"/>
        <v>0</v>
      </c>
      <c r="I290" s="41">
        <f t="shared" si="9"/>
        <v>0</v>
      </c>
      <c r="J290" s="41">
        <f t="shared" si="9"/>
        <v>0</v>
      </c>
      <c r="K290" s="41">
        <f t="shared" si="9"/>
        <v>0</v>
      </c>
      <c r="L290" s="41">
        <f t="shared" si="9"/>
        <v>0</v>
      </c>
      <c r="M290" s="41">
        <f t="shared" si="9"/>
        <v>0</v>
      </c>
      <c r="U290" s="7"/>
      <c r="V290" s="7"/>
    </row>
    <row r="291" spans="8:22" hidden="1" x14ac:dyDescent="0.25">
      <c r="H291" s="41">
        <f t="shared" ref="H291:M309" si="10">AH34</f>
        <v>0</v>
      </c>
      <c r="I291" s="41">
        <f t="shared" si="10"/>
        <v>0</v>
      </c>
      <c r="J291" s="41">
        <f t="shared" si="10"/>
        <v>0</v>
      </c>
      <c r="K291" s="41">
        <f t="shared" si="10"/>
        <v>0</v>
      </c>
      <c r="L291" s="41">
        <f t="shared" si="10"/>
        <v>0</v>
      </c>
      <c r="M291" s="41">
        <f t="shared" si="10"/>
        <v>0</v>
      </c>
      <c r="U291" s="7"/>
      <c r="V291" s="7"/>
    </row>
    <row r="292" spans="8:22" hidden="1" x14ac:dyDescent="0.25">
      <c r="H292" s="41">
        <f t="shared" si="10"/>
        <v>0</v>
      </c>
      <c r="I292" s="41">
        <f t="shared" si="10"/>
        <v>0</v>
      </c>
      <c r="J292" s="41">
        <f t="shared" si="10"/>
        <v>0</v>
      </c>
      <c r="K292" s="41">
        <f t="shared" si="10"/>
        <v>0</v>
      </c>
      <c r="L292" s="41">
        <f t="shared" si="10"/>
        <v>0</v>
      </c>
      <c r="M292" s="41">
        <f t="shared" si="10"/>
        <v>0</v>
      </c>
      <c r="U292" s="7"/>
      <c r="V292" s="7"/>
    </row>
    <row r="293" spans="8:22" hidden="1" x14ac:dyDescent="0.25">
      <c r="H293" s="41">
        <f t="shared" si="10"/>
        <v>0</v>
      </c>
      <c r="I293" s="41">
        <f t="shared" si="10"/>
        <v>0</v>
      </c>
      <c r="J293" s="41">
        <f t="shared" si="10"/>
        <v>0</v>
      </c>
      <c r="K293" s="41">
        <f t="shared" si="10"/>
        <v>0</v>
      </c>
      <c r="L293" s="41">
        <f t="shared" si="10"/>
        <v>0</v>
      </c>
      <c r="M293" s="41">
        <f t="shared" si="10"/>
        <v>0</v>
      </c>
      <c r="U293" s="7"/>
      <c r="V293" s="7"/>
    </row>
    <row r="294" spans="8:22" hidden="1" x14ac:dyDescent="0.25">
      <c r="H294" s="41">
        <f t="shared" si="10"/>
        <v>0</v>
      </c>
      <c r="I294" s="41">
        <f t="shared" si="10"/>
        <v>0</v>
      </c>
      <c r="J294" s="41">
        <f t="shared" si="10"/>
        <v>0</v>
      </c>
      <c r="K294" s="41">
        <f t="shared" si="10"/>
        <v>0</v>
      </c>
      <c r="L294" s="41">
        <f t="shared" si="10"/>
        <v>0</v>
      </c>
      <c r="M294" s="41">
        <f t="shared" si="10"/>
        <v>0</v>
      </c>
      <c r="U294" s="7"/>
      <c r="V294" s="7"/>
    </row>
    <row r="295" spans="8:22" hidden="1" x14ac:dyDescent="0.25">
      <c r="H295" s="41">
        <f t="shared" si="10"/>
        <v>0</v>
      </c>
      <c r="I295" s="41">
        <f t="shared" si="10"/>
        <v>0</v>
      </c>
      <c r="J295" s="41">
        <f t="shared" si="10"/>
        <v>0</v>
      </c>
      <c r="K295" s="41">
        <f t="shared" si="10"/>
        <v>0</v>
      </c>
      <c r="L295" s="41">
        <f t="shared" si="10"/>
        <v>0</v>
      </c>
      <c r="M295" s="41">
        <f t="shared" si="10"/>
        <v>0</v>
      </c>
      <c r="U295" s="7"/>
      <c r="V295" s="7"/>
    </row>
    <row r="296" spans="8:22" hidden="1" x14ac:dyDescent="0.25">
      <c r="H296" s="41">
        <f t="shared" si="10"/>
        <v>0</v>
      </c>
      <c r="I296" s="41">
        <f t="shared" si="10"/>
        <v>0</v>
      </c>
      <c r="J296" s="41">
        <f t="shared" si="10"/>
        <v>0</v>
      </c>
      <c r="K296" s="41">
        <f t="shared" si="10"/>
        <v>0</v>
      </c>
      <c r="L296" s="41">
        <f t="shared" si="10"/>
        <v>0</v>
      </c>
      <c r="M296" s="41">
        <f t="shared" si="10"/>
        <v>0</v>
      </c>
      <c r="U296" s="7"/>
      <c r="V296" s="7"/>
    </row>
    <row r="297" spans="8:22" hidden="1" x14ac:dyDescent="0.25">
      <c r="H297" s="41">
        <f t="shared" si="10"/>
        <v>0</v>
      </c>
      <c r="I297" s="41">
        <f t="shared" si="10"/>
        <v>0</v>
      </c>
      <c r="J297" s="41">
        <f t="shared" si="10"/>
        <v>0</v>
      </c>
      <c r="K297" s="41">
        <f t="shared" si="10"/>
        <v>0</v>
      </c>
      <c r="L297" s="41">
        <f t="shared" si="10"/>
        <v>0</v>
      </c>
      <c r="M297" s="41">
        <f t="shared" si="10"/>
        <v>0</v>
      </c>
      <c r="U297" s="7"/>
      <c r="V297" s="7"/>
    </row>
    <row r="298" spans="8:22" hidden="1" x14ac:dyDescent="0.25">
      <c r="H298" s="41">
        <f t="shared" si="10"/>
        <v>0</v>
      </c>
      <c r="I298" s="41">
        <f t="shared" si="10"/>
        <v>0</v>
      </c>
      <c r="J298" s="41">
        <f t="shared" si="10"/>
        <v>0</v>
      </c>
      <c r="K298" s="41">
        <f t="shared" si="10"/>
        <v>0</v>
      </c>
      <c r="L298" s="41">
        <f t="shared" si="10"/>
        <v>0</v>
      </c>
      <c r="M298" s="41">
        <f t="shared" si="10"/>
        <v>0</v>
      </c>
      <c r="U298" s="7"/>
      <c r="V298" s="7"/>
    </row>
    <row r="299" spans="8:22" hidden="1" x14ac:dyDescent="0.25">
      <c r="H299" s="41">
        <f t="shared" si="10"/>
        <v>0</v>
      </c>
      <c r="I299" s="41">
        <f t="shared" si="10"/>
        <v>0</v>
      </c>
      <c r="J299" s="41">
        <f t="shared" si="10"/>
        <v>0</v>
      </c>
      <c r="K299" s="41">
        <f t="shared" si="10"/>
        <v>0</v>
      </c>
      <c r="L299" s="41">
        <f t="shared" si="10"/>
        <v>0</v>
      </c>
      <c r="M299" s="41">
        <f t="shared" si="10"/>
        <v>0</v>
      </c>
      <c r="U299" s="7"/>
      <c r="V299" s="7"/>
    </row>
    <row r="300" spans="8:22" hidden="1" x14ac:dyDescent="0.25">
      <c r="H300" s="41">
        <f t="shared" si="10"/>
        <v>0</v>
      </c>
      <c r="I300" s="41">
        <f t="shared" si="10"/>
        <v>0</v>
      </c>
      <c r="J300" s="41">
        <f t="shared" si="10"/>
        <v>0</v>
      </c>
      <c r="K300" s="41">
        <f t="shared" si="10"/>
        <v>0</v>
      </c>
      <c r="L300" s="41">
        <f t="shared" si="10"/>
        <v>0</v>
      </c>
      <c r="M300" s="41">
        <f t="shared" si="10"/>
        <v>0</v>
      </c>
      <c r="U300" s="7"/>
      <c r="V300" s="7"/>
    </row>
    <row r="301" spans="8:22" hidden="1" x14ac:dyDescent="0.25">
      <c r="H301" s="41">
        <f t="shared" si="10"/>
        <v>0</v>
      </c>
      <c r="I301" s="41">
        <f t="shared" si="10"/>
        <v>0</v>
      </c>
      <c r="J301" s="41">
        <f t="shared" si="10"/>
        <v>0</v>
      </c>
      <c r="K301" s="41">
        <f t="shared" si="10"/>
        <v>0</v>
      </c>
      <c r="L301" s="41">
        <f t="shared" si="10"/>
        <v>0</v>
      </c>
      <c r="M301" s="41">
        <f t="shared" si="10"/>
        <v>0</v>
      </c>
      <c r="U301" s="7"/>
      <c r="V301" s="7"/>
    </row>
    <row r="302" spans="8:22" hidden="1" x14ac:dyDescent="0.25">
      <c r="H302" s="41">
        <f t="shared" si="10"/>
        <v>0</v>
      </c>
      <c r="I302" s="41">
        <f t="shared" si="10"/>
        <v>0</v>
      </c>
      <c r="J302" s="41">
        <f t="shared" si="10"/>
        <v>0</v>
      </c>
      <c r="K302" s="41">
        <f t="shared" si="10"/>
        <v>0</v>
      </c>
      <c r="L302" s="41">
        <f t="shared" si="10"/>
        <v>0</v>
      </c>
      <c r="M302" s="41">
        <f t="shared" si="10"/>
        <v>0</v>
      </c>
      <c r="U302" s="7"/>
      <c r="V302" s="7"/>
    </row>
    <row r="303" spans="8:22" hidden="1" x14ac:dyDescent="0.25">
      <c r="H303" s="41">
        <f t="shared" si="10"/>
        <v>0</v>
      </c>
      <c r="I303" s="41">
        <f t="shared" si="10"/>
        <v>0</v>
      </c>
      <c r="J303" s="41">
        <f t="shared" si="10"/>
        <v>0</v>
      </c>
      <c r="K303" s="41">
        <f t="shared" si="10"/>
        <v>0</v>
      </c>
      <c r="L303" s="41">
        <f t="shared" si="10"/>
        <v>0</v>
      </c>
      <c r="M303" s="41">
        <f t="shared" si="10"/>
        <v>0</v>
      </c>
      <c r="U303" s="7"/>
      <c r="V303" s="7"/>
    </row>
    <row r="304" spans="8:22" hidden="1" x14ac:dyDescent="0.25">
      <c r="H304" s="41">
        <f t="shared" si="10"/>
        <v>0</v>
      </c>
      <c r="I304" s="41">
        <f t="shared" si="10"/>
        <v>0</v>
      </c>
      <c r="J304" s="41">
        <f t="shared" si="10"/>
        <v>0</v>
      </c>
      <c r="K304" s="41">
        <f t="shared" si="10"/>
        <v>0</v>
      </c>
      <c r="L304" s="41">
        <f t="shared" si="10"/>
        <v>0</v>
      </c>
      <c r="M304" s="41">
        <f t="shared" si="10"/>
        <v>0</v>
      </c>
      <c r="U304" s="7"/>
      <c r="V304" s="7"/>
    </row>
    <row r="305" spans="8:22" hidden="1" x14ac:dyDescent="0.25">
      <c r="H305" s="41">
        <f t="shared" si="10"/>
        <v>0</v>
      </c>
      <c r="I305" s="41">
        <f t="shared" si="10"/>
        <v>0</v>
      </c>
      <c r="J305" s="41">
        <f t="shared" si="10"/>
        <v>0</v>
      </c>
      <c r="K305" s="41">
        <f t="shared" si="10"/>
        <v>0</v>
      </c>
      <c r="L305" s="41">
        <f t="shared" si="10"/>
        <v>0</v>
      </c>
      <c r="M305" s="41">
        <f t="shared" si="10"/>
        <v>0</v>
      </c>
      <c r="U305" s="7"/>
      <c r="V305" s="7"/>
    </row>
    <row r="306" spans="8:22" hidden="1" x14ac:dyDescent="0.25">
      <c r="H306" s="41">
        <f t="shared" si="10"/>
        <v>0</v>
      </c>
      <c r="I306" s="41">
        <f t="shared" si="10"/>
        <v>0</v>
      </c>
      <c r="J306" s="41">
        <f t="shared" si="10"/>
        <v>0</v>
      </c>
      <c r="K306" s="41">
        <f t="shared" si="10"/>
        <v>0</v>
      </c>
      <c r="L306" s="41">
        <f t="shared" si="10"/>
        <v>0</v>
      </c>
      <c r="M306" s="41">
        <f t="shared" si="10"/>
        <v>0</v>
      </c>
      <c r="U306" s="7"/>
      <c r="V306" s="7"/>
    </row>
    <row r="307" spans="8:22" hidden="1" x14ac:dyDescent="0.25">
      <c r="H307" s="41">
        <f t="shared" si="10"/>
        <v>0</v>
      </c>
      <c r="I307" s="41">
        <f t="shared" si="10"/>
        <v>0</v>
      </c>
      <c r="J307" s="41">
        <f t="shared" si="10"/>
        <v>0</v>
      </c>
      <c r="K307" s="41">
        <f t="shared" si="10"/>
        <v>0</v>
      </c>
      <c r="L307" s="41">
        <f t="shared" si="10"/>
        <v>0</v>
      </c>
      <c r="M307" s="41">
        <f t="shared" si="10"/>
        <v>0</v>
      </c>
      <c r="U307" s="7"/>
      <c r="V307" s="7"/>
    </row>
    <row r="308" spans="8:22" hidden="1" x14ac:dyDescent="0.25">
      <c r="H308" s="41">
        <f t="shared" si="10"/>
        <v>0</v>
      </c>
      <c r="I308" s="41">
        <f t="shared" si="10"/>
        <v>0</v>
      </c>
      <c r="J308" s="41">
        <f t="shared" si="10"/>
        <v>0</v>
      </c>
      <c r="K308" s="41">
        <f t="shared" si="10"/>
        <v>0</v>
      </c>
      <c r="L308" s="41">
        <f t="shared" si="10"/>
        <v>0</v>
      </c>
      <c r="M308" s="41">
        <f t="shared" si="10"/>
        <v>0</v>
      </c>
      <c r="U308" s="7"/>
      <c r="V308" s="7"/>
    </row>
    <row r="309" spans="8:22" hidden="1" x14ac:dyDescent="0.25">
      <c r="H309" s="41">
        <f t="shared" si="10"/>
        <v>0</v>
      </c>
      <c r="I309" s="41">
        <f t="shared" si="10"/>
        <v>0</v>
      </c>
      <c r="J309" s="41">
        <f t="shared" si="10"/>
        <v>0</v>
      </c>
      <c r="K309" s="41">
        <f t="shared" si="10"/>
        <v>0</v>
      </c>
      <c r="L309" s="41">
        <f t="shared" si="10"/>
        <v>0</v>
      </c>
      <c r="M309" s="41">
        <f t="shared" si="10"/>
        <v>0</v>
      </c>
      <c r="U309" s="7"/>
      <c r="V309" s="7"/>
    </row>
    <row r="310" spans="8:22" hidden="1" x14ac:dyDescent="0.25">
      <c r="H310" s="41" t="e">
        <f>#REF!</f>
        <v>#REF!</v>
      </c>
      <c r="I310" s="41" t="e">
        <f>#REF!</f>
        <v>#REF!</v>
      </c>
      <c r="J310" s="41" t="e">
        <f>#REF!</f>
        <v>#REF!</v>
      </c>
      <c r="K310" s="41" t="e">
        <f>#REF!</f>
        <v>#REF!</v>
      </c>
      <c r="L310" s="41" t="e">
        <f>#REF!</f>
        <v>#REF!</v>
      </c>
      <c r="M310" s="41" t="e">
        <f>#REF!</f>
        <v>#REF!</v>
      </c>
      <c r="U310" s="7"/>
      <c r="V310" s="7"/>
    </row>
    <row r="311" spans="8:22" hidden="1" x14ac:dyDescent="0.25">
      <c r="H311" s="41">
        <f t="shared" ref="H311:M341" si="11">AN3</f>
        <v>0</v>
      </c>
      <c r="I311" s="41">
        <f t="shared" si="11"/>
        <v>0</v>
      </c>
      <c r="J311" s="41">
        <f t="shared" si="11"/>
        <v>0</v>
      </c>
      <c r="K311" s="41">
        <f t="shared" si="11"/>
        <v>0</v>
      </c>
      <c r="L311" s="41">
        <f t="shared" si="11"/>
        <v>0</v>
      </c>
      <c r="M311" s="41">
        <f t="shared" si="11"/>
        <v>0</v>
      </c>
      <c r="U311" s="7"/>
      <c r="V311" s="7"/>
    </row>
    <row r="312" spans="8:22" hidden="1" x14ac:dyDescent="0.25">
      <c r="H312" s="41">
        <f t="shared" si="11"/>
        <v>0</v>
      </c>
      <c r="I312" s="41">
        <f t="shared" si="11"/>
        <v>0</v>
      </c>
      <c r="J312" s="41">
        <f t="shared" si="11"/>
        <v>0</v>
      </c>
      <c r="K312" s="41">
        <f t="shared" si="11"/>
        <v>0</v>
      </c>
      <c r="L312" s="41">
        <f t="shared" si="11"/>
        <v>0</v>
      </c>
      <c r="M312" s="41">
        <f t="shared" si="11"/>
        <v>0</v>
      </c>
      <c r="U312" s="7"/>
      <c r="V312" s="7"/>
    </row>
    <row r="313" spans="8:22" hidden="1" x14ac:dyDescent="0.25">
      <c r="H313" s="41">
        <f t="shared" si="11"/>
        <v>0</v>
      </c>
      <c r="I313" s="41">
        <f t="shared" si="11"/>
        <v>0</v>
      </c>
      <c r="J313" s="41">
        <f t="shared" si="11"/>
        <v>0</v>
      </c>
      <c r="K313" s="41">
        <f t="shared" si="11"/>
        <v>0</v>
      </c>
      <c r="L313" s="41">
        <f t="shared" si="11"/>
        <v>0</v>
      </c>
      <c r="M313" s="41">
        <f t="shared" si="11"/>
        <v>0</v>
      </c>
      <c r="U313" s="7"/>
      <c r="V313" s="7"/>
    </row>
    <row r="314" spans="8:22" hidden="1" x14ac:dyDescent="0.25">
      <c r="H314" s="41">
        <f t="shared" si="11"/>
        <v>0</v>
      </c>
      <c r="I314" s="41">
        <f t="shared" si="11"/>
        <v>0</v>
      </c>
      <c r="J314" s="41">
        <f t="shared" si="11"/>
        <v>0</v>
      </c>
      <c r="K314" s="41">
        <f t="shared" si="11"/>
        <v>0</v>
      </c>
      <c r="L314" s="41">
        <f t="shared" si="11"/>
        <v>0</v>
      </c>
      <c r="M314" s="41">
        <f t="shared" si="11"/>
        <v>0</v>
      </c>
      <c r="U314" s="7"/>
      <c r="V314" s="7"/>
    </row>
    <row r="315" spans="8:22" hidden="1" x14ac:dyDescent="0.25">
      <c r="H315" s="41">
        <f t="shared" si="11"/>
        <v>0</v>
      </c>
      <c r="I315" s="41">
        <f t="shared" si="11"/>
        <v>0</v>
      </c>
      <c r="J315" s="41">
        <f t="shared" si="11"/>
        <v>0</v>
      </c>
      <c r="K315" s="41">
        <f t="shared" si="11"/>
        <v>0</v>
      </c>
      <c r="L315" s="41">
        <f t="shared" si="11"/>
        <v>0</v>
      </c>
      <c r="M315" s="41">
        <f t="shared" si="11"/>
        <v>0</v>
      </c>
      <c r="U315" s="7"/>
      <c r="V315" s="7"/>
    </row>
    <row r="316" spans="8:22" hidden="1" x14ac:dyDescent="0.25">
      <c r="H316" s="41">
        <f t="shared" si="11"/>
        <v>0</v>
      </c>
      <c r="I316" s="41">
        <f t="shared" si="11"/>
        <v>0</v>
      </c>
      <c r="J316" s="41">
        <f t="shared" si="11"/>
        <v>0</v>
      </c>
      <c r="K316" s="41">
        <f t="shared" si="11"/>
        <v>0</v>
      </c>
      <c r="L316" s="41">
        <f t="shared" si="11"/>
        <v>0</v>
      </c>
      <c r="M316" s="41">
        <f t="shared" si="11"/>
        <v>0</v>
      </c>
      <c r="U316" s="7"/>
      <c r="V316" s="7"/>
    </row>
    <row r="317" spans="8:22" hidden="1" x14ac:dyDescent="0.25">
      <c r="H317" s="41">
        <f t="shared" si="11"/>
        <v>0</v>
      </c>
      <c r="I317" s="41">
        <f t="shared" si="11"/>
        <v>0</v>
      </c>
      <c r="J317" s="41">
        <f t="shared" si="11"/>
        <v>0</v>
      </c>
      <c r="K317" s="41">
        <f t="shared" si="11"/>
        <v>0</v>
      </c>
      <c r="L317" s="41">
        <f t="shared" si="11"/>
        <v>0</v>
      </c>
      <c r="M317" s="41">
        <f t="shared" si="11"/>
        <v>0</v>
      </c>
      <c r="U317" s="7"/>
      <c r="V317" s="7"/>
    </row>
    <row r="318" spans="8:22" hidden="1" x14ac:dyDescent="0.25">
      <c r="H318" s="41">
        <f t="shared" si="11"/>
        <v>0</v>
      </c>
      <c r="I318" s="41">
        <f t="shared" si="11"/>
        <v>0</v>
      </c>
      <c r="J318" s="41">
        <f t="shared" si="11"/>
        <v>0</v>
      </c>
      <c r="K318" s="41">
        <f t="shared" si="11"/>
        <v>0</v>
      </c>
      <c r="L318" s="41">
        <f t="shared" si="11"/>
        <v>0</v>
      </c>
      <c r="M318" s="41">
        <f t="shared" si="11"/>
        <v>0</v>
      </c>
      <c r="U318" s="7"/>
      <c r="V318" s="7"/>
    </row>
    <row r="319" spans="8:22" hidden="1" x14ac:dyDescent="0.25">
      <c r="H319" s="41">
        <f t="shared" si="11"/>
        <v>0</v>
      </c>
      <c r="I319" s="41">
        <f t="shared" si="11"/>
        <v>0</v>
      </c>
      <c r="J319" s="41">
        <f t="shared" si="11"/>
        <v>0</v>
      </c>
      <c r="K319" s="41">
        <f t="shared" si="11"/>
        <v>0</v>
      </c>
      <c r="L319" s="41">
        <f t="shared" si="11"/>
        <v>0</v>
      </c>
      <c r="M319" s="41">
        <f t="shared" si="11"/>
        <v>0</v>
      </c>
      <c r="U319" s="7"/>
      <c r="V319" s="7"/>
    </row>
    <row r="320" spans="8:22" hidden="1" x14ac:dyDescent="0.25">
      <c r="H320" s="41">
        <f t="shared" si="11"/>
        <v>0</v>
      </c>
      <c r="I320" s="41">
        <f t="shared" si="11"/>
        <v>0</v>
      </c>
      <c r="J320" s="41">
        <f t="shared" si="11"/>
        <v>0</v>
      </c>
      <c r="K320" s="41">
        <f t="shared" si="11"/>
        <v>0</v>
      </c>
      <c r="L320" s="41">
        <f t="shared" si="11"/>
        <v>0</v>
      </c>
      <c r="M320" s="41">
        <f t="shared" si="11"/>
        <v>0</v>
      </c>
      <c r="U320" s="7"/>
      <c r="V320" s="7"/>
    </row>
    <row r="321" spans="8:22" hidden="1" x14ac:dyDescent="0.25">
      <c r="H321" s="41">
        <f t="shared" si="11"/>
        <v>0</v>
      </c>
      <c r="I321" s="41">
        <f t="shared" si="11"/>
        <v>0</v>
      </c>
      <c r="J321" s="41">
        <f t="shared" si="11"/>
        <v>0</v>
      </c>
      <c r="K321" s="41">
        <f t="shared" si="11"/>
        <v>0</v>
      </c>
      <c r="L321" s="41">
        <f t="shared" si="11"/>
        <v>0</v>
      </c>
      <c r="M321" s="41">
        <f t="shared" si="11"/>
        <v>0</v>
      </c>
      <c r="U321" s="7"/>
      <c r="V321" s="7"/>
    </row>
    <row r="322" spans="8:22" hidden="1" x14ac:dyDescent="0.25">
      <c r="H322" s="41">
        <f t="shared" si="11"/>
        <v>0</v>
      </c>
      <c r="I322" s="41">
        <f t="shared" si="11"/>
        <v>0</v>
      </c>
      <c r="J322" s="41">
        <f t="shared" si="11"/>
        <v>0</v>
      </c>
      <c r="K322" s="41">
        <f t="shared" si="11"/>
        <v>0</v>
      </c>
      <c r="L322" s="41">
        <f t="shared" si="11"/>
        <v>0</v>
      </c>
      <c r="M322" s="41">
        <f t="shared" si="11"/>
        <v>0</v>
      </c>
      <c r="U322" s="7"/>
      <c r="V322" s="7"/>
    </row>
    <row r="323" spans="8:22" hidden="1" x14ac:dyDescent="0.25">
      <c r="H323" s="41">
        <f t="shared" si="11"/>
        <v>0</v>
      </c>
      <c r="I323" s="41">
        <f t="shared" si="11"/>
        <v>0</v>
      </c>
      <c r="J323" s="41">
        <f t="shared" si="11"/>
        <v>0</v>
      </c>
      <c r="K323" s="41">
        <f t="shared" si="11"/>
        <v>0</v>
      </c>
      <c r="L323" s="41">
        <f t="shared" si="11"/>
        <v>0</v>
      </c>
      <c r="M323" s="41">
        <f t="shared" si="11"/>
        <v>0</v>
      </c>
      <c r="U323" s="7"/>
      <c r="V323" s="7"/>
    </row>
    <row r="324" spans="8:22" hidden="1" x14ac:dyDescent="0.25">
      <c r="H324" s="41">
        <f t="shared" si="11"/>
        <v>0</v>
      </c>
      <c r="I324" s="41">
        <f t="shared" si="11"/>
        <v>0</v>
      </c>
      <c r="J324" s="41">
        <f t="shared" si="11"/>
        <v>0</v>
      </c>
      <c r="K324" s="41">
        <f t="shared" si="11"/>
        <v>0</v>
      </c>
      <c r="L324" s="41">
        <f t="shared" si="11"/>
        <v>0</v>
      </c>
      <c r="M324" s="41">
        <f t="shared" si="11"/>
        <v>0</v>
      </c>
      <c r="U324" s="7"/>
      <c r="V324" s="7"/>
    </row>
    <row r="325" spans="8:22" hidden="1" x14ac:dyDescent="0.25">
      <c r="H325" s="41">
        <f t="shared" si="11"/>
        <v>0</v>
      </c>
      <c r="I325" s="41">
        <f t="shared" si="11"/>
        <v>0</v>
      </c>
      <c r="J325" s="41">
        <f t="shared" si="11"/>
        <v>0</v>
      </c>
      <c r="K325" s="41">
        <f t="shared" si="11"/>
        <v>0</v>
      </c>
      <c r="L325" s="41">
        <f t="shared" si="11"/>
        <v>0</v>
      </c>
      <c r="M325" s="41">
        <f t="shared" si="11"/>
        <v>0</v>
      </c>
      <c r="U325" s="7"/>
      <c r="V325" s="7"/>
    </row>
    <row r="326" spans="8:22" hidden="1" x14ac:dyDescent="0.25">
      <c r="H326" s="41">
        <f t="shared" si="11"/>
        <v>0</v>
      </c>
      <c r="I326" s="41">
        <f t="shared" si="11"/>
        <v>0</v>
      </c>
      <c r="J326" s="41">
        <f t="shared" si="11"/>
        <v>0</v>
      </c>
      <c r="K326" s="41">
        <f t="shared" si="11"/>
        <v>0</v>
      </c>
      <c r="L326" s="41">
        <f t="shared" si="11"/>
        <v>0</v>
      </c>
      <c r="M326" s="41">
        <f t="shared" si="11"/>
        <v>0</v>
      </c>
      <c r="U326" s="7"/>
      <c r="V326" s="7"/>
    </row>
    <row r="327" spans="8:22" hidden="1" x14ac:dyDescent="0.25">
      <c r="H327" s="41">
        <f t="shared" si="11"/>
        <v>0</v>
      </c>
      <c r="I327" s="41">
        <f t="shared" si="11"/>
        <v>0</v>
      </c>
      <c r="J327" s="41">
        <f t="shared" si="11"/>
        <v>0</v>
      </c>
      <c r="K327" s="41">
        <f t="shared" si="11"/>
        <v>0</v>
      </c>
      <c r="L327" s="41">
        <f t="shared" si="11"/>
        <v>0</v>
      </c>
      <c r="M327" s="41">
        <f t="shared" si="11"/>
        <v>0</v>
      </c>
      <c r="U327" s="7"/>
      <c r="V327" s="7"/>
    </row>
    <row r="328" spans="8:22" hidden="1" x14ac:dyDescent="0.25">
      <c r="H328" s="41">
        <f t="shared" si="11"/>
        <v>0</v>
      </c>
      <c r="I328" s="41">
        <f t="shared" si="11"/>
        <v>0</v>
      </c>
      <c r="J328" s="41">
        <f t="shared" si="11"/>
        <v>0</v>
      </c>
      <c r="K328" s="41">
        <f t="shared" si="11"/>
        <v>0</v>
      </c>
      <c r="L328" s="41">
        <f t="shared" si="11"/>
        <v>0</v>
      </c>
      <c r="M328" s="41">
        <f t="shared" si="11"/>
        <v>0</v>
      </c>
      <c r="U328" s="7"/>
      <c r="V328" s="7"/>
    </row>
    <row r="329" spans="8:22" hidden="1" x14ac:dyDescent="0.25">
      <c r="H329" s="41">
        <f t="shared" si="11"/>
        <v>0</v>
      </c>
      <c r="I329" s="41">
        <f t="shared" si="11"/>
        <v>0</v>
      </c>
      <c r="J329" s="41">
        <f t="shared" si="11"/>
        <v>0</v>
      </c>
      <c r="K329" s="41">
        <f t="shared" si="11"/>
        <v>0</v>
      </c>
      <c r="L329" s="41">
        <f t="shared" si="11"/>
        <v>0</v>
      </c>
      <c r="M329" s="41">
        <f t="shared" si="11"/>
        <v>0</v>
      </c>
      <c r="U329" s="7"/>
      <c r="V329" s="7"/>
    </row>
    <row r="330" spans="8:22" hidden="1" x14ac:dyDescent="0.25">
      <c r="H330" s="41">
        <f t="shared" si="11"/>
        <v>0</v>
      </c>
      <c r="I330" s="41">
        <f t="shared" si="11"/>
        <v>0</v>
      </c>
      <c r="J330" s="41">
        <f t="shared" si="11"/>
        <v>0</v>
      </c>
      <c r="K330" s="41">
        <f t="shared" si="11"/>
        <v>0</v>
      </c>
      <c r="L330" s="41">
        <f t="shared" si="11"/>
        <v>0</v>
      </c>
      <c r="M330" s="41">
        <f t="shared" si="11"/>
        <v>0</v>
      </c>
      <c r="U330" s="7"/>
      <c r="V330" s="7"/>
    </row>
    <row r="331" spans="8:22" hidden="1" x14ac:dyDescent="0.25">
      <c r="H331" s="41">
        <f t="shared" si="11"/>
        <v>0</v>
      </c>
      <c r="I331" s="41">
        <f t="shared" si="11"/>
        <v>0</v>
      </c>
      <c r="J331" s="41">
        <f t="shared" si="11"/>
        <v>0</v>
      </c>
      <c r="K331" s="41">
        <f t="shared" si="11"/>
        <v>0</v>
      </c>
      <c r="L331" s="41">
        <f t="shared" si="11"/>
        <v>0</v>
      </c>
      <c r="M331" s="41">
        <f t="shared" si="11"/>
        <v>0</v>
      </c>
      <c r="U331" s="7"/>
      <c r="V331" s="7"/>
    </row>
    <row r="332" spans="8:22" hidden="1" x14ac:dyDescent="0.25">
      <c r="H332" s="41">
        <f t="shared" si="11"/>
        <v>0</v>
      </c>
      <c r="I332" s="41">
        <f t="shared" si="11"/>
        <v>0</v>
      </c>
      <c r="J332" s="41">
        <f t="shared" si="11"/>
        <v>0</v>
      </c>
      <c r="K332" s="41">
        <f t="shared" si="11"/>
        <v>0</v>
      </c>
      <c r="L332" s="41">
        <f t="shared" si="11"/>
        <v>0</v>
      </c>
      <c r="M332" s="41">
        <f t="shared" si="11"/>
        <v>0</v>
      </c>
      <c r="U332" s="7"/>
      <c r="V332" s="7"/>
    </row>
    <row r="333" spans="8:22" hidden="1" x14ac:dyDescent="0.25">
      <c r="H333" s="41">
        <f t="shared" si="11"/>
        <v>0</v>
      </c>
      <c r="I333" s="41">
        <f t="shared" si="11"/>
        <v>0</v>
      </c>
      <c r="J333" s="41">
        <f t="shared" si="11"/>
        <v>0</v>
      </c>
      <c r="K333" s="41">
        <f t="shared" si="11"/>
        <v>0</v>
      </c>
      <c r="L333" s="41">
        <f t="shared" si="11"/>
        <v>0</v>
      </c>
      <c r="M333" s="41">
        <f t="shared" si="11"/>
        <v>0</v>
      </c>
      <c r="U333" s="7"/>
      <c r="V333" s="7"/>
    </row>
    <row r="334" spans="8:22" hidden="1" x14ac:dyDescent="0.25">
      <c r="H334" s="41">
        <f t="shared" si="11"/>
        <v>0</v>
      </c>
      <c r="I334" s="41">
        <f t="shared" si="11"/>
        <v>0</v>
      </c>
      <c r="J334" s="41">
        <f t="shared" si="11"/>
        <v>0</v>
      </c>
      <c r="K334" s="41">
        <f t="shared" si="11"/>
        <v>0</v>
      </c>
      <c r="L334" s="41">
        <f t="shared" si="11"/>
        <v>0</v>
      </c>
      <c r="M334" s="41">
        <f t="shared" si="11"/>
        <v>0</v>
      </c>
      <c r="U334" s="7"/>
      <c r="V334" s="7"/>
    </row>
    <row r="335" spans="8:22" hidden="1" x14ac:dyDescent="0.25">
      <c r="H335" s="41">
        <f t="shared" si="11"/>
        <v>0</v>
      </c>
      <c r="I335" s="41">
        <f t="shared" si="11"/>
        <v>0</v>
      </c>
      <c r="J335" s="41">
        <f t="shared" si="11"/>
        <v>0</v>
      </c>
      <c r="K335" s="41">
        <f t="shared" si="11"/>
        <v>0</v>
      </c>
      <c r="L335" s="41">
        <f t="shared" si="11"/>
        <v>0</v>
      </c>
      <c r="M335" s="41">
        <f t="shared" si="11"/>
        <v>0</v>
      </c>
      <c r="U335" s="7"/>
      <c r="V335" s="7"/>
    </row>
    <row r="336" spans="8:22" hidden="1" x14ac:dyDescent="0.25">
      <c r="H336" s="41">
        <f t="shared" si="11"/>
        <v>0</v>
      </c>
      <c r="I336" s="41">
        <f t="shared" si="11"/>
        <v>0</v>
      </c>
      <c r="J336" s="41">
        <f t="shared" si="11"/>
        <v>0</v>
      </c>
      <c r="K336" s="41">
        <f t="shared" si="11"/>
        <v>0</v>
      </c>
      <c r="L336" s="41">
        <f t="shared" si="11"/>
        <v>0</v>
      </c>
      <c r="M336" s="41">
        <f t="shared" si="11"/>
        <v>0</v>
      </c>
      <c r="U336" s="7"/>
      <c r="V336" s="7"/>
    </row>
    <row r="337" spans="8:22" hidden="1" x14ac:dyDescent="0.25">
      <c r="H337" s="41">
        <f t="shared" si="11"/>
        <v>0</v>
      </c>
      <c r="I337" s="41">
        <f t="shared" si="11"/>
        <v>0</v>
      </c>
      <c r="J337" s="41">
        <f t="shared" si="11"/>
        <v>0</v>
      </c>
      <c r="K337" s="41">
        <f t="shared" si="11"/>
        <v>0</v>
      </c>
      <c r="L337" s="41">
        <f t="shared" si="11"/>
        <v>0</v>
      </c>
      <c r="M337" s="41">
        <f t="shared" si="11"/>
        <v>0</v>
      </c>
      <c r="U337" s="7"/>
      <c r="V337" s="7"/>
    </row>
    <row r="338" spans="8:22" hidden="1" x14ac:dyDescent="0.25">
      <c r="H338" s="41">
        <f t="shared" si="11"/>
        <v>0</v>
      </c>
      <c r="I338" s="41">
        <f t="shared" si="11"/>
        <v>0</v>
      </c>
      <c r="J338" s="41">
        <f t="shared" si="11"/>
        <v>0</v>
      </c>
      <c r="K338" s="41">
        <f t="shared" si="11"/>
        <v>0</v>
      </c>
      <c r="L338" s="41">
        <f t="shared" si="11"/>
        <v>0</v>
      </c>
      <c r="M338" s="41">
        <f t="shared" si="11"/>
        <v>0</v>
      </c>
      <c r="U338" s="7"/>
      <c r="V338" s="7"/>
    </row>
    <row r="339" spans="8:22" hidden="1" x14ac:dyDescent="0.25">
      <c r="H339" s="41">
        <f t="shared" si="11"/>
        <v>0</v>
      </c>
      <c r="I339" s="41">
        <f t="shared" si="11"/>
        <v>0</v>
      </c>
      <c r="J339" s="41">
        <f t="shared" si="11"/>
        <v>0</v>
      </c>
      <c r="K339" s="41">
        <f t="shared" si="11"/>
        <v>0</v>
      </c>
      <c r="L339" s="41">
        <f t="shared" si="11"/>
        <v>0</v>
      </c>
      <c r="M339" s="41">
        <f t="shared" si="11"/>
        <v>0</v>
      </c>
      <c r="U339" s="7"/>
      <c r="V339" s="7"/>
    </row>
    <row r="340" spans="8:22" hidden="1" x14ac:dyDescent="0.25">
      <c r="H340" s="41">
        <f t="shared" si="11"/>
        <v>0</v>
      </c>
      <c r="I340" s="41">
        <f t="shared" si="11"/>
        <v>0</v>
      </c>
      <c r="J340" s="41">
        <f t="shared" si="11"/>
        <v>0</v>
      </c>
      <c r="K340" s="41">
        <f t="shared" si="11"/>
        <v>0</v>
      </c>
      <c r="L340" s="41">
        <f t="shared" si="11"/>
        <v>0</v>
      </c>
      <c r="M340" s="41">
        <f t="shared" si="11"/>
        <v>0</v>
      </c>
      <c r="U340" s="7"/>
      <c r="V340" s="7"/>
    </row>
    <row r="341" spans="8:22" hidden="1" x14ac:dyDescent="0.25">
      <c r="H341" s="41">
        <f t="shared" si="11"/>
        <v>0</v>
      </c>
      <c r="I341" s="41">
        <f t="shared" si="11"/>
        <v>0</v>
      </c>
      <c r="J341" s="41">
        <f t="shared" si="11"/>
        <v>0</v>
      </c>
      <c r="K341" s="41">
        <f t="shared" si="11"/>
        <v>0</v>
      </c>
      <c r="L341" s="41">
        <f t="shared" si="11"/>
        <v>0</v>
      </c>
      <c r="M341" s="41">
        <f t="shared" si="11"/>
        <v>0</v>
      </c>
      <c r="U341" s="7"/>
      <c r="V341" s="7"/>
    </row>
    <row r="342" spans="8:22" hidden="1" x14ac:dyDescent="0.25">
      <c r="H342" s="41">
        <f t="shared" ref="H342:M360" si="12">AN34</f>
        <v>0</v>
      </c>
      <c r="I342" s="41">
        <f t="shared" si="12"/>
        <v>0</v>
      </c>
      <c r="J342" s="41">
        <f t="shared" si="12"/>
        <v>0</v>
      </c>
      <c r="K342" s="41">
        <f t="shared" si="12"/>
        <v>0</v>
      </c>
      <c r="L342" s="41">
        <f t="shared" si="12"/>
        <v>0</v>
      </c>
      <c r="M342" s="41">
        <f t="shared" si="12"/>
        <v>0</v>
      </c>
      <c r="U342" s="7"/>
      <c r="V342" s="7"/>
    </row>
    <row r="343" spans="8:22" hidden="1" x14ac:dyDescent="0.25">
      <c r="H343" s="41">
        <f t="shared" si="12"/>
        <v>0</v>
      </c>
      <c r="I343" s="41">
        <f t="shared" si="12"/>
        <v>0</v>
      </c>
      <c r="J343" s="41">
        <f t="shared" si="12"/>
        <v>0</v>
      </c>
      <c r="K343" s="41">
        <f t="shared" si="12"/>
        <v>0</v>
      </c>
      <c r="L343" s="41">
        <f t="shared" si="12"/>
        <v>0</v>
      </c>
      <c r="M343" s="41">
        <f t="shared" si="12"/>
        <v>0</v>
      </c>
      <c r="U343" s="7"/>
      <c r="V343" s="7"/>
    </row>
    <row r="344" spans="8:22" hidden="1" x14ac:dyDescent="0.25">
      <c r="H344" s="41">
        <f t="shared" si="12"/>
        <v>0</v>
      </c>
      <c r="I344" s="41">
        <f t="shared" si="12"/>
        <v>0</v>
      </c>
      <c r="J344" s="41">
        <f t="shared" si="12"/>
        <v>0</v>
      </c>
      <c r="K344" s="41">
        <f t="shared" si="12"/>
        <v>0</v>
      </c>
      <c r="L344" s="41">
        <f t="shared" si="12"/>
        <v>0</v>
      </c>
      <c r="M344" s="41">
        <f t="shared" si="12"/>
        <v>0</v>
      </c>
      <c r="U344" s="7"/>
      <c r="V344" s="7"/>
    </row>
    <row r="345" spans="8:22" hidden="1" x14ac:dyDescent="0.25">
      <c r="H345" s="41">
        <f t="shared" si="12"/>
        <v>0</v>
      </c>
      <c r="I345" s="41">
        <f t="shared" si="12"/>
        <v>0</v>
      </c>
      <c r="J345" s="41">
        <f t="shared" si="12"/>
        <v>0</v>
      </c>
      <c r="K345" s="41">
        <f t="shared" si="12"/>
        <v>0</v>
      </c>
      <c r="L345" s="41">
        <f t="shared" si="12"/>
        <v>0</v>
      </c>
      <c r="M345" s="41">
        <f t="shared" si="12"/>
        <v>0</v>
      </c>
      <c r="U345" s="7"/>
      <c r="V345" s="7"/>
    </row>
    <row r="346" spans="8:22" hidden="1" x14ac:dyDescent="0.25">
      <c r="H346" s="41">
        <f t="shared" si="12"/>
        <v>0</v>
      </c>
      <c r="I346" s="41">
        <f t="shared" si="12"/>
        <v>0</v>
      </c>
      <c r="J346" s="41">
        <f t="shared" si="12"/>
        <v>0</v>
      </c>
      <c r="K346" s="41">
        <f t="shared" si="12"/>
        <v>0</v>
      </c>
      <c r="L346" s="41">
        <f t="shared" si="12"/>
        <v>0</v>
      </c>
      <c r="M346" s="41">
        <f t="shared" si="12"/>
        <v>0</v>
      </c>
      <c r="U346" s="7"/>
      <c r="V346" s="7"/>
    </row>
    <row r="347" spans="8:22" hidden="1" x14ac:dyDescent="0.25">
      <c r="H347" s="41">
        <f t="shared" si="12"/>
        <v>0</v>
      </c>
      <c r="I347" s="41">
        <f t="shared" si="12"/>
        <v>0</v>
      </c>
      <c r="J347" s="41">
        <f t="shared" si="12"/>
        <v>0</v>
      </c>
      <c r="K347" s="41">
        <f t="shared" si="12"/>
        <v>0</v>
      </c>
      <c r="L347" s="41">
        <f t="shared" si="12"/>
        <v>0</v>
      </c>
      <c r="M347" s="41">
        <f t="shared" si="12"/>
        <v>0</v>
      </c>
      <c r="U347" s="7"/>
      <c r="V347" s="7"/>
    </row>
    <row r="348" spans="8:22" hidden="1" x14ac:dyDescent="0.25">
      <c r="H348" s="41">
        <f t="shared" si="12"/>
        <v>0</v>
      </c>
      <c r="I348" s="41">
        <f t="shared" si="12"/>
        <v>0</v>
      </c>
      <c r="J348" s="41">
        <f t="shared" si="12"/>
        <v>0</v>
      </c>
      <c r="K348" s="41">
        <f t="shared" si="12"/>
        <v>0</v>
      </c>
      <c r="L348" s="41">
        <f t="shared" si="12"/>
        <v>0</v>
      </c>
      <c r="M348" s="41">
        <f t="shared" si="12"/>
        <v>0</v>
      </c>
      <c r="U348" s="7"/>
      <c r="V348" s="7"/>
    </row>
    <row r="349" spans="8:22" hidden="1" x14ac:dyDescent="0.25">
      <c r="H349" s="41">
        <f t="shared" si="12"/>
        <v>0</v>
      </c>
      <c r="I349" s="41">
        <f t="shared" si="12"/>
        <v>0</v>
      </c>
      <c r="J349" s="41">
        <f t="shared" si="12"/>
        <v>0</v>
      </c>
      <c r="K349" s="41">
        <f t="shared" si="12"/>
        <v>0</v>
      </c>
      <c r="L349" s="41">
        <f t="shared" si="12"/>
        <v>0</v>
      </c>
      <c r="M349" s="41">
        <f t="shared" si="12"/>
        <v>0</v>
      </c>
      <c r="U349" s="7"/>
      <c r="V349" s="7"/>
    </row>
    <row r="350" spans="8:22" hidden="1" x14ac:dyDescent="0.25">
      <c r="H350" s="41">
        <f t="shared" si="12"/>
        <v>0</v>
      </c>
      <c r="I350" s="41">
        <f t="shared" si="12"/>
        <v>0</v>
      </c>
      <c r="J350" s="41">
        <f t="shared" si="12"/>
        <v>0</v>
      </c>
      <c r="K350" s="41">
        <f t="shared" si="12"/>
        <v>0</v>
      </c>
      <c r="L350" s="41">
        <f t="shared" si="12"/>
        <v>0</v>
      </c>
      <c r="M350" s="41">
        <f t="shared" si="12"/>
        <v>0</v>
      </c>
      <c r="U350" s="7"/>
      <c r="V350" s="7"/>
    </row>
    <row r="351" spans="8:22" hidden="1" x14ac:dyDescent="0.25">
      <c r="H351" s="41">
        <f t="shared" si="12"/>
        <v>0</v>
      </c>
      <c r="I351" s="41">
        <f t="shared" si="12"/>
        <v>0</v>
      </c>
      <c r="J351" s="41">
        <f t="shared" si="12"/>
        <v>0</v>
      </c>
      <c r="K351" s="41">
        <f t="shared" si="12"/>
        <v>0</v>
      </c>
      <c r="L351" s="41">
        <f t="shared" si="12"/>
        <v>0</v>
      </c>
      <c r="M351" s="41">
        <f t="shared" si="12"/>
        <v>0</v>
      </c>
      <c r="U351" s="7"/>
      <c r="V351" s="7"/>
    </row>
    <row r="352" spans="8:22" hidden="1" x14ac:dyDescent="0.25">
      <c r="H352" s="41">
        <f t="shared" si="12"/>
        <v>0</v>
      </c>
      <c r="I352" s="41">
        <f t="shared" si="12"/>
        <v>0</v>
      </c>
      <c r="J352" s="41">
        <f t="shared" si="12"/>
        <v>0</v>
      </c>
      <c r="K352" s="41">
        <f t="shared" si="12"/>
        <v>0</v>
      </c>
      <c r="L352" s="41">
        <f t="shared" si="12"/>
        <v>0</v>
      </c>
      <c r="M352" s="41">
        <f t="shared" si="12"/>
        <v>0</v>
      </c>
      <c r="U352" s="7"/>
      <c r="V352" s="7"/>
    </row>
    <row r="353" spans="8:22" hidden="1" x14ac:dyDescent="0.25">
      <c r="H353" s="41">
        <f t="shared" si="12"/>
        <v>0</v>
      </c>
      <c r="I353" s="41">
        <f t="shared" si="12"/>
        <v>0</v>
      </c>
      <c r="J353" s="41">
        <f t="shared" si="12"/>
        <v>0</v>
      </c>
      <c r="K353" s="41">
        <f t="shared" si="12"/>
        <v>0</v>
      </c>
      <c r="L353" s="41">
        <f t="shared" si="12"/>
        <v>0</v>
      </c>
      <c r="M353" s="41">
        <f t="shared" si="12"/>
        <v>0</v>
      </c>
      <c r="U353" s="7"/>
      <c r="V353" s="7"/>
    </row>
    <row r="354" spans="8:22" hidden="1" x14ac:dyDescent="0.25">
      <c r="H354" s="41">
        <f t="shared" si="12"/>
        <v>0</v>
      </c>
      <c r="I354" s="41">
        <f t="shared" si="12"/>
        <v>0</v>
      </c>
      <c r="J354" s="41">
        <f t="shared" si="12"/>
        <v>0</v>
      </c>
      <c r="K354" s="41">
        <f t="shared" si="12"/>
        <v>0</v>
      </c>
      <c r="L354" s="41">
        <f t="shared" si="12"/>
        <v>0</v>
      </c>
      <c r="M354" s="41">
        <f t="shared" si="12"/>
        <v>0</v>
      </c>
      <c r="U354" s="7"/>
      <c r="V354" s="7"/>
    </row>
    <row r="355" spans="8:22" hidden="1" x14ac:dyDescent="0.25">
      <c r="H355" s="41">
        <f t="shared" si="12"/>
        <v>0</v>
      </c>
      <c r="I355" s="41">
        <f t="shared" si="12"/>
        <v>0</v>
      </c>
      <c r="J355" s="41">
        <f t="shared" si="12"/>
        <v>0</v>
      </c>
      <c r="K355" s="41">
        <f t="shared" si="12"/>
        <v>0</v>
      </c>
      <c r="L355" s="41">
        <f t="shared" si="12"/>
        <v>0</v>
      </c>
      <c r="M355" s="41">
        <f t="shared" si="12"/>
        <v>0</v>
      </c>
      <c r="U355" s="7"/>
      <c r="V355" s="7"/>
    </row>
    <row r="356" spans="8:22" hidden="1" x14ac:dyDescent="0.25">
      <c r="H356" s="41">
        <f t="shared" si="12"/>
        <v>0</v>
      </c>
      <c r="I356" s="41">
        <f t="shared" si="12"/>
        <v>0</v>
      </c>
      <c r="J356" s="41">
        <f t="shared" si="12"/>
        <v>0</v>
      </c>
      <c r="K356" s="41">
        <f t="shared" si="12"/>
        <v>0</v>
      </c>
      <c r="L356" s="41">
        <f t="shared" si="12"/>
        <v>0</v>
      </c>
      <c r="M356" s="41">
        <f t="shared" si="12"/>
        <v>0</v>
      </c>
      <c r="U356" s="7"/>
      <c r="V356" s="7"/>
    </row>
    <row r="357" spans="8:22" hidden="1" x14ac:dyDescent="0.25">
      <c r="H357" s="41">
        <f t="shared" si="12"/>
        <v>0</v>
      </c>
      <c r="I357" s="41">
        <f t="shared" si="12"/>
        <v>0</v>
      </c>
      <c r="J357" s="41">
        <f t="shared" si="12"/>
        <v>0</v>
      </c>
      <c r="K357" s="41">
        <f t="shared" si="12"/>
        <v>0</v>
      </c>
      <c r="L357" s="41">
        <f t="shared" si="12"/>
        <v>0</v>
      </c>
      <c r="M357" s="41">
        <f t="shared" si="12"/>
        <v>0</v>
      </c>
      <c r="U357" s="7"/>
      <c r="V357" s="7"/>
    </row>
    <row r="358" spans="8:22" hidden="1" x14ac:dyDescent="0.25">
      <c r="H358" s="41">
        <f t="shared" si="12"/>
        <v>0</v>
      </c>
      <c r="I358" s="41">
        <f t="shared" si="12"/>
        <v>0</v>
      </c>
      <c r="J358" s="41">
        <f t="shared" si="12"/>
        <v>0</v>
      </c>
      <c r="K358" s="41">
        <f t="shared" si="12"/>
        <v>0</v>
      </c>
      <c r="L358" s="41">
        <f t="shared" si="12"/>
        <v>0</v>
      </c>
      <c r="M358" s="41">
        <f t="shared" si="12"/>
        <v>0</v>
      </c>
      <c r="U358" s="7"/>
      <c r="V358" s="7"/>
    </row>
    <row r="359" spans="8:22" hidden="1" x14ac:dyDescent="0.25">
      <c r="H359" s="41">
        <f t="shared" si="12"/>
        <v>0</v>
      </c>
      <c r="I359" s="41">
        <f t="shared" si="12"/>
        <v>0</v>
      </c>
      <c r="J359" s="41">
        <f t="shared" si="12"/>
        <v>0</v>
      </c>
      <c r="K359" s="41">
        <f t="shared" si="12"/>
        <v>0</v>
      </c>
      <c r="L359" s="41">
        <f t="shared" si="12"/>
        <v>0</v>
      </c>
      <c r="M359" s="41">
        <f t="shared" si="12"/>
        <v>0</v>
      </c>
      <c r="U359" s="7"/>
      <c r="V359" s="7"/>
    </row>
    <row r="360" spans="8:22" hidden="1" x14ac:dyDescent="0.25">
      <c r="H360" s="41">
        <f t="shared" si="12"/>
        <v>0</v>
      </c>
      <c r="I360" s="41">
        <f t="shared" si="12"/>
        <v>0</v>
      </c>
      <c r="J360" s="41">
        <f t="shared" si="12"/>
        <v>0</v>
      </c>
      <c r="K360" s="41">
        <f t="shared" si="12"/>
        <v>0</v>
      </c>
      <c r="L360" s="41">
        <f t="shared" si="12"/>
        <v>0</v>
      </c>
      <c r="M360" s="41">
        <f t="shared" si="12"/>
        <v>0</v>
      </c>
      <c r="U360" s="7"/>
      <c r="V360" s="7"/>
    </row>
    <row r="361" spans="8:22" hidden="1" x14ac:dyDescent="0.25">
      <c r="H361" s="41" t="e">
        <f>#REF!</f>
        <v>#REF!</v>
      </c>
      <c r="I361" s="41" t="e">
        <f>#REF!</f>
        <v>#REF!</v>
      </c>
      <c r="J361" s="41" t="e">
        <f>#REF!</f>
        <v>#REF!</v>
      </c>
      <c r="K361" s="41" t="e">
        <f>#REF!</f>
        <v>#REF!</v>
      </c>
      <c r="L361" s="41" t="e">
        <f>#REF!</f>
        <v>#REF!</v>
      </c>
      <c r="M361" s="41" t="e">
        <f>#REF!</f>
        <v>#REF!</v>
      </c>
      <c r="U361" s="7"/>
      <c r="V361" s="7"/>
    </row>
    <row r="362" spans="8:22" hidden="1" x14ac:dyDescent="0.25">
      <c r="H362" s="41">
        <f t="shared" ref="H362:M392" si="13">AT3</f>
        <v>0</v>
      </c>
      <c r="I362" s="41">
        <f t="shared" si="13"/>
        <v>0</v>
      </c>
      <c r="J362" s="41">
        <f t="shared" si="13"/>
        <v>0</v>
      </c>
      <c r="K362" s="41">
        <f t="shared" si="13"/>
        <v>0</v>
      </c>
      <c r="L362" s="41">
        <f t="shared" si="13"/>
        <v>0</v>
      </c>
      <c r="M362" s="41">
        <f t="shared" si="13"/>
        <v>0</v>
      </c>
      <c r="U362" s="7"/>
      <c r="V362" s="7"/>
    </row>
    <row r="363" spans="8:22" hidden="1" x14ac:dyDescent="0.25">
      <c r="H363" s="41">
        <f t="shared" si="13"/>
        <v>0</v>
      </c>
      <c r="I363" s="41">
        <f t="shared" si="13"/>
        <v>0</v>
      </c>
      <c r="J363" s="41">
        <f t="shared" si="13"/>
        <v>0</v>
      </c>
      <c r="K363" s="41">
        <f t="shared" si="13"/>
        <v>0</v>
      </c>
      <c r="L363" s="41">
        <f t="shared" si="13"/>
        <v>0</v>
      </c>
      <c r="M363" s="41">
        <f t="shared" si="13"/>
        <v>0</v>
      </c>
      <c r="U363" s="7"/>
      <c r="V363" s="7"/>
    </row>
    <row r="364" spans="8:22" hidden="1" x14ac:dyDescent="0.25">
      <c r="H364" s="41">
        <f t="shared" si="13"/>
        <v>0</v>
      </c>
      <c r="I364" s="41">
        <f t="shared" si="13"/>
        <v>0</v>
      </c>
      <c r="J364" s="41">
        <f t="shared" si="13"/>
        <v>0</v>
      </c>
      <c r="K364" s="41">
        <f t="shared" si="13"/>
        <v>0</v>
      </c>
      <c r="L364" s="41">
        <f t="shared" si="13"/>
        <v>0</v>
      </c>
      <c r="M364" s="41">
        <f t="shared" si="13"/>
        <v>0</v>
      </c>
      <c r="U364" s="7"/>
      <c r="V364" s="7"/>
    </row>
    <row r="365" spans="8:22" hidden="1" x14ac:dyDescent="0.25">
      <c r="H365" s="41">
        <f t="shared" si="13"/>
        <v>0</v>
      </c>
      <c r="I365" s="41">
        <f t="shared" si="13"/>
        <v>0</v>
      </c>
      <c r="J365" s="41">
        <f t="shared" si="13"/>
        <v>0</v>
      </c>
      <c r="K365" s="41">
        <f t="shared" si="13"/>
        <v>0</v>
      </c>
      <c r="L365" s="41">
        <f t="shared" si="13"/>
        <v>0</v>
      </c>
      <c r="M365" s="41">
        <f t="shared" si="13"/>
        <v>0</v>
      </c>
      <c r="U365" s="7"/>
      <c r="V365" s="7"/>
    </row>
    <row r="366" spans="8:22" hidden="1" x14ac:dyDescent="0.25">
      <c r="H366" s="41">
        <f t="shared" si="13"/>
        <v>0</v>
      </c>
      <c r="I366" s="41">
        <f t="shared" si="13"/>
        <v>0</v>
      </c>
      <c r="J366" s="41">
        <f t="shared" si="13"/>
        <v>0</v>
      </c>
      <c r="K366" s="41">
        <f t="shared" si="13"/>
        <v>0</v>
      </c>
      <c r="L366" s="41">
        <f t="shared" si="13"/>
        <v>0</v>
      </c>
      <c r="M366" s="41">
        <f t="shared" si="13"/>
        <v>0</v>
      </c>
      <c r="U366" s="7"/>
      <c r="V366" s="7"/>
    </row>
    <row r="367" spans="8:22" hidden="1" x14ac:dyDescent="0.25">
      <c r="H367" s="41">
        <f t="shared" si="13"/>
        <v>0</v>
      </c>
      <c r="I367" s="41">
        <f t="shared" si="13"/>
        <v>0</v>
      </c>
      <c r="J367" s="41">
        <f t="shared" si="13"/>
        <v>0</v>
      </c>
      <c r="K367" s="41">
        <f t="shared" si="13"/>
        <v>0</v>
      </c>
      <c r="L367" s="41">
        <f t="shared" si="13"/>
        <v>0</v>
      </c>
      <c r="M367" s="41">
        <f t="shared" si="13"/>
        <v>0</v>
      </c>
      <c r="U367" s="7"/>
      <c r="V367" s="7"/>
    </row>
    <row r="368" spans="8:22" hidden="1" x14ac:dyDescent="0.25">
      <c r="H368" s="41">
        <f t="shared" si="13"/>
        <v>0</v>
      </c>
      <c r="I368" s="41">
        <f t="shared" si="13"/>
        <v>0</v>
      </c>
      <c r="J368" s="41">
        <f t="shared" si="13"/>
        <v>0</v>
      </c>
      <c r="K368" s="41">
        <f t="shared" si="13"/>
        <v>0</v>
      </c>
      <c r="L368" s="41">
        <f t="shared" si="13"/>
        <v>0</v>
      </c>
      <c r="M368" s="41">
        <f t="shared" si="13"/>
        <v>0</v>
      </c>
      <c r="U368" s="7"/>
      <c r="V368" s="7"/>
    </row>
    <row r="369" spans="8:22" hidden="1" x14ac:dyDescent="0.25">
      <c r="H369" s="41">
        <f t="shared" si="13"/>
        <v>0</v>
      </c>
      <c r="I369" s="41">
        <f t="shared" si="13"/>
        <v>0</v>
      </c>
      <c r="J369" s="41">
        <f t="shared" si="13"/>
        <v>0</v>
      </c>
      <c r="K369" s="41">
        <f t="shared" si="13"/>
        <v>0</v>
      </c>
      <c r="L369" s="41">
        <f t="shared" si="13"/>
        <v>0</v>
      </c>
      <c r="M369" s="41">
        <f t="shared" si="13"/>
        <v>0</v>
      </c>
      <c r="U369" s="7"/>
      <c r="V369" s="7"/>
    </row>
    <row r="370" spans="8:22" hidden="1" x14ac:dyDescent="0.25">
      <c r="H370" s="41">
        <f t="shared" si="13"/>
        <v>0</v>
      </c>
      <c r="I370" s="41">
        <f t="shared" si="13"/>
        <v>0</v>
      </c>
      <c r="J370" s="41">
        <f t="shared" si="13"/>
        <v>0</v>
      </c>
      <c r="K370" s="41">
        <f t="shared" si="13"/>
        <v>0</v>
      </c>
      <c r="L370" s="41">
        <f t="shared" si="13"/>
        <v>0</v>
      </c>
      <c r="M370" s="41">
        <f t="shared" si="13"/>
        <v>0</v>
      </c>
      <c r="U370" s="7"/>
      <c r="V370" s="7"/>
    </row>
    <row r="371" spans="8:22" hidden="1" x14ac:dyDescent="0.25">
      <c r="H371" s="41">
        <f t="shared" si="13"/>
        <v>0</v>
      </c>
      <c r="I371" s="41">
        <f t="shared" si="13"/>
        <v>0</v>
      </c>
      <c r="J371" s="41">
        <f t="shared" si="13"/>
        <v>0</v>
      </c>
      <c r="K371" s="41">
        <f t="shared" si="13"/>
        <v>0</v>
      </c>
      <c r="L371" s="41">
        <f t="shared" si="13"/>
        <v>0</v>
      </c>
      <c r="M371" s="41">
        <f t="shared" si="13"/>
        <v>0</v>
      </c>
      <c r="U371" s="7"/>
      <c r="V371" s="7"/>
    </row>
    <row r="372" spans="8:22" hidden="1" x14ac:dyDescent="0.25">
      <c r="H372" s="41">
        <f t="shared" si="13"/>
        <v>0</v>
      </c>
      <c r="I372" s="41">
        <f t="shared" si="13"/>
        <v>0</v>
      </c>
      <c r="J372" s="41">
        <f t="shared" si="13"/>
        <v>0</v>
      </c>
      <c r="K372" s="41">
        <f t="shared" si="13"/>
        <v>0</v>
      </c>
      <c r="L372" s="41">
        <f t="shared" si="13"/>
        <v>0</v>
      </c>
      <c r="M372" s="41">
        <f t="shared" si="13"/>
        <v>0</v>
      </c>
      <c r="U372" s="7"/>
      <c r="V372" s="7"/>
    </row>
    <row r="373" spans="8:22" hidden="1" x14ac:dyDescent="0.25">
      <c r="H373" s="41">
        <f t="shared" si="13"/>
        <v>0</v>
      </c>
      <c r="I373" s="41">
        <f t="shared" si="13"/>
        <v>0</v>
      </c>
      <c r="J373" s="41">
        <f t="shared" si="13"/>
        <v>0</v>
      </c>
      <c r="K373" s="41">
        <f t="shared" si="13"/>
        <v>0</v>
      </c>
      <c r="L373" s="41">
        <f t="shared" si="13"/>
        <v>0</v>
      </c>
      <c r="M373" s="41">
        <f t="shared" si="13"/>
        <v>0</v>
      </c>
      <c r="U373" s="7"/>
      <c r="V373" s="7"/>
    </row>
    <row r="374" spans="8:22" hidden="1" x14ac:dyDescent="0.25">
      <c r="H374" s="41">
        <f t="shared" si="13"/>
        <v>0</v>
      </c>
      <c r="I374" s="41">
        <f t="shared" si="13"/>
        <v>0</v>
      </c>
      <c r="J374" s="41">
        <f t="shared" si="13"/>
        <v>0</v>
      </c>
      <c r="K374" s="41">
        <f t="shared" si="13"/>
        <v>0</v>
      </c>
      <c r="L374" s="41">
        <f t="shared" si="13"/>
        <v>0</v>
      </c>
      <c r="M374" s="41">
        <f t="shared" si="13"/>
        <v>0</v>
      </c>
      <c r="U374" s="7"/>
      <c r="V374" s="7"/>
    </row>
    <row r="375" spans="8:22" hidden="1" x14ac:dyDescent="0.25">
      <c r="H375" s="41">
        <f t="shared" si="13"/>
        <v>0</v>
      </c>
      <c r="I375" s="41">
        <f t="shared" si="13"/>
        <v>0</v>
      </c>
      <c r="J375" s="41">
        <f t="shared" si="13"/>
        <v>0</v>
      </c>
      <c r="K375" s="41">
        <f t="shared" si="13"/>
        <v>0</v>
      </c>
      <c r="L375" s="41">
        <f t="shared" si="13"/>
        <v>0</v>
      </c>
      <c r="M375" s="41">
        <f t="shared" si="13"/>
        <v>0</v>
      </c>
      <c r="U375" s="7"/>
      <c r="V375" s="7"/>
    </row>
    <row r="376" spans="8:22" hidden="1" x14ac:dyDescent="0.25">
      <c r="H376" s="41">
        <f t="shared" si="13"/>
        <v>0</v>
      </c>
      <c r="I376" s="41">
        <f t="shared" si="13"/>
        <v>0</v>
      </c>
      <c r="J376" s="41">
        <f t="shared" si="13"/>
        <v>0</v>
      </c>
      <c r="K376" s="41">
        <f t="shared" si="13"/>
        <v>0</v>
      </c>
      <c r="L376" s="41">
        <f t="shared" si="13"/>
        <v>0</v>
      </c>
      <c r="M376" s="41">
        <f t="shared" si="13"/>
        <v>0</v>
      </c>
      <c r="U376" s="7"/>
      <c r="V376" s="7"/>
    </row>
    <row r="377" spans="8:22" hidden="1" x14ac:dyDescent="0.25">
      <c r="H377" s="41">
        <f t="shared" si="13"/>
        <v>0</v>
      </c>
      <c r="I377" s="41">
        <f t="shared" si="13"/>
        <v>0</v>
      </c>
      <c r="J377" s="41">
        <f t="shared" si="13"/>
        <v>0</v>
      </c>
      <c r="K377" s="41">
        <f t="shared" si="13"/>
        <v>0</v>
      </c>
      <c r="L377" s="41">
        <f t="shared" si="13"/>
        <v>0</v>
      </c>
      <c r="M377" s="41">
        <f t="shared" si="13"/>
        <v>0</v>
      </c>
      <c r="U377" s="7"/>
      <c r="V377" s="7"/>
    </row>
    <row r="378" spans="8:22" hidden="1" x14ac:dyDescent="0.25">
      <c r="H378" s="41">
        <f t="shared" si="13"/>
        <v>0</v>
      </c>
      <c r="I378" s="41">
        <f t="shared" si="13"/>
        <v>0</v>
      </c>
      <c r="J378" s="41">
        <f t="shared" si="13"/>
        <v>0</v>
      </c>
      <c r="K378" s="41">
        <f t="shared" si="13"/>
        <v>0</v>
      </c>
      <c r="L378" s="41">
        <f t="shared" si="13"/>
        <v>0</v>
      </c>
      <c r="M378" s="41">
        <f t="shared" si="13"/>
        <v>0</v>
      </c>
      <c r="U378" s="7"/>
      <c r="V378" s="7"/>
    </row>
    <row r="379" spans="8:22" hidden="1" x14ac:dyDescent="0.25">
      <c r="H379" s="41">
        <f t="shared" si="13"/>
        <v>0</v>
      </c>
      <c r="I379" s="41">
        <f t="shared" si="13"/>
        <v>0</v>
      </c>
      <c r="J379" s="41">
        <f t="shared" si="13"/>
        <v>0</v>
      </c>
      <c r="K379" s="41">
        <f t="shared" si="13"/>
        <v>0</v>
      </c>
      <c r="L379" s="41">
        <f t="shared" si="13"/>
        <v>0</v>
      </c>
      <c r="M379" s="41">
        <f t="shared" si="13"/>
        <v>0</v>
      </c>
      <c r="U379" s="7"/>
      <c r="V379" s="7"/>
    </row>
    <row r="380" spans="8:22" hidden="1" x14ac:dyDescent="0.25">
      <c r="H380" s="41">
        <f t="shared" si="13"/>
        <v>0</v>
      </c>
      <c r="I380" s="41">
        <f t="shared" si="13"/>
        <v>0</v>
      </c>
      <c r="J380" s="41">
        <f t="shared" si="13"/>
        <v>0</v>
      </c>
      <c r="K380" s="41">
        <f t="shared" si="13"/>
        <v>0</v>
      </c>
      <c r="L380" s="41">
        <f t="shared" si="13"/>
        <v>0</v>
      </c>
      <c r="M380" s="41">
        <f t="shared" si="13"/>
        <v>0</v>
      </c>
      <c r="U380" s="7"/>
      <c r="V380" s="7"/>
    </row>
    <row r="381" spans="8:22" hidden="1" x14ac:dyDescent="0.25">
      <c r="H381" s="41">
        <f t="shared" si="13"/>
        <v>0</v>
      </c>
      <c r="I381" s="41">
        <f t="shared" si="13"/>
        <v>0</v>
      </c>
      <c r="J381" s="41">
        <f t="shared" si="13"/>
        <v>0</v>
      </c>
      <c r="K381" s="41">
        <f t="shared" si="13"/>
        <v>0</v>
      </c>
      <c r="L381" s="41">
        <f t="shared" si="13"/>
        <v>0</v>
      </c>
      <c r="M381" s="41">
        <f t="shared" si="13"/>
        <v>0</v>
      </c>
      <c r="U381" s="7"/>
      <c r="V381" s="7"/>
    </row>
    <row r="382" spans="8:22" hidden="1" x14ac:dyDescent="0.25">
      <c r="H382" s="41">
        <f t="shared" si="13"/>
        <v>0</v>
      </c>
      <c r="I382" s="41">
        <f t="shared" si="13"/>
        <v>0</v>
      </c>
      <c r="J382" s="41">
        <f t="shared" si="13"/>
        <v>0</v>
      </c>
      <c r="K382" s="41">
        <f t="shared" si="13"/>
        <v>0</v>
      </c>
      <c r="L382" s="41">
        <f t="shared" si="13"/>
        <v>0</v>
      </c>
      <c r="M382" s="41">
        <f t="shared" si="13"/>
        <v>0</v>
      </c>
      <c r="U382" s="7"/>
      <c r="V382" s="7"/>
    </row>
    <row r="383" spans="8:22" hidden="1" x14ac:dyDescent="0.25">
      <c r="H383" s="41">
        <f t="shared" si="13"/>
        <v>0</v>
      </c>
      <c r="I383" s="41">
        <f t="shared" si="13"/>
        <v>0</v>
      </c>
      <c r="J383" s="41">
        <f t="shared" si="13"/>
        <v>0</v>
      </c>
      <c r="K383" s="41">
        <f t="shared" si="13"/>
        <v>0</v>
      </c>
      <c r="L383" s="41">
        <f t="shared" si="13"/>
        <v>0</v>
      </c>
      <c r="M383" s="41">
        <f t="shared" si="13"/>
        <v>0</v>
      </c>
      <c r="U383" s="7"/>
      <c r="V383" s="7"/>
    </row>
    <row r="384" spans="8:22" hidden="1" x14ac:dyDescent="0.25">
      <c r="H384" s="41">
        <f t="shared" si="13"/>
        <v>0</v>
      </c>
      <c r="I384" s="41">
        <f t="shared" si="13"/>
        <v>0</v>
      </c>
      <c r="J384" s="41">
        <f t="shared" si="13"/>
        <v>0</v>
      </c>
      <c r="K384" s="41">
        <f t="shared" si="13"/>
        <v>0</v>
      </c>
      <c r="L384" s="41">
        <f t="shared" si="13"/>
        <v>0</v>
      </c>
      <c r="M384" s="41">
        <f t="shared" si="13"/>
        <v>0</v>
      </c>
      <c r="U384" s="7"/>
      <c r="V384" s="7"/>
    </row>
    <row r="385" spans="8:22" hidden="1" x14ac:dyDescent="0.25">
      <c r="H385" s="41">
        <f t="shared" si="13"/>
        <v>0</v>
      </c>
      <c r="I385" s="41">
        <f t="shared" si="13"/>
        <v>0</v>
      </c>
      <c r="J385" s="41">
        <f t="shared" si="13"/>
        <v>0</v>
      </c>
      <c r="K385" s="41">
        <f t="shared" si="13"/>
        <v>0</v>
      </c>
      <c r="L385" s="41">
        <f t="shared" si="13"/>
        <v>0</v>
      </c>
      <c r="M385" s="41">
        <f t="shared" si="13"/>
        <v>0</v>
      </c>
      <c r="U385" s="7"/>
      <c r="V385" s="7"/>
    </row>
    <row r="386" spans="8:22" hidden="1" x14ac:dyDescent="0.25">
      <c r="H386" s="41">
        <f t="shared" si="13"/>
        <v>0</v>
      </c>
      <c r="I386" s="41">
        <f t="shared" si="13"/>
        <v>0</v>
      </c>
      <c r="J386" s="41">
        <f t="shared" si="13"/>
        <v>0</v>
      </c>
      <c r="K386" s="41">
        <f t="shared" si="13"/>
        <v>0</v>
      </c>
      <c r="L386" s="41">
        <f t="shared" si="13"/>
        <v>0</v>
      </c>
      <c r="M386" s="41">
        <f t="shared" si="13"/>
        <v>0</v>
      </c>
      <c r="U386" s="7"/>
      <c r="V386" s="7"/>
    </row>
    <row r="387" spans="8:22" hidden="1" x14ac:dyDescent="0.25">
      <c r="H387" s="41">
        <f t="shared" si="13"/>
        <v>0</v>
      </c>
      <c r="I387" s="41">
        <f t="shared" si="13"/>
        <v>0</v>
      </c>
      <c r="J387" s="41">
        <f t="shared" si="13"/>
        <v>0</v>
      </c>
      <c r="K387" s="41">
        <f t="shared" si="13"/>
        <v>0</v>
      </c>
      <c r="L387" s="41">
        <f t="shared" si="13"/>
        <v>0</v>
      </c>
      <c r="M387" s="41">
        <f t="shared" si="13"/>
        <v>0</v>
      </c>
      <c r="U387" s="7"/>
      <c r="V387" s="7"/>
    </row>
    <row r="388" spans="8:22" hidden="1" x14ac:dyDescent="0.25">
      <c r="H388" s="41">
        <f t="shared" si="13"/>
        <v>0</v>
      </c>
      <c r="I388" s="41">
        <f t="shared" si="13"/>
        <v>0</v>
      </c>
      <c r="J388" s="41">
        <f t="shared" si="13"/>
        <v>0</v>
      </c>
      <c r="K388" s="41">
        <f t="shared" si="13"/>
        <v>0</v>
      </c>
      <c r="L388" s="41">
        <f t="shared" si="13"/>
        <v>0</v>
      </c>
      <c r="M388" s="41">
        <f t="shared" si="13"/>
        <v>0</v>
      </c>
      <c r="U388" s="7"/>
      <c r="V388" s="7"/>
    </row>
    <row r="389" spans="8:22" hidden="1" x14ac:dyDescent="0.25">
      <c r="H389" s="41">
        <f t="shared" si="13"/>
        <v>0</v>
      </c>
      <c r="I389" s="41">
        <f t="shared" si="13"/>
        <v>0</v>
      </c>
      <c r="J389" s="41">
        <f t="shared" si="13"/>
        <v>0</v>
      </c>
      <c r="K389" s="41">
        <f t="shared" si="13"/>
        <v>0</v>
      </c>
      <c r="L389" s="41">
        <f t="shared" si="13"/>
        <v>0</v>
      </c>
      <c r="M389" s="41">
        <f t="shared" si="13"/>
        <v>0</v>
      </c>
      <c r="U389" s="7"/>
      <c r="V389" s="7"/>
    </row>
    <row r="390" spans="8:22" hidden="1" x14ac:dyDescent="0.25">
      <c r="H390" s="41">
        <f t="shared" si="13"/>
        <v>0</v>
      </c>
      <c r="I390" s="41">
        <f t="shared" si="13"/>
        <v>0</v>
      </c>
      <c r="J390" s="41">
        <f t="shared" si="13"/>
        <v>0</v>
      </c>
      <c r="K390" s="41">
        <f t="shared" si="13"/>
        <v>0</v>
      </c>
      <c r="L390" s="41">
        <f t="shared" si="13"/>
        <v>0</v>
      </c>
      <c r="M390" s="41">
        <f t="shared" si="13"/>
        <v>0</v>
      </c>
      <c r="U390" s="7"/>
      <c r="V390" s="7"/>
    </row>
    <row r="391" spans="8:22" hidden="1" x14ac:dyDescent="0.25">
      <c r="H391" s="41">
        <f t="shared" si="13"/>
        <v>0</v>
      </c>
      <c r="I391" s="41">
        <f t="shared" si="13"/>
        <v>0</v>
      </c>
      <c r="J391" s="41">
        <f t="shared" si="13"/>
        <v>0</v>
      </c>
      <c r="K391" s="41">
        <f t="shared" si="13"/>
        <v>0</v>
      </c>
      <c r="L391" s="41">
        <f t="shared" si="13"/>
        <v>0</v>
      </c>
      <c r="M391" s="41">
        <f t="shared" si="13"/>
        <v>0</v>
      </c>
      <c r="U391" s="7"/>
      <c r="V391" s="7"/>
    </row>
    <row r="392" spans="8:22" hidden="1" x14ac:dyDescent="0.25">
      <c r="H392" s="41">
        <f t="shared" si="13"/>
        <v>0</v>
      </c>
      <c r="I392" s="41">
        <f t="shared" si="13"/>
        <v>0</v>
      </c>
      <c r="J392" s="41">
        <f t="shared" si="13"/>
        <v>0</v>
      </c>
      <c r="K392" s="41">
        <f t="shared" si="13"/>
        <v>0</v>
      </c>
      <c r="L392" s="41">
        <f t="shared" si="13"/>
        <v>0</v>
      </c>
      <c r="M392" s="41">
        <f t="shared" si="13"/>
        <v>0</v>
      </c>
      <c r="U392" s="7"/>
      <c r="V392" s="7"/>
    </row>
    <row r="393" spans="8:22" hidden="1" x14ac:dyDescent="0.25">
      <c r="H393" s="41">
        <f t="shared" ref="H393:M411" si="14">AT34</f>
        <v>0</v>
      </c>
      <c r="I393" s="41">
        <f t="shared" si="14"/>
        <v>0</v>
      </c>
      <c r="J393" s="41">
        <f t="shared" si="14"/>
        <v>0</v>
      </c>
      <c r="K393" s="41">
        <f t="shared" si="14"/>
        <v>0</v>
      </c>
      <c r="L393" s="41">
        <f t="shared" si="14"/>
        <v>0</v>
      </c>
      <c r="M393" s="41">
        <f t="shared" si="14"/>
        <v>0</v>
      </c>
      <c r="U393" s="7"/>
      <c r="V393" s="7"/>
    </row>
    <row r="394" spans="8:22" hidden="1" x14ac:dyDescent="0.25">
      <c r="H394" s="41">
        <f t="shared" si="14"/>
        <v>0</v>
      </c>
      <c r="I394" s="41">
        <f t="shared" si="14"/>
        <v>0</v>
      </c>
      <c r="J394" s="41">
        <f t="shared" si="14"/>
        <v>0</v>
      </c>
      <c r="K394" s="41">
        <f t="shared" si="14"/>
        <v>0</v>
      </c>
      <c r="L394" s="41">
        <f t="shared" si="14"/>
        <v>0</v>
      </c>
      <c r="M394" s="41">
        <f t="shared" si="14"/>
        <v>0</v>
      </c>
      <c r="U394" s="7"/>
      <c r="V394" s="7"/>
    </row>
    <row r="395" spans="8:22" hidden="1" x14ac:dyDescent="0.25">
      <c r="H395" s="41">
        <f t="shared" si="14"/>
        <v>0</v>
      </c>
      <c r="I395" s="41">
        <f t="shared" si="14"/>
        <v>0</v>
      </c>
      <c r="J395" s="41">
        <f t="shared" si="14"/>
        <v>0</v>
      </c>
      <c r="K395" s="41">
        <f t="shared" si="14"/>
        <v>0</v>
      </c>
      <c r="L395" s="41">
        <f t="shared" si="14"/>
        <v>0</v>
      </c>
      <c r="M395" s="41">
        <f t="shared" si="14"/>
        <v>0</v>
      </c>
      <c r="U395" s="7"/>
      <c r="V395" s="7"/>
    </row>
    <row r="396" spans="8:22" hidden="1" x14ac:dyDescent="0.25">
      <c r="H396" s="41">
        <f t="shared" si="14"/>
        <v>0</v>
      </c>
      <c r="I396" s="41">
        <f t="shared" si="14"/>
        <v>0</v>
      </c>
      <c r="J396" s="41">
        <f t="shared" si="14"/>
        <v>0</v>
      </c>
      <c r="K396" s="41">
        <f t="shared" si="14"/>
        <v>0</v>
      </c>
      <c r="L396" s="41">
        <f t="shared" si="14"/>
        <v>0</v>
      </c>
      <c r="M396" s="41">
        <f t="shared" si="14"/>
        <v>0</v>
      </c>
      <c r="U396" s="7"/>
      <c r="V396" s="7"/>
    </row>
    <row r="397" spans="8:22" hidden="1" x14ac:dyDescent="0.25">
      <c r="H397" s="41">
        <f t="shared" si="14"/>
        <v>0</v>
      </c>
      <c r="I397" s="41">
        <f t="shared" si="14"/>
        <v>0</v>
      </c>
      <c r="J397" s="41">
        <f t="shared" si="14"/>
        <v>0</v>
      </c>
      <c r="K397" s="41">
        <f t="shared" si="14"/>
        <v>0</v>
      </c>
      <c r="L397" s="41">
        <f t="shared" si="14"/>
        <v>0</v>
      </c>
      <c r="M397" s="41">
        <f t="shared" si="14"/>
        <v>0</v>
      </c>
      <c r="U397" s="7"/>
      <c r="V397" s="7"/>
    </row>
    <row r="398" spans="8:22" hidden="1" x14ac:dyDescent="0.25">
      <c r="H398" s="41">
        <f t="shared" si="14"/>
        <v>0</v>
      </c>
      <c r="I398" s="41">
        <f t="shared" si="14"/>
        <v>0</v>
      </c>
      <c r="J398" s="41">
        <f t="shared" si="14"/>
        <v>0</v>
      </c>
      <c r="K398" s="41">
        <f t="shared" si="14"/>
        <v>0</v>
      </c>
      <c r="L398" s="41">
        <f t="shared" si="14"/>
        <v>0</v>
      </c>
      <c r="M398" s="41">
        <f t="shared" si="14"/>
        <v>0</v>
      </c>
      <c r="U398" s="7"/>
      <c r="V398" s="7"/>
    </row>
    <row r="399" spans="8:22" hidden="1" x14ac:dyDescent="0.25">
      <c r="H399" s="41">
        <f t="shared" si="14"/>
        <v>0</v>
      </c>
      <c r="I399" s="41">
        <f t="shared" si="14"/>
        <v>0</v>
      </c>
      <c r="J399" s="41">
        <f t="shared" si="14"/>
        <v>0</v>
      </c>
      <c r="K399" s="41">
        <f t="shared" si="14"/>
        <v>0</v>
      </c>
      <c r="L399" s="41">
        <f t="shared" si="14"/>
        <v>0</v>
      </c>
      <c r="M399" s="41">
        <f t="shared" si="14"/>
        <v>0</v>
      </c>
      <c r="U399" s="7"/>
      <c r="V399" s="7"/>
    </row>
    <row r="400" spans="8:22" hidden="1" x14ac:dyDescent="0.25">
      <c r="H400" s="41">
        <f t="shared" si="14"/>
        <v>0</v>
      </c>
      <c r="I400" s="41">
        <f t="shared" si="14"/>
        <v>0</v>
      </c>
      <c r="J400" s="41">
        <f t="shared" si="14"/>
        <v>0</v>
      </c>
      <c r="K400" s="41">
        <f t="shared" si="14"/>
        <v>0</v>
      </c>
      <c r="L400" s="41">
        <f t="shared" si="14"/>
        <v>0</v>
      </c>
      <c r="M400" s="41">
        <f t="shared" si="14"/>
        <v>0</v>
      </c>
      <c r="U400" s="7"/>
      <c r="V400" s="7"/>
    </row>
    <row r="401" spans="8:22" hidden="1" x14ac:dyDescent="0.25">
      <c r="H401" s="41">
        <f t="shared" si="14"/>
        <v>0</v>
      </c>
      <c r="I401" s="41">
        <f t="shared" si="14"/>
        <v>0</v>
      </c>
      <c r="J401" s="41">
        <f t="shared" si="14"/>
        <v>0</v>
      </c>
      <c r="K401" s="41">
        <f t="shared" si="14"/>
        <v>0</v>
      </c>
      <c r="L401" s="41">
        <f t="shared" si="14"/>
        <v>0</v>
      </c>
      <c r="M401" s="41">
        <f t="shared" si="14"/>
        <v>0</v>
      </c>
      <c r="U401" s="7"/>
      <c r="V401" s="7"/>
    </row>
    <row r="402" spans="8:22" hidden="1" x14ac:dyDescent="0.25">
      <c r="H402" s="41">
        <f t="shared" si="14"/>
        <v>0</v>
      </c>
      <c r="I402" s="41">
        <f t="shared" si="14"/>
        <v>0</v>
      </c>
      <c r="J402" s="41">
        <f t="shared" si="14"/>
        <v>0</v>
      </c>
      <c r="K402" s="41">
        <f t="shared" si="14"/>
        <v>0</v>
      </c>
      <c r="L402" s="41">
        <f t="shared" si="14"/>
        <v>0</v>
      </c>
      <c r="M402" s="41">
        <f t="shared" si="14"/>
        <v>0</v>
      </c>
      <c r="U402" s="7"/>
      <c r="V402" s="7"/>
    </row>
    <row r="403" spans="8:22" hidden="1" x14ac:dyDescent="0.25">
      <c r="H403" s="41">
        <f t="shared" si="14"/>
        <v>0</v>
      </c>
      <c r="I403" s="41">
        <f t="shared" si="14"/>
        <v>0</v>
      </c>
      <c r="J403" s="41">
        <f t="shared" si="14"/>
        <v>0</v>
      </c>
      <c r="K403" s="41">
        <f t="shared" si="14"/>
        <v>0</v>
      </c>
      <c r="L403" s="41">
        <f t="shared" si="14"/>
        <v>0</v>
      </c>
      <c r="M403" s="41">
        <f t="shared" si="14"/>
        <v>0</v>
      </c>
      <c r="U403" s="7"/>
      <c r="V403" s="7"/>
    </row>
    <row r="404" spans="8:22" hidden="1" x14ac:dyDescent="0.25">
      <c r="H404" s="41">
        <f t="shared" si="14"/>
        <v>0</v>
      </c>
      <c r="I404" s="41">
        <f t="shared" si="14"/>
        <v>0</v>
      </c>
      <c r="J404" s="41">
        <f t="shared" si="14"/>
        <v>0</v>
      </c>
      <c r="K404" s="41">
        <f t="shared" si="14"/>
        <v>0</v>
      </c>
      <c r="L404" s="41">
        <f t="shared" si="14"/>
        <v>0</v>
      </c>
      <c r="M404" s="41">
        <f t="shared" si="14"/>
        <v>0</v>
      </c>
      <c r="U404" s="7"/>
      <c r="V404" s="7"/>
    </row>
    <row r="405" spans="8:22" hidden="1" x14ac:dyDescent="0.25">
      <c r="H405" s="41">
        <f t="shared" si="14"/>
        <v>0</v>
      </c>
      <c r="I405" s="41">
        <f t="shared" si="14"/>
        <v>0</v>
      </c>
      <c r="J405" s="41">
        <f t="shared" si="14"/>
        <v>0</v>
      </c>
      <c r="K405" s="41">
        <f t="shared" si="14"/>
        <v>0</v>
      </c>
      <c r="L405" s="41">
        <f t="shared" si="14"/>
        <v>0</v>
      </c>
      <c r="M405" s="41">
        <f t="shared" si="14"/>
        <v>0</v>
      </c>
      <c r="U405" s="7"/>
      <c r="V405" s="7"/>
    </row>
    <row r="406" spans="8:22" hidden="1" x14ac:dyDescent="0.25">
      <c r="H406" s="41">
        <f t="shared" si="14"/>
        <v>0</v>
      </c>
      <c r="I406" s="41">
        <f t="shared" si="14"/>
        <v>0</v>
      </c>
      <c r="J406" s="41">
        <f t="shared" si="14"/>
        <v>0</v>
      </c>
      <c r="K406" s="41">
        <f t="shared" si="14"/>
        <v>0</v>
      </c>
      <c r="L406" s="41">
        <f t="shared" si="14"/>
        <v>0</v>
      </c>
      <c r="M406" s="41">
        <f t="shared" si="14"/>
        <v>0</v>
      </c>
      <c r="U406" s="7"/>
      <c r="V406" s="7"/>
    </row>
    <row r="407" spans="8:22" hidden="1" x14ac:dyDescent="0.25">
      <c r="H407" s="41">
        <f t="shared" si="14"/>
        <v>0</v>
      </c>
      <c r="I407" s="41">
        <f t="shared" si="14"/>
        <v>0</v>
      </c>
      <c r="J407" s="41">
        <f t="shared" si="14"/>
        <v>0</v>
      </c>
      <c r="K407" s="41">
        <f t="shared" si="14"/>
        <v>0</v>
      </c>
      <c r="L407" s="41">
        <f t="shared" si="14"/>
        <v>0</v>
      </c>
      <c r="M407" s="41">
        <f t="shared" si="14"/>
        <v>0</v>
      </c>
      <c r="U407" s="7"/>
      <c r="V407" s="7"/>
    </row>
    <row r="408" spans="8:22" hidden="1" x14ac:dyDescent="0.25">
      <c r="H408" s="41">
        <f t="shared" si="14"/>
        <v>0</v>
      </c>
      <c r="I408" s="41">
        <f t="shared" si="14"/>
        <v>0</v>
      </c>
      <c r="J408" s="41">
        <f t="shared" si="14"/>
        <v>0</v>
      </c>
      <c r="K408" s="41">
        <f t="shared" si="14"/>
        <v>0</v>
      </c>
      <c r="L408" s="41">
        <f t="shared" si="14"/>
        <v>0</v>
      </c>
      <c r="M408" s="41">
        <f t="shared" si="14"/>
        <v>0</v>
      </c>
      <c r="U408" s="7"/>
      <c r="V408" s="7"/>
    </row>
    <row r="409" spans="8:22" hidden="1" x14ac:dyDescent="0.25">
      <c r="H409" s="41">
        <f t="shared" si="14"/>
        <v>0</v>
      </c>
      <c r="I409" s="41">
        <f t="shared" si="14"/>
        <v>0</v>
      </c>
      <c r="J409" s="41">
        <f t="shared" si="14"/>
        <v>0</v>
      </c>
      <c r="K409" s="41">
        <f t="shared" si="14"/>
        <v>0</v>
      </c>
      <c r="L409" s="41">
        <f t="shared" si="14"/>
        <v>0</v>
      </c>
      <c r="M409" s="41">
        <f t="shared" si="14"/>
        <v>0</v>
      </c>
      <c r="U409" s="7"/>
      <c r="V409" s="7"/>
    </row>
    <row r="410" spans="8:22" hidden="1" x14ac:dyDescent="0.25">
      <c r="H410" s="41">
        <f t="shared" si="14"/>
        <v>0</v>
      </c>
      <c r="I410" s="41">
        <f t="shared" si="14"/>
        <v>0</v>
      </c>
      <c r="J410" s="41">
        <f t="shared" si="14"/>
        <v>0</v>
      </c>
      <c r="K410" s="41">
        <f t="shared" si="14"/>
        <v>0</v>
      </c>
      <c r="L410" s="41">
        <f t="shared" si="14"/>
        <v>0</v>
      </c>
      <c r="M410" s="41">
        <f t="shared" si="14"/>
        <v>0</v>
      </c>
      <c r="U410" s="7"/>
      <c r="V410" s="7"/>
    </row>
    <row r="411" spans="8:22" hidden="1" x14ac:dyDescent="0.25">
      <c r="H411" s="41">
        <f t="shared" si="14"/>
        <v>0</v>
      </c>
      <c r="I411" s="41">
        <f t="shared" si="14"/>
        <v>0</v>
      </c>
      <c r="J411" s="41">
        <f t="shared" si="14"/>
        <v>0</v>
      </c>
      <c r="K411" s="41">
        <f t="shared" si="14"/>
        <v>0</v>
      </c>
      <c r="L411" s="41">
        <f t="shared" si="14"/>
        <v>0</v>
      </c>
      <c r="M411" s="41">
        <f t="shared" si="14"/>
        <v>0</v>
      </c>
      <c r="U411" s="7"/>
      <c r="V411" s="7"/>
    </row>
    <row r="412" spans="8:22" hidden="1" x14ac:dyDescent="0.25">
      <c r="H412" s="41" t="e">
        <f>#REF!</f>
        <v>#REF!</v>
      </c>
      <c r="I412" s="41" t="e">
        <f>#REF!</f>
        <v>#REF!</v>
      </c>
      <c r="J412" s="41" t="e">
        <f>#REF!</f>
        <v>#REF!</v>
      </c>
      <c r="K412" s="41" t="e">
        <f>#REF!</f>
        <v>#REF!</v>
      </c>
      <c r="L412" s="41" t="e">
        <f>#REF!</f>
        <v>#REF!</v>
      </c>
      <c r="M412" s="41" t="e">
        <f>#REF!</f>
        <v>#REF!</v>
      </c>
      <c r="U412" s="7"/>
      <c r="V412" s="7"/>
    </row>
    <row r="413" spans="8:22" hidden="1" x14ac:dyDescent="0.25">
      <c r="H413" s="41">
        <f t="shared" ref="H413:M443" si="15">AZ3</f>
        <v>0</v>
      </c>
      <c r="I413" s="41">
        <f t="shared" si="15"/>
        <v>0</v>
      </c>
      <c r="J413" s="41">
        <f t="shared" si="15"/>
        <v>0</v>
      </c>
      <c r="K413" s="41">
        <f t="shared" si="15"/>
        <v>0</v>
      </c>
      <c r="L413" s="41">
        <f t="shared" si="15"/>
        <v>0</v>
      </c>
      <c r="M413" s="41">
        <f t="shared" si="15"/>
        <v>0</v>
      </c>
      <c r="U413" s="7"/>
      <c r="V413" s="7"/>
    </row>
    <row r="414" spans="8:22" hidden="1" x14ac:dyDescent="0.25">
      <c r="H414" s="41">
        <f t="shared" si="15"/>
        <v>0</v>
      </c>
      <c r="I414" s="41">
        <f t="shared" si="15"/>
        <v>0</v>
      </c>
      <c r="J414" s="41">
        <f t="shared" si="15"/>
        <v>0</v>
      </c>
      <c r="K414" s="41">
        <f t="shared" si="15"/>
        <v>0</v>
      </c>
      <c r="L414" s="41">
        <f t="shared" si="15"/>
        <v>0</v>
      </c>
      <c r="M414" s="41">
        <f t="shared" si="15"/>
        <v>0</v>
      </c>
      <c r="U414" s="7"/>
      <c r="V414" s="7"/>
    </row>
    <row r="415" spans="8:22" hidden="1" x14ac:dyDescent="0.25">
      <c r="H415" s="41">
        <f t="shared" si="15"/>
        <v>0</v>
      </c>
      <c r="I415" s="41">
        <f t="shared" si="15"/>
        <v>0</v>
      </c>
      <c r="J415" s="41">
        <f t="shared" si="15"/>
        <v>0</v>
      </c>
      <c r="K415" s="41">
        <f t="shared" si="15"/>
        <v>0</v>
      </c>
      <c r="L415" s="41">
        <f t="shared" si="15"/>
        <v>0</v>
      </c>
      <c r="M415" s="41">
        <f t="shared" si="15"/>
        <v>0</v>
      </c>
      <c r="U415" s="7"/>
      <c r="V415" s="7"/>
    </row>
    <row r="416" spans="8:22" hidden="1" x14ac:dyDescent="0.25">
      <c r="H416" s="41">
        <f t="shared" si="15"/>
        <v>0</v>
      </c>
      <c r="I416" s="41">
        <f t="shared" si="15"/>
        <v>0</v>
      </c>
      <c r="J416" s="41">
        <f t="shared" si="15"/>
        <v>0</v>
      </c>
      <c r="K416" s="41">
        <f t="shared" si="15"/>
        <v>0</v>
      </c>
      <c r="L416" s="41">
        <f t="shared" si="15"/>
        <v>0</v>
      </c>
      <c r="M416" s="41">
        <f t="shared" si="15"/>
        <v>0</v>
      </c>
      <c r="U416" s="7"/>
      <c r="V416" s="7"/>
    </row>
    <row r="417" spans="8:22" hidden="1" x14ac:dyDescent="0.25">
      <c r="H417" s="41">
        <f t="shared" si="15"/>
        <v>0</v>
      </c>
      <c r="I417" s="41">
        <f t="shared" si="15"/>
        <v>0</v>
      </c>
      <c r="J417" s="41">
        <f t="shared" si="15"/>
        <v>0</v>
      </c>
      <c r="K417" s="41">
        <f t="shared" si="15"/>
        <v>0</v>
      </c>
      <c r="L417" s="41">
        <f t="shared" si="15"/>
        <v>0</v>
      </c>
      <c r="M417" s="41">
        <f t="shared" si="15"/>
        <v>0</v>
      </c>
      <c r="U417" s="7"/>
      <c r="V417" s="7"/>
    </row>
    <row r="418" spans="8:22" hidden="1" x14ac:dyDescent="0.25">
      <c r="H418" s="41">
        <f t="shared" si="15"/>
        <v>0</v>
      </c>
      <c r="I418" s="41">
        <f t="shared" si="15"/>
        <v>0</v>
      </c>
      <c r="J418" s="41">
        <f t="shared" si="15"/>
        <v>0</v>
      </c>
      <c r="K418" s="41">
        <f t="shared" si="15"/>
        <v>0</v>
      </c>
      <c r="L418" s="41">
        <f t="shared" si="15"/>
        <v>0</v>
      </c>
      <c r="M418" s="41">
        <f t="shared" si="15"/>
        <v>0</v>
      </c>
      <c r="U418" s="7"/>
      <c r="V418" s="7"/>
    </row>
    <row r="419" spans="8:22" hidden="1" x14ac:dyDescent="0.25">
      <c r="H419" s="41">
        <f t="shared" si="15"/>
        <v>0</v>
      </c>
      <c r="I419" s="41">
        <f t="shared" si="15"/>
        <v>0</v>
      </c>
      <c r="J419" s="41">
        <f t="shared" si="15"/>
        <v>0</v>
      </c>
      <c r="K419" s="41">
        <f t="shared" si="15"/>
        <v>0</v>
      </c>
      <c r="L419" s="41">
        <f t="shared" si="15"/>
        <v>0</v>
      </c>
      <c r="M419" s="41">
        <f t="shared" si="15"/>
        <v>0</v>
      </c>
      <c r="U419" s="7"/>
      <c r="V419" s="7"/>
    </row>
    <row r="420" spans="8:22" hidden="1" x14ac:dyDescent="0.25">
      <c r="H420" s="41">
        <f t="shared" si="15"/>
        <v>0</v>
      </c>
      <c r="I420" s="41">
        <f t="shared" si="15"/>
        <v>0</v>
      </c>
      <c r="J420" s="41">
        <f t="shared" si="15"/>
        <v>0</v>
      </c>
      <c r="K420" s="41">
        <f t="shared" si="15"/>
        <v>0</v>
      </c>
      <c r="L420" s="41">
        <f t="shared" si="15"/>
        <v>0</v>
      </c>
      <c r="M420" s="41">
        <f t="shared" si="15"/>
        <v>0</v>
      </c>
      <c r="U420" s="7"/>
      <c r="V420" s="7"/>
    </row>
    <row r="421" spans="8:22" hidden="1" x14ac:dyDescent="0.25">
      <c r="H421" s="41">
        <f t="shared" si="15"/>
        <v>0</v>
      </c>
      <c r="I421" s="41">
        <f t="shared" si="15"/>
        <v>0</v>
      </c>
      <c r="J421" s="41">
        <f t="shared" si="15"/>
        <v>0</v>
      </c>
      <c r="K421" s="41">
        <f t="shared" si="15"/>
        <v>0</v>
      </c>
      <c r="L421" s="41">
        <f t="shared" si="15"/>
        <v>0</v>
      </c>
      <c r="M421" s="41">
        <f t="shared" si="15"/>
        <v>0</v>
      </c>
      <c r="U421" s="7"/>
      <c r="V421" s="7"/>
    </row>
    <row r="422" spans="8:22" hidden="1" x14ac:dyDescent="0.25">
      <c r="H422" s="41">
        <f t="shared" si="15"/>
        <v>0</v>
      </c>
      <c r="I422" s="41">
        <f t="shared" si="15"/>
        <v>0</v>
      </c>
      <c r="J422" s="41">
        <f t="shared" si="15"/>
        <v>0</v>
      </c>
      <c r="K422" s="41">
        <f t="shared" si="15"/>
        <v>0</v>
      </c>
      <c r="L422" s="41">
        <f t="shared" si="15"/>
        <v>0</v>
      </c>
      <c r="M422" s="41">
        <f t="shared" si="15"/>
        <v>0</v>
      </c>
      <c r="U422" s="7"/>
      <c r="V422" s="7"/>
    </row>
    <row r="423" spans="8:22" hidden="1" x14ac:dyDescent="0.25">
      <c r="H423" s="41">
        <f t="shared" si="15"/>
        <v>0</v>
      </c>
      <c r="I423" s="41">
        <f t="shared" si="15"/>
        <v>0</v>
      </c>
      <c r="J423" s="41">
        <f t="shared" si="15"/>
        <v>0</v>
      </c>
      <c r="K423" s="41">
        <f t="shared" si="15"/>
        <v>0</v>
      </c>
      <c r="L423" s="41">
        <f t="shared" si="15"/>
        <v>0</v>
      </c>
      <c r="M423" s="41">
        <f t="shared" si="15"/>
        <v>0</v>
      </c>
      <c r="U423" s="7"/>
      <c r="V423" s="7"/>
    </row>
    <row r="424" spans="8:22" hidden="1" x14ac:dyDescent="0.25">
      <c r="H424" s="41">
        <f t="shared" si="15"/>
        <v>0</v>
      </c>
      <c r="I424" s="41">
        <f t="shared" si="15"/>
        <v>0</v>
      </c>
      <c r="J424" s="41">
        <f t="shared" si="15"/>
        <v>0</v>
      </c>
      <c r="K424" s="41">
        <f t="shared" si="15"/>
        <v>0</v>
      </c>
      <c r="L424" s="41">
        <f t="shared" si="15"/>
        <v>0</v>
      </c>
      <c r="M424" s="41">
        <f t="shared" si="15"/>
        <v>0</v>
      </c>
      <c r="U424" s="7"/>
      <c r="V424" s="7"/>
    </row>
    <row r="425" spans="8:22" hidden="1" x14ac:dyDescent="0.25">
      <c r="H425" s="41">
        <f t="shared" si="15"/>
        <v>0</v>
      </c>
      <c r="I425" s="41">
        <f t="shared" si="15"/>
        <v>0</v>
      </c>
      <c r="J425" s="41">
        <f t="shared" si="15"/>
        <v>0</v>
      </c>
      <c r="K425" s="41">
        <f t="shared" si="15"/>
        <v>0</v>
      </c>
      <c r="L425" s="41">
        <f t="shared" si="15"/>
        <v>0</v>
      </c>
      <c r="M425" s="41">
        <f t="shared" si="15"/>
        <v>0</v>
      </c>
      <c r="U425" s="7"/>
      <c r="V425" s="7"/>
    </row>
    <row r="426" spans="8:22" hidden="1" x14ac:dyDescent="0.25">
      <c r="H426" s="41">
        <f t="shared" si="15"/>
        <v>0</v>
      </c>
      <c r="I426" s="41">
        <f t="shared" si="15"/>
        <v>0</v>
      </c>
      <c r="J426" s="41">
        <f t="shared" si="15"/>
        <v>0</v>
      </c>
      <c r="K426" s="41">
        <f t="shared" si="15"/>
        <v>0</v>
      </c>
      <c r="L426" s="41">
        <f t="shared" si="15"/>
        <v>0</v>
      </c>
      <c r="M426" s="41">
        <f t="shared" si="15"/>
        <v>0</v>
      </c>
      <c r="U426" s="7"/>
      <c r="V426" s="7"/>
    </row>
    <row r="427" spans="8:22" hidden="1" x14ac:dyDescent="0.25">
      <c r="H427" s="41">
        <f t="shared" si="15"/>
        <v>0</v>
      </c>
      <c r="I427" s="41">
        <f t="shared" si="15"/>
        <v>0</v>
      </c>
      <c r="J427" s="41">
        <f t="shared" si="15"/>
        <v>0</v>
      </c>
      <c r="K427" s="41">
        <f t="shared" si="15"/>
        <v>0</v>
      </c>
      <c r="L427" s="41">
        <f t="shared" si="15"/>
        <v>0</v>
      </c>
      <c r="M427" s="41">
        <f t="shared" si="15"/>
        <v>0</v>
      </c>
      <c r="U427" s="7"/>
      <c r="V427" s="7"/>
    </row>
    <row r="428" spans="8:22" hidden="1" x14ac:dyDescent="0.25">
      <c r="H428" s="41">
        <f t="shared" si="15"/>
        <v>0</v>
      </c>
      <c r="I428" s="41">
        <f t="shared" si="15"/>
        <v>0</v>
      </c>
      <c r="J428" s="41">
        <f t="shared" si="15"/>
        <v>0</v>
      </c>
      <c r="K428" s="41">
        <f t="shared" si="15"/>
        <v>0</v>
      </c>
      <c r="L428" s="41">
        <f t="shared" si="15"/>
        <v>0</v>
      </c>
      <c r="M428" s="41">
        <f t="shared" si="15"/>
        <v>0</v>
      </c>
      <c r="U428" s="7"/>
      <c r="V428" s="7"/>
    </row>
    <row r="429" spans="8:22" hidden="1" x14ac:dyDescent="0.25">
      <c r="H429" s="41">
        <f t="shared" si="15"/>
        <v>0</v>
      </c>
      <c r="I429" s="41">
        <f t="shared" si="15"/>
        <v>0</v>
      </c>
      <c r="J429" s="41">
        <f t="shared" si="15"/>
        <v>0</v>
      </c>
      <c r="K429" s="41">
        <f t="shared" si="15"/>
        <v>0</v>
      </c>
      <c r="L429" s="41">
        <f t="shared" si="15"/>
        <v>0</v>
      </c>
      <c r="M429" s="41">
        <f t="shared" si="15"/>
        <v>0</v>
      </c>
      <c r="U429" s="7"/>
      <c r="V429" s="7"/>
    </row>
    <row r="430" spans="8:22" hidden="1" x14ac:dyDescent="0.25">
      <c r="H430" s="41">
        <f t="shared" si="15"/>
        <v>0</v>
      </c>
      <c r="I430" s="41">
        <f t="shared" si="15"/>
        <v>0</v>
      </c>
      <c r="J430" s="41">
        <f t="shared" si="15"/>
        <v>0</v>
      </c>
      <c r="K430" s="41">
        <f t="shared" si="15"/>
        <v>0</v>
      </c>
      <c r="L430" s="41">
        <f t="shared" si="15"/>
        <v>0</v>
      </c>
      <c r="M430" s="41">
        <f t="shared" si="15"/>
        <v>0</v>
      </c>
      <c r="U430" s="7"/>
      <c r="V430" s="7"/>
    </row>
    <row r="431" spans="8:22" hidden="1" x14ac:dyDescent="0.25">
      <c r="H431" s="41">
        <f t="shared" si="15"/>
        <v>0</v>
      </c>
      <c r="I431" s="41">
        <f t="shared" si="15"/>
        <v>0</v>
      </c>
      <c r="J431" s="41">
        <f t="shared" si="15"/>
        <v>0</v>
      </c>
      <c r="K431" s="41">
        <f t="shared" si="15"/>
        <v>0</v>
      </c>
      <c r="L431" s="41">
        <f t="shared" si="15"/>
        <v>0</v>
      </c>
      <c r="M431" s="41">
        <f t="shared" si="15"/>
        <v>0</v>
      </c>
      <c r="U431" s="7"/>
      <c r="V431" s="7"/>
    </row>
    <row r="432" spans="8:22" hidden="1" x14ac:dyDescent="0.25">
      <c r="H432" s="41">
        <f t="shared" si="15"/>
        <v>0</v>
      </c>
      <c r="I432" s="41">
        <f t="shared" si="15"/>
        <v>0</v>
      </c>
      <c r="J432" s="41">
        <f t="shared" si="15"/>
        <v>0</v>
      </c>
      <c r="K432" s="41">
        <f t="shared" si="15"/>
        <v>0</v>
      </c>
      <c r="L432" s="41">
        <f t="shared" si="15"/>
        <v>0</v>
      </c>
      <c r="M432" s="41">
        <f t="shared" si="15"/>
        <v>0</v>
      </c>
      <c r="U432" s="7"/>
      <c r="V432" s="7"/>
    </row>
    <row r="433" spans="8:22" hidden="1" x14ac:dyDescent="0.25">
      <c r="H433" s="41">
        <f t="shared" si="15"/>
        <v>0</v>
      </c>
      <c r="I433" s="41">
        <f t="shared" si="15"/>
        <v>0</v>
      </c>
      <c r="J433" s="41">
        <f t="shared" si="15"/>
        <v>0</v>
      </c>
      <c r="K433" s="41">
        <f t="shared" si="15"/>
        <v>0</v>
      </c>
      <c r="L433" s="41">
        <f t="shared" si="15"/>
        <v>0</v>
      </c>
      <c r="M433" s="41">
        <f t="shared" si="15"/>
        <v>0</v>
      </c>
      <c r="U433" s="7"/>
      <c r="V433" s="7"/>
    </row>
    <row r="434" spans="8:22" hidden="1" x14ac:dyDescent="0.25">
      <c r="H434" s="41">
        <f t="shared" si="15"/>
        <v>0</v>
      </c>
      <c r="I434" s="41">
        <f t="shared" si="15"/>
        <v>0</v>
      </c>
      <c r="J434" s="41">
        <f t="shared" si="15"/>
        <v>0</v>
      </c>
      <c r="K434" s="41">
        <f t="shared" si="15"/>
        <v>0</v>
      </c>
      <c r="L434" s="41">
        <f t="shared" si="15"/>
        <v>0</v>
      </c>
      <c r="M434" s="41">
        <f t="shared" si="15"/>
        <v>0</v>
      </c>
      <c r="U434" s="7"/>
      <c r="V434" s="7"/>
    </row>
    <row r="435" spans="8:22" hidden="1" x14ac:dyDescent="0.25">
      <c r="H435" s="41">
        <f t="shared" si="15"/>
        <v>0</v>
      </c>
      <c r="I435" s="41">
        <f t="shared" si="15"/>
        <v>0</v>
      </c>
      <c r="J435" s="41">
        <f t="shared" si="15"/>
        <v>0</v>
      </c>
      <c r="K435" s="41">
        <f t="shared" si="15"/>
        <v>0</v>
      </c>
      <c r="L435" s="41">
        <f t="shared" si="15"/>
        <v>0</v>
      </c>
      <c r="M435" s="41">
        <f t="shared" si="15"/>
        <v>0</v>
      </c>
      <c r="U435" s="7"/>
      <c r="V435" s="7"/>
    </row>
    <row r="436" spans="8:22" hidden="1" x14ac:dyDescent="0.25">
      <c r="H436" s="41">
        <f t="shared" si="15"/>
        <v>0</v>
      </c>
      <c r="I436" s="41">
        <f t="shared" si="15"/>
        <v>0</v>
      </c>
      <c r="J436" s="41">
        <f t="shared" si="15"/>
        <v>0</v>
      </c>
      <c r="K436" s="41">
        <f t="shared" si="15"/>
        <v>0</v>
      </c>
      <c r="L436" s="41">
        <f t="shared" si="15"/>
        <v>0</v>
      </c>
      <c r="M436" s="41">
        <f t="shared" si="15"/>
        <v>0</v>
      </c>
      <c r="U436" s="7"/>
      <c r="V436" s="7"/>
    </row>
    <row r="437" spans="8:22" hidden="1" x14ac:dyDescent="0.25">
      <c r="H437" s="41">
        <f t="shared" si="15"/>
        <v>0</v>
      </c>
      <c r="I437" s="41">
        <f t="shared" si="15"/>
        <v>0</v>
      </c>
      <c r="J437" s="41">
        <f t="shared" si="15"/>
        <v>0</v>
      </c>
      <c r="K437" s="41">
        <f t="shared" si="15"/>
        <v>0</v>
      </c>
      <c r="L437" s="41">
        <f t="shared" si="15"/>
        <v>0</v>
      </c>
      <c r="M437" s="41">
        <f t="shared" si="15"/>
        <v>0</v>
      </c>
      <c r="U437" s="7"/>
      <c r="V437" s="7"/>
    </row>
    <row r="438" spans="8:22" hidden="1" x14ac:dyDescent="0.25">
      <c r="H438" s="41">
        <f t="shared" si="15"/>
        <v>0</v>
      </c>
      <c r="I438" s="41">
        <f t="shared" si="15"/>
        <v>0</v>
      </c>
      <c r="J438" s="41">
        <f t="shared" si="15"/>
        <v>0</v>
      </c>
      <c r="K438" s="41">
        <f t="shared" si="15"/>
        <v>0</v>
      </c>
      <c r="L438" s="41">
        <f t="shared" si="15"/>
        <v>0</v>
      </c>
      <c r="M438" s="41">
        <f t="shared" si="15"/>
        <v>0</v>
      </c>
      <c r="U438" s="7"/>
      <c r="V438" s="7"/>
    </row>
    <row r="439" spans="8:22" hidden="1" x14ac:dyDescent="0.25">
      <c r="H439" s="41">
        <f t="shared" si="15"/>
        <v>0</v>
      </c>
      <c r="I439" s="41">
        <f t="shared" si="15"/>
        <v>0</v>
      </c>
      <c r="J439" s="41">
        <f t="shared" si="15"/>
        <v>0</v>
      </c>
      <c r="K439" s="41">
        <f t="shared" si="15"/>
        <v>0</v>
      </c>
      <c r="L439" s="41">
        <f t="shared" si="15"/>
        <v>0</v>
      </c>
      <c r="M439" s="41">
        <f t="shared" si="15"/>
        <v>0</v>
      </c>
      <c r="U439" s="7"/>
      <c r="V439" s="7"/>
    </row>
    <row r="440" spans="8:22" hidden="1" x14ac:dyDescent="0.25">
      <c r="H440" s="41">
        <f t="shared" si="15"/>
        <v>0</v>
      </c>
      <c r="I440" s="41">
        <f t="shared" si="15"/>
        <v>0</v>
      </c>
      <c r="J440" s="41">
        <f t="shared" si="15"/>
        <v>0</v>
      </c>
      <c r="K440" s="41">
        <f t="shared" si="15"/>
        <v>0</v>
      </c>
      <c r="L440" s="41">
        <f t="shared" si="15"/>
        <v>0</v>
      </c>
      <c r="M440" s="41">
        <f t="shared" si="15"/>
        <v>0</v>
      </c>
      <c r="U440" s="7"/>
      <c r="V440" s="7"/>
    </row>
    <row r="441" spans="8:22" hidden="1" x14ac:dyDescent="0.25">
      <c r="H441" s="41">
        <f t="shared" si="15"/>
        <v>0</v>
      </c>
      <c r="I441" s="41">
        <f t="shared" si="15"/>
        <v>0</v>
      </c>
      <c r="J441" s="41">
        <f t="shared" si="15"/>
        <v>0</v>
      </c>
      <c r="K441" s="41">
        <f t="shared" si="15"/>
        <v>0</v>
      </c>
      <c r="L441" s="41">
        <f t="shared" si="15"/>
        <v>0</v>
      </c>
      <c r="M441" s="41">
        <f t="shared" si="15"/>
        <v>0</v>
      </c>
      <c r="U441" s="7"/>
      <c r="V441" s="7"/>
    </row>
    <row r="442" spans="8:22" hidden="1" x14ac:dyDescent="0.25">
      <c r="H442" s="41">
        <f t="shared" si="15"/>
        <v>0</v>
      </c>
      <c r="I442" s="41">
        <f t="shared" si="15"/>
        <v>0</v>
      </c>
      <c r="J442" s="41">
        <f t="shared" si="15"/>
        <v>0</v>
      </c>
      <c r="K442" s="41">
        <f t="shared" si="15"/>
        <v>0</v>
      </c>
      <c r="L442" s="41">
        <f t="shared" si="15"/>
        <v>0</v>
      </c>
      <c r="M442" s="41">
        <f t="shared" si="15"/>
        <v>0</v>
      </c>
      <c r="U442" s="7"/>
      <c r="V442" s="7"/>
    </row>
    <row r="443" spans="8:22" hidden="1" x14ac:dyDescent="0.25">
      <c r="H443" s="41">
        <f t="shared" si="15"/>
        <v>0</v>
      </c>
      <c r="I443" s="41">
        <f t="shared" si="15"/>
        <v>0</v>
      </c>
      <c r="J443" s="41">
        <f t="shared" si="15"/>
        <v>0</v>
      </c>
      <c r="K443" s="41">
        <f t="shared" si="15"/>
        <v>0</v>
      </c>
      <c r="L443" s="41">
        <f t="shared" si="15"/>
        <v>0</v>
      </c>
      <c r="M443" s="41">
        <f t="shared" si="15"/>
        <v>0</v>
      </c>
      <c r="U443" s="7"/>
      <c r="V443" s="7"/>
    </row>
    <row r="444" spans="8:22" hidden="1" x14ac:dyDescent="0.25">
      <c r="H444" s="41">
        <f t="shared" ref="H444:M462" si="16">AZ34</f>
        <v>0</v>
      </c>
      <c r="I444" s="41">
        <f t="shared" si="16"/>
        <v>0</v>
      </c>
      <c r="J444" s="41">
        <f t="shared" si="16"/>
        <v>0</v>
      </c>
      <c r="K444" s="41">
        <f t="shared" si="16"/>
        <v>0</v>
      </c>
      <c r="L444" s="41">
        <f t="shared" si="16"/>
        <v>0</v>
      </c>
      <c r="M444" s="41">
        <f t="shared" si="16"/>
        <v>0</v>
      </c>
      <c r="U444" s="7"/>
      <c r="V444" s="7"/>
    </row>
    <row r="445" spans="8:22" hidden="1" x14ac:dyDescent="0.25">
      <c r="H445" s="41">
        <f t="shared" si="16"/>
        <v>0</v>
      </c>
      <c r="I445" s="41">
        <f t="shared" si="16"/>
        <v>0</v>
      </c>
      <c r="J445" s="41">
        <f t="shared" si="16"/>
        <v>0</v>
      </c>
      <c r="K445" s="41">
        <f t="shared" si="16"/>
        <v>0</v>
      </c>
      <c r="L445" s="41">
        <f t="shared" si="16"/>
        <v>0</v>
      </c>
      <c r="M445" s="41">
        <f t="shared" si="16"/>
        <v>0</v>
      </c>
      <c r="U445" s="7"/>
      <c r="V445" s="7"/>
    </row>
    <row r="446" spans="8:22" hidden="1" x14ac:dyDescent="0.25">
      <c r="H446" s="41">
        <f t="shared" si="16"/>
        <v>0</v>
      </c>
      <c r="I446" s="41">
        <f t="shared" si="16"/>
        <v>0</v>
      </c>
      <c r="J446" s="41">
        <f t="shared" si="16"/>
        <v>0</v>
      </c>
      <c r="K446" s="41">
        <f t="shared" si="16"/>
        <v>0</v>
      </c>
      <c r="L446" s="41">
        <f t="shared" si="16"/>
        <v>0</v>
      </c>
      <c r="M446" s="41">
        <f t="shared" si="16"/>
        <v>0</v>
      </c>
      <c r="U446" s="7"/>
      <c r="V446" s="7"/>
    </row>
    <row r="447" spans="8:22" hidden="1" x14ac:dyDescent="0.25">
      <c r="H447" s="41">
        <f t="shared" si="16"/>
        <v>0</v>
      </c>
      <c r="I447" s="41">
        <f t="shared" si="16"/>
        <v>0</v>
      </c>
      <c r="J447" s="41">
        <f t="shared" si="16"/>
        <v>0</v>
      </c>
      <c r="K447" s="41">
        <f t="shared" si="16"/>
        <v>0</v>
      </c>
      <c r="L447" s="41">
        <f t="shared" si="16"/>
        <v>0</v>
      </c>
      <c r="M447" s="41">
        <f t="shared" si="16"/>
        <v>0</v>
      </c>
      <c r="U447" s="7"/>
      <c r="V447" s="7"/>
    </row>
    <row r="448" spans="8:22" hidden="1" x14ac:dyDescent="0.25">
      <c r="H448" s="41">
        <f t="shared" si="16"/>
        <v>0</v>
      </c>
      <c r="I448" s="41">
        <f t="shared" si="16"/>
        <v>0</v>
      </c>
      <c r="J448" s="41">
        <f t="shared" si="16"/>
        <v>0</v>
      </c>
      <c r="K448" s="41">
        <f t="shared" si="16"/>
        <v>0</v>
      </c>
      <c r="L448" s="41">
        <f t="shared" si="16"/>
        <v>0</v>
      </c>
      <c r="M448" s="41">
        <f t="shared" si="16"/>
        <v>0</v>
      </c>
      <c r="U448" s="7"/>
      <c r="V448" s="7"/>
    </row>
    <row r="449" spans="8:22" hidden="1" x14ac:dyDescent="0.25">
      <c r="H449" s="41">
        <f t="shared" si="16"/>
        <v>0</v>
      </c>
      <c r="I449" s="41">
        <f t="shared" si="16"/>
        <v>0</v>
      </c>
      <c r="J449" s="41">
        <f t="shared" si="16"/>
        <v>0</v>
      </c>
      <c r="K449" s="41">
        <f t="shared" si="16"/>
        <v>0</v>
      </c>
      <c r="L449" s="41">
        <f t="shared" si="16"/>
        <v>0</v>
      </c>
      <c r="M449" s="41">
        <f t="shared" si="16"/>
        <v>0</v>
      </c>
      <c r="U449" s="7"/>
      <c r="V449" s="7"/>
    </row>
    <row r="450" spans="8:22" hidden="1" x14ac:dyDescent="0.25">
      <c r="H450" s="41">
        <f t="shared" si="16"/>
        <v>0</v>
      </c>
      <c r="I450" s="41">
        <f t="shared" si="16"/>
        <v>0</v>
      </c>
      <c r="J450" s="41">
        <f t="shared" si="16"/>
        <v>0</v>
      </c>
      <c r="K450" s="41">
        <f t="shared" si="16"/>
        <v>0</v>
      </c>
      <c r="L450" s="41">
        <f t="shared" si="16"/>
        <v>0</v>
      </c>
      <c r="M450" s="41">
        <f t="shared" si="16"/>
        <v>0</v>
      </c>
      <c r="U450" s="7"/>
      <c r="V450" s="7"/>
    </row>
    <row r="451" spans="8:22" hidden="1" x14ac:dyDescent="0.25">
      <c r="H451" s="41">
        <f t="shared" si="16"/>
        <v>0</v>
      </c>
      <c r="I451" s="41">
        <f t="shared" si="16"/>
        <v>0</v>
      </c>
      <c r="J451" s="41">
        <f t="shared" si="16"/>
        <v>0</v>
      </c>
      <c r="K451" s="41">
        <f t="shared" si="16"/>
        <v>0</v>
      </c>
      <c r="L451" s="41">
        <f t="shared" si="16"/>
        <v>0</v>
      </c>
      <c r="M451" s="41">
        <f t="shared" si="16"/>
        <v>0</v>
      </c>
      <c r="U451" s="7"/>
      <c r="V451" s="7"/>
    </row>
    <row r="452" spans="8:22" hidden="1" x14ac:dyDescent="0.25">
      <c r="H452" s="41">
        <f t="shared" si="16"/>
        <v>0</v>
      </c>
      <c r="I452" s="41">
        <f t="shared" si="16"/>
        <v>0</v>
      </c>
      <c r="J452" s="41">
        <f t="shared" si="16"/>
        <v>0</v>
      </c>
      <c r="K452" s="41">
        <f t="shared" si="16"/>
        <v>0</v>
      </c>
      <c r="L452" s="41">
        <f t="shared" si="16"/>
        <v>0</v>
      </c>
      <c r="M452" s="41">
        <f t="shared" si="16"/>
        <v>0</v>
      </c>
      <c r="U452" s="7"/>
      <c r="V452" s="7"/>
    </row>
    <row r="453" spans="8:22" hidden="1" x14ac:dyDescent="0.25">
      <c r="H453" s="41">
        <f t="shared" si="16"/>
        <v>0</v>
      </c>
      <c r="I453" s="41">
        <f t="shared" si="16"/>
        <v>0</v>
      </c>
      <c r="J453" s="41">
        <f t="shared" si="16"/>
        <v>0</v>
      </c>
      <c r="K453" s="41">
        <f t="shared" si="16"/>
        <v>0</v>
      </c>
      <c r="L453" s="41">
        <f t="shared" si="16"/>
        <v>0</v>
      </c>
      <c r="M453" s="41">
        <f t="shared" si="16"/>
        <v>0</v>
      </c>
      <c r="U453" s="7"/>
      <c r="V453" s="7"/>
    </row>
    <row r="454" spans="8:22" hidden="1" x14ac:dyDescent="0.25">
      <c r="H454" s="41">
        <f t="shared" si="16"/>
        <v>0</v>
      </c>
      <c r="I454" s="41">
        <f t="shared" si="16"/>
        <v>0</v>
      </c>
      <c r="J454" s="41">
        <f t="shared" si="16"/>
        <v>0</v>
      </c>
      <c r="K454" s="41">
        <f t="shared" si="16"/>
        <v>0</v>
      </c>
      <c r="L454" s="41">
        <f t="shared" si="16"/>
        <v>0</v>
      </c>
      <c r="M454" s="41">
        <f t="shared" si="16"/>
        <v>0</v>
      </c>
      <c r="U454" s="7"/>
      <c r="V454" s="7"/>
    </row>
    <row r="455" spans="8:22" hidden="1" x14ac:dyDescent="0.25">
      <c r="H455" s="41">
        <f t="shared" si="16"/>
        <v>0</v>
      </c>
      <c r="I455" s="41">
        <f t="shared" si="16"/>
        <v>0</v>
      </c>
      <c r="J455" s="41">
        <f t="shared" si="16"/>
        <v>0</v>
      </c>
      <c r="K455" s="41">
        <f t="shared" si="16"/>
        <v>0</v>
      </c>
      <c r="L455" s="41">
        <f t="shared" si="16"/>
        <v>0</v>
      </c>
      <c r="M455" s="41">
        <f t="shared" si="16"/>
        <v>0</v>
      </c>
      <c r="U455" s="7"/>
      <c r="V455" s="7"/>
    </row>
    <row r="456" spans="8:22" hidden="1" x14ac:dyDescent="0.25">
      <c r="H456" s="41">
        <f t="shared" si="16"/>
        <v>0</v>
      </c>
      <c r="I456" s="41">
        <f t="shared" si="16"/>
        <v>0</v>
      </c>
      <c r="J456" s="41">
        <f t="shared" si="16"/>
        <v>0</v>
      </c>
      <c r="K456" s="41">
        <f t="shared" si="16"/>
        <v>0</v>
      </c>
      <c r="L456" s="41">
        <f t="shared" si="16"/>
        <v>0</v>
      </c>
      <c r="M456" s="41">
        <f t="shared" si="16"/>
        <v>0</v>
      </c>
      <c r="U456" s="7"/>
      <c r="V456" s="7"/>
    </row>
    <row r="457" spans="8:22" hidden="1" x14ac:dyDescent="0.25">
      <c r="H457" s="41">
        <f t="shared" si="16"/>
        <v>0</v>
      </c>
      <c r="I457" s="41">
        <f t="shared" si="16"/>
        <v>0</v>
      </c>
      <c r="J457" s="41">
        <f t="shared" si="16"/>
        <v>0</v>
      </c>
      <c r="K457" s="41">
        <f t="shared" si="16"/>
        <v>0</v>
      </c>
      <c r="L457" s="41">
        <f t="shared" si="16"/>
        <v>0</v>
      </c>
      <c r="M457" s="41">
        <f t="shared" si="16"/>
        <v>0</v>
      </c>
      <c r="U457" s="7"/>
      <c r="V457" s="7"/>
    </row>
    <row r="458" spans="8:22" hidden="1" x14ac:dyDescent="0.25">
      <c r="H458" s="41">
        <f t="shared" si="16"/>
        <v>0</v>
      </c>
      <c r="I458" s="41">
        <f t="shared" si="16"/>
        <v>0</v>
      </c>
      <c r="J458" s="41">
        <f t="shared" si="16"/>
        <v>0</v>
      </c>
      <c r="K458" s="41">
        <f t="shared" si="16"/>
        <v>0</v>
      </c>
      <c r="L458" s="41">
        <f t="shared" si="16"/>
        <v>0</v>
      </c>
      <c r="M458" s="41">
        <f t="shared" si="16"/>
        <v>0</v>
      </c>
      <c r="U458" s="7"/>
      <c r="V458" s="7"/>
    </row>
    <row r="459" spans="8:22" hidden="1" x14ac:dyDescent="0.25">
      <c r="H459" s="41">
        <f t="shared" si="16"/>
        <v>0</v>
      </c>
      <c r="I459" s="41">
        <f t="shared" si="16"/>
        <v>0</v>
      </c>
      <c r="J459" s="41">
        <f t="shared" si="16"/>
        <v>0</v>
      </c>
      <c r="K459" s="41">
        <f t="shared" si="16"/>
        <v>0</v>
      </c>
      <c r="L459" s="41">
        <f t="shared" si="16"/>
        <v>0</v>
      </c>
      <c r="M459" s="41">
        <f t="shared" si="16"/>
        <v>0</v>
      </c>
      <c r="U459" s="7"/>
      <c r="V459" s="7"/>
    </row>
    <row r="460" spans="8:22" hidden="1" x14ac:dyDescent="0.25">
      <c r="H460" s="41">
        <f t="shared" si="16"/>
        <v>0</v>
      </c>
      <c r="I460" s="41">
        <f t="shared" si="16"/>
        <v>0</v>
      </c>
      <c r="J460" s="41">
        <f t="shared" si="16"/>
        <v>0</v>
      </c>
      <c r="K460" s="41">
        <f t="shared" si="16"/>
        <v>0</v>
      </c>
      <c r="L460" s="41">
        <f t="shared" si="16"/>
        <v>0</v>
      </c>
      <c r="M460" s="41">
        <f t="shared" si="16"/>
        <v>0</v>
      </c>
      <c r="U460" s="7"/>
      <c r="V460" s="7"/>
    </row>
    <row r="461" spans="8:22" hidden="1" x14ac:dyDescent="0.25">
      <c r="H461" s="41">
        <f t="shared" si="16"/>
        <v>0</v>
      </c>
      <c r="I461" s="41">
        <f t="shared" si="16"/>
        <v>0</v>
      </c>
      <c r="J461" s="41">
        <f t="shared" si="16"/>
        <v>0</v>
      </c>
      <c r="K461" s="41">
        <f t="shared" si="16"/>
        <v>0</v>
      </c>
      <c r="L461" s="41">
        <f t="shared" si="16"/>
        <v>0</v>
      </c>
      <c r="M461" s="41">
        <f t="shared" si="16"/>
        <v>0</v>
      </c>
      <c r="U461" s="7"/>
      <c r="V461" s="7"/>
    </row>
    <row r="462" spans="8:22" hidden="1" x14ac:dyDescent="0.25">
      <c r="H462" s="41">
        <f t="shared" si="16"/>
        <v>0</v>
      </c>
      <c r="I462" s="41">
        <f t="shared" si="16"/>
        <v>0</v>
      </c>
      <c r="J462" s="41">
        <f t="shared" si="16"/>
        <v>0</v>
      </c>
      <c r="K462" s="41">
        <f t="shared" si="16"/>
        <v>0</v>
      </c>
      <c r="L462" s="41">
        <f t="shared" si="16"/>
        <v>0</v>
      </c>
      <c r="M462" s="41">
        <f t="shared" si="16"/>
        <v>0</v>
      </c>
      <c r="U462" s="7"/>
      <c r="V462" s="7"/>
    </row>
    <row r="463" spans="8:22" hidden="1" x14ac:dyDescent="0.25">
      <c r="H463" s="41" t="e">
        <f>#REF!</f>
        <v>#REF!</v>
      </c>
      <c r="I463" s="41" t="e">
        <f>#REF!</f>
        <v>#REF!</v>
      </c>
      <c r="J463" s="41" t="e">
        <f>#REF!</f>
        <v>#REF!</v>
      </c>
      <c r="K463" s="41" t="e">
        <f>#REF!</f>
        <v>#REF!</v>
      </c>
      <c r="L463" s="41" t="e">
        <f>#REF!</f>
        <v>#REF!</v>
      </c>
      <c r="M463" s="41" t="e">
        <f>#REF!</f>
        <v>#REF!</v>
      </c>
      <c r="U463" s="7"/>
      <c r="V463" s="7"/>
    </row>
    <row r="464" spans="8:22" hidden="1" x14ac:dyDescent="0.25">
      <c r="H464" s="41">
        <f t="shared" ref="H464:M494" si="17">BF3</f>
        <v>0</v>
      </c>
      <c r="I464" s="41">
        <f t="shared" si="17"/>
        <v>0</v>
      </c>
      <c r="J464" s="41">
        <f t="shared" si="17"/>
        <v>0</v>
      </c>
      <c r="K464" s="41">
        <f t="shared" si="17"/>
        <v>0</v>
      </c>
      <c r="L464" s="41">
        <f t="shared" si="17"/>
        <v>0</v>
      </c>
      <c r="M464" s="41">
        <f t="shared" si="17"/>
        <v>0</v>
      </c>
      <c r="U464" s="7"/>
      <c r="V464" s="7"/>
    </row>
    <row r="465" spans="8:22" hidden="1" x14ac:dyDescent="0.25">
      <c r="H465" s="41">
        <f t="shared" si="17"/>
        <v>0</v>
      </c>
      <c r="I465" s="41">
        <f t="shared" si="17"/>
        <v>0</v>
      </c>
      <c r="J465" s="41">
        <f t="shared" si="17"/>
        <v>0</v>
      </c>
      <c r="K465" s="41">
        <f t="shared" si="17"/>
        <v>0</v>
      </c>
      <c r="L465" s="41">
        <f t="shared" si="17"/>
        <v>0</v>
      </c>
      <c r="M465" s="41">
        <f t="shared" si="17"/>
        <v>0</v>
      </c>
      <c r="U465" s="7"/>
      <c r="V465" s="7"/>
    </row>
    <row r="466" spans="8:22" hidden="1" x14ac:dyDescent="0.25">
      <c r="H466" s="41">
        <f t="shared" si="17"/>
        <v>0</v>
      </c>
      <c r="I466" s="41">
        <f t="shared" si="17"/>
        <v>0</v>
      </c>
      <c r="J466" s="41">
        <f t="shared" si="17"/>
        <v>0</v>
      </c>
      <c r="K466" s="41">
        <f t="shared" si="17"/>
        <v>0</v>
      </c>
      <c r="L466" s="41">
        <f t="shared" si="17"/>
        <v>0</v>
      </c>
      <c r="M466" s="41">
        <f t="shared" si="17"/>
        <v>0</v>
      </c>
      <c r="U466" s="7"/>
      <c r="V466" s="7"/>
    </row>
    <row r="467" spans="8:22" hidden="1" x14ac:dyDescent="0.25">
      <c r="H467" s="41">
        <f t="shared" si="17"/>
        <v>0</v>
      </c>
      <c r="I467" s="41">
        <f t="shared" si="17"/>
        <v>0</v>
      </c>
      <c r="J467" s="41">
        <f t="shared" si="17"/>
        <v>0</v>
      </c>
      <c r="K467" s="41">
        <f t="shared" si="17"/>
        <v>0</v>
      </c>
      <c r="L467" s="41">
        <f t="shared" si="17"/>
        <v>0</v>
      </c>
      <c r="M467" s="41">
        <f t="shared" si="17"/>
        <v>0</v>
      </c>
      <c r="U467" s="7"/>
      <c r="V467" s="7"/>
    </row>
    <row r="468" spans="8:22" hidden="1" x14ac:dyDescent="0.25">
      <c r="H468" s="41">
        <f t="shared" si="17"/>
        <v>0</v>
      </c>
      <c r="I468" s="41">
        <f t="shared" si="17"/>
        <v>0</v>
      </c>
      <c r="J468" s="41">
        <f t="shared" si="17"/>
        <v>0</v>
      </c>
      <c r="K468" s="41">
        <f t="shared" si="17"/>
        <v>0</v>
      </c>
      <c r="L468" s="41">
        <f t="shared" si="17"/>
        <v>0</v>
      </c>
      <c r="M468" s="41">
        <f t="shared" si="17"/>
        <v>0</v>
      </c>
      <c r="U468" s="7"/>
      <c r="V468" s="7"/>
    </row>
    <row r="469" spans="8:22" hidden="1" x14ac:dyDescent="0.25">
      <c r="H469" s="41">
        <f t="shared" si="17"/>
        <v>0</v>
      </c>
      <c r="I469" s="41">
        <f t="shared" si="17"/>
        <v>0</v>
      </c>
      <c r="J469" s="41">
        <f t="shared" si="17"/>
        <v>0</v>
      </c>
      <c r="K469" s="41">
        <f t="shared" si="17"/>
        <v>0</v>
      </c>
      <c r="L469" s="41">
        <f t="shared" si="17"/>
        <v>0</v>
      </c>
      <c r="M469" s="41">
        <f t="shared" si="17"/>
        <v>0</v>
      </c>
      <c r="U469" s="7"/>
      <c r="V469" s="7"/>
    </row>
    <row r="470" spans="8:22" hidden="1" x14ac:dyDescent="0.25">
      <c r="H470" s="41">
        <f t="shared" si="17"/>
        <v>0</v>
      </c>
      <c r="I470" s="41">
        <f t="shared" si="17"/>
        <v>0</v>
      </c>
      <c r="J470" s="41">
        <f t="shared" si="17"/>
        <v>0</v>
      </c>
      <c r="K470" s="41">
        <f t="shared" si="17"/>
        <v>0</v>
      </c>
      <c r="L470" s="41">
        <f t="shared" si="17"/>
        <v>0</v>
      </c>
      <c r="M470" s="41">
        <f t="shared" si="17"/>
        <v>0</v>
      </c>
      <c r="U470" s="7"/>
      <c r="V470" s="7"/>
    </row>
    <row r="471" spans="8:22" hidden="1" x14ac:dyDescent="0.25">
      <c r="H471" s="41">
        <f t="shared" si="17"/>
        <v>0</v>
      </c>
      <c r="I471" s="41">
        <f t="shared" si="17"/>
        <v>0</v>
      </c>
      <c r="J471" s="41">
        <f t="shared" si="17"/>
        <v>0</v>
      </c>
      <c r="K471" s="41">
        <f t="shared" si="17"/>
        <v>0</v>
      </c>
      <c r="L471" s="41">
        <f t="shared" si="17"/>
        <v>0</v>
      </c>
      <c r="M471" s="41">
        <f t="shared" si="17"/>
        <v>0</v>
      </c>
      <c r="U471" s="7"/>
      <c r="V471" s="7"/>
    </row>
    <row r="472" spans="8:22" hidden="1" x14ac:dyDescent="0.25">
      <c r="H472" s="41">
        <f t="shared" si="17"/>
        <v>0</v>
      </c>
      <c r="I472" s="41">
        <f t="shared" si="17"/>
        <v>0</v>
      </c>
      <c r="J472" s="41">
        <f t="shared" si="17"/>
        <v>0</v>
      </c>
      <c r="K472" s="41">
        <f t="shared" si="17"/>
        <v>0</v>
      </c>
      <c r="L472" s="41">
        <f t="shared" si="17"/>
        <v>0</v>
      </c>
      <c r="M472" s="41">
        <f t="shared" si="17"/>
        <v>0</v>
      </c>
      <c r="U472" s="7"/>
      <c r="V472" s="7"/>
    </row>
    <row r="473" spans="8:22" hidden="1" x14ac:dyDescent="0.25">
      <c r="H473" s="41">
        <f t="shared" si="17"/>
        <v>0</v>
      </c>
      <c r="I473" s="41">
        <f t="shared" si="17"/>
        <v>0</v>
      </c>
      <c r="J473" s="41">
        <f t="shared" si="17"/>
        <v>0</v>
      </c>
      <c r="K473" s="41">
        <f t="shared" si="17"/>
        <v>0</v>
      </c>
      <c r="L473" s="41">
        <f t="shared" si="17"/>
        <v>0</v>
      </c>
      <c r="M473" s="41">
        <f t="shared" si="17"/>
        <v>0</v>
      </c>
      <c r="U473" s="7"/>
      <c r="V473" s="7"/>
    </row>
    <row r="474" spans="8:22" hidden="1" x14ac:dyDescent="0.25">
      <c r="H474" s="41">
        <f t="shared" si="17"/>
        <v>0</v>
      </c>
      <c r="I474" s="41">
        <f t="shared" si="17"/>
        <v>0</v>
      </c>
      <c r="J474" s="41">
        <f t="shared" si="17"/>
        <v>0</v>
      </c>
      <c r="K474" s="41">
        <f t="shared" si="17"/>
        <v>0</v>
      </c>
      <c r="L474" s="41">
        <f t="shared" si="17"/>
        <v>0</v>
      </c>
      <c r="M474" s="41">
        <f t="shared" si="17"/>
        <v>0</v>
      </c>
      <c r="U474" s="7"/>
      <c r="V474" s="7"/>
    </row>
    <row r="475" spans="8:22" hidden="1" x14ac:dyDescent="0.25">
      <c r="H475" s="41">
        <f t="shared" si="17"/>
        <v>0</v>
      </c>
      <c r="I475" s="41">
        <f t="shared" si="17"/>
        <v>0</v>
      </c>
      <c r="J475" s="41">
        <f t="shared" si="17"/>
        <v>0</v>
      </c>
      <c r="K475" s="41">
        <f t="shared" si="17"/>
        <v>0</v>
      </c>
      <c r="L475" s="41">
        <f t="shared" si="17"/>
        <v>0</v>
      </c>
      <c r="M475" s="41">
        <f t="shared" si="17"/>
        <v>0</v>
      </c>
      <c r="U475" s="7"/>
      <c r="V475" s="7"/>
    </row>
    <row r="476" spans="8:22" hidden="1" x14ac:dyDescent="0.25">
      <c r="H476" s="41">
        <f t="shared" si="17"/>
        <v>0</v>
      </c>
      <c r="I476" s="41">
        <f t="shared" si="17"/>
        <v>0</v>
      </c>
      <c r="J476" s="41">
        <f t="shared" si="17"/>
        <v>0</v>
      </c>
      <c r="K476" s="41">
        <f t="shared" si="17"/>
        <v>0</v>
      </c>
      <c r="L476" s="41">
        <f t="shared" si="17"/>
        <v>0</v>
      </c>
      <c r="M476" s="41">
        <f t="shared" si="17"/>
        <v>0</v>
      </c>
      <c r="U476" s="7"/>
      <c r="V476" s="7"/>
    </row>
    <row r="477" spans="8:22" hidden="1" x14ac:dyDescent="0.25">
      <c r="H477" s="41">
        <f t="shared" si="17"/>
        <v>0</v>
      </c>
      <c r="I477" s="41">
        <f t="shared" si="17"/>
        <v>0</v>
      </c>
      <c r="J477" s="41">
        <f t="shared" si="17"/>
        <v>0</v>
      </c>
      <c r="K477" s="41">
        <f t="shared" si="17"/>
        <v>0</v>
      </c>
      <c r="L477" s="41">
        <f t="shared" si="17"/>
        <v>0</v>
      </c>
      <c r="M477" s="41">
        <f t="shared" si="17"/>
        <v>0</v>
      </c>
      <c r="U477" s="7"/>
      <c r="V477" s="7"/>
    </row>
    <row r="478" spans="8:22" hidden="1" x14ac:dyDescent="0.25">
      <c r="H478" s="41">
        <f t="shared" si="17"/>
        <v>0</v>
      </c>
      <c r="I478" s="41">
        <f t="shared" si="17"/>
        <v>0</v>
      </c>
      <c r="J478" s="41">
        <f t="shared" si="17"/>
        <v>0</v>
      </c>
      <c r="K478" s="41">
        <f t="shared" si="17"/>
        <v>0</v>
      </c>
      <c r="L478" s="41">
        <f t="shared" si="17"/>
        <v>0</v>
      </c>
      <c r="M478" s="41">
        <f t="shared" si="17"/>
        <v>0</v>
      </c>
      <c r="U478" s="7"/>
      <c r="V478" s="7"/>
    </row>
    <row r="479" spans="8:22" hidden="1" x14ac:dyDescent="0.25">
      <c r="H479" s="41">
        <f t="shared" si="17"/>
        <v>0</v>
      </c>
      <c r="I479" s="41">
        <f t="shared" si="17"/>
        <v>0</v>
      </c>
      <c r="J479" s="41">
        <f t="shared" si="17"/>
        <v>0</v>
      </c>
      <c r="K479" s="41">
        <f t="shared" si="17"/>
        <v>0</v>
      </c>
      <c r="L479" s="41">
        <f t="shared" si="17"/>
        <v>0</v>
      </c>
      <c r="M479" s="41">
        <f t="shared" si="17"/>
        <v>0</v>
      </c>
      <c r="U479" s="7"/>
      <c r="V479" s="7"/>
    </row>
    <row r="480" spans="8:22" hidden="1" x14ac:dyDescent="0.25">
      <c r="H480" s="41">
        <f t="shared" si="17"/>
        <v>0</v>
      </c>
      <c r="I480" s="41">
        <f t="shared" si="17"/>
        <v>0</v>
      </c>
      <c r="J480" s="41">
        <f t="shared" si="17"/>
        <v>0</v>
      </c>
      <c r="K480" s="41">
        <f t="shared" si="17"/>
        <v>0</v>
      </c>
      <c r="L480" s="41">
        <f t="shared" si="17"/>
        <v>0</v>
      </c>
      <c r="M480" s="41">
        <f t="shared" si="17"/>
        <v>0</v>
      </c>
      <c r="U480" s="7"/>
      <c r="V480" s="7"/>
    </row>
    <row r="481" spans="8:22" hidden="1" x14ac:dyDescent="0.25">
      <c r="H481" s="41">
        <f t="shared" si="17"/>
        <v>0</v>
      </c>
      <c r="I481" s="41">
        <f t="shared" si="17"/>
        <v>0</v>
      </c>
      <c r="J481" s="41">
        <f t="shared" si="17"/>
        <v>0</v>
      </c>
      <c r="K481" s="41">
        <f t="shared" si="17"/>
        <v>0</v>
      </c>
      <c r="L481" s="41">
        <f t="shared" si="17"/>
        <v>0</v>
      </c>
      <c r="M481" s="41">
        <f t="shared" si="17"/>
        <v>0</v>
      </c>
      <c r="U481" s="7"/>
      <c r="V481" s="7"/>
    </row>
    <row r="482" spans="8:22" hidden="1" x14ac:dyDescent="0.25">
      <c r="H482" s="41">
        <f t="shared" si="17"/>
        <v>0</v>
      </c>
      <c r="I482" s="41">
        <f t="shared" si="17"/>
        <v>0</v>
      </c>
      <c r="J482" s="41">
        <f t="shared" si="17"/>
        <v>0</v>
      </c>
      <c r="K482" s="41">
        <f t="shared" si="17"/>
        <v>0</v>
      </c>
      <c r="L482" s="41">
        <f t="shared" si="17"/>
        <v>0</v>
      </c>
      <c r="M482" s="41">
        <f t="shared" si="17"/>
        <v>0</v>
      </c>
      <c r="U482" s="7"/>
      <c r="V482" s="7"/>
    </row>
    <row r="483" spans="8:22" hidden="1" x14ac:dyDescent="0.25">
      <c r="H483" s="41">
        <f t="shared" si="17"/>
        <v>0</v>
      </c>
      <c r="I483" s="41">
        <f t="shared" si="17"/>
        <v>0</v>
      </c>
      <c r="J483" s="41">
        <f t="shared" si="17"/>
        <v>0</v>
      </c>
      <c r="K483" s="41">
        <f t="shared" si="17"/>
        <v>0</v>
      </c>
      <c r="L483" s="41">
        <f t="shared" si="17"/>
        <v>0</v>
      </c>
      <c r="M483" s="41">
        <f t="shared" si="17"/>
        <v>0</v>
      </c>
      <c r="U483" s="7"/>
      <c r="V483" s="7"/>
    </row>
    <row r="484" spans="8:22" hidden="1" x14ac:dyDescent="0.25">
      <c r="H484" s="41">
        <f t="shared" si="17"/>
        <v>0</v>
      </c>
      <c r="I484" s="41">
        <f t="shared" si="17"/>
        <v>0</v>
      </c>
      <c r="J484" s="41">
        <f t="shared" si="17"/>
        <v>0</v>
      </c>
      <c r="K484" s="41">
        <f t="shared" si="17"/>
        <v>0</v>
      </c>
      <c r="L484" s="41">
        <f t="shared" si="17"/>
        <v>0</v>
      </c>
      <c r="M484" s="41">
        <f t="shared" si="17"/>
        <v>0</v>
      </c>
      <c r="U484" s="7"/>
      <c r="V484" s="7"/>
    </row>
    <row r="485" spans="8:22" hidden="1" x14ac:dyDescent="0.25">
      <c r="H485" s="41">
        <f t="shared" si="17"/>
        <v>0</v>
      </c>
      <c r="I485" s="41">
        <f t="shared" si="17"/>
        <v>0</v>
      </c>
      <c r="J485" s="41">
        <f t="shared" si="17"/>
        <v>0</v>
      </c>
      <c r="K485" s="41">
        <f t="shared" si="17"/>
        <v>0</v>
      </c>
      <c r="L485" s="41">
        <f t="shared" si="17"/>
        <v>0</v>
      </c>
      <c r="M485" s="41">
        <f t="shared" si="17"/>
        <v>0</v>
      </c>
      <c r="U485" s="7"/>
      <c r="V485" s="7"/>
    </row>
    <row r="486" spans="8:22" hidden="1" x14ac:dyDescent="0.25">
      <c r="H486" s="41">
        <f t="shared" si="17"/>
        <v>0</v>
      </c>
      <c r="I486" s="41">
        <f t="shared" si="17"/>
        <v>0</v>
      </c>
      <c r="J486" s="41">
        <f t="shared" si="17"/>
        <v>0</v>
      </c>
      <c r="K486" s="41">
        <f t="shared" si="17"/>
        <v>0</v>
      </c>
      <c r="L486" s="41">
        <f t="shared" si="17"/>
        <v>0</v>
      </c>
      <c r="M486" s="41">
        <f t="shared" si="17"/>
        <v>0</v>
      </c>
      <c r="U486" s="7"/>
      <c r="V486" s="7"/>
    </row>
    <row r="487" spans="8:22" hidden="1" x14ac:dyDescent="0.25">
      <c r="H487" s="41">
        <f t="shared" si="17"/>
        <v>0</v>
      </c>
      <c r="I487" s="41">
        <f t="shared" si="17"/>
        <v>0</v>
      </c>
      <c r="J487" s="41">
        <f t="shared" si="17"/>
        <v>0</v>
      </c>
      <c r="K487" s="41">
        <f t="shared" si="17"/>
        <v>0</v>
      </c>
      <c r="L487" s="41">
        <f t="shared" si="17"/>
        <v>0</v>
      </c>
      <c r="M487" s="41">
        <f t="shared" si="17"/>
        <v>0</v>
      </c>
      <c r="U487" s="7"/>
      <c r="V487" s="7"/>
    </row>
    <row r="488" spans="8:22" hidden="1" x14ac:dyDescent="0.25">
      <c r="H488" s="41">
        <f t="shared" si="17"/>
        <v>0</v>
      </c>
      <c r="I488" s="41">
        <f t="shared" si="17"/>
        <v>0</v>
      </c>
      <c r="J488" s="41">
        <f t="shared" si="17"/>
        <v>0</v>
      </c>
      <c r="K488" s="41">
        <f t="shared" si="17"/>
        <v>0</v>
      </c>
      <c r="L488" s="41">
        <f t="shared" si="17"/>
        <v>0</v>
      </c>
      <c r="M488" s="41">
        <f t="shared" si="17"/>
        <v>0</v>
      </c>
      <c r="U488" s="7"/>
      <c r="V488" s="7"/>
    </row>
    <row r="489" spans="8:22" hidden="1" x14ac:dyDescent="0.25">
      <c r="H489" s="41">
        <f t="shared" si="17"/>
        <v>0</v>
      </c>
      <c r="I489" s="41">
        <f t="shared" si="17"/>
        <v>0</v>
      </c>
      <c r="J489" s="41">
        <f t="shared" si="17"/>
        <v>0</v>
      </c>
      <c r="K489" s="41">
        <f t="shared" si="17"/>
        <v>0</v>
      </c>
      <c r="L489" s="41">
        <f t="shared" si="17"/>
        <v>0</v>
      </c>
      <c r="M489" s="41">
        <f t="shared" si="17"/>
        <v>0</v>
      </c>
      <c r="U489" s="7"/>
      <c r="V489" s="7"/>
    </row>
    <row r="490" spans="8:22" hidden="1" x14ac:dyDescent="0.25">
      <c r="H490" s="41">
        <f t="shared" si="17"/>
        <v>0</v>
      </c>
      <c r="I490" s="41">
        <f t="shared" si="17"/>
        <v>0</v>
      </c>
      <c r="J490" s="41">
        <f t="shared" si="17"/>
        <v>0</v>
      </c>
      <c r="K490" s="41">
        <f t="shared" si="17"/>
        <v>0</v>
      </c>
      <c r="L490" s="41">
        <f t="shared" si="17"/>
        <v>0</v>
      </c>
      <c r="M490" s="41">
        <f t="shared" si="17"/>
        <v>0</v>
      </c>
      <c r="U490" s="7"/>
      <c r="V490" s="7"/>
    </row>
    <row r="491" spans="8:22" hidden="1" x14ac:dyDescent="0.25">
      <c r="H491" s="41">
        <f t="shared" si="17"/>
        <v>0</v>
      </c>
      <c r="I491" s="41">
        <f t="shared" si="17"/>
        <v>0</v>
      </c>
      <c r="J491" s="41">
        <f t="shared" si="17"/>
        <v>0</v>
      </c>
      <c r="K491" s="41">
        <f t="shared" si="17"/>
        <v>0</v>
      </c>
      <c r="L491" s="41">
        <f t="shared" si="17"/>
        <v>0</v>
      </c>
      <c r="M491" s="41">
        <f t="shared" si="17"/>
        <v>0</v>
      </c>
      <c r="U491" s="7"/>
      <c r="V491" s="7"/>
    </row>
    <row r="492" spans="8:22" hidden="1" x14ac:dyDescent="0.25">
      <c r="H492" s="41">
        <f t="shared" si="17"/>
        <v>0</v>
      </c>
      <c r="I492" s="41">
        <f t="shared" si="17"/>
        <v>0</v>
      </c>
      <c r="J492" s="41">
        <f t="shared" si="17"/>
        <v>0</v>
      </c>
      <c r="K492" s="41">
        <f t="shared" si="17"/>
        <v>0</v>
      </c>
      <c r="L492" s="41">
        <f t="shared" si="17"/>
        <v>0</v>
      </c>
      <c r="M492" s="41">
        <f t="shared" si="17"/>
        <v>0</v>
      </c>
      <c r="U492" s="7"/>
      <c r="V492" s="7"/>
    </row>
    <row r="493" spans="8:22" hidden="1" x14ac:dyDescent="0.25">
      <c r="H493" s="41">
        <f t="shared" si="17"/>
        <v>0</v>
      </c>
      <c r="I493" s="41">
        <f t="shared" si="17"/>
        <v>0</v>
      </c>
      <c r="J493" s="41">
        <f t="shared" si="17"/>
        <v>0</v>
      </c>
      <c r="K493" s="41">
        <f t="shared" si="17"/>
        <v>0</v>
      </c>
      <c r="L493" s="41">
        <f t="shared" si="17"/>
        <v>0</v>
      </c>
      <c r="M493" s="41">
        <f t="shared" si="17"/>
        <v>0</v>
      </c>
      <c r="U493" s="7"/>
      <c r="V493" s="7"/>
    </row>
    <row r="494" spans="8:22" hidden="1" x14ac:dyDescent="0.25">
      <c r="H494" s="41">
        <f t="shared" si="17"/>
        <v>0</v>
      </c>
      <c r="I494" s="41">
        <f t="shared" si="17"/>
        <v>0</v>
      </c>
      <c r="J494" s="41">
        <f t="shared" si="17"/>
        <v>0</v>
      </c>
      <c r="K494" s="41">
        <f t="shared" si="17"/>
        <v>0</v>
      </c>
      <c r="L494" s="41">
        <f t="shared" si="17"/>
        <v>0</v>
      </c>
      <c r="M494" s="41">
        <f t="shared" si="17"/>
        <v>0</v>
      </c>
      <c r="U494" s="7"/>
      <c r="V494" s="7"/>
    </row>
    <row r="495" spans="8:22" hidden="1" x14ac:dyDescent="0.25">
      <c r="H495" s="41">
        <f t="shared" ref="H495:M513" si="18">BF34</f>
        <v>0</v>
      </c>
      <c r="I495" s="41">
        <f t="shared" si="18"/>
        <v>0</v>
      </c>
      <c r="J495" s="41">
        <f t="shared" si="18"/>
        <v>0</v>
      </c>
      <c r="K495" s="41">
        <f t="shared" si="18"/>
        <v>0</v>
      </c>
      <c r="L495" s="41">
        <f t="shared" si="18"/>
        <v>0</v>
      </c>
      <c r="M495" s="41">
        <f t="shared" si="18"/>
        <v>0</v>
      </c>
      <c r="U495" s="7"/>
      <c r="V495" s="7"/>
    </row>
    <row r="496" spans="8:22" hidden="1" x14ac:dyDescent="0.25">
      <c r="H496" s="41">
        <f t="shared" si="18"/>
        <v>0</v>
      </c>
      <c r="I496" s="41">
        <f t="shared" si="18"/>
        <v>0</v>
      </c>
      <c r="J496" s="41">
        <f t="shared" si="18"/>
        <v>0</v>
      </c>
      <c r="K496" s="41">
        <f t="shared" si="18"/>
        <v>0</v>
      </c>
      <c r="L496" s="41">
        <f t="shared" si="18"/>
        <v>0</v>
      </c>
      <c r="M496" s="41">
        <f t="shared" si="18"/>
        <v>0</v>
      </c>
      <c r="U496" s="7"/>
      <c r="V496" s="7"/>
    </row>
    <row r="497" spans="8:22" hidden="1" x14ac:dyDescent="0.25">
      <c r="H497" s="41">
        <f t="shared" si="18"/>
        <v>0</v>
      </c>
      <c r="I497" s="41">
        <f t="shared" si="18"/>
        <v>0</v>
      </c>
      <c r="J497" s="41">
        <f t="shared" si="18"/>
        <v>0</v>
      </c>
      <c r="K497" s="41">
        <f t="shared" si="18"/>
        <v>0</v>
      </c>
      <c r="L497" s="41">
        <f t="shared" si="18"/>
        <v>0</v>
      </c>
      <c r="M497" s="41">
        <f t="shared" si="18"/>
        <v>0</v>
      </c>
      <c r="U497" s="7"/>
      <c r="V497" s="7"/>
    </row>
    <row r="498" spans="8:22" hidden="1" x14ac:dyDescent="0.25">
      <c r="H498" s="41">
        <f t="shared" si="18"/>
        <v>0</v>
      </c>
      <c r="I498" s="41">
        <f t="shared" si="18"/>
        <v>0</v>
      </c>
      <c r="J498" s="41">
        <f t="shared" si="18"/>
        <v>0</v>
      </c>
      <c r="K498" s="41">
        <f t="shared" si="18"/>
        <v>0</v>
      </c>
      <c r="L498" s="41">
        <f t="shared" si="18"/>
        <v>0</v>
      </c>
      <c r="M498" s="41">
        <f t="shared" si="18"/>
        <v>0</v>
      </c>
      <c r="U498" s="7"/>
      <c r="V498" s="7"/>
    </row>
    <row r="499" spans="8:22" hidden="1" x14ac:dyDescent="0.25">
      <c r="H499" s="41">
        <f t="shared" si="18"/>
        <v>0</v>
      </c>
      <c r="I499" s="41">
        <f t="shared" si="18"/>
        <v>0</v>
      </c>
      <c r="J499" s="41">
        <f t="shared" si="18"/>
        <v>0</v>
      </c>
      <c r="K499" s="41">
        <f t="shared" si="18"/>
        <v>0</v>
      </c>
      <c r="L499" s="41">
        <f t="shared" si="18"/>
        <v>0</v>
      </c>
      <c r="M499" s="41">
        <f t="shared" si="18"/>
        <v>0</v>
      </c>
      <c r="U499" s="7"/>
      <c r="V499" s="7"/>
    </row>
    <row r="500" spans="8:22" hidden="1" x14ac:dyDescent="0.25">
      <c r="H500" s="41">
        <f t="shared" si="18"/>
        <v>0</v>
      </c>
      <c r="I500" s="41">
        <f t="shared" si="18"/>
        <v>0</v>
      </c>
      <c r="J500" s="41">
        <f t="shared" si="18"/>
        <v>0</v>
      </c>
      <c r="K500" s="41">
        <f t="shared" si="18"/>
        <v>0</v>
      </c>
      <c r="L500" s="41">
        <f t="shared" si="18"/>
        <v>0</v>
      </c>
      <c r="M500" s="41">
        <f t="shared" si="18"/>
        <v>0</v>
      </c>
      <c r="U500" s="7"/>
      <c r="V500" s="7"/>
    </row>
    <row r="501" spans="8:22" hidden="1" x14ac:dyDescent="0.25">
      <c r="H501" s="41">
        <f t="shared" si="18"/>
        <v>0</v>
      </c>
      <c r="I501" s="41">
        <f t="shared" si="18"/>
        <v>0</v>
      </c>
      <c r="J501" s="41">
        <f t="shared" si="18"/>
        <v>0</v>
      </c>
      <c r="K501" s="41">
        <f t="shared" si="18"/>
        <v>0</v>
      </c>
      <c r="L501" s="41">
        <f t="shared" si="18"/>
        <v>0</v>
      </c>
      <c r="M501" s="41">
        <f t="shared" si="18"/>
        <v>0</v>
      </c>
      <c r="U501" s="7"/>
      <c r="V501" s="7"/>
    </row>
    <row r="502" spans="8:22" hidden="1" x14ac:dyDescent="0.25">
      <c r="H502" s="41">
        <f t="shared" si="18"/>
        <v>0</v>
      </c>
      <c r="I502" s="41">
        <f t="shared" si="18"/>
        <v>0</v>
      </c>
      <c r="J502" s="41">
        <f t="shared" si="18"/>
        <v>0</v>
      </c>
      <c r="K502" s="41">
        <f t="shared" si="18"/>
        <v>0</v>
      </c>
      <c r="L502" s="41">
        <f t="shared" si="18"/>
        <v>0</v>
      </c>
      <c r="M502" s="41">
        <f t="shared" si="18"/>
        <v>0</v>
      </c>
      <c r="U502" s="7"/>
      <c r="V502" s="7"/>
    </row>
    <row r="503" spans="8:22" hidden="1" x14ac:dyDescent="0.25">
      <c r="H503" s="41">
        <f t="shared" si="18"/>
        <v>0</v>
      </c>
      <c r="I503" s="41">
        <f t="shared" si="18"/>
        <v>0</v>
      </c>
      <c r="J503" s="41">
        <f t="shared" si="18"/>
        <v>0</v>
      </c>
      <c r="K503" s="41">
        <f t="shared" si="18"/>
        <v>0</v>
      </c>
      <c r="L503" s="41">
        <f t="shared" si="18"/>
        <v>0</v>
      </c>
      <c r="M503" s="41">
        <f t="shared" si="18"/>
        <v>0</v>
      </c>
      <c r="U503" s="7"/>
      <c r="V503" s="7"/>
    </row>
    <row r="504" spans="8:22" hidden="1" x14ac:dyDescent="0.25">
      <c r="H504" s="41">
        <f t="shared" si="18"/>
        <v>0</v>
      </c>
      <c r="I504" s="41">
        <f t="shared" si="18"/>
        <v>0</v>
      </c>
      <c r="J504" s="41">
        <f t="shared" si="18"/>
        <v>0</v>
      </c>
      <c r="K504" s="41">
        <f t="shared" si="18"/>
        <v>0</v>
      </c>
      <c r="L504" s="41">
        <f t="shared" si="18"/>
        <v>0</v>
      </c>
      <c r="M504" s="41">
        <f t="shared" si="18"/>
        <v>0</v>
      </c>
      <c r="U504" s="7"/>
      <c r="V504" s="7"/>
    </row>
    <row r="505" spans="8:22" hidden="1" x14ac:dyDescent="0.25">
      <c r="H505" s="41">
        <f t="shared" si="18"/>
        <v>0</v>
      </c>
      <c r="I505" s="41">
        <f t="shared" si="18"/>
        <v>0</v>
      </c>
      <c r="J505" s="41">
        <f t="shared" si="18"/>
        <v>0</v>
      </c>
      <c r="K505" s="41">
        <f t="shared" si="18"/>
        <v>0</v>
      </c>
      <c r="L505" s="41">
        <f t="shared" si="18"/>
        <v>0</v>
      </c>
      <c r="M505" s="41">
        <f t="shared" si="18"/>
        <v>0</v>
      </c>
      <c r="U505" s="7"/>
      <c r="V505" s="7"/>
    </row>
    <row r="506" spans="8:22" hidden="1" x14ac:dyDescent="0.25">
      <c r="H506" s="41">
        <f t="shared" si="18"/>
        <v>0</v>
      </c>
      <c r="I506" s="41">
        <f t="shared" si="18"/>
        <v>0</v>
      </c>
      <c r="J506" s="41">
        <f t="shared" si="18"/>
        <v>0</v>
      </c>
      <c r="K506" s="41">
        <f t="shared" si="18"/>
        <v>0</v>
      </c>
      <c r="L506" s="41">
        <f t="shared" si="18"/>
        <v>0</v>
      </c>
      <c r="M506" s="41">
        <f t="shared" si="18"/>
        <v>0</v>
      </c>
      <c r="U506" s="7"/>
      <c r="V506" s="7"/>
    </row>
    <row r="507" spans="8:22" hidden="1" x14ac:dyDescent="0.25">
      <c r="H507" s="41">
        <f t="shared" si="18"/>
        <v>0</v>
      </c>
      <c r="I507" s="41">
        <f t="shared" si="18"/>
        <v>0</v>
      </c>
      <c r="J507" s="41">
        <f t="shared" si="18"/>
        <v>0</v>
      </c>
      <c r="K507" s="41">
        <f t="shared" si="18"/>
        <v>0</v>
      </c>
      <c r="L507" s="41">
        <f t="shared" si="18"/>
        <v>0</v>
      </c>
      <c r="M507" s="41">
        <f t="shared" si="18"/>
        <v>0</v>
      </c>
      <c r="U507" s="7"/>
      <c r="V507" s="7"/>
    </row>
    <row r="508" spans="8:22" hidden="1" x14ac:dyDescent="0.25">
      <c r="H508" s="41">
        <f t="shared" si="18"/>
        <v>0</v>
      </c>
      <c r="I508" s="41">
        <f t="shared" si="18"/>
        <v>0</v>
      </c>
      <c r="J508" s="41">
        <f t="shared" si="18"/>
        <v>0</v>
      </c>
      <c r="K508" s="41">
        <f t="shared" si="18"/>
        <v>0</v>
      </c>
      <c r="L508" s="41">
        <f t="shared" si="18"/>
        <v>0</v>
      </c>
      <c r="M508" s="41">
        <f t="shared" si="18"/>
        <v>0</v>
      </c>
      <c r="U508" s="7"/>
      <c r="V508" s="7"/>
    </row>
    <row r="509" spans="8:22" hidden="1" x14ac:dyDescent="0.25">
      <c r="H509" s="41">
        <f t="shared" si="18"/>
        <v>0</v>
      </c>
      <c r="I509" s="41">
        <f t="shared" si="18"/>
        <v>0</v>
      </c>
      <c r="J509" s="41">
        <f t="shared" si="18"/>
        <v>0</v>
      </c>
      <c r="K509" s="41">
        <f t="shared" si="18"/>
        <v>0</v>
      </c>
      <c r="L509" s="41">
        <f t="shared" si="18"/>
        <v>0</v>
      </c>
      <c r="M509" s="41">
        <f t="shared" si="18"/>
        <v>0</v>
      </c>
      <c r="U509" s="7"/>
      <c r="V509" s="7"/>
    </row>
    <row r="510" spans="8:22" hidden="1" x14ac:dyDescent="0.25">
      <c r="H510" s="41">
        <f t="shared" si="18"/>
        <v>0</v>
      </c>
      <c r="I510" s="41">
        <f t="shared" si="18"/>
        <v>0</v>
      </c>
      <c r="J510" s="41">
        <f t="shared" si="18"/>
        <v>0</v>
      </c>
      <c r="K510" s="41">
        <f t="shared" si="18"/>
        <v>0</v>
      </c>
      <c r="L510" s="41">
        <f t="shared" si="18"/>
        <v>0</v>
      </c>
      <c r="M510" s="41">
        <f t="shared" si="18"/>
        <v>0</v>
      </c>
      <c r="U510" s="7"/>
      <c r="V510" s="7"/>
    </row>
    <row r="511" spans="8:22" hidden="1" x14ac:dyDescent="0.25">
      <c r="H511" s="41">
        <f t="shared" si="18"/>
        <v>0</v>
      </c>
      <c r="I511" s="41">
        <f t="shared" si="18"/>
        <v>0</v>
      </c>
      <c r="J511" s="41">
        <f t="shared" si="18"/>
        <v>0</v>
      </c>
      <c r="K511" s="41">
        <f t="shared" si="18"/>
        <v>0</v>
      </c>
      <c r="L511" s="41">
        <f t="shared" si="18"/>
        <v>0</v>
      </c>
      <c r="M511" s="41">
        <f t="shared" si="18"/>
        <v>0</v>
      </c>
      <c r="U511" s="7"/>
      <c r="V511" s="7"/>
    </row>
    <row r="512" spans="8:22" hidden="1" x14ac:dyDescent="0.25">
      <c r="H512" s="41">
        <f t="shared" si="18"/>
        <v>0</v>
      </c>
      <c r="I512" s="41">
        <f t="shared" si="18"/>
        <v>0</v>
      </c>
      <c r="J512" s="41">
        <f t="shared" si="18"/>
        <v>0</v>
      </c>
      <c r="K512" s="41">
        <f t="shared" si="18"/>
        <v>0</v>
      </c>
      <c r="L512" s="41">
        <f t="shared" si="18"/>
        <v>0</v>
      </c>
      <c r="M512" s="41">
        <f t="shared" si="18"/>
        <v>0</v>
      </c>
      <c r="U512" s="7"/>
      <c r="V512" s="7"/>
    </row>
    <row r="513" spans="8:22" hidden="1" x14ac:dyDescent="0.25">
      <c r="H513" s="41">
        <f t="shared" si="18"/>
        <v>0</v>
      </c>
      <c r="I513" s="41">
        <f t="shared" si="18"/>
        <v>0</v>
      </c>
      <c r="J513" s="41">
        <f t="shared" si="18"/>
        <v>0</v>
      </c>
      <c r="K513" s="41">
        <f t="shared" si="18"/>
        <v>0</v>
      </c>
      <c r="L513" s="41">
        <f t="shared" si="18"/>
        <v>0</v>
      </c>
      <c r="M513" s="41">
        <f t="shared" si="18"/>
        <v>0</v>
      </c>
      <c r="U513" s="7"/>
      <c r="V513" s="7"/>
    </row>
    <row r="514" spans="8:22" hidden="1" x14ac:dyDescent="0.25">
      <c r="H514" s="41" t="e">
        <f>#REF!</f>
        <v>#REF!</v>
      </c>
      <c r="I514" s="41" t="e">
        <f>#REF!</f>
        <v>#REF!</v>
      </c>
      <c r="J514" s="41" t="e">
        <f>#REF!</f>
        <v>#REF!</v>
      </c>
      <c r="K514" s="41" t="e">
        <f>#REF!</f>
        <v>#REF!</v>
      </c>
      <c r="L514" s="41" t="e">
        <f>#REF!</f>
        <v>#REF!</v>
      </c>
      <c r="M514" s="41" t="e">
        <f>#REF!</f>
        <v>#REF!</v>
      </c>
      <c r="U514" s="7"/>
      <c r="V514" s="7"/>
    </row>
    <row r="515" spans="8:22" hidden="1" x14ac:dyDescent="0.25">
      <c r="H515" s="41">
        <f t="shared" ref="H515:M545" si="19">BL3</f>
        <v>0</v>
      </c>
      <c r="I515" s="41">
        <f t="shared" si="19"/>
        <v>0</v>
      </c>
      <c r="J515" s="41">
        <f t="shared" si="19"/>
        <v>0</v>
      </c>
      <c r="K515" s="41">
        <f t="shared" si="19"/>
        <v>0</v>
      </c>
      <c r="L515" s="41">
        <f t="shared" si="19"/>
        <v>0</v>
      </c>
      <c r="M515" s="41">
        <f t="shared" si="19"/>
        <v>0</v>
      </c>
      <c r="U515" s="7"/>
      <c r="V515" s="7"/>
    </row>
    <row r="516" spans="8:22" hidden="1" x14ac:dyDescent="0.25">
      <c r="H516" s="41">
        <f t="shared" si="19"/>
        <v>0</v>
      </c>
      <c r="I516" s="41">
        <f t="shared" si="19"/>
        <v>0</v>
      </c>
      <c r="J516" s="41">
        <f t="shared" si="19"/>
        <v>0</v>
      </c>
      <c r="K516" s="41">
        <f t="shared" si="19"/>
        <v>0</v>
      </c>
      <c r="L516" s="41">
        <f t="shared" si="19"/>
        <v>0</v>
      </c>
      <c r="M516" s="41">
        <f t="shared" si="19"/>
        <v>0</v>
      </c>
      <c r="U516" s="7"/>
      <c r="V516" s="7"/>
    </row>
    <row r="517" spans="8:22" hidden="1" x14ac:dyDescent="0.25">
      <c r="H517" s="41">
        <f t="shared" si="19"/>
        <v>0</v>
      </c>
      <c r="I517" s="41">
        <f t="shared" si="19"/>
        <v>0</v>
      </c>
      <c r="J517" s="41">
        <f t="shared" si="19"/>
        <v>0</v>
      </c>
      <c r="K517" s="41">
        <f t="shared" si="19"/>
        <v>0</v>
      </c>
      <c r="L517" s="41">
        <f t="shared" si="19"/>
        <v>0</v>
      </c>
      <c r="M517" s="41">
        <f t="shared" si="19"/>
        <v>0</v>
      </c>
      <c r="U517" s="7"/>
      <c r="V517" s="7"/>
    </row>
    <row r="518" spans="8:22" hidden="1" x14ac:dyDescent="0.25">
      <c r="H518" s="41">
        <f t="shared" si="19"/>
        <v>0</v>
      </c>
      <c r="I518" s="41">
        <f t="shared" si="19"/>
        <v>0</v>
      </c>
      <c r="J518" s="41">
        <f t="shared" si="19"/>
        <v>0</v>
      </c>
      <c r="K518" s="41">
        <f t="shared" si="19"/>
        <v>0</v>
      </c>
      <c r="L518" s="41">
        <f t="shared" si="19"/>
        <v>0</v>
      </c>
      <c r="M518" s="41">
        <f t="shared" si="19"/>
        <v>0</v>
      </c>
      <c r="U518" s="7"/>
      <c r="V518" s="7"/>
    </row>
    <row r="519" spans="8:22" hidden="1" x14ac:dyDescent="0.25">
      <c r="H519" s="41">
        <f t="shared" si="19"/>
        <v>0</v>
      </c>
      <c r="I519" s="41">
        <f t="shared" si="19"/>
        <v>0</v>
      </c>
      <c r="J519" s="41">
        <f t="shared" si="19"/>
        <v>0</v>
      </c>
      <c r="K519" s="41">
        <f t="shared" si="19"/>
        <v>0</v>
      </c>
      <c r="L519" s="41">
        <f t="shared" si="19"/>
        <v>0</v>
      </c>
      <c r="M519" s="41">
        <f t="shared" si="19"/>
        <v>0</v>
      </c>
      <c r="U519" s="7"/>
      <c r="V519" s="7"/>
    </row>
    <row r="520" spans="8:22" hidden="1" x14ac:dyDescent="0.25">
      <c r="H520" s="41">
        <f t="shared" si="19"/>
        <v>0</v>
      </c>
      <c r="I520" s="41">
        <f t="shared" si="19"/>
        <v>0</v>
      </c>
      <c r="J520" s="41">
        <f t="shared" si="19"/>
        <v>0</v>
      </c>
      <c r="K520" s="41">
        <f t="shared" si="19"/>
        <v>0</v>
      </c>
      <c r="L520" s="41">
        <f t="shared" si="19"/>
        <v>0</v>
      </c>
      <c r="M520" s="41">
        <f t="shared" si="19"/>
        <v>0</v>
      </c>
      <c r="U520" s="7"/>
      <c r="V520" s="7"/>
    </row>
    <row r="521" spans="8:22" hidden="1" x14ac:dyDescent="0.25">
      <c r="H521" s="41">
        <f t="shared" si="19"/>
        <v>0</v>
      </c>
      <c r="I521" s="41">
        <f t="shared" si="19"/>
        <v>0</v>
      </c>
      <c r="J521" s="41">
        <f t="shared" si="19"/>
        <v>0</v>
      </c>
      <c r="K521" s="41">
        <f t="shared" si="19"/>
        <v>0</v>
      </c>
      <c r="L521" s="41">
        <f t="shared" si="19"/>
        <v>0</v>
      </c>
      <c r="M521" s="41">
        <f t="shared" si="19"/>
        <v>0</v>
      </c>
      <c r="U521" s="7"/>
      <c r="V521" s="7"/>
    </row>
    <row r="522" spans="8:22" hidden="1" x14ac:dyDescent="0.25">
      <c r="H522" s="41">
        <f t="shared" si="19"/>
        <v>0</v>
      </c>
      <c r="I522" s="41">
        <f t="shared" si="19"/>
        <v>0</v>
      </c>
      <c r="J522" s="41">
        <f t="shared" si="19"/>
        <v>0</v>
      </c>
      <c r="K522" s="41">
        <f t="shared" si="19"/>
        <v>0</v>
      </c>
      <c r="L522" s="41">
        <f t="shared" si="19"/>
        <v>0</v>
      </c>
      <c r="M522" s="41">
        <f t="shared" si="19"/>
        <v>0</v>
      </c>
      <c r="U522" s="7"/>
      <c r="V522" s="7"/>
    </row>
    <row r="523" spans="8:22" hidden="1" x14ac:dyDescent="0.25">
      <c r="H523" s="41">
        <f t="shared" si="19"/>
        <v>0</v>
      </c>
      <c r="I523" s="41">
        <f t="shared" si="19"/>
        <v>0</v>
      </c>
      <c r="J523" s="41">
        <f t="shared" si="19"/>
        <v>0</v>
      </c>
      <c r="K523" s="41">
        <f t="shared" si="19"/>
        <v>0</v>
      </c>
      <c r="L523" s="41">
        <f t="shared" si="19"/>
        <v>0</v>
      </c>
      <c r="M523" s="41">
        <f t="shared" si="19"/>
        <v>0</v>
      </c>
      <c r="U523" s="7"/>
      <c r="V523" s="7"/>
    </row>
    <row r="524" spans="8:22" hidden="1" x14ac:dyDescent="0.25">
      <c r="H524" s="41">
        <f t="shared" si="19"/>
        <v>0</v>
      </c>
      <c r="I524" s="41">
        <f t="shared" si="19"/>
        <v>0</v>
      </c>
      <c r="J524" s="41">
        <f t="shared" si="19"/>
        <v>0</v>
      </c>
      <c r="K524" s="41">
        <f t="shared" si="19"/>
        <v>0</v>
      </c>
      <c r="L524" s="41">
        <f t="shared" si="19"/>
        <v>0</v>
      </c>
      <c r="M524" s="41">
        <f t="shared" si="19"/>
        <v>0</v>
      </c>
      <c r="U524" s="7"/>
      <c r="V524" s="7"/>
    </row>
    <row r="525" spans="8:22" hidden="1" x14ac:dyDescent="0.25">
      <c r="H525" s="41">
        <f t="shared" si="19"/>
        <v>0</v>
      </c>
      <c r="I525" s="41">
        <f t="shared" si="19"/>
        <v>0</v>
      </c>
      <c r="J525" s="41">
        <f t="shared" si="19"/>
        <v>0</v>
      </c>
      <c r="K525" s="41">
        <f t="shared" si="19"/>
        <v>0</v>
      </c>
      <c r="L525" s="41">
        <f t="shared" si="19"/>
        <v>0</v>
      </c>
      <c r="M525" s="41">
        <f t="shared" si="19"/>
        <v>0</v>
      </c>
      <c r="U525" s="7"/>
      <c r="V525" s="7"/>
    </row>
    <row r="526" spans="8:22" hidden="1" x14ac:dyDescent="0.25">
      <c r="H526" s="41">
        <f t="shared" si="19"/>
        <v>0</v>
      </c>
      <c r="I526" s="41">
        <f t="shared" si="19"/>
        <v>0</v>
      </c>
      <c r="J526" s="41">
        <f t="shared" si="19"/>
        <v>0</v>
      </c>
      <c r="K526" s="41">
        <f t="shared" si="19"/>
        <v>0</v>
      </c>
      <c r="L526" s="41">
        <f t="shared" si="19"/>
        <v>0</v>
      </c>
      <c r="M526" s="41">
        <f t="shared" si="19"/>
        <v>0</v>
      </c>
      <c r="U526" s="7"/>
      <c r="V526" s="7"/>
    </row>
    <row r="527" spans="8:22" hidden="1" x14ac:dyDescent="0.25">
      <c r="H527" s="41">
        <f t="shared" si="19"/>
        <v>0</v>
      </c>
      <c r="I527" s="41">
        <f t="shared" si="19"/>
        <v>0</v>
      </c>
      <c r="J527" s="41">
        <f t="shared" si="19"/>
        <v>0</v>
      </c>
      <c r="K527" s="41">
        <f t="shared" si="19"/>
        <v>0</v>
      </c>
      <c r="L527" s="41">
        <f t="shared" si="19"/>
        <v>0</v>
      </c>
      <c r="M527" s="41">
        <f t="shared" si="19"/>
        <v>0</v>
      </c>
      <c r="U527" s="7"/>
      <c r="V527" s="7"/>
    </row>
    <row r="528" spans="8:22" hidden="1" x14ac:dyDescent="0.25">
      <c r="H528" s="41">
        <f t="shared" si="19"/>
        <v>0</v>
      </c>
      <c r="I528" s="41">
        <f t="shared" si="19"/>
        <v>0</v>
      </c>
      <c r="J528" s="41">
        <f t="shared" si="19"/>
        <v>0</v>
      </c>
      <c r="K528" s="41">
        <f t="shared" si="19"/>
        <v>0</v>
      </c>
      <c r="L528" s="41">
        <f t="shared" si="19"/>
        <v>0</v>
      </c>
      <c r="M528" s="41">
        <f t="shared" si="19"/>
        <v>0</v>
      </c>
      <c r="U528" s="7"/>
      <c r="V528" s="7"/>
    </row>
    <row r="529" spans="8:22" hidden="1" x14ac:dyDescent="0.25">
      <c r="H529" s="41">
        <f t="shared" si="19"/>
        <v>0</v>
      </c>
      <c r="I529" s="41">
        <f t="shared" si="19"/>
        <v>0</v>
      </c>
      <c r="J529" s="41">
        <f t="shared" si="19"/>
        <v>0</v>
      </c>
      <c r="K529" s="41">
        <f t="shared" si="19"/>
        <v>0</v>
      </c>
      <c r="L529" s="41">
        <f t="shared" si="19"/>
        <v>0</v>
      </c>
      <c r="M529" s="41">
        <f t="shared" si="19"/>
        <v>0</v>
      </c>
      <c r="U529" s="7"/>
      <c r="V529" s="7"/>
    </row>
    <row r="530" spans="8:22" hidden="1" x14ac:dyDescent="0.25">
      <c r="H530" s="41">
        <f t="shared" si="19"/>
        <v>0</v>
      </c>
      <c r="I530" s="41">
        <f t="shared" si="19"/>
        <v>0</v>
      </c>
      <c r="J530" s="41">
        <f t="shared" si="19"/>
        <v>0</v>
      </c>
      <c r="K530" s="41">
        <f t="shared" si="19"/>
        <v>0</v>
      </c>
      <c r="L530" s="41">
        <f t="shared" si="19"/>
        <v>0</v>
      </c>
      <c r="M530" s="41">
        <f t="shared" si="19"/>
        <v>0</v>
      </c>
      <c r="U530" s="7"/>
      <c r="V530" s="7"/>
    </row>
    <row r="531" spans="8:22" hidden="1" x14ac:dyDescent="0.25">
      <c r="H531" s="41">
        <f t="shared" si="19"/>
        <v>0</v>
      </c>
      <c r="I531" s="41">
        <f t="shared" si="19"/>
        <v>0</v>
      </c>
      <c r="J531" s="41">
        <f t="shared" si="19"/>
        <v>0</v>
      </c>
      <c r="K531" s="41">
        <f t="shared" si="19"/>
        <v>0</v>
      </c>
      <c r="L531" s="41">
        <f t="shared" si="19"/>
        <v>0</v>
      </c>
      <c r="M531" s="41">
        <f t="shared" si="19"/>
        <v>0</v>
      </c>
      <c r="U531" s="7"/>
      <c r="V531" s="7"/>
    </row>
    <row r="532" spans="8:22" hidden="1" x14ac:dyDescent="0.25">
      <c r="H532" s="41">
        <f t="shared" si="19"/>
        <v>0</v>
      </c>
      <c r="I532" s="41">
        <f t="shared" si="19"/>
        <v>0</v>
      </c>
      <c r="J532" s="41">
        <f t="shared" si="19"/>
        <v>0</v>
      </c>
      <c r="K532" s="41">
        <f t="shared" si="19"/>
        <v>0</v>
      </c>
      <c r="L532" s="41">
        <f t="shared" si="19"/>
        <v>0</v>
      </c>
      <c r="M532" s="41">
        <f t="shared" si="19"/>
        <v>0</v>
      </c>
      <c r="U532" s="7"/>
      <c r="V532" s="7"/>
    </row>
    <row r="533" spans="8:22" hidden="1" x14ac:dyDescent="0.25">
      <c r="H533" s="41">
        <f t="shared" si="19"/>
        <v>0</v>
      </c>
      <c r="I533" s="41">
        <f t="shared" si="19"/>
        <v>0</v>
      </c>
      <c r="J533" s="41">
        <f t="shared" si="19"/>
        <v>0</v>
      </c>
      <c r="K533" s="41">
        <f t="shared" si="19"/>
        <v>0</v>
      </c>
      <c r="L533" s="41">
        <f t="shared" si="19"/>
        <v>0</v>
      </c>
      <c r="M533" s="41">
        <f t="shared" si="19"/>
        <v>0</v>
      </c>
      <c r="U533" s="7"/>
      <c r="V533" s="7"/>
    </row>
    <row r="534" spans="8:22" hidden="1" x14ac:dyDescent="0.25">
      <c r="H534" s="41">
        <f t="shared" si="19"/>
        <v>0</v>
      </c>
      <c r="I534" s="41">
        <f t="shared" si="19"/>
        <v>0</v>
      </c>
      <c r="J534" s="41">
        <f t="shared" si="19"/>
        <v>0</v>
      </c>
      <c r="K534" s="41">
        <f t="shared" si="19"/>
        <v>0</v>
      </c>
      <c r="L534" s="41">
        <f t="shared" si="19"/>
        <v>0</v>
      </c>
      <c r="M534" s="41">
        <f t="shared" si="19"/>
        <v>0</v>
      </c>
      <c r="U534" s="7"/>
      <c r="V534" s="7"/>
    </row>
    <row r="535" spans="8:22" hidden="1" x14ac:dyDescent="0.25">
      <c r="H535" s="41">
        <f t="shared" si="19"/>
        <v>0</v>
      </c>
      <c r="I535" s="41">
        <f t="shared" si="19"/>
        <v>0</v>
      </c>
      <c r="J535" s="41">
        <f t="shared" si="19"/>
        <v>0</v>
      </c>
      <c r="K535" s="41">
        <f t="shared" si="19"/>
        <v>0</v>
      </c>
      <c r="L535" s="41">
        <f t="shared" si="19"/>
        <v>0</v>
      </c>
      <c r="M535" s="41">
        <f t="shared" si="19"/>
        <v>0</v>
      </c>
      <c r="U535" s="7"/>
      <c r="V535" s="7"/>
    </row>
    <row r="536" spans="8:22" hidden="1" x14ac:dyDescent="0.25">
      <c r="H536" s="41">
        <f t="shared" si="19"/>
        <v>0</v>
      </c>
      <c r="I536" s="41">
        <f t="shared" si="19"/>
        <v>0</v>
      </c>
      <c r="J536" s="41">
        <f t="shared" si="19"/>
        <v>0</v>
      </c>
      <c r="K536" s="41">
        <f t="shared" si="19"/>
        <v>0</v>
      </c>
      <c r="L536" s="41">
        <f t="shared" si="19"/>
        <v>0</v>
      </c>
      <c r="M536" s="41">
        <f t="shared" si="19"/>
        <v>0</v>
      </c>
      <c r="U536" s="7"/>
      <c r="V536" s="7"/>
    </row>
    <row r="537" spans="8:22" hidden="1" x14ac:dyDescent="0.25">
      <c r="H537" s="41">
        <f t="shared" si="19"/>
        <v>0</v>
      </c>
      <c r="I537" s="41">
        <f t="shared" si="19"/>
        <v>0</v>
      </c>
      <c r="J537" s="41">
        <f t="shared" si="19"/>
        <v>0</v>
      </c>
      <c r="K537" s="41">
        <f t="shared" si="19"/>
        <v>0</v>
      </c>
      <c r="L537" s="41">
        <f t="shared" si="19"/>
        <v>0</v>
      </c>
      <c r="M537" s="41">
        <f t="shared" si="19"/>
        <v>0</v>
      </c>
      <c r="U537" s="7"/>
      <c r="V537" s="7"/>
    </row>
    <row r="538" spans="8:22" hidden="1" x14ac:dyDescent="0.25">
      <c r="H538" s="41">
        <f t="shared" si="19"/>
        <v>0</v>
      </c>
      <c r="I538" s="41">
        <f t="shared" si="19"/>
        <v>0</v>
      </c>
      <c r="J538" s="41">
        <f t="shared" si="19"/>
        <v>0</v>
      </c>
      <c r="K538" s="41">
        <f t="shared" si="19"/>
        <v>0</v>
      </c>
      <c r="L538" s="41">
        <f t="shared" si="19"/>
        <v>0</v>
      </c>
      <c r="M538" s="41">
        <f t="shared" si="19"/>
        <v>0</v>
      </c>
      <c r="U538" s="7"/>
      <c r="V538" s="7"/>
    </row>
    <row r="539" spans="8:22" hidden="1" x14ac:dyDescent="0.25">
      <c r="H539" s="41">
        <f t="shared" si="19"/>
        <v>0</v>
      </c>
      <c r="I539" s="41">
        <f t="shared" si="19"/>
        <v>0</v>
      </c>
      <c r="J539" s="41">
        <f t="shared" si="19"/>
        <v>0</v>
      </c>
      <c r="K539" s="41">
        <f t="shared" si="19"/>
        <v>0</v>
      </c>
      <c r="L539" s="41">
        <f t="shared" si="19"/>
        <v>0</v>
      </c>
      <c r="M539" s="41">
        <f t="shared" si="19"/>
        <v>0</v>
      </c>
      <c r="U539" s="7"/>
      <c r="V539" s="7"/>
    </row>
    <row r="540" spans="8:22" hidden="1" x14ac:dyDescent="0.25">
      <c r="H540" s="41">
        <f t="shared" si="19"/>
        <v>0</v>
      </c>
      <c r="I540" s="41">
        <f t="shared" si="19"/>
        <v>0</v>
      </c>
      <c r="J540" s="41">
        <f t="shared" si="19"/>
        <v>0</v>
      </c>
      <c r="K540" s="41">
        <f t="shared" si="19"/>
        <v>0</v>
      </c>
      <c r="L540" s="41">
        <f t="shared" si="19"/>
        <v>0</v>
      </c>
      <c r="M540" s="41">
        <f t="shared" si="19"/>
        <v>0</v>
      </c>
      <c r="U540" s="7"/>
      <c r="V540" s="7"/>
    </row>
    <row r="541" spans="8:22" hidden="1" x14ac:dyDescent="0.25">
      <c r="H541" s="41">
        <f t="shared" si="19"/>
        <v>0</v>
      </c>
      <c r="I541" s="41">
        <f t="shared" si="19"/>
        <v>0</v>
      </c>
      <c r="J541" s="41">
        <f t="shared" si="19"/>
        <v>0</v>
      </c>
      <c r="K541" s="41">
        <f t="shared" si="19"/>
        <v>0</v>
      </c>
      <c r="L541" s="41">
        <f t="shared" si="19"/>
        <v>0</v>
      </c>
      <c r="M541" s="41">
        <f t="shared" si="19"/>
        <v>0</v>
      </c>
      <c r="U541" s="7"/>
      <c r="V541" s="7"/>
    </row>
    <row r="542" spans="8:22" hidden="1" x14ac:dyDescent="0.25">
      <c r="H542" s="41">
        <f t="shared" si="19"/>
        <v>0</v>
      </c>
      <c r="I542" s="41">
        <f t="shared" si="19"/>
        <v>0</v>
      </c>
      <c r="J542" s="41">
        <f t="shared" si="19"/>
        <v>0</v>
      </c>
      <c r="K542" s="41">
        <f t="shared" si="19"/>
        <v>0</v>
      </c>
      <c r="L542" s="41">
        <f t="shared" si="19"/>
        <v>0</v>
      </c>
      <c r="M542" s="41">
        <f t="shared" si="19"/>
        <v>0</v>
      </c>
      <c r="U542" s="7"/>
      <c r="V542" s="7"/>
    </row>
    <row r="543" spans="8:22" hidden="1" x14ac:dyDescent="0.25">
      <c r="H543" s="41">
        <f t="shared" si="19"/>
        <v>0</v>
      </c>
      <c r="I543" s="41">
        <f t="shared" si="19"/>
        <v>0</v>
      </c>
      <c r="J543" s="41">
        <f t="shared" si="19"/>
        <v>0</v>
      </c>
      <c r="K543" s="41">
        <f t="shared" si="19"/>
        <v>0</v>
      </c>
      <c r="L543" s="41">
        <f t="shared" si="19"/>
        <v>0</v>
      </c>
      <c r="M543" s="41">
        <f t="shared" si="19"/>
        <v>0</v>
      </c>
      <c r="U543" s="7"/>
      <c r="V543" s="7"/>
    </row>
    <row r="544" spans="8:22" hidden="1" x14ac:dyDescent="0.25">
      <c r="H544" s="41">
        <f t="shared" si="19"/>
        <v>0</v>
      </c>
      <c r="I544" s="41">
        <f t="shared" si="19"/>
        <v>0</v>
      </c>
      <c r="J544" s="41">
        <f t="shared" si="19"/>
        <v>0</v>
      </c>
      <c r="K544" s="41">
        <f t="shared" si="19"/>
        <v>0</v>
      </c>
      <c r="L544" s="41">
        <f t="shared" si="19"/>
        <v>0</v>
      </c>
      <c r="M544" s="41">
        <f t="shared" si="19"/>
        <v>0</v>
      </c>
      <c r="U544" s="7"/>
      <c r="V544" s="7"/>
    </row>
    <row r="545" spans="8:22" hidden="1" x14ac:dyDescent="0.25">
      <c r="H545" s="41">
        <f t="shared" si="19"/>
        <v>0</v>
      </c>
      <c r="I545" s="41">
        <f t="shared" si="19"/>
        <v>0</v>
      </c>
      <c r="J545" s="41">
        <f t="shared" si="19"/>
        <v>0</v>
      </c>
      <c r="K545" s="41">
        <f t="shared" si="19"/>
        <v>0</v>
      </c>
      <c r="L545" s="41">
        <f t="shared" si="19"/>
        <v>0</v>
      </c>
      <c r="M545" s="41">
        <f t="shared" si="19"/>
        <v>0</v>
      </c>
      <c r="U545" s="7"/>
      <c r="V545" s="7"/>
    </row>
    <row r="546" spans="8:22" hidden="1" x14ac:dyDescent="0.25">
      <c r="H546" s="41">
        <f t="shared" ref="H546:M564" si="20">BL34</f>
        <v>0</v>
      </c>
      <c r="I546" s="41">
        <f t="shared" si="20"/>
        <v>0</v>
      </c>
      <c r="J546" s="41">
        <f t="shared" si="20"/>
        <v>0</v>
      </c>
      <c r="K546" s="41">
        <f t="shared" si="20"/>
        <v>0</v>
      </c>
      <c r="L546" s="41">
        <f t="shared" si="20"/>
        <v>0</v>
      </c>
      <c r="M546" s="41">
        <f t="shared" si="20"/>
        <v>0</v>
      </c>
      <c r="U546" s="7"/>
      <c r="V546" s="7"/>
    </row>
    <row r="547" spans="8:22" hidden="1" x14ac:dyDescent="0.25">
      <c r="H547" s="41">
        <f t="shared" si="20"/>
        <v>0</v>
      </c>
      <c r="I547" s="41">
        <f t="shared" si="20"/>
        <v>0</v>
      </c>
      <c r="J547" s="41">
        <f t="shared" si="20"/>
        <v>0</v>
      </c>
      <c r="K547" s="41">
        <f t="shared" si="20"/>
        <v>0</v>
      </c>
      <c r="L547" s="41">
        <f t="shared" si="20"/>
        <v>0</v>
      </c>
      <c r="M547" s="41">
        <f t="shared" si="20"/>
        <v>0</v>
      </c>
      <c r="U547" s="7"/>
      <c r="V547" s="7"/>
    </row>
    <row r="548" spans="8:22" hidden="1" x14ac:dyDescent="0.25">
      <c r="H548" s="41">
        <f t="shared" si="20"/>
        <v>0</v>
      </c>
      <c r="I548" s="41">
        <f t="shared" si="20"/>
        <v>0</v>
      </c>
      <c r="J548" s="41">
        <f t="shared" si="20"/>
        <v>0</v>
      </c>
      <c r="K548" s="41">
        <f t="shared" si="20"/>
        <v>0</v>
      </c>
      <c r="L548" s="41">
        <f t="shared" si="20"/>
        <v>0</v>
      </c>
      <c r="M548" s="41">
        <f t="shared" si="20"/>
        <v>0</v>
      </c>
      <c r="U548" s="7"/>
      <c r="V548" s="7"/>
    </row>
    <row r="549" spans="8:22" hidden="1" x14ac:dyDescent="0.25">
      <c r="H549" s="41">
        <f t="shared" si="20"/>
        <v>0</v>
      </c>
      <c r="I549" s="41">
        <f t="shared" si="20"/>
        <v>0</v>
      </c>
      <c r="J549" s="41">
        <f t="shared" si="20"/>
        <v>0</v>
      </c>
      <c r="K549" s="41">
        <f t="shared" si="20"/>
        <v>0</v>
      </c>
      <c r="L549" s="41">
        <f t="shared" si="20"/>
        <v>0</v>
      </c>
      <c r="M549" s="41">
        <f t="shared" si="20"/>
        <v>0</v>
      </c>
      <c r="U549" s="7"/>
      <c r="V549" s="7"/>
    </row>
    <row r="550" spans="8:22" hidden="1" x14ac:dyDescent="0.25">
      <c r="H550" s="41">
        <f t="shared" si="20"/>
        <v>0</v>
      </c>
      <c r="I550" s="41">
        <f t="shared" si="20"/>
        <v>0</v>
      </c>
      <c r="J550" s="41">
        <f t="shared" si="20"/>
        <v>0</v>
      </c>
      <c r="K550" s="41">
        <f t="shared" si="20"/>
        <v>0</v>
      </c>
      <c r="L550" s="41">
        <f t="shared" si="20"/>
        <v>0</v>
      </c>
      <c r="M550" s="41">
        <f t="shared" si="20"/>
        <v>0</v>
      </c>
      <c r="U550" s="7"/>
      <c r="V550" s="7"/>
    </row>
    <row r="551" spans="8:22" hidden="1" x14ac:dyDescent="0.25">
      <c r="H551" s="41">
        <f t="shared" si="20"/>
        <v>0</v>
      </c>
      <c r="I551" s="41">
        <f t="shared" si="20"/>
        <v>0</v>
      </c>
      <c r="J551" s="41">
        <f t="shared" si="20"/>
        <v>0</v>
      </c>
      <c r="K551" s="41">
        <f t="shared" si="20"/>
        <v>0</v>
      </c>
      <c r="L551" s="41">
        <f t="shared" si="20"/>
        <v>0</v>
      </c>
      <c r="M551" s="41">
        <f t="shared" si="20"/>
        <v>0</v>
      </c>
      <c r="U551" s="7"/>
      <c r="V551" s="7"/>
    </row>
    <row r="552" spans="8:22" hidden="1" x14ac:dyDescent="0.25">
      <c r="H552" s="41">
        <f t="shared" si="20"/>
        <v>0</v>
      </c>
      <c r="I552" s="41">
        <f t="shared" si="20"/>
        <v>0</v>
      </c>
      <c r="J552" s="41">
        <f t="shared" si="20"/>
        <v>0</v>
      </c>
      <c r="K552" s="41">
        <f t="shared" si="20"/>
        <v>0</v>
      </c>
      <c r="L552" s="41">
        <f t="shared" si="20"/>
        <v>0</v>
      </c>
      <c r="M552" s="41">
        <f t="shared" si="20"/>
        <v>0</v>
      </c>
      <c r="U552" s="7"/>
      <c r="V552" s="7"/>
    </row>
    <row r="553" spans="8:22" hidden="1" x14ac:dyDescent="0.25">
      <c r="H553" s="41">
        <f t="shared" si="20"/>
        <v>0</v>
      </c>
      <c r="I553" s="41">
        <f t="shared" si="20"/>
        <v>0</v>
      </c>
      <c r="J553" s="41">
        <f t="shared" si="20"/>
        <v>0</v>
      </c>
      <c r="K553" s="41">
        <f t="shared" si="20"/>
        <v>0</v>
      </c>
      <c r="L553" s="41">
        <f t="shared" si="20"/>
        <v>0</v>
      </c>
      <c r="M553" s="41">
        <f t="shared" si="20"/>
        <v>0</v>
      </c>
      <c r="U553" s="7"/>
      <c r="V553" s="7"/>
    </row>
    <row r="554" spans="8:22" hidden="1" x14ac:dyDescent="0.25">
      <c r="H554" s="41">
        <f t="shared" si="20"/>
        <v>0</v>
      </c>
      <c r="I554" s="41">
        <f t="shared" si="20"/>
        <v>0</v>
      </c>
      <c r="J554" s="41">
        <f t="shared" si="20"/>
        <v>0</v>
      </c>
      <c r="K554" s="41">
        <f t="shared" si="20"/>
        <v>0</v>
      </c>
      <c r="L554" s="41">
        <f t="shared" si="20"/>
        <v>0</v>
      </c>
      <c r="M554" s="41">
        <f t="shared" si="20"/>
        <v>0</v>
      </c>
      <c r="U554" s="7"/>
      <c r="V554" s="7"/>
    </row>
    <row r="555" spans="8:22" hidden="1" x14ac:dyDescent="0.25">
      <c r="H555" s="41">
        <f t="shared" si="20"/>
        <v>0</v>
      </c>
      <c r="I555" s="41">
        <f t="shared" si="20"/>
        <v>0</v>
      </c>
      <c r="J555" s="41">
        <f t="shared" si="20"/>
        <v>0</v>
      </c>
      <c r="K555" s="41">
        <f t="shared" si="20"/>
        <v>0</v>
      </c>
      <c r="L555" s="41">
        <f t="shared" si="20"/>
        <v>0</v>
      </c>
      <c r="M555" s="41">
        <f t="shared" si="20"/>
        <v>0</v>
      </c>
      <c r="U555" s="7"/>
      <c r="V555" s="7"/>
    </row>
    <row r="556" spans="8:22" hidden="1" x14ac:dyDescent="0.25">
      <c r="H556" s="41">
        <f t="shared" si="20"/>
        <v>0</v>
      </c>
      <c r="I556" s="41">
        <f t="shared" si="20"/>
        <v>0</v>
      </c>
      <c r="J556" s="41">
        <f t="shared" si="20"/>
        <v>0</v>
      </c>
      <c r="K556" s="41">
        <f t="shared" si="20"/>
        <v>0</v>
      </c>
      <c r="L556" s="41">
        <f t="shared" si="20"/>
        <v>0</v>
      </c>
      <c r="M556" s="41">
        <f t="shared" si="20"/>
        <v>0</v>
      </c>
      <c r="U556" s="7"/>
      <c r="V556" s="7"/>
    </row>
    <row r="557" spans="8:22" hidden="1" x14ac:dyDescent="0.25">
      <c r="H557" s="41">
        <f t="shared" si="20"/>
        <v>0</v>
      </c>
      <c r="I557" s="41">
        <f t="shared" si="20"/>
        <v>0</v>
      </c>
      <c r="J557" s="41">
        <f t="shared" si="20"/>
        <v>0</v>
      </c>
      <c r="K557" s="41">
        <f t="shared" si="20"/>
        <v>0</v>
      </c>
      <c r="L557" s="41">
        <f t="shared" si="20"/>
        <v>0</v>
      </c>
      <c r="M557" s="41">
        <f t="shared" si="20"/>
        <v>0</v>
      </c>
      <c r="U557" s="7"/>
      <c r="V557" s="7"/>
    </row>
    <row r="558" spans="8:22" hidden="1" x14ac:dyDescent="0.25">
      <c r="H558" s="41">
        <f t="shared" si="20"/>
        <v>0</v>
      </c>
      <c r="I558" s="41">
        <f t="shared" si="20"/>
        <v>0</v>
      </c>
      <c r="J558" s="41">
        <f t="shared" si="20"/>
        <v>0</v>
      </c>
      <c r="K558" s="41">
        <f t="shared" si="20"/>
        <v>0</v>
      </c>
      <c r="L558" s="41">
        <f t="shared" si="20"/>
        <v>0</v>
      </c>
      <c r="M558" s="41">
        <f t="shared" si="20"/>
        <v>0</v>
      </c>
      <c r="U558" s="7"/>
      <c r="V558" s="7"/>
    </row>
    <row r="559" spans="8:22" hidden="1" x14ac:dyDescent="0.25">
      <c r="H559" s="41">
        <f t="shared" si="20"/>
        <v>0</v>
      </c>
      <c r="I559" s="41">
        <f t="shared" si="20"/>
        <v>0</v>
      </c>
      <c r="J559" s="41">
        <f t="shared" si="20"/>
        <v>0</v>
      </c>
      <c r="K559" s="41">
        <f t="shared" si="20"/>
        <v>0</v>
      </c>
      <c r="L559" s="41">
        <f t="shared" si="20"/>
        <v>0</v>
      </c>
      <c r="M559" s="41">
        <f t="shared" si="20"/>
        <v>0</v>
      </c>
      <c r="U559" s="7"/>
      <c r="V559" s="7"/>
    </row>
    <row r="560" spans="8:22" hidden="1" x14ac:dyDescent="0.25">
      <c r="H560" s="41">
        <f t="shared" si="20"/>
        <v>0</v>
      </c>
      <c r="I560" s="41">
        <f t="shared" si="20"/>
        <v>0</v>
      </c>
      <c r="J560" s="41">
        <f t="shared" si="20"/>
        <v>0</v>
      </c>
      <c r="K560" s="41">
        <f t="shared" si="20"/>
        <v>0</v>
      </c>
      <c r="L560" s="41">
        <f t="shared" si="20"/>
        <v>0</v>
      </c>
      <c r="M560" s="41">
        <f t="shared" si="20"/>
        <v>0</v>
      </c>
      <c r="U560" s="7"/>
      <c r="V560" s="7"/>
    </row>
    <row r="561" spans="1:33" hidden="1" x14ac:dyDescent="0.25">
      <c r="H561" s="41">
        <f t="shared" si="20"/>
        <v>0</v>
      </c>
      <c r="I561" s="41">
        <f t="shared" si="20"/>
        <v>0</v>
      </c>
      <c r="J561" s="41">
        <f t="shared" si="20"/>
        <v>0</v>
      </c>
      <c r="K561" s="41">
        <f t="shared" si="20"/>
        <v>0</v>
      </c>
      <c r="L561" s="41">
        <f t="shared" si="20"/>
        <v>0</v>
      </c>
      <c r="M561" s="41">
        <f t="shared" si="20"/>
        <v>0</v>
      </c>
      <c r="U561" s="7"/>
      <c r="V561" s="7"/>
    </row>
    <row r="562" spans="1:33" hidden="1" x14ac:dyDescent="0.25">
      <c r="H562" s="41">
        <f t="shared" si="20"/>
        <v>0</v>
      </c>
      <c r="I562" s="41">
        <f t="shared" si="20"/>
        <v>0</v>
      </c>
      <c r="J562" s="41">
        <f t="shared" si="20"/>
        <v>0</v>
      </c>
      <c r="K562" s="41">
        <f t="shared" si="20"/>
        <v>0</v>
      </c>
      <c r="L562" s="41">
        <f t="shared" si="20"/>
        <v>0</v>
      </c>
      <c r="M562" s="41">
        <f t="shared" si="20"/>
        <v>0</v>
      </c>
      <c r="U562" s="7"/>
      <c r="V562" s="7"/>
    </row>
    <row r="563" spans="1:33" hidden="1" x14ac:dyDescent="0.25">
      <c r="H563" s="41">
        <f t="shared" si="20"/>
        <v>0</v>
      </c>
      <c r="I563" s="41">
        <f t="shared" si="20"/>
        <v>0</v>
      </c>
      <c r="J563" s="41">
        <f t="shared" si="20"/>
        <v>0</v>
      </c>
      <c r="K563" s="41">
        <f t="shared" si="20"/>
        <v>0</v>
      </c>
      <c r="L563" s="41">
        <f t="shared" si="20"/>
        <v>0</v>
      </c>
      <c r="M563" s="41">
        <f t="shared" si="20"/>
        <v>0</v>
      </c>
      <c r="U563" s="7"/>
      <c r="V563" s="7"/>
    </row>
    <row r="564" spans="1:33" hidden="1" x14ac:dyDescent="0.25">
      <c r="H564" s="41">
        <f t="shared" si="20"/>
        <v>0</v>
      </c>
      <c r="I564" s="41">
        <f t="shared" si="20"/>
        <v>0</v>
      </c>
      <c r="J564" s="41">
        <f t="shared" si="20"/>
        <v>0</v>
      </c>
      <c r="K564" s="41">
        <f t="shared" si="20"/>
        <v>0</v>
      </c>
      <c r="L564" s="41">
        <f t="shared" si="20"/>
        <v>0</v>
      </c>
      <c r="M564" s="41">
        <f t="shared" si="20"/>
        <v>0</v>
      </c>
      <c r="U564" s="7"/>
      <c r="V564" s="7"/>
    </row>
    <row r="565" spans="1:33" ht="15.75" thickBot="1" x14ac:dyDescent="0.3">
      <c r="T565" s="195" t="s">
        <v>83</v>
      </c>
      <c r="U565" s="196"/>
      <c r="V565" s="197">
        <v>0.4458333333333333</v>
      </c>
      <c r="W565" s="198"/>
      <c r="X565" s="198"/>
    </row>
    <row r="566" spans="1:33" ht="19.5" thickBot="1" x14ac:dyDescent="0.35">
      <c r="A566" s="199" t="s">
        <v>248</v>
      </c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  <c r="AB566" s="200"/>
      <c r="AC566" s="200"/>
      <c r="AD566" s="200"/>
      <c r="AE566" s="200"/>
      <c r="AF566" s="200"/>
      <c r="AG566" s="201"/>
    </row>
    <row r="567" spans="1:33" x14ac:dyDescent="0.25">
      <c r="A567" s="190" t="s">
        <v>31</v>
      </c>
      <c r="B567" s="191" t="s">
        <v>22</v>
      </c>
      <c r="C567" s="192"/>
      <c r="D567" s="192"/>
      <c r="E567" s="192"/>
      <c r="F567" s="193"/>
      <c r="G567" s="191" t="s">
        <v>20</v>
      </c>
      <c r="H567" s="192"/>
      <c r="I567" s="192"/>
      <c r="J567" s="192"/>
      <c r="K567" s="193"/>
      <c r="L567" s="191" t="s">
        <v>34</v>
      </c>
      <c r="M567" s="192"/>
      <c r="N567" s="192"/>
      <c r="O567" s="192"/>
      <c r="P567" s="193"/>
      <c r="Q567" s="191" t="s">
        <v>127</v>
      </c>
      <c r="R567" s="192"/>
      <c r="S567" s="192"/>
      <c r="T567" s="192"/>
      <c r="U567" s="193"/>
      <c r="V567" s="191" t="s">
        <v>129</v>
      </c>
      <c r="W567" s="192"/>
      <c r="X567" s="192"/>
      <c r="Y567" s="192"/>
      <c r="Z567" s="193"/>
      <c r="AA567" s="191" t="s">
        <v>26</v>
      </c>
      <c r="AB567" s="192"/>
      <c r="AC567" s="192"/>
      <c r="AD567" s="192"/>
      <c r="AE567" s="193"/>
      <c r="AF567" s="194" t="s">
        <v>24</v>
      </c>
      <c r="AG567" s="194" t="s">
        <v>86</v>
      </c>
    </row>
    <row r="568" spans="1:33" ht="15.75" thickBot="1" x14ac:dyDescent="0.3">
      <c r="A568" s="124"/>
      <c r="B568" s="9" t="s">
        <v>32</v>
      </c>
      <c r="C568" s="12" t="s">
        <v>17</v>
      </c>
      <c r="D568" s="12" t="s">
        <v>19</v>
      </c>
      <c r="E568" s="12" t="s">
        <v>33</v>
      </c>
      <c r="F568" s="14" t="s">
        <v>80</v>
      </c>
      <c r="G568" s="9" t="s">
        <v>32</v>
      </c>
      <c r="H568" s="12" t="s">
        <v>17</v>
      </c>
      <c r="I568" s="12" t="s">
        <v>19</v>
      </c>
      <c r="J568" s="12" t="s">
        <v>33</v>
      </c>
      <c r="K568" s="14" t="s">
        <v>80</v>
      </c>
      <c r="L568" s="9" t="s">
        <v>32</v>
      </c>
      <c r="M568" s="12" t="s">
        <v>17</v>
      </c>
      <c r="N568" s="12" t="s">
        <v>19</v>
      </c>
      <c r="O568" s="12" t="s">
        <v>33</v>
      </c>
      <c r="P568" s="14" t="s">
        <v>80</v>
      </c>
      <c r="Q568" s="9" t="s">
        <v>32</v>
      </c>
      <c r="R568" s="12" t="s">
        <v>17</v>
      </c>
      <c r="S568" s="12" t="s">
        <v>19</v>
      </c>
      <c r="T568" s="12" t="s">
        <v>33</v>
      </c>
      <c r="U568" s="14" t="s">
        <v>80</v>
      </c>
      <c r="V568" s="9" t="s">
        <v>32</v>
      </c>
      <c r="W568" s="12" t="s">
        <v>17</v>
      </c>
      <c r="X568" s="12" t="s">
        <v>19</v>
      </c>
      <c r="Y568" s="12" t="s">
        <v>33</v>
      </c>
      <c r="Z568" s="14" t="s">
        <v>80</v>
      </c>
      <c r="AA568" s="9" t="s">
        <v>32</v>
      </c>
      <c r="AB568" s="12" t="s">
        <v>17</v>
      </c>
      <c r="AC568" s="12" t="s">
        <v>19</v>
      </c>
      <c r="AD568" s="12" t="s">
        <v>33</v>
      </c>
      <c r="AE568" s="14" t="s">
        <v>80</v>
      </c>
      <c r="AF568" s="117"/>
      <c r="AG568" s="117"/>
    </row>
    <row r="569" spans="1:33" x14ac:dyDescent="0.25">
      <c r="A569" s="16">
        <v>300</v>
      </c>
      <c r="B569" s="10">
        <f>SUMIFS($J$55:$J$564,$I$55:$I$564,$A569,$K$55:$K$564,B$568,$H$55:$H$564,"AG",$L$55:$L$564,$B$567)</f>
        <v>0</v>
      </c>
      <c r="C569" s="11">
        <f>SUMIFS($J$55:$J$564,$I$55:$I$564,$A569,$K$55:$K$564,C$568,$H$55:$H$564,"AG",$L$55:$L$564,$B$567)</f>
        <v>0</v>
      </c>
      <c r="D569" s="11">
        <f>SUMIFS($J$55:$J$564,$I$55:$I$564,$A569,$K$55:$K$564,D$568,$H$55:$H$564,"AG",$L$55:$L$564,$B$567)</f>
        <v>0</v>
      </c>
      <c r="E569" s="11">
        <f>SUMIFS($J$55:$J$564,$I$55:$I$564,$A569,$K$55:$K$564,E$568,$H$55:$H$564,"AG",$L$55:$L$564,$B$567)</f>
        <v>0</v>
      </c>
      <c r="F569" s="17">
        <f>SUMIFS($J$55:$J$564,$I$55:$I$564,$A569,$K$55:$K$564,F$568,$H$55:$H$564,"AG",$L$55:$L$564,$B$567)</f>
        <v>0</v>
      </c>
      <c r="G569" s="10">
        <f>SUMIFS($J$55:$J$564,$I$55:$I$564,$A569,$K$55:$K$564,G$568,$H$55:$H$564,"AG",$L$55:$L$564,$G$567)</f>
        <v>0</v>
      </c>
      <c r="H569" s="11">
        <f>SUMIFS($J$55:$J$564,$I$55:$I$564,$A569,$K$55:$K$564,H$568,$H$55:$H$564,"AG",$L$55:$L$564,$G$567)</f>
        <v>0</v>
      </c>
      <c r="I569" s="11">
        <f>SUMIFS($J$55:$J$564,$I$55:$I$564,$A569,$K$55:$K$564,I$568,$H$55:$H$564,"AG",$L$55:$L$564,$G$567)</f>
        <v>0</v>
      </c>
      <c r="J569" s="11">
        <f>SUMIFS($J$55:$J$564,$I$55:$I$564,$A569,$K$55:$K$564,J$568,$H$55:$H$564,"AG",$L$55:$L$564,$G$567)</f>
        <v>0</v>
      </c>
      <c r="K569" s="17">
        <f>SUMIFS($J$55:$J$564,$I$55:$I$564,$A569,$K$55:$K$564,K$568,$H$55:$H$564,"AG",$L$55:$L$564,$G$567)</f>
        <v>0</v>
      </c>
      <c r="L569" s="10">
        <f>SUMIFS($J$55:$J$564,$I$55:$I$564,$A569,$K$55:$K$564,L$568,$H$55:$H$564,"AG",$L$55:$L$564,$L$567)</f>
        <v>0</v>
      </c>
      <c r="M569" s="11">
        <f>SUMIFS($J$55:$J$564,$I$55:$I$564,$A569,$K$55:$K$564,M$568,$H$55:$H$564,"AG",$L$55:$L$564,$L$567)</f>
        <v>0</v>
      </c>
      <c r="N569" s="11">
        <f>SUMIFS($J$55:$J$564,$I$55:$I$564,$A569,$K$55:$K$564,N$568,$H$55:$H$564,"AG",$L$55:$L$564,$L$567)</f>
        <v>0</v>
      </c>
      <c r="O569" s="11">
        <f>SUMIFS($J$55:$J$564,$I$55:$I$564,$A569,$K$55:$K$564,O$568,$H$55:$H$564,"AG",$L$55:$L$564,$L$567)</f>
        <v>0</v>
      </c>
      <c r="P569" s="17">
        <f>SUMIFS($J$55:$J$564,$I$55:$I$564,$A569,$K$55:$K$564,P$568,$H$55:$H$564,"AG",$L$55:$L$564,$L$567)</f>
        <v>0</v>
      </c>
      <c r="Q569" s="10">
        <f>SUMIFS($J$55:$J$564,$I$55:$I$564,$A569,$K$55:$K$564,Q$568,$H$55:$H$564,"AG",$L$55:$L$564,$Q$567)</f>
        <v>0</v>
      </c>
      <c r="R569" s="11">
        <f>SUMIFS($J$55:$J$564,$I$55:$I$564,$A569,$K$55:$K$564,R$568,$H$55:$H$564,"AG",$L$55:$L$564,$Q$567)</f>
        <v>0</v>
      </c>
      <c r="S569" s="11">
        <f>SUMIFS($J$55:$J$564,$I$55:$I$564,$A569,$K$55:$K$564,S$568,$H$55:$H$564,"AG",$L$55:$L$564,$Q$567)</f>
        <v>0</v>
      </c>
      <c r="T569" s="11">
        <f>SUMIFS($J$55:$J$564,$I$55:$I$564,$A569,$K$55:$K$564,T$568,$H$55:$H$564,"AG",$L$55:$L$564,$Q$567)</f>
        <v>0</v>
      </c>
      <c r="U569" s="17">
        <f>SUMIFS($J$55:$J$564,$I$55:$I$564,$A569,$K$55:$K$564,U$568,$H$55:$H$564,"AG",$L$55:$L$564,$Q$567)</f>
        <v>0</v>
      </c>
      <c r="V569" s="10">
        <f>SUMIFS($J$55:$J$564,$I$55:$I$564,$A569,$K$55:$K$564,V$568,$H$55:$H$564,"AG",$L$55:$L$564,$V$567)</f>
        <v>0</v>
      </c>
      <c r="W569" s="11">
        <f>SUMIFS($J$55:$J$564,$I$55:$I$564,$A569,$K$55:$K$564,W$568,$H$55:$H$564,"AG",$L$55:$L$564,$V$567)</f>
        <v>0</v>
      </c>
      <c r="X569" s="11">
        <f>SUMIFS($J$55:$J$564,$I$55:$I$564,$A569,$K$55:$K$564,X$568,$H$55:$H$564,"AG",$L$55:$L$564,$V$567)</f>
        <v>0</v>
      </c>
      <c r="Y569" s="11">
        <f>SUMIFS($J$55:$J$564,$I$55:$I$564,$A569,$K$55:$K$564,Y$568,$H$55:$H$564,"AG",$L$55:$L$564,$V$567)</f>
        <v>0</v>
      </c>
      <c r="Z569" s="17">
        <f>SUMIFS($J$55:$J$564,$I$55:$I$564,$A569,$K$55:$K$564,Z$568,$H$55:$H$564,"AG",$L$55:$L$564,$V$567)</f>
        <v>0</v>
      </c>
      <c r="AA569" s="10">
        <f>SUMIFS($J$55:$J$564,$I$55:$I$564,$A569,$K$55:$K$564,AA$568,$H$55:$H$564,"AG",$L$55:$L$564,$AA$567)</f>
        <v>0</v>
      </c>
      <c r="AB569" s="11">
        <f>SUMIFS($J$55:$J$564,$I$55:$I$564,$A569,$K$55:$K$564,AB$568,$H$55:$H$564,"AG",$L$55:$L$564,$AA$567)</f>
        <v>0</v>
      </c>
      <c r="AC569" s="11">
        <f>SUMIFS($J$55:$J$564,$I$55:$I$564,$A569,$K$55:$K$564,AC$568,$H$55:$H$564,"AG",$L$55:$L$564,$AA$567)</f>
        <v>0</v>
      </c>
      <c r="AD569" s="11">
        <f>SUMIFS($J$55:$J$564,$I$55:$I$564,$A569,$K$55:$K$564,AD$568,$H$55:$H$564,"AG",$L$55:$L$564,$AA$567)</f>
        <v>0</v>
      </c>
      <c r="AE569" s="17">
        <f>SUMIFS($J$55:$J$564,$I$55:$I$564,$A569,$K$55:$K$564,AE$568,$H$55:$H$564,"AG",$L$55:$L$564,$AA$567)</f>
        <v>0</v>
      </c>
      <c r="AF569" s="16">
        <f>SUM(B569:U569)*A569</f>
        <v>0</v>
      </c>
      <c r="AG569" s="16">
        <f>SUM(B569:U569)</f>
        <v>0</v>
      </c>
    </row>
    <row r="570" spans="1:33" x14ac:dyDescent="0.25">
      <c r="A570" s="16">
        <v>500</v>
      </c>
      <c r="B570" s="10">
        <f>SUMIFS($J$55:$J$564,$I$55:$I$564,$A570,$K$55:$K$564,B$568,$H$55:$H$564,"AG",$L$55:$L$564,$B$567)</f>
        <v>0</v>
      </c>
      <c r="C570" s="11">
        <f>SUMIFS($J$55:$J$564,$I$55:$I$564,$A570,$K$55:$K$564,C$568,$H$55:$H$564,"AG",$L$55:$L$564,$B$567)</f>
        <v>0</v>
      </c>
      <c r="D570" s="11">
        <f>SUMIFS($J$55:$J$564,$I$55:$I$564,$A570,$K$55:$K$564,D$568,$H$55:$H$564,"AG",$L$55:$L$564,$B$567)</f>
        <v>0</v>
      </c>
      <c r="E570" s="11">
        <f>SUMIFS($J$55:$J$564,$I$55:$I$564,$A570,$K$55:$K$564,E$568,$H$55:$H$564,"AG",$L$55:$L$564,$B$567)</f>
        <v>0</v>
      </c>
      <c r="F570" s="17">
        <f>SUMIFS($J$55:$J$564,$I$55:$I$564,$A570,$K$55:$K$564,F$568,$H$55:$H$564,"AG",$L$55:$L$564,$B$567)</f>
        <v>0</v>
      </c>
      <c r="G570" s="10">
        <f>SUMIFS($J$55:$J$564,$I$55:$I$564,$A570,$K$55:$K$564,G$568,$H$55:$H$564,"AG",$L$55:$L$564,$G$567)</f>
        <v>0</v>
      </c>
      <c r="H570" s="11">
        <f>SUMIFS($J$55:$J$564,$I$55:$I$564,$A570,$K$55:$K$564,H$568,$H$55:$H$564,"AG",$L$55:$L$564,$G$567)</f>
        <v>0</v>
      </c>
      <c r="I570" s="11">
        <f>SUMIFS($J$55:$J$564,$I$55:$I$564,$A570,$K$55:$K$564,I$568,$H$55:$H$564,"AG",$L$55:$L$564,$G$567)</f>
        <v>0</v>
      </c>
      <c r="J570" s="11">
        <f>SUMIFS($J$55:$J$564,$I$55:$I$564,$A570,$K$55:$K$564,J$568,$H$55:$H$564,"AG",$L$55:$L$564,$G$567)</f>
        <v>0</v>
      </c>
      <c r="K570" s="17">
        <f>SUMIFS($J$55:$J$564,$I$55:$I$564,$A570,$K$55:$K$564,K$568,$H$55:$H$564,"AG",$L$55:$L$564,$G$567)</f>
        <v>0</v>
      </c>
      <c r="L570" s="10">
        <f>SUMIFS($J$55:$J$564,$I$55:$I$564,$A570,$K$55:$K$564,L$568,$H$55:$H$564,"AG",$L$55:$L$564,$L$567)</f>
        <v>0</v>
      </c>
      <c r="M570" s="11">
        <f>SUMIFS($J$55:$J$564,$I$55:$I$564,$A570,$K$55:$K$564,M$568,$H$55:$H$564,"AG",$L$55:$L$564,$L$567)</f>
        <v>0</v>
      </c>
      <c r="N570" s="11">
        <f>SUMIFS($J$55:$J$564,$I$55:$I$564,$A570,$K$55:$K$564,N$568,$H$55:$H$564,"AG",$L$55:$L$564,$L$567)</f>
        <v>0</v>
      </c>
      <c r="O570" s="11">
        <f>SUMIFS($J$55:$J$564,$I$55:$I$564,$A570,$K$55:$K$564,O$568,$H$55:$H$564,"AG",$L$55:$L$564,$L$567)</f>
        <v>0</v>
      </c>
      <c r="P570" s="17">
        <f>SUMIFS($J$55:$J$564,$I$55:$I$564,$A570,$K$55:$K$564,P$568,$H$55:$H$564,"AG",$L$55:$L$564,$L$567)</f>
        <v>0</v>
      </c>
      <c r="Q570" s="10">
        <f>SUMIFS($J$55:$J$564,$I$55:$I$564,$A570,$K$55:$K$564,Q$568,$H$55:$H$564,"AG",$L$55:$L$564,$Q$567)</f>
        <v>0</v>
      </c>
      <c r="R570" s="11">
        <f>SUMIFS($J$55:$J$564,$I$55:$I$564,$A570,$K$55:$K$564,R$568,$H$55:$H$564,"AG",$L$55:$L$564,$Q$567)</f>
        <v>0</v>
      </c>
      <c r="S570" s="11">
        <f>SUMIFS($J$55:$J$564,$I$55:$I$564,$A570,$K$55:$K$564,S$568,$H$55:$H$564,"AG",$L$55:$L$564,$Q$567)</f>
        <v>0</v>
      </c>
      <c r="T570" s="11">
        <f>SUMIFS($J$55:$J$564,$I$55:$I$564,$A570,$K$55:$K$564,T$568,$H$55:$H$564,"AG",$L$55:$L$564,$Q$567)</f>
        <v>0</v>
      </c>
      <c r="U570" s="17">
        <f>SUMIFS($J$55:$J$564,$I$55:$I$564,$A570,$K$55:$K$564,U$568,$H$55:$H$564,"AG",$L$55:$L$564,$Q$567)</f>
        <v>0</v>
      </c>
      <c r="V570" s="10">
        <f>SUMIFS($J$55:$J$564,$I$55:$I$564,$A570,$K$55:$K$564,V$568,$H$55:$H$564,"AG",$L$55:$L$564,$V$567)</f>
        <v>0</v>
      </c>
      <c r="W570" s="11">
        <f>SUMIFS($J$55:$J$564,$I$55:$I$564,$A570,$K$55:$K$564,W$568,$H$55:$H$564,"AG",$L$55:$L$564,$V$567)</f>
        <v>0</v>
      </c>
      <c r="X570" s="11">
        <f>SUMIFS($J$55:$J$564,$I$55:$I$564,$A570,$K$55:$K$564,X$568,$H$55:$H$564,"AG",$L$55:$L$564,$V$567)</f>
        <v>0</v>
      </c>
      <c r="Y570" s="11">
        <f>SUMIFS($J$55:$J$564,$I$55:$I$564,$A570,$K$55:$K$564,Y$568,$H$55:$H$564,"AG",$L$55:$L$564,$V$567)</f>
        <v>0</v>
      </c>
      <c r="Z570" s="17">
        <f>SUMIFS($J$55:$J$564,$I$55:$I$564,$A570,$K$55:$K$564,Z$568,$H$55:$H$564,"AG",$L$55:$L$564,$V$567)</f>
        <v>0</v>
      </c>
      <c r="AA570" s="10">
        <f>SUMIFS($J$55:$J$564,$I$55:$I$564,$A570,$K$55:$K$564,AA$568,$H$55:$H$564,"AG",$L$55:$L$564,$AA$567)</f>
        <v>0</v>
      </c>
      <c r="AB570" s="11">
        <f>SUMIFS($J$55:$J$564,$I$55:$I$564,$A570,$K$55:$K$564,AB$568,$H$55:$H$564,"AG",$L$55:$L$564,$AA$567)</f>
        <v>0</v>
      </c>
      <c r="AC570" s="11">
        <f>SUMIFS($J$55:$J$564,$I$55:$I$564,$A570,$K$55:$K$564,AC$568,$H$55:$H$564,"AG",$L$55:$L$564,$AA$567)</f>
        <v>0</v>
      </c>
      <c r="AD570" s="11">
        <f>SUMIFS($J$55:$J$564,$I$55:$I$564,$A570,$K$55:$K$564,AD$568,$H$55:$H$564,"AG",$L$55:$L$564,$AA$567)</f>
        <v>0</v>
      </c>
      <c r="AE570" s="17">
        <f>SUMIFS($J$55:$J$564,$I$55:$I$564,$A570,$K$55:$K$564,AE$568,$H$55:$H$564,"AG",$L$55:$L$564,$AA$567)</f>
        <v>0</v>
      </c>
      <c r="AF570" s="16">
        <f>SUM(B570:U570)*A570</f>
        <v>0</v>
      </c>
      <c r="AG570" s="16">
        <f>SUM(B570:U570)</f>
        <v>0</v>
      </c>
    </row>
    <row r="571" spans="1:33" x14ac:dyDescent="0.25">
      <c r="A571" s="15">
        <v>750</v>
      </c>
      <c r="B571" s="8">
        <f>SUMIFS($J$55:$J$564,$I$55:$I$564,$A571,$K$55:$K$564,B$568,$H$55:$H$564,"AG",$L$55:$L$564,$B$567)</f>
        <v>0</v>
      </c>
      <c r="C571" s="6">
        <f>SUMIFS($J$55:$J$564,$I$55:$I$564,$A571,$K$55:$K$564,C$568,$H$55:$H$564,"AG",$L$55:$L$564,$B$567)</f>
        <v>0</v>
      </c>
      <c r="D571" s="6">
        <f>SUMIFS($J$55:$J$564,$I$55:$I$564,$A571,$K$55:$K$564,D$568,$H$55:$H$564,"AG",$L$55:$L$564,$B$567)</f>
        <v>0</v>
      </c>
      <c r="E571" s="6">
        <f>SUMIFS($J$55:$J$564,$I$55:$I$564,$A571,$K$55:$K$564,E$568,$H$55:$H$564,"AG",$L$55:$L$564,$B$567)</f>
        <v>0</v>
      </c>
      <c r="F571" s="13">
        <f>SUMIFS($J$55:$J$564,$I$55:$I$564,$A571,$K$55:$K$564,F$568,$H$55:$H$564,"AG",$L$55:$L$564,$B$567)</f>
        <v>0</v>
      </c>
      <c r="G571" s="8">
        <f>SUMIFS($J$55:$J$564,$I$55:$I$564,$A571,$K$55:$K$564,G$568,$H$55:$H$564,"AG",$L$55:$L$564,$G$567)</f>
        <v>0</v>
      </c>
      <c r="H571" s="6">
        <f>SUMIFS($J$55:$J$564,$I$55:$I$564,$A571,$K$55:$K$564,H$568,$H$55:$H$564,"AG",$L$55:$L$564,$G$567)</f>
        <v>0</v>
      </c>
      <c r="I571" s="6">
        <f>SUMIFS($J$55:$J$564,$I$55:$I$564,$A571,$K$55:$K$564,I$568,$H$55:$H$564,"AG",$L$55:$L$564,$G$567)</f>
        <v>0</v>
      </c>
      <c r="J571" s="6">
        <f>SUMIFS($J$55:$J$564,$I$55:$I$564,$A571,$K$55:$K$564,J$568,$H$55:$H$564,"AG",$L$55:$L$564,$G$567)</f>
        <v>0</v>
      </c>
      <c r="K571" s="13">
        <f>SUMIFS($J$55:$J$564,$I$55:$I$564,$A571,$K$55:$K$564,K$568,$H$55:$H$564,"AG",$L$55:$L$564,$G$567)</f>
        <v>0</v>
      </c>
      <c r="L571" s="8">
        <f>SUMIFS($J$55:$J$564,$I$55:$I$564,$A571,$K$55:$K$564,L$568,$H$55:$H$564,"AG",$L$55:$L$564,$L$567)</f>
        <v>0</v>
      </c>
      <c r="M571" s="6">
        <f>SUMIFS($J$55:$J$564,$I$55:$I$564,$A571,$K$55:$K$564,M$568,$H$55:$H$564,"AG",$L$55:$L$564,$L$567)</f>
        <v>0</v>
      </c>
      <c r="N571" s="6">
        <f>SUMIFS($J$55:$J$564,$I$55:$I$564,$A571,$K$55:$K$564,N$568,$H$55:$H$564,"AG",$L$55:$L$564,$L$567)</f>
        <v>0</v>
      </c>
      <c r="O571" s="6">
        <f>SUMIFS($J$55:$J$564,$I$55:$I$564,$A571,$K$55:$K$564,O$568,$H$55:$H$564,"AG",$L$55:$L$564,$L$567)</f>
        <v>0</v>
      </c>
      <c r="P571" s="13">
        <f>SUMIFS($J$55:$J$564,$I$55:$I$564,$A571,$K$55:$K$564,P$568,$H$55:$H$564,"AG",$L$55:$L$564,$L$567)</f>
        <v>0</v>
      </c>
      <c r="Q571" s="8">
        <f>SUMIFS($J$55:$J$564,$I$55:$I$564,$A571,$K$55:$K$564,Q$568,$H$55:$H$564,"AG",$L$55:$L$564,$Q$567)</f>
        <v>0</v>
      </c>
      <c r="R571" s="6">
        <f>SUMIFS($J$55:$J$564,$I$55:$I$564,$A571,$K$55:$K$564,R$568,$H$55:$H$564,"AG",$L$55:$L$564,$Q$567)</f>
        <v>0</v>
      </c>
      <c r="S571" s="6">
        <f>SUMIFS($J$55:$J$564,$I$55:$I$564,$A571,$K$55:$K$564,S$568,$H$55:$H$564,"AG",$L$55:$L$564,$Q$567)</f>
        <v>0</v>
      </c>
      <c r="T571" s="6">
        <f>SUMIFS($J$55:$J$564,$I$55:$I$564,$A571,$K$55:$K$564,T$568,$H$55:$H$564,"AG",$L$55:$L$564,$Q$567)</f>
        <v>0</v>
      </c>
      <c r="U571" s="13">
        <f>SUMIFS($J$55:$J$564,$I$55:$I$564,$A571,$K$55:$K$564,U$568,$H$55:$H$564,"AG",$L$55:$L$564,$Q$567)</f>
        <v>0</v>
      </c>
      <c r="V571" s="8">
        <f>SUMIFS($J$55:$J$564,$I$55:$I$564,$A571,$K$55:$K$564,V$568,$H$55:$H$564,"AG",$L$55:$L$564,$V$567)</f>
        <v>0</v>
      </c>
      <c r="W571" s="6">
        <f>SUMIFS($J$55:$J$564,$I$55:$I$564,$A571,$K$55:$K$564,W$568,$H$55:$H$564,"AG",$L$55:$L$564,$V$567)</f>
        <v>0</v>
      </c>
      <c r="X571" s="6">
        <f>SUMIFS($J$55:$J$564,$I$55:$I$564,$A571,$K$55:$K$564,X$568,$H$55:$H$564,"AG",$L$55:$L$564,$V$567)</f>
        <v>0</v>
      </c>
      <c r="Y571" s="6">
        <f>SUMIFS($J$55:$J$564,$I$55:$I$564,$A571,$K$55:$K$564,Y$568,$H$55:$H$564,"AG",$L$55:$L$564,$V$567)</f>
        <v>0</v>
      </c>
      <c r="Z571" s="13">
        <f>SUMIFS($J$55:$J$564,$I$55:$I$564,$A571,$K$55:$K$564,Z$568,$H$55:$H$564,"AG",$L$55:$L$564,$V$567)</f>
        <v>0</v>
      </c>
      <c r="AA571" s="8">
        <f>SUMIFS($J$55:$J$564,$I$55:$I$564,$A571,$K$55:$K$564,AA$568,$H$55:$H$564,"AG",$L$55:$L$564,$AA$567)</f>
        <v>0</v>
      </c>
      <c r="AB571" s="6">
        <f>SUMIFS($J$55:$J$564,$I$55:$I$564,$A571,$K$55:$K$564,AB$568,$H$55:$H$564,"AG",$L$55:$L$564,$AA$567)</f>
        <v>0</v>
      </c>
      <c r="AC571" s="6">
        <f>SUMIFS($J$55:$J$564,$I$55:$I$564,$A571,$K$55:$K$564,AC$568,$H$55:$H$564,"AG",$L$55:$L$564,$AA$567)</f>
        <v>0</v>
      </c>
      <c r="AD571" s="6">
        <f>SUMIFS($J$55:$J$564,$I$55:$I$564,$A571,$K$55:$K$564,AD$568,$H$55:$H$564,"AG",$L$55:$L$564,$AA$567)</f>
        <v>0</v>
      </c>
      <c r="AE571" s="13">
        <f>SUMIFS($J$55:$J$564,$I$55:$I$564,$A571,$K$55:$K$564,AE$568,$H$55:$H$564,"AG",$L$55:$L$564,$AA$567)</f>
        <v>0</v>
      </c>
      <c r="AF571" s="16">
        <f>SUM(B571:U571)*A571</f>
        <v>0</v>
      </c>
      <c r="AG571" s="16">
        <f>SUM(B571:U571)</f>
        <v>0</v>
      </c>
    </row>
    <row r="572" spans="1:33" x14ac:dyDescent="0.25">
      <c r="A572" s="15">
        <v>1000</v>
      </c>
      <c r="B572" s="8">
        <f>SUMIFS($J$55:$J$564,$I$55:$I$564,$A572,$K$55:$K$564,B$568,$H$55:$H$564,"AG",$L$55:$L$564,$B$567)</f>
        <v>0</v>
      </c>
      <c r="C572" s="6">
        <f>SUMIFS($J$55:$J$564,$I$55:$I$564,$A572,$K$55:$K$564,C$568,$H$55:$H$564,"AG",$L$55:$L$564,$B$567)</f>
        <v>0</v>
      </c>
      <c r="D572" s="6">
        <f>SUMIFS($J$55:$J$564,$I$55:$I$564,$A572,$K$55:$K$564,D$568,$H$55:$H$564,"AG",$L$55:$L$564,$B$567)</f>
        <v>0</v>
      </c>
      <c r="E572" s="6">
        <f>SUMIFS($J$55:$J$564,$I$55:$I$564,$A572,$K$55:$K$564,E$568,$H$55:$H$564,"AG",$L$55:$L$564,$B$567)</f>
        <v>0</v>
      </c>
      <c r="F572" s="13">
        <f>SUMIFS($J$55:$J$564,$I$55:$I$564,$A572,$K$55:$K$564,F$568,$H$55:$H$564,"AG",$L$55:$L$564,$B$567)</f>
        <v>0</v>
      </c>
      <c r="G572" s="8">
        <f>SUMIFS($J$55:$J$564,$I$55:$I$564,$A572,$K$55:$K$564,G$568,$H$55:$H$564,"AG",$L$55:$L$564,$G$567)</f>
        <v>0</v>
      </c>
      <c r="H572" s="6">
        <f>SUMIFS($J$55:$J$564,$I$55:$I$564,$A572,$K$55:$K$564,H$568,$H$55:$H$564,"AG",$L$55:$L$564,$G$567)</f>
        <v>0</v>
      </c>
      <c r="I572" s="6">
        <f>SUMIFS($J$55:$J$564,$I$55:$I$564,$A572,$K$55:$K$564,I$568,$H$55:$H$564,"AG",$L$55:$L$564,$G$567)</f>
        <v>0</v>
      </c>
      <c r="J572" s="6">
        <f>SUMIFS($J$55:$J$564,$I$55:$I$564,$A572,$K$55:$K$564,J$568,$H$55:$H$564,"AG",$L$55:$L$564,$G$567)</f>
        <v>0</v>
      </c>
      <c r="K572" s="13">
        <f>SUMIFS($J$55:$J$564,$I$55:$I$564,$A572,$K$55:$K$564,K$568,$H$55:$H$564,"AG",$L$55:$L$564,$G$567)</f>
        <v>0</v>
      </c>
      <c r="L572" s="8">
        <f>SUMIFS($J$55:$J$564,$I$55:$I$564,$A572,$K$55:$K$564,L$568,$H$55:$H$564,"AG",$L$55:$L$564,$L$567)</f>
        <v>0</v>
      </c>
      <c r="M572" s="6">
        <f>SUMIFS($J$55:$J$564,$I$55:$I$564,$A572,$K$55:$K$564,M$568,$H$55:$H$564,"AG",$L$55:$L$564,$L$567)</f>
        <v>0</v>
      </c>
      <c r="N572" s="6">
        <f>SUMIFS($J$55:$J$564,$I$55:$I$564,$A572,$K$55:$K$564,N$568,$H$55:$H$564,"AG",$L$55:$L$564,$L$567)</f>
        <v>0</v>
      </c>
      <c r="O572" s="6">
        <f>SUMIFS($J$55:$J$564,$I$55:$I$564,$A572,$K$55:$K$564,O$568,$H$55:$H$564,"AG",$L$55:$L$564,$L$567)</f>
        <v>0</v>
      </c>
      <c r="P572" s="13">
        <f>SUMIFS($J$55:$J$564,$I$55:$I$564,$A572,$K$55:$K$564,P$568,$H$55:$H$564,"AG",$L$55:$L$564,$L$567)</f>
        <v>0</v>
      </c>
      <c r="Q572" s="8">
        <f>SUMIFS($J$55:$J$564,$I$55:$I$564,$A572,$K$55:$K$564,Q$568,$H$55:$H$564,"AG",$L$55:$L$564,$Q$567)</f>
        <v>0</v>
      </c>
      <c r="R572" s="6">
        <f>SUMIFS($J$55:$J$564,$I$55:$I$564,$A572,$K$55:$K$564,R$568,$H$55:$H$564,"AG",$L$55:$L$564,$Q$567)</f>
        <v>0</v>
      </c>
      <c r="S572" s="6">
        <f>SUMIFS($J$55:$J$564,$I$55:$I$564,$A572,$K$55:$K$564,S$568,$H$55:$H$564,"AG",$L$55:$L$564,$Q$567)</f>
        <v>0</v>
      </c>
      <c r="T572" s="6">
        <f>SUMIFS($J$55:$J$564,$I$55:$I$564,$A572,$K$55:$K$564,T$568,$H$55:$H$564,"AG",$L$55:$L$564,$Q$567)</f>
        <v>0</v>
      </c>
      <c r="U572" s="13">
        <f>SUMIFS($J$55:$J$564,$I$55:$I$564,$A572,$K$55:$K$564,U$568,$H$55:$H$564,"AG",$L$55:$L$564,$Q$567)</f>
        <v>0</v>
      </c>
      <c r="V572" s="8">
        <f>SUMIFS($J$55:$J$564,$I$55:$I$564,$A572,$K$55:$K$564,V$568,$H$55:$H$564,"AG",$L$55:$L$564,$V$567)</f>
        <v>0</v>
      </c>
      <c r="W572" s="6">
        <f>SUMIFS($J$55:$J$564,$I$55:$I$564,$A572,$K$55:$K$564,W$568,$H$55:$H$564,"AG",$L$55:$L$564,$V$567)</f>
        <v>0</v>
      </c>
      <c r="X572" s="6">
        <f>SUMIFS($J$55:$J$564,$I$55:$I$564,$A572,$K$55:$K$564,X$568,$H$55:$H$564,"AG",$L$55:$L$564,$V$567)</f>
        <v>0</v>
      </c>
      <c r="Y572" s="6">
        <f>SUMIFS($J$55:$J$564,$I$55:$I$564,$A572,$K$55:$K$564,Y$568,$H$55:$H$564,"AG",$L$55:$L$564,$V$567)</f>
        <v>0</v>
      </c>
      <c r="Z572" s="13">
        <f>SUMIFS($J$55:$J$564,$I$55:$I$564,$A572,$K$55:$K$564,Z$568,$H$55:$H$564,"AG",$L$55:$L$564,$V$567)</f>
        <v>0</v>
      </c>
      <c r="AA572" s="8">
        <f>SUMIFS($J$55:$J$564,$I$55:$I$564,$A572,$K$55:$K$564,AA$568,$H$55:$H$564,"AG",$L$55:$L$564,$AA$567)</f>
        <v>0</v>
      </c>
      <c r="AB572" s="6">
        <f>SUMIFS($J$55:$J$564,$I$55:$I$564,$A572,$K$55:$K$564,AB$568,$H$55:$H$564,"AG",$L$55:$L$564,$AA$567)</f>
        <v>0</v>
      </c>
      <c r="AC572" s="6">
        <f>SUMIFS($J$55:$J$564,$I$55:$I$564,$A572,$K$55:$K$564,AC$568,$H$55:$H$564,"AG",$L$55:$L$564,$AA$567)</f>
        <v>0</v>
      </c>
      <c r="AD572" s="6">
        <f>SUMIFS($J$55:$J$564,$I$55:$I$564,$A572,$K$55:$K$564,AD$568,$H$55:$H$564,"AG",$L$55:$L$564,$AA$567)</f>
        <v>0</v>
      </c>
      <c r="AE572" s="13">
        <f>SUMIFS($J$55:$J$564,$I$55:$I$564,$A572,$K$55:$K$564,AE$568,$H$55:$H$564,"AG",$L$55:$L$564,$AA$567)</f>
        <v>0</v>
      </c>
      <c r="AF572" s="16">
        <f>SUM(B572:U572)*A572</f>
        <v>0</v>
      </c>
      <c r="AG572" s="16">
        <f>SUM(B572:U572)</f>
        <v>0</v>
      </c>
    </row>
    <row r="573" spans="1:33" x14ac:dyDescent="0.25">
      <c r="A573" s="15">
        <v>1500</v>
      </c>
      <c r="B573" s="8">
        <f>SUMIFS($J$55:$J$564,$I$55:$I$564,$A573,$K$55:$K$564,B$568,$H$55:$H$564,"AG",$L$55:$L$564,$B$567)</f>
        <v>0</v>
      </c>
      <c r="C573" s="6">
        <f>SUMIFS($J$55:$J$564,$I$55:$I$564,$A573,$K$55:$K$564,C$568,$H$55:$H$564,"AG",$L$55:$L$564,$B$567)</f>
        <v>0</v>
      </c>
      <c r="D573" s="6">
        <f>SUMIFS($J$55:$J$564,$I$55:$I$564,$A573,$K$55:$K$564,D$568,$H$55:$H$564,"AG",$L$55:$L$564,$B$567)</f>
        <v>0</v>
      </c>
      <c r="E573" s="6">
        <f>SUMIFS($J$55:$J$564,$I$55:$I$564,$A573,$K$55:$K$564,E$568,$H$55:$H$564,"AG",$L$55:$L$564,$B$567)</f>
        <v>0</v>
      </c>
      <c r="F573" s="13">
        <f>SUMIFS($J$55:$J$564,$I$55:$I$564,$A573,$K$55:$K$564,F$568,$H$55:$H$564,"AG",$L$55:$L$564,$B$567)</f>
        <v>0</v>
      </c>
      <c r="G573" s="8">
        <f>SUMIFS($J$55:$J$564,$I$55:$I$564,$A573,$K$55:$K$564,G$568,$H$55:$H$564,"AG",$L$55:$L$564,$G$567)</f>
        <v>0</v>
      </c>
      <c r="H573" s="6">
        <f>SUMIFS($J$55:$J$564,$I$55:$I$564,$A573,$K$55:$K$564,H$568,$H$55:$H$564,"AG",$L$55:$L$564,$G$567)</f>
        <v>0</v>
      </c>
      <c r="I573" s="6">
        <f>SUMIFS($J$55:$J$564,$I$55:$I$564,$A573,$K$55:$K$564,I$568,$H$55:$H$564,"AG",$L$55:$L$564,$G$567)</f>
        <v>0</v>
      </c>
      <c r="J573" s="6">
        <f>SUMIFS($J$55:$J$564,$I$55:$I$564,$A573,$K$55:$K$564,J$568,$H$55:$H$564,"AG",$L$55:$L$564,$G$567)</f>
        <v>0</v>
      </c>
      <c r="K573" s="13">
        <f>SUMIFS($J$55:$J$564,$I$55:$I$564,$A573,$K$55:$K$564,K$568,$H$55:$H$564,"AG",$L$55:$L$564,$G$567)</f>
        <v>0</v>
      </c>
      <c r="L573" s="8">
        <f>SUMIFS($J$55:$J$564,$I$55:$I$564,$A573,$K$55:$K$564,L$568,$H$55:$H$564,"AG",$L$55:$L$564,$L$567)</f>
        <v>0</v>
      </c>
      <c r="M573" s="6">
        <f>SUMIFS($J$55:$J$564,$I$55:$I$564,$A573,$K$55:$K$564,M$568,$H$55:$H$564,"AG",$L$55:$L$564,$L$567)</f>
        <v>0</v>
      </c>
      <c r="N573" s="6">
        <f>SUMIFS($J$55:$J$564,$I$55:$I$564,$A573,$K$55:$K$564,N$568,$H$55:$H$564,"AG",$L$55:$L$564,$L$567)</f>
        <v>0</v>
      </c>
      <c r="O573" s="6">
        <f>SUMIFS($J$55:$J$564,$I$55:$I$564,$A573,$K$55:$K$564,O$568,$H$55:$H$564,"AG",$L$55:$L$564,$L$567)</f>
        <v>0</v>
      </c>
      <c r="P573" s="13">
        <f>SUMIFS($J$55:$J$564,$I$55:$I$564,$A573,$K$55:$K$564,P$568,$H$55:$H$564,"AG",$L$55:$L$564,$L$567)</f>
        <v>0</v>
      </c>
      <c r="Q573" s="8">
        <f>SUMIFS($J$55:$J$564,$I$55:$I$564,$A573,$K$55:$K$564,Q$568,$H$55:$H$564,"AG",$L$55:$L$564,$Q$567)</f>
        <v>0</v>
      </c>
      <c r="R573" s="6">
        <f>SUMIFS($J$55:$J$564,$I$55:$I$564,$A573,$K$55:$K$564,R$568,$H$55:$H$564,"AG",$L$55:$L$564,$Q$567)</f>
        <v>0</v>
      </c>
      <c r="S573" s="6">
        <f>SUMIFS($J$55:$J$564,$I$55:$I$564,$A573,$K$55:$K$564,S$568,$H$55:$H$564,"AG",$L$55:$L$564,$Q$567)</f>
        <v>0</v>
      </c>
      <c r="T573" s="6">
        <f>SUMIFS($J$55:$J$564,$I$55:$I$564,$A573,$K$55:$K$564,T$568,$H$55:$H$564,"AG",$L$55:$L$564,$Q$567)</f>
        <v>0</v>
      </c>
      <c r="U573" s="13">
        <f>SUMIFS($J$55:$J$564,$I$55:$I$564,$A573,$K$55:$K$564,U$568,$H$55:$H$564,"AG",$L$55:$L$564,$Q$567)</f>
        <v>0</v>
      </c>
      <c r="V573" s="8">
        <f>SUMIFS($J$55:$J$564,$I$55:$I$564,$A573,$K$55:$K$564,V$568,$H$55:$H$564,"AG",$L$55:$L$564,$V$567)</f>
        <v>0</v>
      </c>
      <c r="W573" s="6">
        <f>SUMIFS($J$55:$J$564,$I$55:$I$564,$A573,$K$55:$K$564,W$568,$H$55:$H$564,"AG",$L$55:$L$564,$V$567)</f>
        <v>0</v>
      </c>
      <c r="X573" s="6">
        <f>SUMIFS($J$55:$J$564,$I$55:$I$564,$A573,$K$55:$K$564,X$568,$H$55:$H$564,"AG",$L$55:$L$564,$V$567)</f>
        <v>0</v>
      </c>
      <c r="Y573" s="6">
        <f>SUMIFS($J$55:$J$564,$I$55:$I$564,$A573,$K$55:$K$564,Y$568,$H$55:$H$564,"AG",$L$55:$L$564,$V$567)</f>
        <v>0</v>
      </c>
      <c r="Z573" s="13">
        <f>SUMIFS($J$55:$J$564,$I$55:$I$564,$A573,$K$55:$K$564,Z$568,$H$55:$H$564,"AG",$L$55:$L$564,$V$567)</f>
        <v>0</v>
      </c>
      <c r="AA573" s="8">
        <f>SUMIFS($J$55:$J$564,$I$55:$I$564,$A573,$K$55:$K$564,AA$568,$H$55:$H$564,"AG",$L$55:$L$564,$AA$567)</f>
        <v>0</v>
      </c>
      <c r="AB573" s="6">
        <f>SUMIFS($J$55:$J$564,$I$55:$I$564,$A573,$K$55:$K$564,AB$568,$H$55:$H$564,"AG",$L$55:$L$564,$AA$567)</f>
        <v>0</v>
      </c>
      <c r="AC573" s="6">
        <f>SUMIFS($J$55:$J$564,$I$55:$I$564,$A573,$K$55:$K$564,AC$568,$H$55:$H$564,"AG",$L$55:$L$564,$AA$567)</f>
        <v>0</v>
      </c>
      <c r="AD573" s="6">
        <f>SUMIFS($J$55:$J$564,$I$55:$I$564,$A573,$K$55:$K$564,AD$568,$H$55:$H$564,"AG",$L$55:$L$564,$AA$567)</f>
        <v>0</v>
      </c>
      <c r="AE573" s="13">
        <f>SUMIFS($J$55:$J$564,$I$55:$I$564,$A573,$K$55:$K$564,AE$568,$H$55:$H$564,"AG",$L$55:$L$564,$AA$567)</f>
        <v>0</v>
      </c>
      <c r="AF573" s="16">
        <f>SUM(B573:U573)*A573</f>
        <v>0</v>
      </c>
      <c r="AG573" s="16">
        <f>SUM(B573:U573)</f>
        <v>0</v>
      </c>
    </row>
    <row r="574" spans="1:33" x14ac:dyDescent="0.25">
      <c r="A574" s="15">
        <v>2000</v>
      </c>
      <c r="B574" s="8">
        <f>SUMIFS($J$55:$J$564,$I$55:$I$564,$A574,$K$55:$K$564,B$568,$H$55:$H$564,"AG",$L$55:$L$564,$B$567)</f>
        <v>0</v>
      </c>
      <c r="C574" s="6">
        <f>SUMIFS($J$55:$J$564,$I$55:$I$564,$A574,$K$55:$K$564,C$568,$H$55:$H$564,"AG",$L$55:$L$564,$B$567)</f>
        <v>0</v>
      </c>
      <c r="D574" s="6">
        <f>SUMIFS($J$55:$J$564,$I$55:$I$564,$A574,$K$55:$K$564,D$568,$H$55:$H$564,"AG",$L$55:$L$564,$B$567)</f>
        <v>0</v>
      </c>
      <c r="E574" s="6">
        <f>SUMIFS($J$55:$J$564,$I$55:$I$564,$A574,$K$55:$K$564,E$568,$H$55:$H$564,"AG",$L$55:$L$564,$B$567)</f>
        <v>0</v>
      </c>
      <c r="F574" s="13">
        <f>SUMIFS($J$55:$J$564,$I$55:$I$564,$A574,$K$55:$K$564,F$568,$H$55:$H$564,"AG",$L$55:$L$564,$B$567)</f>
        <v>0</v>
      </c>
      <c r="G574" s="8">
        <f>SUMIFS($J$55:$J$564,$I$55:$I$564,$A574,$K$55:$K$564,G$568,$H$55:$H$564,"AG",$L$55:$L$564,$G$567)</f>
        <v>0</v>
      </c>
      <c r="H574" s="6">
        <f>SUMIFS($J$55:$J$564,$I$55:$I$564,$A574,$K$55:$K$564,H$568,$H$55:$H$564,"AG",$L$55:$L$564,$G$567)</f>
        <v>0</v>
      </c>
      <c r="I574" s="6">
        <f>SUMIFS($J$55:$J$564,$I$55:$I$564,$A574,$K$55:$K$564,I$568,$H$55:$H$564,"AG",$L$55:$L$564,$G$567)</f>
        <v>0</v>
      </c>
      <c r="J574" s="6">
        <f>SUMIFS($J$55:$J$564,$I$55:$I$564,$A574,$K$55:$K$564,J$568,$H$55:$H$564,"AG",$L$55:$L$564,$G$567)</f>
        <v>0</v>
      </c>
      <c r="K574" s="13">
        <f>SUMIFS($J$55:$J$564,$I$55:$I$564,$A574,$K$55:$K$564,K$568,$H$55:$H$564,"AG",$L$55:$L$564,$G$567)</f>
        <v>0</v>
      </c>
      <c r="L574" s="8">
        <f>SUMIFS($J$55:$J$564,$I$55:$I$564,$A574,$K$55:$K$564,L$568,$H$55:$H$564,"AG",$L$55:$L$564,$L$567)</f>
        <v>0</v>
      </c>
      <c r="M574" s="6">
        <f>SUMIFS($J$55:$J$564,$I$55:$I$564,$A574,$K$55:$K$564,M$568,$H$55:$H$564,"AG",$L$55:$L$564,$L$567)</f>
        <v>0</v>
      </c>
      <c r="N574" s="6">
        <f>SUMIFS($J$55:$J$564,$I$55:$I$564,$A574,$K$55:$K$564,N$568,$H$55:$H$564,"AG",$L$55:$L$564,$L$567)</f>
        <v>0</v>
      </c>
      <c r="O574" s="6">
        <f>SUMIFS($J$55:$J$564,$I$55:$I$564,$A574,$K$55:$K$564,O$568,$H$55:$H$564,"AG",$L$55:$L$564,$L$567)</f>
        <v>0</v>
      </c>
      <c r="P574" s="13">
        <f>SUMIFS($J$55:$J$564,$I$55:$I$564,$A574,$K$55:$K$564,P$568,$H$55:$H$564,"AG",$L$55:$L$564,$L$567)</f>
        <v>0</v>
      </c>
      <c r="Q574" s="8">
        <f>SUMIFS($J$55:$J$564,$I$55:$I$564,$A574,$K$55:$K$564,Q$568,$H$55:$H$564,"AG",$L$55:$L$564,$Q$567)</f>
        <v>0</v>
      </c>
      <c r="R574" s="6">
        <f>SUMIFS($J$55:$J$564,$I$55:$I$564,$A574,$K$55:$K$564,R$568,$H$55:$H$564,"AG",$L$55:$L$564,$Q$567)</f>
        <v>0</v>
      </c>
      <c r="S574" s="6">
        <f>SUMIFS($J$55:$J$564,$I$55:$I$564,$A574,$K$55:$K$564,S$568,$H$55:$H$564,"AG",$L$55:$L$564,$Q$567)</f>
        <v>0</v>
      </c>
      <c r="T574" s="6">
        <f>SUMIFS($J$55:$J$564,$I$55:$I$564,$A574,$K$55:$K$564,T$568,$H$55:$H$564,"AG",$L$55:$L$564,$Q$567)</f>
        <v>0</v>
      </c>
      <c r="U574" s="13">
        <f>SUMIFS($J$55:$J$564,$I$55:$I$564,$A574,$K$55:$K$564,U$568,$H$55:$H$564,"AG",$L$55:$L$564,$Q$567)</f>
        <v>0</v>
      </c>
      <c r="V574" s="8">
        <f>SUMIFS($J$55:$J$564,$I$55:$I$564,$A574,$K$55:$K$564,V$568,$H$55:$H$564,"AG",$L$55:$L$564,$V$567)</f>
        <v>0</v>
      </c>
      <c r="W574" s="6">
        <f>SUMIFS($J$55:$J$564,$I$55:$I$564,$A574,$K$55:$K$564,W$568,$H$55:$H$564,"AG",$L$55:$L$564,$V$567)</f>
        <v>0</v>
      </c>
      <c r="X574" s="6">
        <f>SUMIFS($J$55:$J$564,$I$55:$I$564,$A574,$K$55:$K$564,X$568,$H$55:$H$564,"AG",$L$55:$L$564,$V$567)</f>
        <v>0</v>
      </c>
      <c r="Y574" s="6">
        <f>SUMIFS($J$55:$J$564,$I$55:$I$564,$A574,$K$55:$K$564,Y$568,$H$55:$H$564,"AG",$L$55:$L$564,$V$567)</f>
        <v>0</v>
      </c>
      <c r="Z574" s="13">
        <f>SUMIFS($J$55:$J$564,$I$55:$I$564,$A574,$K$55:$K$564,Z$568,$H$55:$H$564,"AG",$L$55:$L$564,$V$567)</f>
        <v>0</v>
      </c>
      <c r="AA574" s="8">
        <f>SUMIFS($J$55:$J$564,$I$55:$I$564,$A574,$K$55:$K$564,AA$568,$H$55:$H$564,"AG",$L$55:$L$564,$AA$567)</f>
        <v>0</v>
      </c>
      <c r="AB574" s="6">
        <f>SUMIFS($J$55:$J$564,$I$55:$I$564,$A574,$K$55:$K$564,AB$568,$H$55:$H$564,"AG",$L$55:$L$564,$AA$567)</f>
        <v>0</v>
      </c>
      <c r="AC574" s="6">
        <f>SUMIFS($J$55:$J$564,$I$55:$I$564,$A574,$K$55:$K$564,AC$568,$H$55:$H$564,"AG",$L$55:$L$564,$AA$567)</f>
        <v>0</v>
      </c>
      <c r="AD574" s="6">
        <f>SUMIFS($J$55:$J$564,$I$55:$I$564,$A574,$K$55:$K$564,AD$568,$H$55:$H$564,"AG",$L$55:$L$564,$AA$567)</f>
        <v>0</v>
      </c>
      <c r="AE574" s="13">
        <f>SUMIFS($J$55:$J$564,$I$55:$I$564,$A574,$K$55:$K$564,AE$568,$H$55:$H$564,"AG",$L$55:$L$564,$AA$567)</f>
        <v>0</v>
      </c>
      <c r="AF574" s="16">
        <f>SUM(B574:U574)*A574</f>
        <v>0</v>
      </c>
      <c r="AG574" s="16">
        <f>SUM(B574:U574)</f>
        <v>0</v>
      </c>
    </row>
    <row r="575" spans="1:33" x14ac:dyDescent="0.25">
      <c r="A575" s="15">
        <v>3000</v>
      </c>
      <c r="B575" s="8">
        <f>SUMIFS($J$55:$J$564,$I$55:$I$564,$A575,$K$55:$K$564,B$568,$H$55:$H$564,"AG",$L$55:$L$564,$B$567)</f>
        <v>0</v>
      </c>
      <c r="C575" s="6">
        <f>SUMIFS($J$55:$J$564,$I$55:$I$564,$A575,$K$55:$K$564,C$568,$H$55:$H$564,"AG",$L$55:$L$564,$B$567)</f>
        <v>0</v>
      </c>
      <c r="D575" s="6">
        <f>SUMIFS($J$55:$J$564,$I$55:$I$564,$A575,$K$55:$K$564,D$568,$H$55:$H$564,"AG",$L$55:$L$564,$B$567)</f>
        <v>0</v>
      </c>
      <c r="E575" s="6">
        <f>SUMIFS($J$55:$J$564,$I$55:$I$564,$A575,$K$55:$K$564,E$568,$H$55:$H$564,"AG",$L$55:$L$564,$B$567)</f>
        <v>0</v>
      </c>
      <c r="F575" s="13">
        <f>SUMIFS($J$55:$J$564,$I$55:$I$564,$A575,$K$55:$K$564,F$568,$H$55:$H$564,"AG",$L$55:$L$564,$B$567)</f>
        <v>0</v>
      </c>
      <c r="G575" s="8">
        <f>SUMIFS($J$55:$J$564,$I$55:$I$564,$A575,$K$55:$K$564,G$568,$H$55:$H$564,"AG",$L$55:$L$564,$G$567)</f>
        <v>0</v>
      </c>
      <c r="H575" s="6">
        <f>SUMIFS($J$55:$J$564,$I$55:$I$564,$A575,$K$55:$K$564,H$568,$H$55:$H$564,"AG",$L$55:$L$564,$G$567)</f>
        <v>0</v>
      </c>
      <c r="I575" s="6">
        <f>SUMIFS($J$55:$J$564,$I$55:$I$564,$A575,$K$55:$K$564,I$568,$H$55:$H$564,"AG",$L$55:$L$564,$G$567)</f>
        <v>0</v>
      </c>
      <c r="J575" s="6">
        <f>SUMIFS($J$55:$J$564,$I$55:$I$564,$A575,$K$55:$K$564,J$568,$H$55:$H$564,"AG",$L$55:$L$564,$G$567)</f>
        <v>0</v>
      </c>
      <c r="K575" s="13">
        <f>SUMIFS($J$55:$J$564,$I$55:$I$564,$A575,$K$55:$K$564,K$568,$H$55:$H$564,"AG",$L$55:$L$564,$G$567)</f>
        <v>0</v>
      </c>
      <c r="L575" s="8">
        <f>SUMIFS($J$55:$J$564,$I$55:$I$564,$A575,$K$55:$K$564,L$568,$H$55:$H$564,"AG",$L$55:$L$564,$L$567)</f>
        <v>0</v>
      </c>
      <c r="M575" s="6">
        <f>SUMIFS($J$55:$J$564,$I$55:$I$564,$A575,$K$55:$K$564,M$568,$H$55:$H$564,"AG",$L$55:$L$564,$L$567)</f>
        <v>0</v>
      </c>
      <c r="N575" s="6">
        <f>SUMIFS($J$55:$J$564,$I$55:$I$564,$A575,$K$55:$K$564,N$568,$H$55:$H$564,"AG",$L$55:$L$564,$L$567)</f>
        <v>0</v>
      </c>
      <c r="O575" s="6">
        <f>SUMIFS($J$55:$J$564,$I$55:$I$564,$A575,$K$55:$K$564,O$568,$H$55:$H$564,"AG",$L$55:$L$564,$L$567)</f>
        <v>0</v>
      </c>
      <c r="P575" s="13">
        <f>SUMIFS($J$55:$J$564,$I$55:$I$564,$A575,$K$55:$K$564,P$568,$H$55:$H$564,"AG",$L$55:$L$564,$L$567)</f>
        <v>0</v>
      </c>
      <c r="Q575" s="8">
        <f>SUMIFS($J$55:$J$564,$I$55:$I$564,$A575,$K$55:$K$564,Q$568,$H$55:$H$564,"AG",$L$55:$L$564,$Q$567)</f>
        <v>0</v>
      </c>
      <c r="R575" s="6">
        <f>SUMIFS($J$55:$J$564,$I$55:$I$564,$A575,$K$55:$K$564,R$568,$H$55:$H$564,"AG",$L$55:$L$564,$Q$567)</f>
        <v>0</v>
      </c>
      <c r="S575" s="6">
        <f>SUMIFS($J$55:$J$564,$I$55:$I$564,$A575,$K$55:$K$564,S$568,$H$55:$H$564,"AG",$L$55:$L$564,$Q$567)</f>
        <v>0</v>
      </c>
      <c r="T575" s="6">
        <f>SUMIFS($J$55:$J$564,$I$55:$I$564,$A575,$K$55:$K$564,T$568,$H$55:$H$564,"AG",$L$55:$L$564,$Q$567)</f>
        <v>0</v>
      </c>
      <c r="U575" s="13">
        <f>SUMIFS($J$55:$J$564,$I$55:$I$564,$A575,$K$55:$K$564,U$568,$H$55:$H$564,"AG",$L$55:$L$564,$Q$567)</f>
        <v>0</v>
      </c>
      <c r="V575" s="8">
        <f>SUMIFS($J$55:$J$564,$I$55:$I$564,$A575,$K$55:$K$564,V$568,$H$55:$H$564,"AG",$L$55:$L$564,$V$567)</f>
        <v>0</v>
      </c>
      <c r="W575" s="6">
        <f>SUMIFS($J$55:$J$564,$I$55:$I$564,$A575,$K$55:$K$564,W$568,$H$55:$H$564,"AG",$L$55:$L$564,$V$567)</f>
        <v>0</v>
      </c>
      <c r="X575" s="6">
        <f>SUMIFS($J$55:$J$564,$I$55:$I$564,$A575,$K$55:$K$564,X$568,$H$55:$H$564,"AG",$L$55:$L$564,$V$567)</f>
        <v>0</v>
      </c>
      <c r="Y575" s="6">
        <f>SUMIFS($J$55:$J$564,$I$55:$I$564,$A575,$K$55:$K$564,Y$568,$H$55:$H$564,"AG",$L$55:$L$564,$V$567)</f>
        <v>0</v>
      </c>
      <c r="Z575" s="13">
        <f>SUMIFS($J$55:$J$564,$I$55:$I$564,$A575,$K$55:$K$564,Z$568,$H$55:$H$564,"AG",$L$55:$L$564,$V$567)</f>
        <v>0</v>
      </c>
      <c r="AA575" s="8">
        <f>SUMIFS($J$55:$J$564,$I$55:$I$564,$A575,$K$55:$K$564,AA$568,$H$55:$H$564,"AG",$L$55:$L$564,$AA$567)</f>
        <v>0</v>
      </c>
      <c r="AB575" s="6">
        <f>SUMIFS($J$55:$J$564,$I$55:$I$564,$A575,$K$55:$K$564,AB$568,$H$55:$H$564,"AG",$L$55:$L$564,$AA$567)</f>
        <v>0</v>
      </c>
      <c r="AC575" s="6">
        <f>SUMIFS($J$55:$J$564,$I$55:$I$564,$A575,$K$55:$K$564,AC$568,$H$55:$H$564,"AG",$L$55:$L$564,$AA$567)</f>
        <v>0</v>
      </c>
      <c r="AD575" s="6">
        <f>SUMIFS($J$55:$J$564,$I$55:$I$564,$A575,$K$55:$K$564,AD$568,$H$55:$H$564,"AG",$L$55:$L$564,$AA$567)</f>
        <v>0</v>
      </c>
      <c r="AE575" s="13">
        <f>SUMIFS($J$55:$J$564,$I$55:$I$564,$A575,$K$55:$K$564,AE$568,$H$55:$H$564,"AG",$L$55:$L$564,$AA$567)</f>
        <v>0</v>
      </c>
      <c r="AF575" s="16">
        <f>SUM(B575:U575)*A575</f>
        <v>0</v>
      </c>
      <c r="AG575" s="16">
        <f>SUM(B575:U575)</f>
        <v>0</v>
      </c>
    </row>
    <row r="576" spans="1:33" x14ac:dyDescent="0.25">
      <c r="A576" s="15">
        <v>5000</v>
      </c>
      <c r="B576" s="8">
        <f>SUMIFS($J$55:$J$564,$I$55:$I$564,$A576,$K$55:$K$564,B$568,$H$55:$H$564,"AG",$L$55:$L$564,$B$567)</f>
        <v>0</v>
      </c>
      <c r="C576" s="6">
        <f>SUMIFS($J$55:$J$564,$I$55:$I$564,$A576,$K$55:$K$564,C$568,$H$55:$H$564,"AG",$L$55:$L$564,$B$567)</f>
        <v>0</v>
      </c>
      <c r="D576" s="6">
        <f>SUMIFS($J$55:$J$564,$I$55:$I$564,$A576,$K$55:$K$564,D$568,$H$55:$H$564,"AG",$L$55:$L$564,$B$567)</f>
        <v>0</v>
      </c>
      <c r="E576" s="6">
        <f>SUMIFS($J$55:$J$564,$I$55:$I$564,$A576,$K$55:$K$564,E$568,$H$55:$H$564,"AG",$L$55:$L$564,$B$567)</f>
        <v>0</v>
      </c>
      <c r="F576" s="13">
        <f>SUMIFS($J$55:$J$564,$I$55:$I$564,$A576,$K$55:$K$564,F$568,$H$55:$H$564,"AG",$L$55:$L$564,$B$567)</f>
        <v>0</v>
      </c>
      <c r="G576" s="8">
        <f>SUMIFS($J$55:$J$564,$I$55:$I$564,$A576,$K$55:$K$564,G$568,$H$55:$H$564,"AG",$L$55:$L$564,$G$567)</f>
        <v>0</v>
      </c>
      <c r="H576" s="6">
        <f>SUMIFS($J$55:$J$564,$I$55:$I$564,$A576,$K$55:$K$564,H$568,$H$55:$H$564,"AG",$L$55:$L$564,$G$567)</f>
        <v>0</v>
      </c>
      <c r="I576" s="6">
        <f>SUMIFS($J$55:$J$564,$I$55:$I$564,$A576,$K$55:$K$564,I$568,$H$55:$H$564,"AG",$L$55:$L$564,$G$567)</f>
        <v>0</v>
      </c>
      <c r="J576" s="6">
        <f>SUMIFS($J$55:$J$564,$I$55:$I$564,$A576,$K$55:$K$564,J$568,$H$55:$H$564,"AG",$L$55:$L$564,$G$567)</f>
        <v>0</v>
      </c>
      <c r="K576" s="13">
        <f>SUMIFS($J$55:$J$564,$I$55:$I$564,$A576,$K$55:$K$564,K$568,$H$55:$H$564,"AG",$L$55:$L$564,$G$567)</f>
        <v>0</v>
      </c>
      <c r="L576" s="8">
        <f>SUMIFS($J$55:$J$564,$I$55:$I$564,$A576,$K$55:$K$564,L$568,$H$55:$H$564,"AG",$L$55:$L$564,$L$567)</f>
        <v>0</v>
      </c>
      <c r="M576" s="6">
        <f>SUMIFS($J$55:$J$564,$I$55:$I$564,$A576,$K$55:$K$564,M$568,$H$55:$H$564,"AG",$L$55:$L$564,$L$567)</f>
        <v>0</v>
      </c>
      <c r="N576" s="6">
        <f>SUMIFS($J$55:$J$564,$I$55:$I$564,$A576,$K$55:$K$564,N$568,$H$55:$H$564,"AG",$L$55:$L$564,$L$567)</f>
        <v>0</v>
      </c>
      <c r="O576" s="6">
        <f>SUMIFS($J$55:$J$564,$I$55:$I$564,$A576,$K$55:$K$564,O$568,$H$55:$H$564,"AG",$L$55:$L$564,$L$567)</f>
        <v>0</v>
      </c>
      <c r="P576" s="13">
        <f>SUMIFS($J$55:$J$564,$I$55:$I$564,$A576,$K$55:$K$564,P$568,$H$55:$H$564,"AG",$L$55:$L$564,$L$567)</f>
        <v>0</v>
      </c>
      <c r="Q576" s="8">
        <f>SUMIFS($J$55:$J$564,$I$55:$I$564,$A576,$K$55:$K$564,Q$568,$H$55:$H$564,"AG",$L$55:$L$564,$Q$567)</f>
        <v>0</v>
      </c>
      <c r="R576" s="6">
        <f>SUMIFS($J$55:$J$564,$I$55:$I$564,$A576,$K$55:$K$564,R$568,$H$55:$H$564,"AG",$L$55:$L$564,$Q$567)</f>
        <v>0</v>
      </c>
      <c r="S576" s="6">
        <f>SUMIFS($J$55:$J$564,$I$55:$I$564,$A576,$K$55:$K$564,S$568,$H$55:$H$564,"AG",$L$55:$L$564,$Q$567)</f>
        <v>0</v>
      </c>
      <c r="T576" s="6">
        <f>SUMIFS($J$55:$J$564,$I$55:$I$564,$A576,$K$55:$K$564,T$568,$H$55:$H$564,"AG",$L$55:$L$564,$Q$567)</f>
        <v>0</v>
      </c>
      <c r="U576" s="13">
        <f>SUMIFS($J$55:$J$564,$I$55:$I$564,$A576,$K$55:$K$564,U$568,$H$55:$H$564,"AG",$L$55:$L$564,$Q$567)</f>
        <v>0</v>
      </c>
      <c r="V576" s="8">
        <f>SUMIFS($J$55:$J$564,$I$55:$I$564,$A576,$K$55:$K$564,V$568,$H$55:$H$564,"AG",$L$55:$L$564,$V$567)</f>
        <v>0</v>
      </c>
      <c r="W576" s="6">
        <f>SUMIFS($J$55:$J$564,$I$55:$I$564,$A576,$K$55:$K$564,W$568,$H$55:$H$564,"AG",$L$55:$L$564,$V$567)</f>
        <v>0</v>
      </c>
      <c r="X576" s="6">
        <f>SUMIFS($J$55:$J$564,$I$55:$I$564,$A576,$K$55:$K$564,X$568,$H$55:$H$564,"AG",$L$55:$L$564,$V$567)</f>
        <v>0</v>
      </c>
      <c r="Y576" s="6">
        <f>SUMIFS($J$55:$J$564,$I$55:$I$564,$A576,$K$55:$K$564,Y$568,$H$55:$H$564,"AG",$L$55:$L$564,$V$567)</f>
        <v>0</v>
      </c>
      <c r="Z576" s="13">
        <f>SUMIFS($J$55:$J$564,$I$55:$I$564,$A576,$K$55:$K$564,Z$568,$H$55:$H$564,"AG",$L$55:$L$564,$V$567)</f>
        <v>0</v>
      </c>
      <c r="AA576" s="8">
        <f>SUMIFS($J$55:$J$564,$I$55:$I$564,$A576,$K$55:$K$564,AA$568,$H$55:$H$564,"AG",$L$55:$L$564,$AA$567)</f>
        <v>0</v>
      </c>
      <c r="AB576" s="6">
        <f>SUMIFS($J$55:$J$564,$I$55:$I$564,$A576,$K$55:$K$564,AB$568,$H$55:$H$564,"AG",$L$55:$L$564,$AA$567)</f>
        <v>0</v>
      </c>
      <c r="AC576" s="6">
        <f>SUMIFS($J$55:$J$564,$I$55:$I$564,$A576,$K$55:$K$564,AC$568,$H$55:$H$564,"AG",$L$55:$L$564,$AA$567)</f>
        <v>0</v>
      </c>
      <c r="AD576" s="6">
        <f>SUMIFS($J$55:$J$564,$I$55:$I$564,$A576,$K$55:$K$564,AD$568,$H$55:$H$564,"AG",$L$55:$L$564,$AA$567)</f>
        <v>0</v>
      </c>
      <c r="AE576" s="13">
        <f>SUMIFS($J$55:$J$564,$I$55:$I$564,$A576,$K$55:$K$564,AE$568,$H$55:$H$564,"AG",$L$55:$L$564,$AA$567)</f>
        <v>0</v>
      </c>
      <c r="AF576" s="16">
        <f>SUM(B576:U576)*A576</f>
        <v>0</v>
      </c>
      <c r="AG576" s="16">
        <f>SUM(B576:U576)</f>
        <v>0</v>
      </c>
    </row>
    <row r="577" spans="1:33" ht="15.75" thickBot="1" x14ac:dyDescent="0.3">
      <c r="A577" s="59">
        <v>10000</v>
      </c>
      <c r="B577" s="31">
        <f>SUMIFS($J$55:$J$564,$I$55:$I$564,$A577,$K$55:$K$564,B$568,$H$55:$H$564,"AG",$L$55:$L$564,$B$567)</f>
        <v>0</v>
      </c>
      <c r="C577" s="32">
        <f>SUMIFS($J$55:$J$564,$I$55:$I$564,$A577,$K$55:$K$564,C$568,$H$55:$H$564,"AG",$L$55:$L$564,$B$567)</f>
        <v>0</v>
      </c>
      <c r="D577" s="32">
        <f>SUMIFS($J$55:$J$564,$I$55:$I$564,$A577,$K$55:$K$564,D$568,$H$55:$H$564,"AG",$L$55:$L$564,$B$567)</f>
        <v>0</v>
      </c>
      <c r="E577" s="32">
        <f>SUMIFS($J$55:$J$564,$I$55:$I$564,$A577,$K$55:$K$564,E$568,$H$55:$H$564,"AG",$L$55:$L$564,$B$567)</f>
        <v>0</v>
      </c>
      <c r="F577" s="33">
        <f>SUMIFS($J$55:$J$564,$I$55:$I$564,$A577,$K$55:$K$564,F$568,$H$55:$H$564,"AG",$L$55:$L$564,$B$567)</f>
        <v>0</v>
      </c>
      <c r="G577" s="31">
        <f>SUMIFS($J$55:$J$564,$I$55:$I$564,$A577,$K$55:$K$564,G$568,$H$55:$H$564,"AG",$L$55:$L$564,$G$567)</f>
        <v>0</v>
      </c>
      <c r="H577" s="32">
        <f>SUMIFS($J$55:$J$564,$I$55:$I$564,$A577,$K$55:$K$564,H$568,$H$55:$H$564,"AG",$L$55:$L$564,$G$567)</f>
        <v>0</v>
      </c>
      <c r="I577" s="32">
        <f>SUMIFS($J$55:$J$564,$I$55:$I$564,$A577,$K$55:$K$564,I$568,$H$55:$H$564,"AG",$L$55:$L$564,$G$567)</f>
        <v>0</v>
      </c>
      <c r="J577" s="32">
        <f>SUMIFS($J$55:$J$564,$I$55:$I$564,$A577,$K$55:$K$564,J$568,$H$55:$H$564,"AG",$L$55:$L$564,$G$567)</f>
        <v>0</v>
      </c>
      <c r="K577" s="33">
        <f>SUMIFS($J$55:$J$564,$I$55:$I$564,$A577,$K$55:$K$564,K$568,$H$55:$H$564,"AG",$L$55:$L$564,$G$567)</f>
        <v>0</v>
      </c>
      <c r="L577" s="31">
        <f>SUMIFS($J$55:$J$564,$I$55:$I$564,$A577,$K$55:$K$564,L$568,$H$55:$H$564,"AG",$L$55:$L$564,$L$567)</f>
        <v>0</v>
      </c>
      <c r="M577" s="32">
        <f>SUMIFS($J$55:$J$564,$I$55:$I$564,$A577,$K$55:$K$564,M$568,$H$55:$H$564,"AG",$L$55:$L$564,$L$567)</f>
        <v>0</v>
      </c>
      <c r="N577" s="32">
        <f>SUMIFS($J$55:$J$564,$I$55:$I$564,$A577,$K$55:$K$564,N$568,$H$55:$H$564,"AG",$L$55:$L$564,$L$567)</f>
        <v>0</v>
      </c>
      <c r="O577" s="32">
        <f>SUMIFS($J$55:$J$564,$I$55:$I$564,$A577,$K$55:$K$564,O$568,$H$55:$H$564,"AG",$L$55:$L$564,$L$567)</f>
        <v>0</v>
      </c>
      <c r="P577" s="33">
        <f>SUMIFS($J$55:$J$564,$I$55:$I$564,$A577,$K$55:$K$564,P$568,$H$55:$H$564,"AG",$L$55:$L$564,$L$567)</f>
        <v>0</v>
      </c>
      <c r="Q577" s="31">
        <f>SUMIFS($J$55:$J$564,$I$55:$I$564,$A577,$K$55:$K$564,Q$568,$H$55:$H$564,"AG",$L$55:$L$564,$Q$567)</f>
        <v>0</v>
      </c>
      <c r="R577" s="32">
        <f>SUMIFS($J$55:$J$564,$I$55:$I$564,$A577,$K$55:$K$564,R$568,$H$55:$H$564,"AG",$L$55:$L$564,$Q$567)</f>
        <v>0</v>
      </c>
      <c r="S577" s="32">
        <f>SUMIFS($J$55:$J$564,$I$55:$I$564,$A577,$K$55:$K$564,S$568,$H$55:$H$564,"AG",$L$55:$L$564,$Q$567)</f>
        <v>0</v>
      </c>
      <c r="T577" s="32">
        <f>SUMIFS($J$55:$J$564,$I$55:$I$564,$A577,$K$55:$K$564,T$568,$H$55:$H$564,"AG",$L$55:$L$564,$Q$567)</f>
        <v>0</v>
      </c>
      <c r="U577" s="33">
        <f>SUMIFS($J$55:$J$564,$I$55:$I$564,$A577,$K$55:$K$564,U$568,$H$55:$H$564,"AG",$L$55:$L$564,$Q$567)</f>
        <v>0</v>
      </c>
      <c r="V577" s="31">
        <f>SUMIFS($J$55:$J$564,$I$55:$I$564,$A577,$K$55:$K$564,V$568,$H$55:$H$564,"AG",$L$55:$L$564,$V$567)</f>
        <v>0</v>
      </c>
      <c r="W577" s="32">
        <f>SUMIFS($J$55:$J$564,$I$55:$I$564,$A577,$K$55:$K$564,W$568,$H$55:$H$564,"AG",$L$55:$L$564,$V$567)</f>
        <v>0</v>
      </c>
      <c r="X577" s="32">
        <f>SUMIFS($J$55:$J$564,$I$55:$I$564,$A577,$K$55:$K$564,X$568,$H$55:$H$564,"AG",$L$55:$L$564,$V$567)</f>
        <v>0</v>
      </c>
      <c r="Y577" s="32">
        <f>SUMIFS($J$55:$J$564,$I$55:$I$564,$A577,$K$55:$K$564,Y$568,$H$55:$H$564,"AG",$L$55:$L$564,$V$567)</f>
        <v>0</v>
      </c>
      <c r="Z577" s="33">
        <f>SUMIFS($J$55:$J$564,$I$55:$I$564,$A577,$K$55:$K$564,Z$568,$H$55:$H$564,"AG",$L$55:$L$564,$V$567)</f>
        <v>0</v>
      </c>
      <c r="AA577" s="31">
        <f>SUMIFS($J$55:$J$564,$I$55:$I$564,$A577,$K$55:$K$564,AA$568,$H$55:$H$564,"AG",$L$55:$L$564,$AA$567)</f>
        <v>0</v>
      </c>
      <c r="AB577" s="32">
        <f>SUMIFS($J$55:$J$564,$I$55:$I$564,$A577,$K$55:$K$564,AB$568,$H$55:$H$564,"AG",$L$55:$L$564,$AA$567)</f>
        <v>0</v>
      </c>
      <c r="AC577" s="32">
        <f>SUMIFS($J$55:$J$564,$I$55:$I$564,$A577,$K$55:$K$564,AC$568,$H$55:$H$564,"AG",$L$55:$L$564,$AA$567)</f>
        <v>0</v>
      </c>
      <c r="AD577" s="32">
        <f>SUMIFS($J$55:$J$564,$I$55:$I$564,$A577,$K$55:$K$564,AD$568,$H$55:$H$564,"AG",$L$55:$L$564,$AA$567)</f>
        <v>0</v>
      </c>
      <c r="AE577" s="33">
        <f>SUMIFS($J$55:$J$564,$I$55:$I$564,$A577,$K$55:$K$564,AE$568,$H$55:$H$564,"AG",$L$55:$L$564,$AA$567)</f>
        <v>0</v>
      </c>
      <c r="AF577" s="43">
        <f>SUM(B577:U577)*A577</f>
        <v>0</v>
      </c>
      <c r="AG577" s="43">
        <f>SUM(B577:U577)</f>
        <v>0</v>
      </c>
    </row>
    <row r="578" spans="1:33" ht="15.75" thickBot="1" x14ac:dyDescent="0.3">
      <c r="A578" s="35"/>
      <c r="B578" s="60">
        <f t="shared" ref="B578:AG578" si="21">SUM(B569:B577)</f>
        <v>0</v>
      </c>
      <c r="C578" s="61">
        <f t="shared" si="21"/>
        <v>0</v>
      </c>
      <c r="D578" s="61">
        <f t="shared" si="21"/>
        <v>0</v>
      </c>
      <c r="E578" s="61">
        <f t="shared" si="21"/>
        <v>0</v>
      </c>
      <c r="F578" s="62">
        <f t="shared" si="21"/>
        <v>0</v>
      </c>
      <c r="G578" s="60">
        <f t="shared" si="21"/>
        <v>0</v>
      </c>
      <c r="H578" s="61">
        <f t="shared" si="21"/>
        <v>0</v>
      </c>
      <c r="I578" s="61">
        <f t="shared" si="21"/>
        <v>0</v>
      </c>
      <c r="J578" s="61">
        <f t="shared" si="21"/>
        <v>0</v>
      </c>
      <c r="K578" s="62">
        <f t="shared" si="21"/>
        <v>0</v>
      </c>
      <c r="L578" s="60">
        <f t="shared" si="21"/>
        <v>0</v>
      </c>
      <c r="M578" s="61">
        <f t="shared" si="21"/>
        <v>0</v>
      </c>
      <c r="N578" s="61">
        <f t="shared" si="21"/>
        <v>0</v>
      </c>
      <c r="O578" s="61">
        <f t="shared" si="21"/>
        <v>0</v>
      </c>
      <c r="P578" s="62">
        <f t="shared" si="21"/>
        <v>0</v>
      </c>
      <c r="Q578" s="60">
        <f t="shared" si="21"/>
        <v>0</v>
      </c>
      <c r="R578" s="61">
        <f t="shared" si="21"/>
        <v>0</v>
      </c>
      <c r="S578" s="61">
        <f t="shared" si="21"/>
        <v>0</v>
      </c>
      <c r="T578" s="61">
        <f t="shared" si="21"/>
        <v>0</v>
      </c>
      <c r="U578" s="62">
        <f t="shared" si="21"/>
        <v>0</v>
      </c>
      <c r="V578" s="60">
        <f t="shared" si="21"/>
        <v>0</v>
      </c>
      <c r="W578" s="61">
        <f t="shared" si="21"/>
        <v>0</v>
      </c>
      <c r="X578" s="61">
        <f t="shared" si="21"/>
        <v>0</v>
      </c>
      <c r="Y578" s="61">
        <f t="shared" si="21"/>
        <v>0</v>
      </c>
      <c r="Z578" s="62">
        <f t="shared" si="21"/>
        <v>0</v>
      </c>
      <c r="AA578" s="60">
        <f t="shared" si="21"/>
        <v>0</v>
      </c>
      <c r="AB578" s="61">
        <f t="shared" si="21"/>
        <v>0</v>
      </c>
      <c r="AC578" s="61">
        <f t="shared" si="21"/>
        <v>0</v>
      </c>
      <c r="AD578" s="61">
        <f t="shared" si="21"/>
        <v>0</v>
      </c>
      <c r="AE578" s="62">
        <f t="shared" si="21"/>
        <v>0</v>
      </c>
      <c r="AF578" s="35">
        <f t="shared" si="21"/>
        <v>0</v>
      </c>
      <c r="AG578" s="61">
        <f t="shared" si="21"/>
        <v>0</v>
      </c>
    </row>
    <row r="579" spans="1:33" ht="15.75" thickBot="1" x14ac:dyDescent="0.3"/>
    <row r="580" spans="1:33" ht="19.5" thickBot="1" x14ac:dyDescent="0.35">
      <c r="A580" s="199" t="s">
        <v>249</v>
      </c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  <c r="AB580" s="200"/>
      <c r="AC580" s="200"/>
      <c r="AD580" s="200"/>
      <c r="AE580" s="200"/>
      <c r="AF580" s="200"/>
      <c r="AG580" s="201"/>
    </row>
    <row r="581" spans="1:33" x14ac:dyDescent="0.25">
      <c r="A581" s="123" t="s">
        <v>31</v>
      </c>
      <c r="B581" s="113" t="s">
        <v>22</v>
      </c>
      <c r="C581" s="114"/>
      <c r="D581" s="114"/>
      <c r="E581" s="114"/>
      <c r="F581" s="115"/>
      <c r="G581" s="113" t="s">
        <v>20</v>
      </c>
      <c r="H581" s="114"/>
      <c r="I581" s="114"/>
      <c r="J581" s="114"/>
      <c r="K581" s="115"/>
      <c r="L581" s="113" t="s">
        <v>34</v>
      </c>
      <c r="M581" s="114"/>
      <c r="N581" s="114"/>
      <c r="O581" s="114"/>
      <c r="P581" s="115"/>
      <c r="Q581" s="113" t="s">
        <v>127</v>
      </c>
      <c r="R581" s="114"/>
      <c r="S581" s="114"/>
      <c r="T581" s="114"/>
      <c r="U581" s="115"/>
      <c r="V581" s="113" t="s">
        <v>129</v>
      </c>
      <c r="W581" s="114"/>
      <c r="X581" s="114"/>
      <c r="Y581" s="114"/>
      <c r="Z581" s="115"/>
      <c r="AA581" s="113" t="s">
        <v>26</v>
      </c>
      <c r="AB581" s="114"/>
      <c r="AC581" s="114"/>
      <c r="AD581" s="114"/>
      <c r="AE581" s="115"/>
      <c r="AF581" s="116" t="s">
        <v>24</v>
      </c>
      <c r="AG581" s="116" t="s">
        <v>86</v>
      </c>
    </row>
    <row r="582" spans="1:33" ht="15.75" thickBot="1" x14ac:dyDescent="0.3">
      <c r="A582" s="124"/>
      <c r="B582" s="9" t="s">
        <v>32</v>
      </c>
      <c r="C582" s="12" t="s">
        <v>17</v>
      </c>
      <c r="D582" s="12" t="s">
        <v>19</v>
      </c>
      <c r="E582" s="12" t="s">
        <v>33</v>
      </c>
      <c r="F582" s="14" t="s">
        <v>80</v>
      </c>
      <c r="G582" s="9" t="s">
        <v>32</v>
      </c>
      <c r="H582" s="12" t="s">
        <v>17</v>
      </c>
      <c r="I582" s="12" t="s">
        <v>19</v>
      </c>
      <c r="J582" s="12" t="s">
        <v>33</v>
      </c>
      <c r="K582" s="14" t="s">
        <v>80</v>
      </c>
      <c r="L582" s="9" t="s">
        <v>32</v>
      </c>
      <c r="M582" s="12" t="s">
        <v>17</v>
      </c>
      <c r="N582" s="12" t="s">
        <v>19</v>
      </c>
      <c r="O582" s="12" t="s">
        <v>33</v>
      </c>
      <c r="P582" s="14" t="s">
        <v>80</v>
      </c>
      <c r="Q582" s="9" t="s">
        <v>32</v>
      </c>
      <c r="R582" s="12" t="s">
        <v>17</v>
      </c>
      <c r="S582" s="12" t="s">
        <v>19</v>
      </c>
      <c r="T582" s="12" t="s">
        <v>33</v>
      </c>
      <c r="U582" s="14" t="s">
        <v>80</v>
      </c>
      <c r="V582" s="9" t="s">
        <v>32</v>
      </c>
      <c r="W582" s="12" t="s">
        <v>17</v>
      </c>
      <c r="X582" s="12" t="s">
        <v>19</v>
      </c>
      <c r="Y582" s="12" t="s">
        <v>33</v>
      </c>
      <c r="Z582" s="14" t="s">
        <v>80</v>
      </c>
      <c r="AA582" s="9" t="s">
        <v>32</v>
      </c>
      <c r="AB582" s="12" t="s">
        <v>17</v>
      </c>
      <c r="AC582" s="12" t="s">
        <v>19</v>
      </c>
      <c r="AD582" s="12" t="s">
        <v>33</v>
      </c>
      <c r="AE582" s="14" t="s">
        <v>80</v>
      </c>
      <c r="AF582" s="117"/>
      <c r="AG582" s="117"/>
    </row>
    <row r="583" spans="1:33" x14ac:dyDescent="0.25">
      <c r="A583" s="16">
        <v>300</v>
      </c>
      <c r="B583" s="10">
        <f>SUMIFS($J$55:$J$564,$I$55:$I$564,$A583,$K$55:$K$564,B$568,$H$55:$H$564,"NG",$L$55:$L$564,$B$567)</f>
        <v>0</v>
      </c>
      <c r="C583" s="11">
        <f>SUMIFS($J$55:$J$564,$I$55:$I$564,$A583,$K$55:$K$564,C$568,$H$55:$H$564,"NG",$L$55:$L$564,$B$567)</f>
        <v>0</v>
      </c>
      <c r="D583" s="11">
        <f>SUMIFS($J$55:$J$564,$I$55:$I$564,$A583,$K$55:$K$564,D$568,$H$55:$H$564,"NG",$L$55:$L$564,$B$567)</f>
        <v>0</v>
      </c>
      <c r="E583" s="11">
        <f>SUMIFS($J$55:$J$564,$I$55:$I$564,$A583,$K$55:$K$564,E$568,$H$55:$H$564,"NG",$L$55:$L$564,$B$567)</f>
        <v>0</v>
      </c>
      <c r="F583" s="17">
        <f>SUMIFS($J$55:$J$564,$I$55:$I$564,$A583,$K$55:$K$564,F$568,$H$55:$H$564,"NG",$L$55:$L$564,$B$567)</f>
        <v>0</v>
      </c>
      <c r="G583" s="10">
        <f>SUMIFS($J$55:$J$564,$I$55:$I$564,$A583,$K$55:$K$564,G$568,$H$55:$H$564,"NG",$L$55:$L$564,$G$567)</f>
        <v>0</v>
      </c>
      <c r="H583" s="11">
        <f>SUMIFS($J$55:$J$564,$I$55:$I$564,$A583,$K$55:$K$564,H$568,$H$55:$H$564,"NG",$L$55:$L$564,$G$567)</f>
        <v>0</v>
      </c>
      <c r="I583" s="11">
        <f>SUMIFS($J$55:$J$564,$I$55:$I$564,$A583,$K$55:$K$564,I$568,$H$55:$H$564,"NG",$L$55:$L$564,$G$567)</f>
        <v>0</v>
      </c>
      <c r="J583" s="11">
        <f>SUMIFS($J$55:$J$564,$I$55:$I$564,$A583,$K$55:$K$564,J$568,$H$55:$H$564,"NG",$L$55:$L$564,$G$567)</f>
        <v>0</v>
      </c>
      <c r="K583" s="17">
        <f>SUMIFS($J$55:$J$564,$I$55:$I$564,$A583,$K$55:$K$564,K$568,$H$55:$H$564,"NG",$L$55:$L$564,$G$567)</f>
        <v>0</v>
      </c>
      <c r="L583" s="10">
        <f>SUMIFS($J$55:$J$564,$I$55:$I$564,$A583,$K$55:$K$564,L$568,$H$55:$H$564,"NG",$L$55:$L$564,$L$567)</f>
        <v>0</v>
      </c>
      <c r="M583" s="11">
        <f>SUMIFS($J$55:$J$564,$I$55:$I$564,$A583,$K$55:$K$564,M$568,$H$55:$H$564,"NG",$L$55:$L$564,$L$567)</f>
        <v>0</v>
      </c>
      <c r="N583" s="11">
        <f>SUMIFS($J$55:$J$564,$I$55:$I$564,$A583,$K$55:$K$564,N$568,$H$55:$H$564,"NG",$L$55:$L$564,$L$567)</f>
        <v>0</v>
      </c>
      <c r="O583" s="11">
        <f>SUMIFS($J$55:$J$564,$I$55:$I$564,$A583,$K$55:$K$564,O$568,$H$55:$H$564,"NG",$L$55:$L$564,$L$567)</f>
        <v>0</v>
      </c>
      <c r="P583" s="17">
        <f>SUMIFS($J$55:$J$564,$I$55:$I$564,$A583,$K$55:$K$564,P$568,$H$55:$H$564,"NG",$L$55:$L$564,$L$567)</f>
        <v>0</v>
      </c>
      <c r="Q583" s="10">
        <f>SUMIFS($J$55:$J$564,$I$55:$I$564,$A583,$K$55:$K$564,Q$568,$H$55:$H$564,"NG",$L$55:$L$564,$Q$567)</f>
        <v>0</v>
      </c>
      <c r="R583" s="11">
        <f>SUMIFS($J$55:$J$564,$I$55:$I$564,$A583,$K$55:$K$564,R$568,$H$55:$H$564,"NG",$L$55:$L$564,$Q$567)</f>
        <v>0</v>
      </c>
      <c r="S583" s="11">
        <f>SUMIFS($J$55:$J$564,$I$55:$I$564,$A583,$K$55:$K$564,S$568,$H$55:$H$564,"NG",$L$55:$L$564,$Q$567)</f>
        <v>0</v>
      </c>
      <c r="T583" s="11">
        <f>SUMIFS($J$55:$J$564,$I$55:$I$564,$A583,$K$55:$K$564,T$568,$H$55:$H$564,"NG",$L$55:$L$564,$Q$567)</f>
        <v>0</v>
      </c>
      <c r="U583" s="17">
        <f>SUMIFS($J$55:$J$564,$I$55:$I$564,$A583,$K$55:$K$564,U$568,$H$55:$H$564,"NG",$L$55:$L$564,$Q$567)</f>
        <v>0</v>
      </c>
      <c r="V583" s="10">
        <f>SUMIFS($J$55:$J$564,$I$55:$I$564,$A583,$K$55:$K$564,V$568,$H$55:$H$564,"NG",$L$55:$L$564,$V$567)</f>
        <v>0</v>
      </c>
      <c r="W583" s="11">
        <f>SUMIFS($J$55:$J$564,$I$55:$I$564,$A583,$K$55:$K$564,W$568,$H$55:$H$564,"NG",$L$55:$L$564,$V$567)</f>
        <v>0</v>
      </c>
      <c r="X583" s="11">
        <f>SUMIFS($J$55:$J$564,$I$55:$I$564,$A583,$K$55:$K$564,X$568,$H$55:$H$564,"NG",$L$55:$L$564,$V$567)</f>
        <v>0</v>
      </c>
      <c r="Y583" s="11">
        <f>SUMIFS($J$55:$J$564,$I$55:$I$564,$A583,$K$55:$K$564,Y$568,$H$55:$H$564,"NG",$L$55:$L$564,$V$567)</f>
        <v>0</v>
      </c>
      <c r="Z583" s="17">
        <f>SUMIFS($J$55:$J$564,$I$55:$I$564,$A583,$K$55:$K$564,Z$568,$H$55:$H$564,"NG",$L$55:$L$564,$V$567)</f>
        <v>0</v>
      </c>
      <c r="AA583" s="10">
        <f>SUMIFS($J$55:$J$564,$I$55:$I$564,$A583,$K$55:$K$564,AA$568,$H$55:$H$564,"NG",$L$55:$L$564,$AA$567)</f>
        <v>0</v>
      </c>
      <c r="AB583" s="11">
        <f>SUMIFS($J$55:$J$564,$I$55:$I$564,$A583,$K$55:$K$564,AB$568,$H$55:$H$564,"NG",$L$55:$L$564,$AA$567)</f>
        <v>0</v>
      </c>
      <c r="AC583" s="11">
        <f>SUMIFS($J$55:$J$564,$I$55:$I$564,$A583,$K$55:$K$564,AC$568,$H$55:$H$564,"NG",$L$55:$L$564,$AA$567)</f>
        <v>0</v>
      </c>
      <c r="AD583" s="11">
        <f>SUMIFS($J$55:$J$564,$I$55:$I$564,$A583,$K$55:$K$564,AD$568,$H$55:$H$564,"NG",$L$55:$L$564,$AA$567)</f>
        <v>0</v>
      </c>
      <c r="AE583" s="17">
        <f>SUMIFS($J$55:$J$564,$I$55:$I$564,$A583,$K$55:$K$564,AE$568,$H$55:$H$564,"NG",$L$55:$L$564,$AA$567)</f>
        <v>0</v>
      </c>
      <c r="AF583" s="16">
        <f>SUM(B583:U583)*A583</f>
        <v>0</v>
      </c>
      <c r="AG583" s="16">
        <f>SUM(B583:U583)</f>
        <v>0</v>
      </c>
    </row>
    <row r="584" spans="1:33" x14ac:dyDescent="0.25">
      <c r="A584" s="16">
        <v>500</v>
      </c>
      <c r="B584" s="10">
        <f>SUMIFS($J$55:$J$564,$I$55:$I$564,$A584,$K$55:$K$564,B$568,$H$55:$H$564,"NG",$L$55:$L$564,$B$567)</f>
        <v>0</v>
      </c>
      <c r="C584" s="11">
        <f>SUMIFS($J$55:$J$564,$I$55:$I$564,$A584,$K$55:$K$564,C$568,$H$55:$H$564,"NG",$L$55:$L$564,$B$567)</f>
        <v>0</v>
      </c>
      <c r="D584" s="11">
        <f>SUMIFS($J$55:$J$564,$I$55:$I$564,$A584,$K$55:$K$564,D$568,$H$55:$H$564,"NG",$L$55:$L$564,$B$567)</f>
        <v>0</v>
      </c>
      <c r="E584" s="11">
        <f>SUMIFS($J$55:$J$564,$I$55:$I$564,$A584,$K$55:$K$564,E$568,$H$55:$H$564,"NG",$L$55:$L$564,$B$567)</f>
        <v>0</v>
      </c>
      <c r="F584" s="17">
        <f>SUMIFS($J$55:$J$564,$I$55:$I$564,$A584,$K$55:$K$564,F$568,$H$55:$H$564,"NG",$L$55:$L$564,$B$567)</f>
        <v>0</v>
      </c>
      <c r="G584" s="10">
        <f>SUMIFS($J$55:$J$564,$I$55:$I$564,$A584,$K$55:$K$564,G$568,$H$55:$H$564,"NG",$L$55:$L$564,$G$567)</f>
        <v>0</v>
      </c>
      <c r="H584" s="11">
        <f>SUMIFS($J$55:$J$564,$I$55:$I$564,$A584,$K$55:$K$564,H$568,$H$55:$H$564,"NG",$L$55:$L$564,$G$567)</f>
        <v>0</v>
      </c>
      <c r="I584" s="11">
        <f>SUMIFS($J$55:$J$564,$I$55:$I$564,$A584,$K$55:$K$564,I$568,$H$55:$H$564,"NG",$L$55:$L$564,$G$567)</f>
        <v>0</v>
      </c>
      <c r="J584" s="11">
        <f>SUMIFS($J$55:$J$564,$I$55:$I$564,$A584,$K$55:$K$564,J$568,$H$55:$H$564,"NG",$L$55:$L$564,$G$567)</f>
        <v>0</v>
      </c>
      <c r="K584" s="17">
        <f>SUMIFS($J$55:$J$564,$I$55:$I$564,$A584,$K$55:$K$564,K$568,$H$55:$H$564,"NG",$L$55:$L$564,$G$567)</f>
        <v>0</v>
      </c>
      <c r="L584" s="10">
        <f>SUMIFS($J$55:$J$564,$I$55:$I$564,$A584,$K$55:$K$564,L$568,$H$55:$H$564,"NG",$L$55:$L$564,$L$567)</f>
        <v>0</v>
      </c>
      <c r="M584" s="11">
        <f>SUMIFS($J$55:$J$564,$I$55:$I$564,$A584,$K$55:$K$564,M$568,$H$55:$H$564,"NG",$L$55:$L$564,$L$567)</f>
        <v>0</v>
      </c>
      <c r="N584" s="11">
        <f>SUMIFS($J$55:$J$564,$I$55:$I$564,$A584,$K$55:$K$564,N$568,$H$55:$H$564,"NG",$L$55:$L$564,$L$567)</f>
        <v>0</v>
      </c>
      <c r="O584" s="11">
        <f>SUMIFS($J$55:$J$564,$I$55:$I$564,$A584,$K$55:$K$564,O$568,$H$55:$H$564,"NG",$L$55:$L$564,$L$567)</f>
        <v>0</v>
      </c>
      <c r="P584" s="17">
        <f>SUMIFS($J$55:$J$564,$I$55:$I$564,$A584,$K$55:$K$564,P$568,$H$55:$H$564,"NG",$L$55:$L$564,$L$567)</f>
        <v>0</v>
      </c>
      <c r="Q584" s="10">
        <f>SUMIFS($J$55:$J$564,$I$55:$I$564,$A584,$K$55:$K$564,Q$568,$H$55:$H$564,"NG",$L$55:$L$564,$Q$567)</f>
        <v>0</v>
      </c>
      <c r="R584" s="11">
        <f>SUMIFS($J$55:$J$564,$I$55:$I$564,$A584,$K$55:$K$564,R$568,$H$55:$H$564,"NG",$L$55:$L$564,$Q$567)</f>
        <v>0</v>
      </c>
      <c r="S584" s="11">
        <f>SUMIFS($J$55:$J$564,$I$55:$I$564,$A584,$K$55:$K$564,S$568,$H$55:$H$564,"NG",$L$55:$L$564,$Q$567)</f>
        <v>0</v>
      </c>
      <c r="T584" s="11">
        <f>SUMIFS($J$55:$J$564,$I$55:$I$564,$A584,$K$55:$K$564,T$568,$H$55:$H$564,"NG",$L$55:$L$564,$Q$567)</f>
        <v>0</v>
      </c>
      <c r="U584" s="17">
        <f>SUMIFS($J$55:$J$564,$I$55:$I$564,$A584,$K$55:$K$564,U$568,$H$55:$H$564,"NG",$L$55:$L$564,$Q$567)</f>
        <v>0</v>
      </c>
      <c r="V584" s="10">
        <f>SUMIFS($J$55:$J$564,$I$55:$I$564,$A584,$K$55:$K$564,V$568,$H$55:$H$564,"NG",$L$55:$L$564,$V$567)</f>
        <v>0</v>
      </c>
      <c r="W584" s="11">
        <f>SUMIFS($J$55:$J$564,$I$55:$I$564,$A584,$K$55:$K$564,W$568,$H$55:$H$564,"NG",$L$55:$L$564,$V$567)</f>
        <v>0</v>
      </c>
      <c r="X584" s="11">
        <f>SUMIFS($J$55:$J$564,$I$55:$I$564,$A584,$K$55:$K$564,X$568,$H$55:$H$564,"NG",$L$55:$L$564,$V$567)</f>
        <v>0</v>
      </c>
      <c r="Y584" s="11">
        <f>SUMIFS($J$55:$J$564,$I$55:$I$564,$A584,$K$55:$K$564,Y$568,$H$55:$H$564,"NG",$L$55:$L$564,$V$567)</f>
        <v>0</v>
      </c>
      <c r="Z584" s="17">
        <f>SUMIFS($J$55:$J$564,$I$55:$I$564,$A584,$K$55:$K$564,Z$568,$H$55:$H$564,"NG",$L$55:$L$564,$V$567)</f>
        <v>0</v>
      </c>
      <c r="AA584" s="10">
        <f>SUMIFS($J$55:$J$564,$I$55:$I$564,$A584,$K$55:$K$564,AA$568,$H$55:$H$564,"NG",$L$55:$L$564,$AA$567)</f>
        <v>0</v>
      </c>
      <c r="AB584" s="11">
        <f>SUMIFS($J$55:$J$564,$I$55:$I$564,$A584,$K$55:$K$564,AB$568,$H$55:$H$564,"NG",$L$55:$L$564,$AA$567)</f>
        <v>0</v>
      </c>
      <c r="AC584" s="11">
        <f>SUMIFS($J$55:$J$564,$I$55:$I$564,$A584,$K$55:$K$564,AC$568,$H$55:$H$564,"NG",$L$55:$L$564,$AA$567)</f>
        <v>0</v>
      </c>
      <c r="AD584" s="11">
        <f>SUMIFS($J$55:$J$564,$I$55:$I$564,$A584,$K$55:$K$564,AD$568,$H$55:$H$564,"NG",$L$55:$L$564,$AA$567)</f>
        <v>0</v>
      </c>
      <c r="AE584" s="17">
        <f>SUMIFS($J$55:$J$564,$I$55:$I$564,$A584,$K$55:$K$564,AE$568,$H$55:$H$564,"NG",$L$55:$L$564,$AA$567)</f>
        <v>0</v>
      </c>
      <c r="AF584" s="16">
        <f>SUM(B584:U584)*A584</f>
        <v>0</v>
      </c>
      <c r="AG584" s="16">
        <f>SUM(B584:U584)</f>
        <v>0</v>
      </c>
    </row>
    <row r="585" spans="1:33" x14ac:dyDescent="0.25">
      <c r="A585" s="15">
        <v>750</v>
      </c>
      <c r="B585" s="8">
        <f>SUMIFS($J$55:$J$564,$I$55:$I$564,$A585,$K$55:$K$564,B$568,$H$55:$H$564,"NG",$L$55:$L$564,$B$567)</f>
        <v>0</v>
      </c>
      <c r="C585" s="6">
        <f>SUMIFS($J$55:$J$564,$I$55:$I$564,$A585,$K$55:$K$564,C$568,$H$55:$H$564,"NG",$L$55:$L$564,$B$567)</f>
        <v>0</v>
      </c>
      <c r="D585" s="6">
        <f>SUMIFS($J$55:$J$564,$I$55:$I$564,$A585,$K$55:$K$564,D$568,$H$55:$H$564,"NG",$L$55:$L$564,$B$567)</f>
        <v>0</v>
      </c>
      <c r="E585" s="6">
        <f>SUMIFS($J$55:$J$564,$I$55:$I$564,$A585,$K$55:$K$564,E$568,$H$55:$H$564,"NG",$L$55:$L$564,$B$567)</f>
        <v>0</v>
      </c>
      <c r="F585" s="13">
        <f>SUMIFS($J$55:$J$564,$I$55:$I$564,$A585,$K$55:$K$564,F$568,$H$55:$H$564,"NG",$L$55:$L$564,$B$567)</f>
        <v>0</v>
      </c>
      <c r="G585" s="8">
        <f>SUMIFS($J$55:$J$564,$I$55:$I$564,$A585,$K$55:$K$564,G$568,$H$55:$H$564,"NG",$L$55:$L$564,$G$567)</f>
        <v>0</v>
      </c>
      <c r="H585" s="6">
        <f>SUMIFS($J$55:$J$564,$I$55:$I$564,$A585,$K$55:$K$564,H$568,$H$55:$H$564,"NG",$L$55:$L$564,$G$567)</f>
        <v>0</v>
      </c>
      <c r="I585" s="6">
        <f>SUMIFS($J$55:$J$564,$I$55:$I$564,$A585,$K$55:$K$564,I$568,$H$55:$H$564,"NG",$L$55:$L$564,$G$567)</f>
        <v>0</v>
      </c>
      <c r="J585" s="6">
        <f>SUMIFS($J$55:$J$564,$I$55:$I$564,$A585,$K$55:$K$564,J$568,$H$55:$H$564,"NG",$L$55:$L$564,$G$567)</f>
        <v>0</v>
      </c>
      <c r="K585" s="13">
        <f>SUMIFS($J$55:$J$564,$I$55:$I$564,$A585,$K$55:$K$564,K$568,$H$55:$H$564,"NG",$L$55:$L$564,$G$567)</f>
        <v>0</v>
      </c>
      <c r="L585" s="8">
        <f>SUMIFS($J$55:$J$564,$I$55:$I$564,$A585,$K$55:$K$564,L$568,$H$55:$H$564,"NG",$L$55:$L$564,$L$567)</f>
        <v>0</v>
      </c>
      <c r="M585" s="6">
        <f>SUMIFS($J$55:$J$564,$I$55:$I$564,$A585,$K$55:$K$564,M$568,$H$55:$H$564,"NG",$L$55:$L$564,$L$567)</f>
        <v>0</v>
      </c>
      <c r="N585" s="6">
        <f>SUMIFS($J$55:$J$564,$I$55:$I$564,$A585,$K$55:$K$564,N$568,$H$55:$H$564,"NG",$L$55:$L$564,$L$567)</f>
        <v>0</v>
      </c>
      <c r="O585" s="6">
        <f>SUMIFS($J$55:$J$564,$I$55:$I$564,$A585,$K$55:$K$564,O$568,$H$55:$H$564,"NG",$L$55:$L$564,$L$567)</f>
        <v>0</v>
      </c>
      <c r="P585" s="13">
        <f>SUMIFS($J$55:$J$564,$I$55:$I$564,$A585,$K$55:$K$564,P$568,$H$55:$H$564,"NG",$L$55:$L$564,$L$567)</f>
        <v>0</v>
      </c>
      <c r="Q585" s="8">
        <f>SUMIFS($J$55:$J$564,$I$55:$I$564,$A585,$K$55:$K$564,Q$568,$H$55:$H$564,"NG",$L$55:$L$564,$Q$567)</f>
        <v>0</v>
      </c>
      <c r="R585" s="6">
        <f>SUMIFS($J$55:$J$564,$I$55:$I$564,$A585,$K$55:$K$564,R$568,$H$55:$H$564,"NG",$L$55:$L$564,$Q$567)</f>
        <v>0</v>
      </c>
      <c r="S585" s="6">
        <f>SUMIFS($J$55:$J$564,$I$55:$I$564,$A585,$K$55:$K$564,S$568,$H$55:$H$564,"NG",$L$55:$L$564,$Q$567)</f>
        <v>0</v>
      </c>
      <c r="T585" s="6">
        <f>SUMIFS($J$55:$J$564,$I$55:$I$564,$A585,$K$55:$K$564,T$568,$H$55:$H$564,"NG",$L$55:$L$564,$Q$567)</f>
        <v>0</v>
      </c>
      <c r="U585" s="13">
        <f>SUMIFS($J$55:$J$564,$I$55:$I$564,$A585,$K$55:$K$564,U$568,$H$55:$H$564,"NG",$L$55:$L$564,$Q$567)</f>
        <v>0</v>
      </c>
      <c r="V585" s="8">
        <f>SUMIFS($J$55:$J$564,$I$55:$I$564,$A585,$K$55:$K$564,V$568,$H$55:$H$564,"NG",$L$55:$L$564,$V$567)</f>
        <v>0</v>
      </c>
      <c r="W585" s="6">
        <f>SUMIFS($J$55:$J$564,$I$55:$I$564,$A585,$K$55:$K$564,W$568,$H$55:$H$564,"NG",$L$55:$L$564,$V$567)</f>
        <v>0</v>
      </c>
      <c r="X585" s="6">
        <f>SUMIFS($J$55:$J$564,$I$55:$I$564,$A585,$K$55:$K$564,X$568,$H$55:$H$564,"NG",$L$55:$L$564,$V$567)</f>
        <v>0</v>
      </c>
      <c r="Y585" s="6">
        <f>SUMIFS($J$55:$J$564,$I$55:$I$564,$A585,$K$55:$K$564,Y$568,$H$55:$H$564,"NG",$L$55:$L$564,$V$567)</f>
        <v>0</v>
      </c>
      <c r="Z585" s="13">
        <f>SUMIFS($J$55:$J$564,$I$55:$I$564,$A585,$K$55:$K$564,Z$568,$H$55:$H$564,"NG",$L$55:$L$564,$V$567)</f>
        <v>0</v>
      </c>
      <c r="AA585" s="8">
        <f>SUMIFS($J$55:$J$564,$I$55:$I$564,$A585,$K$55:$K$564,AA$568,$H$55:$H$564,"NG",$L$55:$L$564,$AA$567)</f>
        <v>0</v>
      </c>
      <c r="AB585" s="6">
        <f>SUMIFS($J$55:$J$564,$I$55:$I$564,$A585,$K$55:$K$564,AB$568,$H$55:$H$564,"NG",$L$55:$L$564,$AA$567)</f>
        <v>0</v>
      </c>
      <c r="AC585" s="6">
        <f>SUMIFS($J$55:$J$564,$I$55:$I$564,$A585,$K$55:$K$564,AC$568,$H$55:$H$564,"NG",$L$55:$L$564,$AA$567)</f>
        <v>0</v>
      </c>
      <c r="AD585" s="6">
        <f>SUMIFS($J$55:$J$564,$I$55:$I$564,$A585,$K$55:$K$564,AD$568,$H$55:$H$564,"NG",$L$55:$L$564,$AA$567)</f>
        <v>0</v>
      </c>
      <c r="AE585" s="13">
        <f>SUMIFS($J$55:$J$564,$I$55:$I$564,$A585,$K$55:$K$564,AE$568,$H$55:$H$564,"NG",$L$55:$L$564,$AA$567)</f>
        <v>0</v>
      </c>
      <c r="AF585" s="16">
        <f>SUM(B585:U585)*A585</f>
        <v>0</v>
      </c>
      <c r="AG585" s="16">
        <f>SUM(B585:U585)</f>
        <v>0</v>
      </c>
    </row>
    <row r="586" spans="1:33" x14ac:dyDescent="0.25">
      <c r="A586" s="15">
        <v>1000</v>
      </c>
      <c r="B586" s="8">
        <f>SUMIFS($J$55:$J$564,$I$55:$I$564,$A586,$K$55:$K$564,B$568,$H$55:$H$564,"NG",$L$55:$L$564,$B$567)</f>
        <v>0</v>
      </c>
      <c r="C586" s="6">
        <f>SUMIFS($J$55:$J$564,$I$55:$I$564,$A586,$K$55:$K$564,C$568,$H$55:$H$564,"NG",$L$55:$L$564,$B$567)</f>
        <v>0</v>
      </c>
      <c r="D586" s="6">
        <f>SUMIFS($J$55:$J$564,$I$55:$I$564,$A586,$K$55:$K$564,D$568,$H$55:$H$564,"NG",$L$55:$L$564,$B$567)</f>
        <v>0</v>
      </c>
      <c r="E586" s="6">
        <f>SUMIFS($J$55:$J$564,$I$55:$I$564,$A586,$K$55:$K$564,E$568,$H$55:$H$564,"NG",$L$55:$L$564,$B$567)</f>
        <v>0</v>
      </c>
      <c r="F586" s="13">
        <f>SUMIFS($J$55:$J$564,$I$55:$I$564,$A586,$K$55:$K$564,F$568,$H$55:$H$564,"NG",$L$55:$L$564,$B$567)</f>
        <v>0</v>
      </c>
      <c r="G586" s="8">
        <f>SUMIFS($J$55:$J$564,$I$55:$I$564,$A586,$K$55:$K$564,G$568,$H$55:$H$564,"NG",$L$55:$L$564,$G$567)</f>
        <v>0</v>
      </c>
      <c r="H586" s="6">
        <f>SUMIFS($J$55:$J$564,$I$55:$I$564,$A586,$K$55:$K$564,H$568,$H$55:$H$564,"NG",$L$55:$L$564,$G$567)</f>
        <v>0</v>
      </c>
      <c r="I586" s="6">
        <f>SUMIFS($J$55:$J$564,$I$55:$I$564,$A586,$K$55:$K$564,I$568,$H$55:$H$564,"NG",$L$55:$L$564,$G$567)</f>
        <v>0</v>
      </c>
      <c r="J586" s="6">
        <f>SUMIFS($J$55:$J$564,$I$55:$I$564,$A586,$K$55:$K$564,J$568,$H$55:$H$564,"NG",$L$55:$L$564,$G$567)</f>
        <v>0</v>
      </c>
      <c r="K586" s="13">
        <f>SUMIFS($J$55:$J$564,$I$55:$I$564,$A586,$K$55:$K$564,K$568,$H$55:$H$564,"NG",$L$55:$L$564,$G$567)</f>
        <v>0</v>
      </c>
      <c r="L586" s="8">
        <f>SUMIFS($J$55:$J$564,$I$55:$I$564,$A586,$K$55:$K$564,L$568,$H$55:$H$564,"NG",$L$55:$L$564,$L$567)</f>
        <v>0</v>
      </c>
      <c r="M586" s="6">
        <f>SUMIFS($J$55:$J$564,$I$55:$I$564,$A586,$K$55:$K$564,M$568,$H$55:$H$564,"NG",$L$55:$L$564,$L$567)</f>
        <v>0</v>
      </c>
      <c r="N586" s="6">
        <f>SUMIFS($J$55:$J$564,$I$55:$I$564,$A586,$K$55:$K$564,N$568,$H$55:$H$564,"NG",$L$55:$L$564,$L$567)</f>
        <v>0</v>
      </c>
      <c r="O586" s="6">
        <f>SUMIFS($J$55:$J$564,$I$55:$I$564,$A586,$K$55:$K$564,O$568,$H$55:$H$564,"NG",$L$55:$L$564,$L$567)</f>
        <v>0</v>
      </c>
      <c r="P586" s="13">
        <f>SUMIFS($J$55:$J$564,$I$55:$I$564,$A586,$K$55:$K$564,P$568,$H$55:$H$564,"NG",$L$55:$L$564,$L$567)</f>
        <v>0</v>
      </c>
      <c r="Q586" s="8">
        <f>SUMIFS($J$55:$J$564,$I$55:$I$564,$A586,$K$55:$K$564,Q$568,$H$55:$H$564,"NG",$L$55:$L$564,$Q$567)</f>
        <v>0</v>
      </c>
      <c r="R586" s="6">
        <f>SUMIFS($J$55:$J$564,$I$55:$I$564,$A586,$K$55:$K$564,R$568,$H$55:$H$564,"NG",$L$55:$L$564,$Q$567)</f>
        <v>0</v>
      </c>
      <c r="S586" s="6">
        <f>SUMIFS($J$55:$J$564,$I$55:$I$564,$A586,$K$55:$K$564,S$568,$H$55:$H$564,"NG",$L$55:$L$564,$Q$567)</f>
        <v>0</v>
      </c>
      <c r="T586" s="6">
        <f>SUMIFS($J$55:$J$564,$I$55:$I$564,$A586,$K$55:$K$564,T$568,$H$55:$H$564,"NG",$L$55:$L$564,$Q$567)</f>
        <v>0</v>
      </c>
      <c r="U586" s="13">
        <f>SUMIFS($J$55:$J$564,$I$55:$I$564,$A586,$K$55:$K$564,U$568,$H$55:$H$564,"NG",$L$55:$L$564,$Q$567)</f>
        <v>0</v>
      </c>
      <c r="V586" s="8">
        <f>SUMIFS($J$55:$J$564,$I$55:$I$564,$A586,$K$55:$K$564,V$568,$H$55:$H$564,"NG",$L$55:$L$564,$V$567)</f>
        <v>0</v>
      </c>
      <c r="W586" s="6">
        <f>SUMIFS($J$55:$J$564,$I$55:$I$564,$A586,$K$55:$K$564,W$568,$H$55:$H$564,"NG",$L$55:$L$564,$V$567)</f>
        <v>0</v>
      </c>
      <c r="X586" s="6">
        <f>SUMIFS($J$55:$J$564,$I$55:$I$564,$A586,$K$55:$K$564,X$568,$H$55:$H$564,"NG",$L$55:$L$564,$V$567)</f>
        <v>0</v>
      </c>
      <c r="Y586" s="6">
        <f>SUMIFS($J$55:$J$564,$I$55:$I$564,$A586,$K$55:$K$564,Y$568,$H$55:$H$564,"NG",$L$55:$L$564,$V$567)</f>
        <v>0</v>
      </c>
      <c r="Z586" s="13">
        <f>SUMIFS($J$55:$J$564,$I$55:$I$564,$A586,$K$55:$K$564,Z$568,$H$55:$H$564,"NG",$L$55:$L$564,$V$567)</f>
        <v>0</v>
      </c>
      <c r="AA586" s="8">
        <f>SUMIFS($J$55:$J$564,$I$55:$I$564,$A586,$K$55:$K$564,AA$568,$H$55:$H$564,"NG",$L$55:$L$564,$AA$567)</f>
        <v>0</v>
      </c>
      <c r="AB586" s="6">
        <f>SUMIFS($J$55:$J$564,$I$55:$I$564,$A586,$K$55:$K$564,AB$568,$H$55:$H$564,"NG",$L$55:$L$564,$AA$567)</f>
        <v>0</v>
      </c>
      <c r="AC586" s="6">
        <f>SUMIFS($J$55:$J$564,$I$55:$I$564,$A586,$K$55:$K$564,AC$568,$H$55:$H$564,"NG",$L$55:$L$564,$AA$567)</f>
        <v>0</v>
      </c>
      <c r="AD586" s="6">
        <f>SUMIFS($J$55:$J$564,$I$55:$I$564,$A586,$K$55:$K$564,AD$568,$H$55:$H$564,"NG",$L$55:$L$564,$AA$567)</f>
        <v>0</v>
      </c>
      <c r="AE586" s="13">
        <f>SUMIFS($J$55:$J$564,$I$55:$I$564,$A586,$K$55:$K$564,AE$568,$H$55:$H$564,"NG",$L$55:$L$564,$AA$567)</f>
        <v>0</v>
      </c>
      <c r="AF586" s="16">
        <f>SUM(B586:U586)*A586</f>
        <v>0</v>
      </c>
      <c r="AG586" s="16">
        <f>SUM(B586:U586)</f>
        <v>0</v>
      </c>
    </row>
    <row r="587" spans="1:33" x14ac:dyDescent="0.25">
      <c r="A587" s="15">
        <v>1500</v>
      </c>
      <c r="B587" s="8">
        <f>SUMIFS($J$55:$J$564,$I$55:$I$564,$A587,$K$55:$K$564,B$568,$H$55:$H$564,"NG",$L$55:$L$564,$B$567)</f>
        <v>0</v>
      </c>
      <c r="C587" s="6">
        <f>SUMIFS($J$55:$J$564,$I$55:$I$564,$A587,$K$55:$K$564,C$568,$H$55:$H$564,"NG",$L$55:$L$564,$B$567)</f>
        <v>0</v>
      </c>
      <c r="D587" s="6">
        <f>SUMIFS($J$55:$J$564,$I$55:$I$564,$A587,$K$55:$K$564,D$568,$H$55:$H$564,"NG",$L$55:$L$564,$B$567)</f>
        <v>0</v>
      </c>
      <c r="E587" s="6">
        <f>SUMIFS($J$55:$J$564,$I$55:$I$564,$A587,$K$55:$K$564,E$568,$H$55:$H$564,"NG",$L$55:$L$564,$B$567)</f>
        <v>0</v>
      </c>
      <c r="F587" s="13">
        <f>SUMIFS($J$55:$J$564,$I$55:$I$564,$A587,$K$55:$K$564,F$568,$H$55:$H$564,"NG",$L$55:$L$564,$B$567)</f>
        <v>0</v>
      </c>
      <c r="G587" s="8">
        <f>SUMIFS($J$55:$J$564,$I$55:$I$564,$A587,$K$55:$K$564,G$568,$H$55:$H$564,"NG",$L$55:$L$564,$G$567)</f>
        <v>0</v>
      </c>
      <c r="H587" s="6">
        <f>SUMIFS($J$55:$J$564,$I$55:$I$564,$A587,$K$55:$K$564,H$568,$H$55:$H$564,"NG",$L$55:$L$564,$G$567)</f>
        <v>0</v>
      </c>
      <c r="I587" s="6">
        <f>SUMIFS($J$55:$J$564,$I$55:$I$564,$A587,$K$55:$K$564,I$568,$H$55:$H$564,"NG",$L$55:$L$564,$G$567)</f>
        <v>0</v>
      </c>
      <c r="J587" s="6">
        <f>SUMIFS($J$55:$J$564,$I$55:$I$564,$A587,$K$55:$K$564,J$568,$H$55:$H$564,"NG",$L$55:$L$564,$G$567)</f>
        <v>0</v>
      </c>
      <c r="K587" s="13">
        <f>SUMIFS($J$55:$J$564,$I$55:$I$564,$A587,$K$55:$K$564,K$568,$H$55:$H$564,"NG",$L$55:$L$564,$G$567)</f>
        <v>0</v>
      </c>
      <c r="L587" s="8">
        <f>SUMIFS($J$55:$J$564,$I$55:$I$564,$A587,$K$55:$K$564,L$568,$H$55:$H$564,"NG",$L$55:$L$564,$L$567)</f>
        <v>0</v>
      </c>
      <c r="M587" s="6">
        <f>SUMIFS($J$55:$J$564,$I$55:$I$564,$A587,$K$55:$K$564,M$568,$H$55:$H$564,"NG",$L$55:$L$564,$L$567)</f>
        <v>0</v>
      </c>
      <c r="N587" s="6">
        <f>SUMIFS($J$55:$J$564,$I$55:$I$564,$A587,$K$55:$K$564,N$568,$H$55:$H$564,"NG",$L$55:$L$564,$L$567)</f>
        <v>0</v>
      </c>
      <c r="O587" s="6">
        <f>SUMIFS($J$55:$J$564,$I$55:$I$564,$A587,$K$55:$K$564,O$568,$H$55:$H$564,"NG",$L$55:$L$564,$L$567)</f>
        <v>0</v>
      </c>
      <c r="P587" s="13">
        <f>SUMIFS($J$55:$J$564,$I$55:$I$564,$A587,$K$55:$K$564,P$568,$H$55:$H$564,"NG",$L$55:$L$564,$L$567)</f>
        <v>0</v>
      </c>
      <c r="Q587" s="8">
        <f>SUMIFS($J$55:$J$564,$I$55:$I$564,$A587,$K$55:$K$564,Q$568,$H$55:$H$564,"NG",$L$55:$L$564,$Q$567)</f>
        <v>0</v>
      </c>
      <c r="R587" s="6">
        <f>SUMIFS($J$55:$J$564,$I$55:$I$564,$A587,$K$55:$K$564,R$568,$H$55:$H$564,"NG",$L$55:$L$564,$Q$567)</f>
        <v>0</v>
      </c>
      <c r="S587" s="6">
        <f>SUMIFS($J$55:$J$564,$I$55:$I$564,$A587,$K$55:$K$564,S$568,$H$55:$H$564,"NG",$L$55:$L$564,$Q$567)</f>
        <v>0</v>
      </c>
      <c r="T587" s="6">
        <f>SUMIFS($J$55:$J$564,$I$55:$I$564,$A587,$K$55:$K$564,T$568,$H$55:$H$564,"NG",$L$55:$L$564,$Q$567)</f>
        <v>0</v>
      </c>
      <c r="U587" s="13">
        <f>SUMIFS($J$55:$J$564,$I$55:$I$564,$A587,$K$55:$K$564,U$568,$H$55:$H$564,"NG",$L$55:$L$564,$Q$567)</f>
        <v>0</v>
      </c>
      <c r="V587" s="8">
        <f>SUMIFS($J$55:$J$564,$I$55:$I$564,$A587,$K$55:$K$564,V$568,$H$55:$H$564,"NG",$L$55:$L$564,$V$567)</f>
        <v>0</v>
      </c>
      <c r="W587" s="6">
        <f>SUMIFS($J$55:$J$564,$I$55:$I$564,$A587,$K$55:$K$564,W$568,$H$55:$H$564,"NG",$L$55:$L$564,$V$567)</f>
        <v>0</v>
      </c>
      <c r="X587" s="6">
        <f>SUMIFS($J$55:$J$564,$I$55:$I$564,$A587,$K$55:$K$564,X$568,$H$55:$H$564,"NG",$L$55:$L$564,$V$567)</f>
        <v>0</v>
      </c>
      <c r="Y587" s="6">
        <f>SUMIFS($J$55:$J$564,$I$55:$I$564,$A587,$K$55:$K$564,Y$568,$H$55:$H$564,"NG",$L$55:$L$564,$V$567)</f>
        <v>0</v>
      </c>
      <c r="Z587" s="13">
        <f>SUMIFS($J$55:$J$564,$I$55:$I$564,$A587,$K$55:$K$564,Z$568,$H$55:$H$564,"NG",$L$55:$L$564,$V$567)</f>
        <v>0</v>
      </c>
      <c r="AA587" s="8">
        <f>SUMIFS($J$55:$J$564,$I$55:$I$564,$A587,$K$55:$K$564,AA$568,$H$55:$H$564,"NG",$L$55:$L$564,$AA$567)</f>
        <v>0</v>
      </c>
      <c r="AB587" s="6">
        <f>SUMIFS($J$55:$J$564,$I$55:$I$564,$A587,$K$55:$K$564,AB$568,$H$55:$H$564,"NG",$L$55:$L$564,$AA$567)</f>
        <v>0</v>
      </c>
      <c r="AC587" s="6">
        <f>SUMIFS($J$55:$J$564,$I$55:$I$564,$A587,$K$55:$K$564,AC$568,$H$55:$H$564,"NG",$L$55:$L$564,$AA$567)</f>
        <v>0</v>
      </c>
      <c r="AD587" s="6">
        <f>SUMIFS($J$55:$J$564,$I$55:$I$564,$A587,$K$55:$K$564,AD$568,$H$55:$H$564,"NG",$L$55:$L$564,$AA$567)</f>
        <v>0</v>
      </c>
      <c r="AE587" s="13">
        <f>SUMIFS($J$55:$J$564,$I$55:$I$564,$A587,$K$55:$K$564,AE$568,$H$55:$H$564,"NG",$L$55:$L$564,$AA$567)</f>
        <v>0</v>
      </c>
      <c r="AF587" s="16">
        <f>SUM(B587:U587)*A587</f>
        <v>0</v>
      </c>
      <c r="AG587" s="16">
        <f>SUM(B587:U587)</f>
        <v>0</v>
      </c>
    </row>
    <row r="588" spans="1:33" x14ac:dyDescent="0.25">
      <c r="A588" s="15">
        <v>2000</v>
      </c>
      <c r="B588" s="8">
        <f>SUMIFS($J$55:$J$564,$I$55:$I$564,$A588,$K$55:$K$564,B$568,$H$55:$H$564,"NG",$L$55:$L$564,$B$567)</f>
        <v>0</v>
      </c>
      <c r="C588" s="6">
        <f>SUMIFS($J$55:$J$564,$I$55:$I$564,$A588,$K$55:$K$564,C$568,$H$55:$H$564,"NG",$L$55:$L$564,$B$567)</f>
        <v>0</v>
      </c>
      <c r="D588" s="6">
        <f>SUMIFS($J$55:$J$564,$I$55:$I$564,$A588,$K$55:$K$564,D$568,$H$55:$H$564,"NG",$L$55:$L$564,$B$567)</f>
        <v>0</v>
      </c>
      <c r="E588" s="6">
        <f>SUMIFS($J$55:$J$564,$I$55:$I$564,$A588,$K$55:$K$564,E$568,$H$55:$H$564,"NG",$L$55:$L$564,$B$567)</f>
        <v>0</v>
      </c>
      <c r="F588" s="13">
        <f>SUMIFS($J$55:$J$564,$I$55:$I$564,$A588,$K$55:$K$564,F$568,$H$55:$H$564,"NG",$L$55:$L$564,$B$567)</f>
        <v>0</v>
      </c>
      <c r="G588" s="8">
        <f>SUMIFS($J$55:$J$564,$I$55:$I$564,$A588,$K$55:$K$564,G$568,$H$55:$H$564,"NG",$L$55:$L$564,$G$567)</f>
        <v>0</v>
      </c>
      <c r="H588" s="6">
        <f>SUMIFS($J$55:$J$564,$I$55:$I$564,$A588,$K$55:$K$564,H$568,$H$55:$H$564,"NG",$L$55:$L$564,$G$567)</f>
        <v>0</v>
      </c>
      <c r="I588" s="6">
        <f>SUMIFS($J$55:$J$564,$I$55:$I$564,$A588,$K$55:$K$564,I$568,$H$55:$H$564,"NG",$L$55:$L$564,$G$567)</f>
        <v>0</v>
      </c>
      <c r="J588" s="6">
        <f>SUMIFS($J$55:$J$564,$I$55:$I$564,$A588,$K$55:$K$564,J$568,$H$55:$H$564,"NG",$L$55:$L$564,$G$567)</f>
        <v>0</v>
      </c>
      <c r="K588" s="13">
        <f>SUMIFS($J$55:$J$564,$I$55:$I$564,$A588,$K$55:$K$564,K$568,$H$55:$H$564,"NG",$L$55:$L$564,$G$567)</f>
        <v>0</v>
      </c>
      <c r="L588" s="8">
        <f>SUMIFS($J$55:$J$564,$I$55:$I$564,$A588,$K$55:$K$564,L$568,$H$55:$H$564,"NG",$L$55:$L$564,$L$567)</f>
        <v>0</v>
      </c>
      <c r="M588" s="6">
        <f>SUMIFS($J$55:$J$564,$I$55:$I$564,$A588,$K$55:$K$564,M$568,$H$55:$H$564,"NG",$L$55:$L$564,$L$567)</f>
        <v>0</v>
      </c>
      <c r="N588" s="6">
        <f>SUMIFS($J$55:$J$564,$I$55:$I$564,$A588,$K$55:$K$564,N$568,$H$55:$H$564,"NG",$L$55:$L$564,$L$567)</f>
        <v>0</v>
      </c>
      <c r="O588" s="6">
        <f>SUMIFS($J$55:$J$564,$I$55:$I$564,$A588,$K$55:$K$564,O$568,$H$55:$H$564,"NG",$L$55:$L$564,$L$567)</f>
        <v>0</v>
      </c>
      <c r="P588" s="13">
        <f>SUMIFS($J$55:$J$564,$I$55:$I$564,$A588,$K$55:$K$564,P$568,$H$55:$H$564,"NG",$L$55:$L$564,$L$567)</f>
        <v>0</v>
      </c>
      <c r="Q588" s="8">
        <f>SUMIFS($J$55:$J$564,$I$55:$I$564,$A588,$K$55:$K$564,Q$568,$H$55:$H$564,"NG",$L$55:$L$564,$Q$567)</f>
        <v>0</v>
      </c>
      <c r="R588" s="6">
        <f>SUMIFS($J$55:$J$564,$I$55:$I$564,$A588,$K$55:$K$564,R$568,$H$55:$H$564,"NG",$L$55:$L$564,$Q$567)</f>
        <v>0</v>
      </c>
      <c r="S588" s="6">
        <f>SUMIFS($J$55:$J$564,$I$55:$I$564,$A588,$K$55:$K$564,S$568,$H$55:$H$564,"NG",$L$55:$L$564,$Q$567)</f>
        <v>0</v>
      </c>
      <c r="T588" s="6">
        <f>SUMIFS($J$55:$J$564,$I$55:$I$564,$A588,$K$55:$K$564,T$568,$H$55:$H$564,"NG",$L$55:$L$564,$Q$567)</f>
        <v>0</v>
      </c>
      <c r="U588" s="13">
        <f>SUMIFS($J$55:$J$564,$I$55:$I$564,$A588,$K$55:$K$564,U$568,$H$55:$H$564,"NG",$L$55:$L$564,$Q$567)</f>
        <v>0</v>
      </c>
      <c r="V588" s="8">
        <f>SUMIFS($J$55:$J$564,$I$55:$I$564,$A588,$K$55:$K$564,V$568,$H$55:$H$564,"NG",$L$55:$L$564,$V$567)</f>
        <v>0</v>
      </c>
      <c r="W588" s="6">
        <f>SUMIFS($J$55:$J$564,$I$55:$I$564,$A588,$K$55:$K$564,W$568,$H$55:$H$564,"NG",$L$55:$L$564,$V$567)</f>
        <v>0</v>
      </c>
      <c r="X588" s="6">
        <f>SUMIFS($J$55:$J$564,$I$55:$I$564,$A588,$K$55:$K$564,X$568,$H$55:$H$564,"NG",$L$55:$L$564,$V$567)</f>
        <v>0</v>
      </c>
      <c r="Y588" s="6">
        <f>SUMIFS($J$55:$J$564,$I$55:$I$564,$A588,$K$55:$K$564,Y$568,$H$55:$H$564,"NG",$L$55:$L$564,$V$567)</f>
        <v>0</v>
      </c>
      <c r="Z588" s="13">
        <f>SUMIFS($J$55:$J$564,$I$55:$I$564,$A588,$K$55:$K$564,Z$568,$H$55:$H$564,"NG",$L$55:$L$564,$V$567)</f>
        <v>0</v>
      </c>
      <c r="AA588" s="8">
        <f>SUMIFS($J$55:$J$564,$I$55:$I$564,$A588,$K$55:$K$564,AA$568,$H$55:$H$564,"NG",$L$55:$L$564,$AA$567)</f>
        <v>0</v>
      </c>
      <c r="AB588" s="6">
        <f>SUMIFS($J$55:$J$564,$I$55:$I$564,$A588,$K$55:$K$564,AB$568,$H$55:$H$564,"NG",$L$55:$L$564,$AA$567)</f>
        <v>0</v>
      </c>
      <c r="AC588" s="6">
        <f>SUMIFS($J$55:$J$564,$I$55:$I$564,$A588,$K$55:$K$564,AC$568,$H$55:$H$564,"NG",$L$55:$L$564,$AA$567)</f>
        <v>0</v>
      </c>
      <c r="AD588" s="6">
        <f>SUMIFS($J$55:$J$564,$I$55:$I$564,$A588,$K$55:$K$564,AD$568,$H$55:$H$564,"NG",$L$55:$L$564,$AA$567)</f>
        <v>0</v>
      </c>
      <c r="AE588" s="13">
        <f>SUMIFS($J$55:$J$564,$I$55:$I$564,$A588,$K$55:$K$564,AE$568,$H$55:$H$564,"NG",$L$55:$L$564,$AA$567)</f>
        <v>0</v>
      </c>
      <c r="AF588" s="16">
        <f>SUM(B588:U588)*A588</f>
        <v>0</v>
      </c>
      <c r="AG588" s="16">
        <f>SUM(B588:U588)</f>
        <v>0</v>
      </c>
    </row>
    <row r="589" spans="1:33" x14ac:dyDescent="0.25">
      <c r="A589" s="15">
        <v>3000</v>
      </c>
      <c r="B589" s="8">
        <f>SUMIFS($J$55:$J$564,$I$55:$I$564,$A589,$K$55:$K$564,B$568,$H$55:$H$564,"NG",$L$55:$L$564,$B$567)</f>
        <v>0</v>
      </c>
      <c r="C589" s="6">
        <f>SUMIFS($J$55:$J$564,$I$55:$I$564,$A589,$K$55:$K$564,C$568,$H$55:$H$564,"NG",$L$55:$L$564,$B$567)</f>
        <v>0</v>
      </c>
      <c r="D589" s="6">
        <f>SUMIFS($J$55:$J$564,$I$55:$I$564,$A589,$K$55:$K$564,D$568,$H$55:$H$564,"NG",$L$55:$L$564,$B$567)</f>
        <v>0</v>
      </c>
      <c r="E589" s="6">
        <f>SUMIFS($J$55:$J$564,$I$55:$I$564,$A589,$K$55:$K$564,E$568,$H$55:$H$564,"NG",$L$55:$L$564,$B$567)</f>
        <v>0</v>
      </c>
      <c r="F589" s="13">
        <f>SUMIFS($J$55:$J$564,$I$55:$I$564,$A589,$K$55:$K$564,F$568,$H$55:$H$564,"NG",$L$55:$L$564,$B$567)</f>
        <v>0</v>
      </c>
      <c r="G589" s="8">
        <f>SUMIFS($J$55:$J$564,$I$55:$I$564,$A589,$K$55:$K$564,G$568,$H$55:$H$564,"NG",$L$55:$L$564,$G$567)</f>
        <v>0</v>
      </c>
      <c r="H589" s="6">
        <f>SUMIFS($J$55:$J$564,$I$55:$I$564,$A589,$K$55:$K$564,H$568,$H$55:$H$564,"NG",$L$55:$L$564,$G$567)</f>
        <v>0</v>
      </c>
      <c r="I589" s="6">
        <f>SUMIFS($J$55:$J$564,$I$55:$I$564,$A589,$K$55:$K$564,I$568,$H$55:$H$564,"NG",$L$55:$L$564,$G$567)</f>
        <v>0</v>
      </c>
      <c r="J589" s="6">
        <f>SUMIFS($J$55:$J$564,$I$55:$I$564,$A589,$K$55:$K$564,J$568,$H$55:$H$564,"NG",$L$55:$L$564,$G$567)</f>
        <v>0</v>
      </c>
      <c r="K589" s="13">
        <f>SUMIFS($J$55:$J$564,$I$55:$I$564,$A589,$K$55:$K$564,K$568,$H$55:$H$564,"NG",$L$55:$L$564,$G$567)</f>
        <v>0</v>
      </c>
      <c r="L589" s="8">
        <f>SUMIFS($J$55:$J$564,$I$55:$I$564,$A589,$K$55:$K$564,L$568,$H$55:$H$564,"NG",$L$55:$L$564,$L$567)</f>
        <v>0</v>
      </c>
      <c r="M589" s="6">
        <f>SUMIFS($J$55:$J$564,$I$55:$I$564,$A589,$K$55:$K$564,M$568,$H$55:$H$564,"NG",$L$55:$L$564,$L$567)</f>
        <v>0</v>
      </c>
      <c r="N589" s="6">
        <f>SUMIFS($J$55:$J$564,$I$55:$I$564,$A589,$K$55:$K$564,N$568,$H$55:$H$564,"NG",$L$55:$L$564,$L$567)</f>
        <v>0</v>
      </c>
      <c r="O589" s="6">
        <f>SUMIFS($J$55:$J$564,$I$55:$I$564,$A589,$K$55:$K$564,O$568,$H$55:$H$564,"NG",$L$55:$L$564,$L$567)</f>
        <v>0</v>
      </c>
      <c r="P589" s="13">
        <f>SUMIFS($J$55:$J$564,$I$55:$I$564,$A589,$K$55:$K$564,P$568,$H$55:$H$564,"NG",$L$55:$L$564,$L$567)</f>
        <v>0</v>
      </c>
      <c r="Q589" s="8">
        <f>SUMIFS($J$55:$J$564,$I$55:$I$564,$A589,$K$55:$K$564,Q$568,$H$55:$H$564,"NG",$L$55:$L$564,$Q$567)</f>
        <v>0</v>
      </c>
      <c r="R589" s="6">
        <f>SUMIFS($J$55:$J$564,$I$55:$I$564,$A589,$K$55:$K$564,R$568,$H$55:$H$564,"NG",$L$55:$L$564,$Q$567)</f>
        <v>0</v>
      </c>
      <c r="S589" s="6">
        <f>SUMIFS($J$55:$J$564,$I$55:$I$564,$A589,$K$55:$K$564,S$568,$H$55:$H$564,"NG",$L$55:$L$564,$Q$567)</f>
        <v>0</v>
      </c>
      <c r="T589" s="6">
        <f>SUMIFS($J$55:$J$564,$I$55:$I$564,$A589,$K$55:$K$564,T$568,$H$55:$H$564,"NG",$L$55:$L$564,$Q$567)</f>
        <v>0</v>
      </c>
      <c r="U589" s="13">
        <f>SUMIFS($J$55:$J$564,$I$55:$I$564,$A589,$K$55:$K$564,U$568,$H$55:$H$564,"NG",$L$55:$L$564,$Q$567)</f>
        <v>0</v>
      </c>
      <c r="V589" s="8">
        <f>SUMIFS($J$55:$J$564,$I$55:$I$564,$A589,$K$55:$K$564,V$568,$H$55:$H$564,"NG",$L$55:$L$564,$V$567)</f>
        <v>0</v>
      </c>
      <c r="W589" s="6">
        <f>SUMIFS($J$55:$J$564,$I$55:$I$564,$A589,$K$55:$K$564,W$568,$H$55:$H$564,"NG",$L$55:$L$564,$V$567)</f>
        <v>0</v>
      </c>
      <c r="X589" s="6">
        <f>SUMIFS($J$55:$J$564,$I$55:$I$564,$A589,$K$55:$K$564,X$568,$H$55:$H$564,"NG",$L$55:$L$564,$V$567)</f>
        <v>0</v>
      </c>
      <c r="Y589" s="6">
        <f>SUMIFS($J$55:$J$564,$I$55:$I$564,$A589,$K$55:$K$564,Y$568,$H$55:$H$564,"NG",$L$55:$L$564,$V$567)</f>
        <v>0</v>
      </c>
      <c r="Z589" s="13">
        <f>SUMIFS($J$55:$J$564,$I$55:$I$564,$A589,$K$55:$K$564,Z$568,$H$55:$H$564,"NG",$L$55:$L$564,$V$567)</f>
        <v>0</v>
      </c>
      <c r="AA589" s="8">
        <f>SUMIFS($J$55:$J$564,$I$55:$I$564,$A589,$K$55:$K$564,AA$568,$H$55:$H$564,"NG",$L$55:$L$564,$AA$567)</f>
        <v>0</v>
      </c>
      <c r="AB589" s="6">
        <f>SUMIFS($J$55:$J$564,$I$55:$I$564,$A589,$K$55:$K$564,AB$568,$H$55:$H$564,"NG",$L$55:$L$564,$AA$567)</f>
        <v>0</v>
      </c>
      <c r="AC589" s="6">
        <f>SUMIFS($J$55:$J$564,$I$55:$I$564,$A589,$K$55:$K$564,AC$568,$H$55:$H$564,"NG",$L$55:$L$564,$AA$567)</f>
        <v>0</v>
      </c>
      <c r="AD589" s="6">
        <f>SUMIFS($J$55:$J$564,$I$55:$I$564,$A589,$K$55:$K$564,AD$568,$H$55:$H$564,"NG",$L$55:$L$564,$AA$567)</f>
        <v>0</v>
      </c>
      <c r="AE589" s="13">
        <f>SUMIFS($J$55:$J$564,$I$55:$I$564,$A589,$K$55:$K$564,AE$568,$H$55:$H$564,"NG",$L$55:$L$564,$AA$567)</f>
        <v>0</v>
      </c>
      <c r="AF589" s="16">
        <f>SUM(B589:U589)*A589</f>
        <v>0</v>
      </c>
      <c r="AG589" s="16">
        <f>SUM(B589:U589)</f>
        <v>0</v>
      </c>
    </row>
    <row r="590" spans="1:33" x14ac:dyDescent="0.25">
      <c r="A590" s="15">
        <v>5000</v>
      </c>
      <c r="B590" s="8">
        <f>SUMIFS($J$55:$J$564,$I$55:$I$564,$A590,$K$55:$K$564,B$568,$H$55:$H$564,"NG",$L$55:$L$564,$B$567)</f>
        <v>0</v>
      </c>
      <c r="C590" s="6">
        <f>SUMIFS($J$55:$J$564,$I$55:$I$564,$A590,$K$55:$K$564,C$568,$H$55:$H$564,"NG",$L$55:$L$564,$B$567)</f>
        <v>0</v>
      </c>
      <c r="D590" s="6">
        <f>SUMIFS($J$55:$J$564,$I$55:$I$564,$A590,$K$55:$K$564,D$568,$H$55:$H$564,"NG",$L$55:$L$564,$B$567)</f>
        <v>0</v>
      </c>
      <c r="E590" s="6">
        <f>SUMIFS($J$55:$J$564,$I$55:$I$564,$A590,$K$55:$K$564,E$568,$H$55:$H$564,"NG",$L$55:$L$564,$B$567)</f>
        <v>0</v>
      </c>
      <c r="F590" s="13">
        <f>SUMIFS($J$55:$J$564,$I$55:$I$564,$A590,$K$55:$K$564,F$568,$H$55:$H$564,"NG",$L$55:$L$564,$B$567)</f>
        <v>0</v>
      </c>
      <c r="G590" s="8">
        <f>SUMIFS($J$55:$J$564,$I$55:$I$564,$A590,$K$55:$K$564,G$568,$H$55:$H$564,"NG",$L$55:$L$564,$G$567)</f>
        <v>0</v>
      </c>
      <c r="H590" s="6">
        <f>SUMIFS($J$55:$J$564,$I$55:$I$564,$A590,$K$55:$K$564,H$568,$H$55:$H$564,"NG",$L$55:$L$564,$G$567)</f>
        <v>0</v>
      </c>
      <c r="I590" s="6">
        <f>SUMIFS($J$55:$J$564,$I$55:$I$564,$A590,$K$55:$K$564,I$568,$H$55:$H$564,"NG",$L$55:$L$564,$G$567)</f>
        <v>0</v>
      </c>
      <c r="J590" s="6">
        <f>SUMIFS($J$55:$J$564,$I$55:$I$564,$A590,$K$55:$K$564,J$568,$H$55:$H$564,"NG",$L$55:$L$564,$G$567)</f>
        <v>0</v>
      </c>
      <c r="K590" s="13">
        <f>SUMIFS($J$55:$J$564,$I$55:$I$564,$A590,$K$55:$K$564,K$568,$H$55:$H$564,"NG",$L$55:$L$564,$G$567)</f>
        <v>0</v>
      </c>
      <c r="L590" s="8">
        <f>SUMIFS($J$55:$J$564,$I$55:$I$564,$A590,$K$55:$K$564,L$568,$H$55:$H$564,"NG",$L$55:$L$564,$L$567)</f>
        <v>0</v>
      </c>
      <c r="M590" s="6">
        <f>SUMIFS($J$55:$J$564,$I$55:$I$564,$A590,$K$55:$K$564,M$568,$H$55:$H$564,"NG",$L$55:$L$564,$L$567)</f>
        <v>0</v>
      </c>
      <c r="N590" s="6">
        <f>SUMIFS($J$55:$J$564,$I$55:$I$564,$A590,$K$55:$K$564,N$568,$H$55:$H$564,"NG",$L$55:$L$564,$L$567)</f>
        <v>0</v>
      </c>
      <c r="O590" s="6">
        <f>SUMIFS($J$55:$J$564,$I$55:$I$564,$A590,$K$55:$K$564,O$568,$H$55:$H$564,"NG",$L$55:$L$564,$L$567)</f>
        <v>0</v>
      </c>
      <c r="P590" s="13">
        <f>SUMIFS($J$55:$J$564,$I$55:$I$564,$A590,$K$55:$K$564,P$568,$H$55:$H$564,"NG",$L$55:$L$564,$L$567)</f>
        <v>0</v>
      </c>
      <c r="Q590" s="8">
        <f>SUMIFS($J$55:$J$564,$I$55:$I$564,$A590,$K$55:$K$564,Q$568,$H$55:$H$564,"NG",$L$55:$L$564,$Q$567)</f>
        <v>0</v>
      </c>
      <c r="R590" s="6">
        <f>SUMIFS($J$55:$J$564,$I$55:$I$564,$A590,$K$55:$K$564,R$568,$H$55:$H$564,"NG",$L$55:$L$564,$Q$567)</f>
        <v>0</v>
      </c>
      <c r="S590" s="6">
        <f>SUMIFS($J$55:$J$564,$I$55:$I$564,$A590,$K$55:$K$564,S$568,$H$55:$H$564,"NG",$L$55:$L$564,$Q$567)</f>
        <v>0</v>
      </c>
      <c r="T590" s="6">
        <f>SUMIFS($J$55:$J$564,$I$55:$I$564,$A590,$K$55:$K$564,T$568,$H$55:$H$564,"NG",$L$55:$L$564,$Q$567)</f>
        <v>0</v>
      </c>
      <c r="U590" s="13">
        <f>SUMIFS($J$55:$J$564,$I$55:$I$564,$A590,$K$55:$K$564,U$568,$H$55:$H$564,"NG",$L$55:$L$564,$Q$567)</f>
        <v>0</v>
      </c>
      <c r="V590" s="8">
        <f>SUMIFS($J$55:$J$564,$I$55:$I$564,$A590,$K$55:$K$564,V$568,$H$55:$H$564,"NG",$L$55:$L$564,$V$567)</f>
        <v>0</v>
      </c>
      <c r="W590" s="6">
        <f>SUMIFS($J$55:$J$564,$I$55:$I$564,$A590,$K$55:$K$564,W$568,$H$55:$H$564,"NG",$L$55:$L$564,$V$567)</f>
        <v>0</v>
      </c>
      <c r="X590" s="6">
        <f>SUMIFS($J$55:$J$564,$I$55:$I$564,$A590,$K$55:$K$564,X$568,$H$55:$H$564,"NG",$L$55:$L$564,$V$567)</f>
        <v>0</v>
      </c>
      <c r="Y590" s="6">
        <f>SUMIFS($J$55:$J$564,$I$55:$I$564,$A590,$K$55:$K$564,Y$568,$H$55:$H$564,"NG",$L$55:$L$564,$V$567)</f>
        <v>0</v>
      </c>
      <c r="Z590" s="13">
        <f>SUMIFS($J$55:$J$564,$I$55:$I$564,$A590,$K$55:$K$564,Z$568,$H$55:$H$564,"NG",$L$55:$L$564,$V$567)</f>
        <v>0</v>
      </c>
      <c r="AA590" s="8">
        <f>SUMIFS($J$55:$J$564,$I$55:$I$564,$A590,$K$55:$K$564,AA$568,$H$55:$H$564,"NG",$L$55:$L$564,$AA$567)</f>
        <v>0</v>
      </c>
      <c r="AB590" s="6">
        <f>SUMIFS($J$55:$J$564,$I$55:$I$564,$A590,$K$55:$K$564,AB$568,$H$55:$H$564,"NG",$L$55:$L$564,$AA$567)</f>
        <v>0</v>
      </c>
      <c r="AC590" s="6">
        <f>SUMIFS($J$55:$J$564,$I$55:$I$564,$A590,$K$55:$K$564,AC$568,$H$55:$H$564,"NG",$L$55:$L$564,$AA$567)</f>
        <v>0</v>
      </c>
      <c r="AD590" s="6">
        <f>SUMIFS($J$55:$J$564,$I$55:$I$564,$A590,$K$55:$K$564,AD$568,$H$55:$H$564,"NG",$L$55:$L$564,$AA$567)</f>
        <v>0</v>
      </c>
      <c r="AE590" s="13">
        <f>SUMIFS($J$55:$J$564,$I$55:$I$564,$A590,$K$55:$K$564,AE$568,$H$55:$H$564,"NG",$L$55:$L$564,$AA$567)</f>
        <v>0</v>
      </c>
      <c r="AF590" s="16">
        <f>SUM(B590:U590)*A590</f>
        <v>0</v>
      </c>
      <c r="AG590" s="16">
        <f>SUM(B590:U590)</f>
        <v>0</v>
      </c>
    </row>
    <row r="591" spans="1:33" ht="15.75" thickBot="1" x14ac:dyDescent="0.3">
      <c r="A591" s="59">
        <v>10000</v>
      </c>
      <c r="B591" s="31">
        <f>SUMIFS($J$55:$J$564,$I$55:$I$564,$A591,$K$55:$K$564,B$568,$H$55:$H$564,"NG",$L$55:$L$564,$B$567)</f>
        <v>0</v>
      </c>
      <c r="C591" s="32">
        <f>SUMIFS($J$55:$J$564,$I$55:$I$564,$A591,$K$55:$K$564,C$568,$H$55:$H$564,"NG",$L$55:$L$564,$B$567)</f>
        <v>0</v>
      </c>
      <c r="D591" s="32">
        <f>SUMIFS($J$55:$J$564,$I$55:$I$564,$A591,$K$55:$K$564,D$568,$H$55:$H$564,"NG",$L$55:$L$564,$B$567)</f>
        <v>0</v>
      </c>
      <c r="E591" s="32">
        <f>SUMIFS($J$55:$J$564,$I$55:$I$564,$A591,$K$55:$K$564,E$568,$H$55:$H$564,"NG",$L$55:$L$564,$B$567)</f>
        <v>0</v>
      </c>
      <c r="F591" s="33">
        <f>SUMIFS($J$55:$J$564,$I$55:$I$564,$A591,$K$55:$K$564,F$568,$H$55:$H$564,"NG",$L$55:$L$564,$B$567)</f>
        <v>0</v>
      </c>
      <c r="G591" s="31">
        <f>SUMIFS($J$55:$J$564,$I$55:$I$564,$A591,$K$55:$K$564,G$568,$H$55:$H$564,"NG",$L$55:$L$564,$G$567)</f>
        <v>0</v>
      </c>
      <c r="H591" s="32">
        <f>SUMIFS($J$55:$J$564,$I$55:$I$564,$A591,$K$55:$K$564,H$568,$H$55:$H$564,"NG",$L$55:$L$564,$G$567)</f>
        <v>0</v>
      </c>
      <c r="I591" s="32">
        <f>SUMIFS($J$55:$J$564,$I$55:$I$564,$A591,$K$55:$K$564,I$568,$H$55:$H$564,"NG",$L$55:$L$564,$G$567)</f>
        <v>0</v>
      </c>
      <c r="J591" s="32">
        <f>SUMIFS($J$55:$J$564,$I$55:$I$564,$A591,$K$55:$K$564,J$568,$H$55:$H$564,"NG",$L$55:$L$564,$G$567)</f>
        <v>0</v>
      </c>
      <c r="K591" s="33">
        <f>SUMIFS($J$55:$J$564,$I$55:$I$564,$A591,$K$55:$K$564,K$568,$H$55:$H$564,"NG",$L$55:$L$564,$G$567)</f>
        <v>0</v>
      </c>
      <c r="L591" s="31">
        <f>SUMIFS($J$55:$J$564,$I$55:$I$564,$A591,$K$55:$K$564,L$568,$H$55:$H$564,"NG",$L$55:$L$564,$L$567)</f>
        <v>0</v>
      </c>
      <c r="M591" s="32">
        <f>SUMIFS($J$55:$J$564,$I$55:$I$564,$A591,$K$55:$K$564,M$568,$H$55:$H$564,"NG",$L$55:$L$564,$L$567)</f>
        <v>0</v>
      </c>
      <c r="N591" s="32">
        <f>SUMIFS($J$55:$J$564,$I$55:$I$564,$A591,$K$55:$K$564,N$568,$H$55:$H$564,"NG",$L$55:$L$564,$L$567)</f>
        <v>0</v>
      </c>
      <c r="O591" s="32">
        <f>SUMIFS($J$55:$J$564,$I$55:$I$564,$A591,$K$55:$K$564,O$568,$H$55:$H$564,"NG",$L$55:$L$564,$L$567)</f>
        <v>0</v>
      </c>
      <c r="P591" s="33">
        <f>SUMIFS($J$55:$J$564,$I$55:$I$564,$A591,$K$55:$K$564,P$568,$H$55:$H$564,"NG",$L$55:$L$564,$L$567)</f>
        <v>0</v>
      </c>
      <c r="Q591" s="31">
        <f>SUMIFS($J$55:$J$564,$I$55:$I$564,$A591,$K$55:$K$564,Q$568,$H$55:$H$564,"NG",$L$55:$L$564,$Q$567)</f>
        <v>0</v>
      </c>
      <c r="R591" s="32">
        <f>SUMIFS($J$55:$J$564,$I$55:$I$564,$A591,$K$55:$K$564,R$568,$H$55:$H$564,"NG",$L$55:$L$564,$Q$567)</f>
        <v>0</v>
      </c>
      <c r="S591" s="32">
        <f>SUMIFS($J$55:$J$564,$I$55:$I$564,$A591,$K$55:$K$564,S$568,$H$55:$H$564,"NG",$L$55:$L$564,$Q$567)</f>
        <v>0</v>
      </c>
      <c r="T591" s="32">
        <f>SUMIFS($J$55:$J$564,$I$55:$I$564,$A591,$K$55:$K$564,T$568,$H$55:$H$564,"NG",$L$55:$L$564,$Q$567)</f>
        <v>0</v>
      </c>
      <c r="U591" s="33">
        <f>SUMIFS($J$55:$J$564,$I$55:$I$564,$A591,$K$55:$K$564,U$568,$H$55:$H$564,"NG",$L$55:$L$564,$Q$567)</f>
        <v>0</v>
      </c>
      <c r="V591" s="31">
        <f>SUMIFS($J$55:$J$564,$I$55:$I$564,$A591,$K$55:$K$564,V$568,$H$55:$H$564,"NG",$L$55:$L$564,$V$567)</f>
        <v>0</v>
      </c>
      <c r="W591" s="32">
        <f>SUMIFS($J$55:$J$564,$I$55:$I$564,$A591,$K$55:$K$564,W$568,$H$55:$H$564,"NG",$L$55:$L$564,$V$567)</f>
        <v>0</v>
      </c>
      <c r="X591" s="32">
        <f>SUMIFS($J$55:$J$564,$I$55:$I$564,$A591,$K$55:$K$564,X$568,$H$55:$H$564,"NG",$L$55:$L$564,$V$567)</f>
        <v>0</v>
      </c>
      <c r="Y591" s="32">
        <f>SUMIFS($J$55:$J$564,$I$55:$I$564,$A591,$K$55:$K$564,Y$568,$H$55:$H$564,"NG",$L$55:$L$564,$V$567)</f>
        <v>0</v>
      </c>
      <c r="Z591" s="33">
        <f>SUMIFS($J$55:$J$564,$I$55:$I$564,$A591,$K$55:$K$564,Z$568,$H$55:$H$564,"NG",$L$55:$L$564,$V$567)</f>
        <v>0</v>
      </c>
      <c r="AA591" s="31">
        <f>SUMIFS($J$55:$J$564,$I$55:$I$564,$A591,$K$55:$K$564,AA$568,$H$55:$H$564,"NG",$L$55:$L$564,$AA$567)</f>
        <v>0</v>
      </c>
      <c r="AB591" s="32">
        <f>SUMIFS($J$55:$J$564,$I$55:$I$564,$A591,$K$55:$K$564,AB$568,$H$55:$H$564,"NG",$L$55:$L$564,$AA$567)</f>
        <v>0</v>
      </c>
      <c r="AC591" s="32">
        <f>SUMIFS($J$55:$J$564,$I$55:$I$564,$A591,$K$55:$K$564,AC$568,$H$55:$H$564,"NG",$L$55:$L$564,$AA$567)</f>
        <v>0</v>
      </c>
      <c r="AD591" s="32">
        <f>SUMIFS($J$55:$J$564,$I$55:$I$564,$A591,$K$55:$K$564,AD$568,$H$55:$H$564,"NG",$L$55:$L$564,$AA$567)</f>
        <v>0</v>
      </c>
      <c r="AE591" s="33">
        <f>SUMIFS($J$55:$J$564,$I$55:$I$564,$A591,$K$55:$K$564,AE$568,$H$55:$H$564,"NG",$L$55:$L$564,$AA$567)</f>
        <v>0</v>
      </c>
      <c r="AF591" s="43">
        <f>SUM(B591:U591)*A591</f>
        <v>0</v>
      </c>
      <c r="AG591" s="43">
        <f>SUM(B591:U591)</f>
        <v>0</v>
      </c>
    </row>
    <row r="592" spans="1:33" ht="15.75" thickBot="1" x14ac:dyDescent="0.3">
      <c r="A592" s="35"/>
      <c r="B592" s="60">
        <f t="shared" ref="B592:AG592" si="22">SUM(B583:B591)</f>
        <v>0</v>
      </c>
      <c r="C592" s="61">
        <f t="shared" si="22"/>
        <v>0</v>
      </c>
      <c r="D592" s="61">
        <f t="shared" si="22"/>
        <v>0</v>
      </c>
      <c r="E592" s="61">
        <f t="shared" si="22"/>
        <v>0</v>
      </c>
      <c r="F592" s="62">
        <f t="shared" si="22"/>
        <v>0</v>
      </c>
      <c r="G592" s="60">
        <f t="shared" si="22"/>
        <v>0</v>
      </c>
      <c r="H592" s="61">
        <f t="shared" si="22"/>
        <v>0</v>
      </c>
      <c r="I592" s="61">
        <f t="shared" si="22"/>
        <v>0</v>
      </c>
      <c r="J592" s="61">
        <f t="shared" si="22"/>
        <v>0</v>
      </c>
      <c r="K592" s="62">
        <f t="shared" si="22"/>
        <v>0</v>
      </c>
      <c r="L592" s="60">
        <f t="shared" si="22"/>
        <v>0</v>
      </c>
      <c r="M592" s="61">
        <f t="shared" si="22"/>
        <v>0</v>
      </c>
      <c r="N592" s="61">
        <f t="shared" si="22"/>
        <v>0</v>
      </c>
      <c r="O592" s="61">
        <f t="shared" si="22"/>
        <v>0</v>
      </c>
      <c r="P592" s="62">
        <f t="shared" si="22"/>
        <v>0</v>
      </c>
      <c r="Q592" s="60">
        <f t="shared" si="22"/>
        <v>0</v>
      </c>
      <c r="R592" s="61">
        <f t="shared" si="22"/>
        <v>0</v>
      </c>
      <c r="S592" s="61">
        <f t="shared" si="22"/>
        <v>0</v>
      </c>
      <c r="T592" s="61">
        <f t="shared" si="22"/>
        <v>0</v>
      </c>
      <c r="U592" s="62">
        <f t="shared" si="22"/>
        <v>0</v>
      </c>
      <c r="V592" s="60">
        <f t="shared" si="22"/>
        <v>0</v>
      </c>
      <c r="W592" s="61">
        <f t="shared" si="22"/>
        <v>0</v>
      </c>
      <c r="X592" s="61">
        <f t="shared" si="22"/>
        <v>0</v>
      </c>
      <c r="Y592" s="61">
        <f t="shared" si="22"/>
        <v>0</v>
      </c>
      <c r="Z592" s="62">
        <f t="shared" si="22"/>
        <v>0</v>
      </c>
      <c r="AA592" s="60">
        <f t="shared" si="22"/>
        <v>0</v>
      </c>
      <c r="AB592" s="61">
        <f t="shared" si="22"/>
        <v>0</v>
      </c>
      <c r="AC592" s="61">
        <f t="shared" si="22"/>
        <v>0</v>
      </c>
      <c r="AD592" s="61">
        <f t="shared" si="22"/>
        <v>0</v>
      </c>
      <c r="AE592" s="62">
        <f t="shared" si="22"/>
        <v>0</v>
      </c>
      <c r="AF592" s="35">
        <f t="shared" si="22"/>
        <v>0</v>
      </c>
      <c r="AG592" s="61">
        <f t="shared" si="22"/>
        <v>0</v>
      </c>
    </row>
    <row r="593" spans="1:14" ht="15.75" thickBot="1" x14ac:dyDescent="0.3"/>
    <row r="594" spans="1:14" ht="15.75" thickBot="1" x14ac:dyDescent="0.3">
      <c r="A594" s="111" t="s">
        <v>130</v>
      </c>
      <c r="B594" s="112"/>
      <c r="D594" s="111" t="s">
        <v>131</v>
      </c>
      <c r="E594" s="112"/>
      <c r="G594" s="111" t="s">
        <v>132</v>
      </c>
      <c r="H594" s="112"/>
      <c r="J594" s="123" t="s">
        <v>31</v>
      </c>
      <c r="K594" s="113" t="s">
        <v>84</v>
      </c>
      <c r="L594" s="115"/>
      <c r="M594" s="116" t="s">
        <v>24</v>
      </c>
      <c r="N594" s="116" t="s">
        <v>86</v>
      </c>
    </row>
    <row r="595" spans="1:14" ht="15.75" thickBot="1" x14ac:dyDescent="0.3">
      <c r="A595" s="60" t="s">
        <v>27</v>
      </c>
      <c r="B595" s="62" t="s">
        <v>102</v>
      </c>
      <c r="D595" s="34" t="s">
        <v>27</v>
      </c>
      <c r="E595" s="79" t="s">
        <v>102</v>
      </c>
      <c r="G595" s="34" t="s">
        <v>27</v>
      </c>
      <c r="H595" s="79" t="s">
        <v>102</v>
      </c>
      <c r="J595" s="124"/>
      <c r="K595" s="12" t="s">
        <v>17</v>
      </c>
      <c r="L595" s="14" t="s">
        <v>19</v>
      </c>
      <c r="M595" s="117"/>
      <c r="N595" s="117"/>
    </row>
    <row r="596" spans="1:14" x14ac:dyDescent="0.25">
      <c r="A596" s="10">
        <v>225</v>
      </c>
      <c r="B596" s="17">
        <f>SUMIFS($J$55:$J$564,$H$55:$H$564,$A$594,$I$55:$I$564,A596)</f>
        <v>0</v>
      </c>
      <c r="D596" s="10">
        <v>1000</v>
      </c>
      <c r="E596" s="17">
        <f>SUMIFS($J$55:$J$564,$H$55:$H$564,$D$594,$I$55:$I$564,D596)</f>
        <v>0</v>
      </c>
      <c r="G596" s="10">
        <v>1000</v>
      </c>
      <c r="H596" s="17">
        <f>SUMIFS($J$55:$J$564,$H$55:$H$564,$G$594,$I$55:$I$564,G596)</f>
        <v>0</v>
      </c>
      <c r="J596" s="16">
        <v>300</v>
      </c>
      <c r="K596" s="11">
        <f>SUMIFS($J$55:$J$564,$I$55:$I$564,$A596,$K$55:$K$564,K$595,$H$55:$H$564,$K$594)</f>
        <v>0</v>
      </c>
      <c r="L596" s="17">
        <f>SUMIFS($J$55:$J$564,$I$55:$I$564,$A596,$K$55:$K$564,L$595,$H$55:$H$564,$K$594)</f>
        <v>0</v>
      </c>
      <c r="M596" s="16">
        <f>SUM(K596:L596)*J596</f>
        <v>0</v>
      </c>
      <c r="N596" s="16">
        <f>K596+L596</f>
        <v>0</v>
      </c>
    </row>
    <row r="597" spans="1:14" ht="15.75" thickBot="1" x14ac:dyDescent="0.3">
      <c r="A597" s="8">
        <v>325</v>
      </c>
      <c r="B597" s="17">
        <f>SUMIFS($J$55:$J$564,$H$55:$H$564,$A$594,$I$55:$I$564,A597)</f>
        <v>0</v>
      </c>
      <c r="D597" s="9">
        <v>3000</v>
      </c>
      <c r="E597" s="17">
        <f>SUMIFS($J$55:$J$564,$H$55:$H$564,$D$594,$I$55:$I$564,D597)</f>
        <v>0</v>
      </c>
      <c r="G597" s="31">
        <v>2000</v>
      </c>
      <c r="H597" s="17">
        <f>SUMIFS($J$55:$J$564,$H$55:$H$564,$G$594,$I$55:$I$564,G597)</f>
        <v>0</v>
      </c>
      <c r="J597" s="16">
        <v>500</v>
      </c>
      <c r="K597" s="11">
        <f>SUMIFS($J$55:$J$564,$I$55:$I$564,$A597,$K$55:$K$564,K$595,$H$55:$H$564,$K$594)</f>
        <v>0</v>
      </c>
      <c r="L597" s="17">
        <f>SUMIFS($J$55:$J$564,$I$55:$I$564,$A597,$K$55:$K$564,L$595,$H$55:$H$564,$K$594)</f>
        <v>0</v>
      </c>
      <c r="M597" s="16">
        <f t="shared" ref="M597:M604" si="23">SUM(K597:L597)*J597</f>
        <v>0</v>
      </c>
      <c r="N597" s="16">
        <f t="shared" ref="N597:N604" si="24">K597+L597</f>
        <v>0</v>
      </c>
    </row>
    <row r="598" spans="1:14" ht="15.75" thickBot="1" x14ac:dyDescent="0.3">
      <c r="A598" s="8">
        <v>400</v>
      </c>
      <c r="B598" s="17">
        <f>SUMIFS($J$55:$J$564,$H$55:$H$564,$A$594,$I$55:$I$564,A598)</f>
        <v>0</v>
      </c>
      <c r="D598" s="60" t="s">
        <v>24</v>
      </c>
      <c r="E598" s="62">
        <f>SUMPRODUCT(D596:D597,E596:E597)</f>
        <v>0</v>
      </c>
      <c r="G598" s="60" t="s">
        <v>24</v>
      </c>
      <c r="H598" s="62">
        <f>SUMPRODUCT(G596:G597,H596:H597)</f>
        <v>0</v>
      </c>
      <c r="J598" s="15">
        <v>750</v>
      </c>
      <c r="K598" s="11">
        <f>SUMIFS($J$55:$J$564,$I$55:$I$564,$A598,$K$55:$K$564,K$595,$H$55:$H$564,$K$594)</f>
        <v>0</v>
      </c>
      <c r="L598" s="17">
        <f>SUMIFS($J$55:$J$564,$I$55:$I$564,$A598,$K$55:$K$564,L$595,$H$55:$H$564,$K$594)</f>
        <v>0</v>
      </c>
      <c r="M598" s="16">
        <f t="shared" si="23"/>
        <v>0</v>
      </c>
      <c r="N598" s="16">
        <f t="shared" si="24"/>
        <v>0</v>
      </c>
    </row>
    <row r="599" spans="1:14" x14ac:dyDescent="0.25">
      <c r="A599" s="8">
        <v>500</v>
      </c>
      <c r="B599" s="17">
        <f>SUMIFS($J$55:$J$564,$H$55:$H$564,$A$594,$I$55:$I$564,A599)</f>
        <v>0</v>
      </c>
      <c r="J599" s="15">
        <v>1000</v>
      </c>
      <c r="K599" s="11">
        <f>SUMIFS($J$55:$J$564,$I$55:$I$564,$A599,$K$55:$K$564,K$595,$H$55:$H$564,$K$594)</f>
        <v>0</v>
      </c>
      <c r="L599" s="17">
        <f>SUMIFS($J$55:$J$564,$I$55:$I$564,$A599,$K$55:$K$564,L$595,$H$55:$H$564,$K$594)</f>
        <v>0</v>
      </c>
      <c r="M599" s="16">
        <f t="shared" si="23"/>
        <v>0</v>
      </c>
      <c r="N599" s="16">
        <f t="shared" si="24"/>
        <v>0</v>
      </c>
    </row>
    <row r="600" spans="1:14" x14ac:dyDescent="0.25">
      <c r="A600" s="8">
        <v>750</v>
      </c>
      <c r="B600" s="17">
        <f>SUMIFS($J$55:$J$564,$H$55:$H$564,$A$594,$I$55:$I$564,A600)</f>
        <v>0</v>
      </c>
      <c r="J600" s="15">
        <v>1500</v>
      </c>
      <c r="K600" s="11">
        <f>SUMIFS($J$55:$J$564,$I$55:$I$564,$A600,$K$55:$K$564,K$595,$H$55:$H$564,$K$594)</f>
        <v>0</v>
      </c>
      <c r="L600" s="17">
        <f>SUMIFS($J$55:$J$564,$I$55:$I$564,$A600,$K$55:$K$564,L$595,$H$55:$H$564,$K$594)</f>
        <v>0</v>
      </c>
      <c r="M600" s="16">
        <f t="shared" si="23"/>
        <v>0</v>
      </c>
      <c r="N600" s="16">
        <f t="shared" si="24"/>
        <v>0</v>
      </c>
    </row>
    <row r="601" spans="1:14" ht="15.75" thickBot="1" x14ac:dyDescent="0.3">
      <c r="A601" s="9">
        <v>1000</v>
      </c>
      <c r="B601" s="17">
        <f>SUMIFS($J$55:$J$564,$H$55:$H$564,$A$594,$I$55:$I$564,A601)</f>
        <v>0</v>
      </c>
      <c r="J601" s="15">
        <v>2000</v>
      </c>
      <c r="K601" s="11">
        <f>SUMIFS($J$55:$J$564,$I$55:$I$564,$A601,$K$55:$K$564,K$595,$H$55:$H$564,$K$594)</f>
        <v>0</v>
      </c>
      <c r="L601" s="17">
        <f>SUMIFS($J$55:$J$564,$I$55:$I$564,$A601,$K$55:$K$564,L$595,$H$55:$H$564,$K$594)</f>
        <v>0</v>
      </c>
      <c r="M601" s="16">
        <f t="shared" si="23"/>
        <v>0</v>
      </c>
      <c r="N601" s="16">
        <f t="shared" si="24"/>
        <v>0</v>
      </c>
    </row>
    <row r="602" spans="1:14" ht="15.75" thickBot="1" x14ac:dyDescent="0.3">
      <c r="A602" s="60" t="s">
        <v>24</v>
      </c>
      <c r="B602" s="62">
        <f>SUMPRODUCT(A596:A601,B596:B601)</f>
        <v>0</v>
      </c>
      <c r="J602" s="15">
        <v>3000</v>
      </c>
      <c r="K602" s="11">
        <f>SUMIFS($J$55:$J$564,$I$55:$I$564,$A602,$K$55:$K$564,K$595,$H$55:$H$564,$K$594)</f>
        <v>0</v>
      </c>
      <c r="L602" s="17">
        <f>SUMIFS($J$55:$J$564,$I$55:$I$564,$A602,$K$55:$K$564,L$595,$H$55:$H$564,$K$594)</f>
        <v>0</v>
      </c>
      <c r="M602" s="16">
        <f t="shared" si="23"/>
        <v>0</v>
      </c>
      <c r="N602" s="16">
        <f t="shared" si="24"/>
        <v>0</v>
      </c>
    </row>
    <row r="603" spans="1:14" x14ac:dyDescent="0.25">
      <c r="A603" s="28"/>
      <c r="B603" s="28"/>
      <c r="J603" s="15">
        <v>5000</v>
      </c>
      <c r="K603" s="11">
        <f>SUMIFS($J$55:$J$564,$I$55:$I$564,$A603,$K$55:$K$564,K$595,$H$55:$H$564,$K$594)</f>
        <v>0</v>
      </c>
      <c r="L603" s="17">
        <f>SUMIFS($J$55:$J$564,$I$55:$I$564,$A603,$K$55:$K$564,L$595,$H$55:$H$564,$K$594)</f>
        <v>0</v>
      </c>
      <c r="M603" s="16">
        <f t="shared" si="23"/>
        <v>0</v>
      </c>
      <c r="N603" s="16">
        <f t="shared" si="24"/>
        <v>0</v>
      </c>
    </row>
    <row r="604" spans="1:14" ht="15.75" thickBot="1" x14ac:dyDescent="0.3">
      <c r="J604" s="59">
        <v>10000</v>
      </c>
      <c r="K604" s="11">
        <f>SUMIFS($J$55:$J$564,$I$55:$I$564,$A604,$K$55:$K$564,K$595,$H$55:$H$564,$K$594)</f>
        <v>0</v>
      </c>
      <c r="L604" s="17">
        <f>SUMIFS($J$55:$J$564,$I$55:$I$564,$A604,$K$55:$K$564,L$595,$H$55:$H$564,$K$594)</f>
        <v>0</v>
      </c>
      <c r="M604" s="16">
        <f t="shared" si="23"/>
        <v>0</v>
      </c>
      <c r="N604" s="16">
        <f t="shared" si="24"/>
        <v>0</v>
      </c>
    </row>
    <row r="605" spans="1:14" ht="15.75" thickBot="1" x14ac:dyDescent="0.3">
      <c r="J605" s="35"/>
      <c r="K605" s="61">
        <f>SUM(K596:K604)</f>
        <v>0</v>
      </c>
      <c r="L605" s="62">
        <f>SUM(L596:L604)</f>
        <v>0</v>
      </c>
      <c r="M605" s="35">
        <f t="shared" ref="M605:N605" si="25">SUM(M596:M604)</f>
        <v>0</v>
      </c>
      <c r="N605" s="35">
        <f t="shared" si="25"/>
        <v>0</v>
      </c>
    </row>
    <row r="609" spans="1:2" x14ac:dyDescent="0.25">
      <c r="A609" s="28"/>
      <c r="B609" s="28"/>
    </row>
  </sheetData>
  <sortState xmlns:xlrd2="http://schemas.microsoft.com/office/spreadsheetml/2017/richdata2" ref="A2:BJ23">
    <sortCondition ref="C2:C20"/>
  </sortState>
  <mergeCells count="31">
    <mergeCell ref="AF581:AF582"/>
    <mergeCell ref="AG581:AG582"/>
    <mergeCell ref="A594:B594"/>
    <mergeCell ref="D594:E594"/>
    <mergeCell ref="G594:H594"/>
    <mergeCell ref="J594:J595"/>
    <mergeCell ref="K594:L594"/>
    <mergeCell ref="M594:M595"/>
    <mergeCell ref="N594:N595"/>
    <mergeCell ref="B567:F567"/>
    <mergeCell ref="G567:K567"/>
    <mergeCell ref="L567:P567"/>
    <mergeCell ref="Q567:U567"/>
    <mergeCell ref="V567:Z567"/>
    <mergeCell ref="T53:U53"/>
    <mergeCell ref="V53:X53"/>
    <mergeCell ref="T565:U565"/>
    <mergeCell ref="V565:X565"/>
    <mergeCell ref="A566:AG566"/>
    <mergeCell ref="A567:A568"/>
    <mergeCell ref="AA567:AE567"/>
    <mergeCell ref="AF567:AF568"/>
    <mergeCell ref="AG567:AG568"/>
    <mergeCell ref="A580:AG580"/>
    <mergeCell ref="A581:A582"/>
    <mergeCell ref="B581:F581"/>
    <mergeCell ref="G581:K581"/>
    <mergeCell ref="L581:P581"/>
    <mergeCell ref="Q581:U581"/>
    <mergeCell ref="V581:Z581"/>
    <mergeCell ref="AA581:AE581"/>
  </mergeCells>
  <pageMargins left="0.11811023622047245" right="0" top="1.9685039370078741" bottom="0" header="0.31496062992125984" footer="0.31496062992125984"/>
  <pageSetup paperSize="9" scale="65" orientation="portrait" r:id="rId1"/>
  <headerFooter>
    <oddFooter>&amp;LPRINTED ON &amp;D AT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Y214"/>
  <sheetViews>
    <sheetView showZeros="0" zoomScale="85" zoomScaleNormal="85" workbookViewId="0">
      <selection activeCell="O121" sqref="O121"/>
    </sheetView>
  </sheetViews>
  <sheetFormatPr defaultColWidth="9.140625" defaultRowHeight="15" x14ac:dyDescent="0.25"/>
  <cols>
    <col min="1" max="2" width="7.42578125" style="44" customWidth="1"/>
    <col min="3" max="5" width="6.5703125" style="44" customWidth="1"/>
    <col min="6" max="6" width="8.140625" style="44" customWidth="1"/>
    <col min="7" max="7" width="12.85546875" style="44" customWidth="1"/>
    <col min="8" max="8" width="4.28515625" style="44" customWidth="1"/>
    <col min="9" max="10" width="7.42578125" style="44" customWidth="1"/>
    <col min="11" max="13" width="6.5703125" style="44" customWidth="1"/>
    <col min="14" max="14" width="8.140625" style="28" customWidth="1"/>
    <col min="15" max="15" width="12.85546875" style="28" customWidth="1"/>
    <col min="16" max="41" width="8.7109375" style="28" customWidth="1"/>
    <col min="42" max="42" width="4.7109375" style="28" customWidth="1"/>
    <col min="43" max="43" width="5.28515625" style="28" customWidth="1"/>
    <col min="44" max="44" width="7.42578125" style="28" customWidth="1"/>
    <col min="45" max="45" width="2.28515625" style="28" customWidth="1"/>
    <col min="46" max="46" width="5.7109375" style="28" customWidth="1"/>
    <col min="47" max="49" width="4.7109375" style="28" customWidth="1"/>
    <col min="50" max="50" width="5.28515625" style="28" customWidth="1"/>
    <col min="51" max="51" width="7.42578125" style="28" customWidth="1"/>
    <col min="52" max="52" width="2.28515625" style="28" customWidth="1"/>
    <col min="53" max="53" width="5.7109375" style="28" customWidth="1"/>
    <col min="54" max="56" width="4.7109375" style="28" customWidth="1"/>
    <col min="57" max="57" width="5.28515625" style="28" customWidth="1"/>
    <col min="58" max="58" width="7.42578125" style="28" customWidth="1"/>
    <col min="59" max="59" width="2.28515625" style="28" customWidth="1"/>
    <col min="60" max="60" width="5.7109375" style="28" customWidth="1"/>
    <col min="61" max="63" width="4.7109375" style="28" customWidth="1"/>
    <col min="64" max="64" width="5.28515625" style="28" customWidth="1"/>
    <col min="65" max="65" width="7.42578125" style="28" customWidth="1"/>
    <col min="66" max="16384" width="9.140625" style="28"/>
  </cols>
  <sheetData>
    <row r="1" spans="1:77" ht="16.5" customHeight="1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15</v>
      </c>
      <c r="J1" s="24" t="s">
        <v>133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133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133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12</v>
      </c>
      <c r="AB1" s="24" t="s">
        <v>133</v>
      </c>
      <c r="AC1" s="24" t="s">
        <v>8</v>
      </c>
      <c r="AD1" s="24" t="s">
        <v>9</v>
      </c>
      <c r="AE1" s="24" t="s">
        <v>10</v>
      </c>
      <c r="AF1" s="24" t="s">
        <v>11</v>
      </c>
      <c r="AG1" s="24" t="s">
        <v>12</v>
      </c>
      <c r="AH1" s="24" t="s">
        <v>133</v>
      </c>
      <c r="AI1" s="24" t="s">
        <v>8</v>
      </c>
      <c r="AJ1" s="24" t="s">
        <v>9</v>
      </c>
      <c r="AK1" s="24" t="s">
        <v>10</v>
      </c>
      <c r="AL1" s="24" t="s">
        <v>11</v>
      </c>
      <c r="AM1" s="24" t="s">
        <v>12</v>
      </c>
      <c r="AN1" s="24" t="s">
        <v>133</v>
      </c>
      <c r="AO1" s="24" t="s">
        <v>8</v>
      </c>
      <c r="AP1" s="24" t="s">
        <v>9</v>
      </c>
      <c r="AQ1" s="24" t="s">
        <v>10</v>
      </c>
      <c r="AR1" s="24" t="s">
        <v>11</v>
      </c>
      <c r="AS1" s="24" t="s">
        <v>12</v>
      </c>
      <c r="AT1" s="24" t="s">
        <v>133</v>
      </c>
      <c r="AU1" s="24" t="s">
        <v>8</v>
      </c>
      <c r="AV1" s="24" t="s">
        <v>9</v>
      </c>
      <c r="AW1" s="24" t="s">
        <v>10</v>
      </c>
      <c r="AX1" s="24" t="s">
        <v>11</v>
      </c>
      <c r="AY1" s="24" t="s">
        <v>12</v>
      </c>
      <c r="AZ1" s="24" t="s">
        <v>133</v>
      </c>
      <c r="BA1" s="24" t="s">
        <v>8</v>
      </c>
      <c r="BB1" s="24" t="s">
        <v>9</v>
      </c>
      <c r="BC1" s="24" t="s">
        <v>10</v>
      </c>
      <c r="BD1" s="24" t="s">
        <v>11</v>
      </c>
      <c r="BE1" s="24" t="s">
        <v>12</v>
      </c>
      <c r="BF1" s="24" t="s">
        <v>133</v>
      </c>
      <c r="BG1" s="24" t="s">
        <v>8</v>
      </c>
      <c r="BH1" s="24" t="s">
        <v>9</v>
      </c>
      <c r="BI1" s="24" t="s">
        <v>10</v>
      </c>
      <c r="BJ1" s="24" t="s">
        <v>11</v>
      </c>
      <c r="BK1" s="24" t="s">
        <v>12</v>
      </c>
      <c r="BL1" s="24" t="s">
        <v>133</v>
      </c>
      <c r="BM1" s="24" t="s">
        <v>8</v>
      </c>
      <c r="BN1" s="24" t="s">
        <v>9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36</v>
      </c>
      <c r="BU1" s="26"/>
      <c r="BV1" s="27"/>
      <c r="BW1" s="27"/>
      <c r="BX1" s="27"/>
      <c r="BY1" s="27"/>
    </row>
    <row r="2" spans="1:77" s="56" customFormat="1" ht="15.75" thickBot="1" x14ac:dyDescent="0.3">
      <c r="A2" s="80">
        <v>1</v>
      </c>
      <c r="B2" s="49">
        <v>46006</v>
      </c>
      <c r="C2" s="20" t="s">
        <v>115</v>
      </c>
      <c r="D2" s="20" t="s">
        <v>90</v>
      </c>
      <c r="E2" s="20" t="s">
        <v>42</v>
      </c>
      <c r="F2" s="20" t="s">
        <v>137</v>
      </c>
      <c r="G2" s="20" t="s">
        <v>146</v>
      </c>
      <c r="H2" s="20" t="s">
        <v>156</v>
      </c>
      <c r="I2" s="20"/>
      <c r="J2" s="48" t="s">
        <v>134</v>
      </c>
      <c r="K2" s="48">
        <v>1000</v>
      </c>
      <c r="L2" s="48">
        <v>20</v>
      </c>
      <c r="M2" s="20" t="s">
        <v>17</v>
      </c>
      <c r="N2" s="20" t="s">
        <v>22</v>
      </c>
      <c r="O2" s="48">
        <v>3.5</v>
      </c>
      <c r="P2" s="48" t="s">
        <v>118</v>
      </c>
      <c r="Q2" s="48">
        <v>750</v>
      </c>
      <c r="R2" s="48">
        <v>12</v>
      </c>
      <c r="S2" s="20" t="s">
        <v>17</v>
      </c>
      <c r="T2" s="20" t="s">
        <v>22</v>
      </c>
      <c r="U2" s="48">
        <v>3.5</v>
      </c>
      <c r="V2" s="48" t="s">
        <v>135</v>
      </c>
      <c r="W2" s="48">
        <v>500</v>
      </c>
      <c r="X2" s="48">
        <v>13</v>
      </c>
      <c r="Y2" s="20"/>
      <c r="Z2" s="20"/>
      <c r="AA2" s="48">
        <v>3.5</v>
      </c>
      <c r="AB2" s="48" t="s">
        <v>131</v>
      </c>
      <c r="AC2" s="48">
        <v>1000</v>
      </c>
      <c r="AD2" s="48">
        <v>2</v>
      </c>
      <c r="AE2" s="20"/>
      <c r="AF2" s="20"/>
      <c r="AG2" s="48">
        <v>3.5</v>
      </c>
      <c r="AH2" s="48" t="s">
        <v>132</v>
      </c>
      <c r="AI2" s="48">
        <v>2000</v>
      </c>
      <c r="AJ2" s="48">
        <v>1</v>
      </c>
      <c r="AK2" s="20" t="s">
        <v>17</v>
      </c>
      <c r="AL2" s="20" t="s">
        <v>22</v>
      </c>
      <c r="AM2" s="48">
        <v>3.5</v>
      </c>
      <c r="AN2" s="48" t="s">
        <v>128</v>
      </c>
      <c r="AO2" s="20"/>
      <c r="AP2" s="20">
        <v>15</v>
      </c>
      <c r="AQ2" s="20" t="s">
        <v>19</v>
      </c>
      <c r="AR2" s="20"/>
      <c r="AS2" s="20"/>
      <c r="AT2" s="48"/>
      <c r="AU2" s="20"/>
      <c r="AV2" s="20"/>
      <c r="AW2" s="20"/>
      <c r="AX2" s="20"/>
      <c r="AY2" s="20"/>
      <c r="AZ2" s="48"/>
      <c r="BA2" s="20"/>
      <c r="BB2" s="20"/>
      <c r="BC2" s="20"/>
      <c r="BD2" s="20"/>
      <c r="BE2" s="20"/>
      <c r="BF2" s="48"/>
      <c r="BG2" s="20"/>
      <c r="BH2" s="20"/>
      <c r="BI2" s="20"/>
      <c r="BJ2" s="20"/>
      <c r="BK2" s="20"/>
      <c r="BL2" s="48"/>
      <c r="BM2" s="20"/>
      <c r="BN2" s="20"/>
      <c r="BO2" s="20"/>
      <c r="BP2" s="20"/>
      <c r="BQ2" s="20"/>
      <c r="BR2" s="20" t="s">
        <v>91</v>
      </c>
      <c r="BS2" s="20" t="s">
        <v>124</v>
      </c>
      <c r="BT2" s="55">
        <f t="shared" ref="BT2:BT11" si="0">K2*L2+Q2*R2+W2*X2+AC2*AD2+AI2*AJ2+AO2*AP2+AU2*AV2+BA2*BB2+BG2*BH2+BM2*BN2</f>
        <v>39500</v>
      </c>
      <c r="BU2" s="20"/>
      <c r="BV2" s="20"/>
      <c r="BW2" s="20"/>
      <c r="BX2" s="20"/>
      <c r="BY2" s="20"/>
    </row>
    <row r="3" spans="1:77" s="56" customFormat="1" ht="15.75" thickBot="1" x14ac:dyDescent="0.3">
      <c r="A3" s="80">
        <v>2</v>
      </c>
      <c r="B3" s="49">
        <v>46006</v>
      </c>
      <c r="C3" s="20" t="s">
        <v>115</v>
      </c>
      <c r="D3" s="20" t="s">
        <v>90</v>
      </c>
      <c r="E3" s="20" t="s">
        <v>42</v>
      </c>
      <c r="F3" s="20" t="s">
        <v>138</v>
      </c>
      <c r="G3" s="20" t="s">
        <v>147</v>
      </c>
      <c r="H3" s="20" t="s">
        <v>157</v>
      </c>
      <c r="I3" s="20"/>
      <c r="J3" s="48" t="s">
        <v>134</v>
      </c>
      <c r="K3" s="48">
        <v>1000</v>
      </c>
      <c r="L3" s="48">
        <v>20</v>
      </c>
      <c r="M3" s="20" t="s">
        <v>17</v>
      </c>
      <c r="N3" s="20" t="s">
        <v>22</v>
      </c>
      <c r="O3" s="48">
        <v>3.5</v>
      </c>
      <c r="P3" s="48" t="s">
        <v>118</v>
      </c>
      <c r="Q3" s="48">
        <v>750</v>
      </c>
      <c r="R3" s="48">
        <v>12</v>
      </c>
      <c r="S3" s="20" t="s">
        <v>17</v>
      </c>
      <c r="T3" s="20" t="s">
        <v>22</v>
      </c>
      <c r="U3" s="48">
        <v>3.5</v>
      </c>
      <c r="V3" s="48" t="s">
        <v>135</v>
      </c>
      <c r="W3" s="48">
        <v>500</v>
      </c>
      <c r="X3" s="48">
        <v>13</v>
      </c>
      <c r="Y3" s="20"/>
      <c r="Z3" s="20"/>
      <c r="AA3" s="48">
        <v>3.5</v>
      </c>
      <c r="AB3" s="48" t="s">
        <v>131</v>
      </c>
      <c r="AC3" s="48">
        <v>1000</v>
      </c>
      <c r="AD3" s="48">
        <v>2</v>
      </c>
      <c r="AE3" s="20"/>
      <c r="AF3" s="20"/>
      <c r="AG3" s="48">
        <v>3.5</v>
      </c>
      <c r="AH3" s="48" t="s">
        <v>132</v>
      </c>
      <c r="AI3" s="48">
        <v>2000</v>
      </c>
      <c r="AJ3" s="48">
        <v>1</v>
      </c>
      <c r="AK3" s="20" t="s">
        <v>17</v>
      </c>
      <c r="AL3" s="20" t="s">
        <v>22</v>
      </c>
      <c r="AM3" s="48">
        <v>3.5</v>
      </c>
      <c r="AN3" s="48" t="s">
        <v>128</v>
      </c>
      <c r="AO3" s="20"/>
      <c r="AP3" s="20">
        <v>15</v>
      </c>
      <c r="AQ3" s="20" t="s">
        <v>19</v>
      </c>
      <c r="AR3" s="20"/>
      <c r="AS3" s="20"/>
      <c r="AT3" s="48"/>
      <c r="AU3" s="20"/>
      <c r="AV3" s="20"/>
      <c r="AW3" s="20"/>
      <c r="AX3" s="20"/>
      <c r="AY3" s="20"/>
      <c r="AZ3" s="48"/>
      <c r="BA3" s="20"/>
      <c r="BB3" s="20"/>
      <c r="BC3" s="20"/>
      <c r="BD3" s="20"/>
      <c r="BE3" s="20"/>
      <c r="BF3" s="48"/>
      <c r="BG3" s="20"/>
      <c r="BH3" s="20"/>
      <c r="BI3" s="20"/>
      <c r="BJ3" s="20"/>
      <c r="BK3" s="20"/>
      <c r="BL3" s="48"/>
      <c r="BM3" s="20"/>
      <c r="BN3" s="20"/>
      <c r="BO3" s="20"/>
      <c r="BP3" s="20"/>
      <c r="BQ3" s="20"/>
      <c r="BR3" s="20" t="s">
        <v>91</v>
      </c>
      <c r="BS3" s="20" t="s">
        <v>124</v>
      </c>
      <c r="BT3" s="55">
        <f t="shared" si="0"/>
        <v>39500</v>
      </c>
      <c r="BU3" s="20"/>
      <c r="BV3" s="20"/>
      <c r="BW3" s="20"/>
      <c r="BX3" s="20"/>
      <c r="BY3" s="20"/>
    </row>
    <row r="4" spans="1:77" s="56" customFormat="1" ht="15.75" thickBot="1" x14ac:dyDescent="0.3">
      <c r="A4" s="80">
        <v>3</v>
      </c>
      <c r="B4" s="49">
        <v>46006</v>
      </c>
      <c r="C4" s="20" t="s">
        <v>115</v>
      </c>
      <c r="D4" s="20" t="s">
        <v>90</v>
      </c>
      <c r="E4" s="20" t="s">
        <v>42</v>
      </c>
      <c r="F4" s="20" t="s">
        <v>139</v>
      </c>
      <c r="G4" s="20" t="s">
        <v>148</v>
      </c>
      <c r="H4" s="20" t="s">
        <v>158</v>
      </c>
      <c r="I4" s="20"/>
      <c r="J4" s="48" t="s">
        <v>134</v>
      </c>
      <c r="K4" s="48">
        <v>1000</v>
      </c>
      <c r="L4" s="48">
        <v>20</v>
      </c>
      <c r="M4" s="20" t="s">
        <v>17</v>
      </c>
      <c r="N4" s="20" t="s">
        <v>22</v>
      </c>
      <c r="O4" s="48">
        <v>3.5</v>
      </c>
      <c r="P4" s="48" t="s">
        <v>118</v>
      </c>
      <c r="Q4" s="48">
        <v>750</v>
      </c>
      <c r="R4" s="48">
        <v>12</v>
      </c>
      <c r="S4" s="20" t="s">
        <v>17</v>
      </c>
      <c r="T4" s="20" t="s">
        <v>22</v>
      </c>
      <c r="U4" s="48">
        <v>3.5</v>
      </c>
      <c r="V4" s="48" t="s">
        <v>135</v>
      </c>
      <c r="W4" s="48">
        <v>500</v>
      </c>
      <c r="X4" s="48">
        <v>13</v>
      </c>
      <c r="Y4" s="20"/>
      <c r="Z4" s="20"/>
      <c r="AA4" s="48">
        <v>3.5</v>
      </c>
      <c r="AB4" s="48" t="s">
        <v>131</v>
      </c>
      <c r="AC4" s="48">
        <v>1000</v>
      </c>
      <c r="AD4" s="48">
        <v>2</v>
      </c>
      <c r="AE4" s="20"/>
      <c r="AF4" s="20"/>
      <c r="AG4" s="48">
        <v>3.5</v>
      </c>
      <c r="AH4" s="48" t="s">
        <v>132</v>
      </c>
      <c r="AI4" s="48">
        <v>2000</v>
      </c>
      <c r="AJ4" s="48">
        <v>1</v>
      </c>
      <c r="AK4" s="20" t="s">
        <v>17</v>
      </c>
      <c r="AL4" s="20" t="s">
        <v>22</v>
      </c>
      <c r="AM4" s="48">
        <v>3.5</v>
      </c>
      <c r="AN4" s="48" t="s">
        <v>128</v>
      </c>
      <c r="AO4" s="20"/>
      <c r="AP4" s="20">
        <v>15</v>
      </c>
      <c r="AQ4" s="20" t="s">
        <v>19</v>
      </c>
      <c r="AR4" s="20"/>
      <c r="AS4" s="20"/>
      <c r="AT4" s="48"/>
      <c r="AU4" s="20"/>
      <c r="AV4" s="20"/>
      <c r="AW4" s="20"/>
      <c r="AX4" s="20"/>
      <c r="AY4" s="20"/>
      <c r="AZ4" s="48"/>
      <c r="BA4" s="20"/>
      <c r="BB4" s="20"/>
      <c r="BC4" s="20"/>
      <c r="BD4" s="20"/>
      <c r="BE4" s="20"/>
      <c r="BF4" s="48"/>
      <c r="BG4" s="20"/>
      <c r="BH4" s="20"/>
      <c r="BI4" s="20"/>
      <c r="BJ4" s="20"/>
      <c r="BK4" s="20"/>
      <c r="BL4" s="48"/>
      <c r="BM4" s="20"/>
      <c r="BN4" s="20"/>
      <c r="BO4" s="20"/>
      <c r="BP4" s="20"/>
      <c r="BQ4" s="20"/>
      <c r="BR4" s="20" t="s">
        <v>91</v>
      </c>
      <c r="BS4" s="20" t="s">
        <v>124</v>
      </c>
      <c r="BT4" s="55">
        <f t="shared" si="0"/>
        <v>39500</v>
      </c>
      <c r="BU4" s="20"/>
      <c r="BV4" s="20"/>
      <c r="BW4" s="20"/>
      <c r="BX4" s="20"/>
      <c r="BY4" s="20"/>
    </row>
    <row r="5" spans="1:77" s="56" customFormat="1" ht="15.75" thickBot="1" x14ac:dyDescent="0.3">
      <c r="A5" s="80">
        <v>4</v>
      </c>
      <c r="B5" s="49">
        <v>46006</v>
      </c>
      <c r="C5" s="20" t="s">
        <v>115</v>
      </c>
      <c r="D5" s="20" t="s">
        <v>90</v>
      </c>
      <c r="E5" s="20" t="s">
        <v>42</v>
      </c>
      <c r="F5" s="20" t="s">
        <v>140</v>
      </c>
      <c r="G5" s="20" t="s">
        <v>149</v>
      </c>
      <c r="H5" s="20" t="s">
        <v>159</v>
      </c>
      <c r="I5" s="20"/>
      <c r="J5" s="48" t="s">
        <v>134</v>
      </c>
      <c r="K5" s="48">
        <v>1000</v>
      </c>
      <c r="L5" s="48">
        <v>20</v>
      </c>
      <c r="M5" s="20" t="s">
        <v>17</v>
      </c>
      <c r="N5" s="20" t="s">
        <v>22</v>
      </c>
      <c r="O5" s="48">
        <v>3.5</v>
      </c>
      <c r="P5" s="48" t="s">
        <v>118</v>
      </c>
      <c r="Q5" s="48">
        <v>750</v>
      </c>
      <c r="R5" s="48">
        <v>12</v>
      </c>
      <c r="S5" s="20" t="s">
        <v>17</v>
      </c>
      <c r="T5" s="20" t="s">
        <v>22</v>
      </c>
      <c r="U5" s="48">
        <v>3.5</v>
      </c>
      <c r="V5" s="48" t="s">
        <v>135</v>
      </c>
      <c r="W5" s="48">
        <v>500</v>
      </c>
      <c r="X5" s="48">
        <v>13</v>
      </c>
      <c r="Y5" s="20"/>
      <c r="Z5" s="20"/>
      <c r="AA5" s="48">
        <v>3.5</v>
      </c>
      <c r="AB5" s="48" t="s">
        <v>131</v>
      </c>
      <c r="AC5" s="48">
        <v>1000</v>
      </c>
      <c r="AD5" s="48">
        <v>2</v>
      </c>
      <c r="AE5" s="20"/>
      <c r="AF5" s="20"/>
      <c r="AG5" s="48">
        <v>3.5</v>
      </c>
      <c r="AH5" s="48" t="s">
        <v>132</v>
      </c>
      <c r="AI5" s="48">
        <v>2000</v>
      </c>
      <c r="AJ5" s="48">
        <v>1</v>
      </c>
      <c r="AK5" s="20" t="s">
        <v>17</v>
      </c>
      <c r="AL5" s="20" t="s">
        <v>22</v>
      </c>
      <c r="AM5" s="48">
        <v>3.5</v>
      </c>
      <c r="AN5" s="48" t="s">
        <v>128</v>
      </c>
      <c r="AO5" s="20"/>
      <c r="AP5" s="20">
        <v>15</v>
      </c>
      <c r="AQ5" s="20" t="s">
        <v>19</v>
      </c>
      <c r="AR5" s="20"/>
      <c r="AS5" s="20"/>
      <c r="AT5" s="48"/>
      <c r="AU5" s="20"/>
      <c r="AV5" s="20"/>
      <c r="AW5" s="20"/>
      <c r="AX5" s="20"/>
      <c r="AY5" s="20"/>
      <c r="AZ5" s="48"/>
      <c r="BA5" s="20"/>
      <c r="BB5" s="20"/>
      <c r="BC5" s="20"/>
      <c r="BD5" s="20"/>
      <c r="BE5" s="20"/>
      <c r="BF5" s="48"/>
      <c r="BG5" s="20"/>
      <c r="BH5" s="20"/>
      <c r="BI5" s="20"/>
      <c r="BJ5" s="20"/>
      <c r="BK5" s="20"/>
      <c r="BL5" s="48"/>
      <c r="BM5" s="20"/>
      <c r="BN5" s="20"/>
      <c r="BO5" s="20"/>
      <c r="BP5" s="20"/>
      <c r="BQ5" s="20"/>
      <c r="BR5" s="20" t="s">
        <v>91</v>
      </c>
      <c r="BS5" s="20" t="s">
        <v>124</v>
      </c>
      <c r="BT5" s="55">
        <f t="shared" si="0"/>
        <v>39500</v>
      </c>
      <c r="BU5" s="20"/>
      <c r="BV5" s="20"/>
      <c r="BW5" s="20"/>
      <c r="BX5" s="20"/>
      <c r="BY5" s="20"/>
    </row>
    <row r="6" spans="1:77" s="56" customFormat="1" ht="15.75" thickBot="1" x14ac:dyDescent="0.3">
      <c r="A6" s="80">
        <v>5</v>
      </c>
      <c r="B6" s="49">
        <v>46006</v>
      </c>
      <c r="C6" s="20" t="s">
        <v>115</v>
      </c>
      <c r="D6" s="20" t="s">
        <v>90</v>
      </c>
      <c r="E6" s="20" t="s">
        <v>42</v>
      </c>
      <c r="F6" s="20" t="s">
        <v>141</v>
      </c>
      <c r="G6" s="20" t="s">
        <v>150</v>
      </c>
      <c r="H6" s="20" t="s">
        <v>160</v>
      </c>
      <c r="I6" s="20"/>
      <c r="J6" s="48" t="s">
        <v>134</v>
      </c>
      <c r="K6" s="48">
        <v>1000</v>
      </c>
      <c r="L6" s="48">
        <v>20</v>
      </c>
      <c r="M6" s="20" t="s">
        <v>17</v>
      </c>
      <c r="N6" s="20" t="s">
        <v>22</v>
      </c>
      <c r="O6" s="48">
        <v>3.5</v>
      </c>
      <c r="P6" s="48" t="s">
        <v>118</v>
      </c>
      <c r="Q6" s="48">
        <v>750</v>
      </c>
      <c r="R6" s="48">
        <v>12</v>
      </c>
      <c r="S6" s="20" t="s">
        <v>17</v>
      </c>
      <c r="T6" s="20" t="s">
        <v>22</v>
      </c>
      <c r="U6" s="48">
        <v>3.5</v>
      </c>
      <c r="V6" s="48" t="s">
        <v>135</v>
      </c>
      <c r="W6" s="48">
        <v>500</v>
      </c>
      <c r="X6" s="48">
        <v>13</v>
      </c>
      <c r="Y6" s="20"/>
      <c r="Z6" s="20"/>
      <c r="AA6" s="48">
        <v>3.5</v>
      </c>
      <c r="AB6" s="48" t="s">
        <v>131</v>
      </c>
      <c r="AC6" s="48">
        <v>1000</v>
      </c>
      <c r="AD6" s="48">
        <v>2</v>
      </c>
      <c r="AE6" s="20"/>
      <c r="AF6" s="20"/>
      <c r="AG6" s="48">
        <v>3.5</v>
      </c>
      <c r="AH6" s="48" t="s">
        <v>132</v>
      </c>
      <c r="AI6" s="48">
        <v>2000</v>
      </c>
      <c r="AJ6" s="48">
        <v>1</v>
      </c>
      <c r="AK6" s="20" t="s">
        <v>17</v>
      </c>
      <c r="AL6" s="20" t="s">
        <v>22</v>
      </c>
      <c r="AM6" s="48">
        <v>3.5</v>
      </c>
      <c r="AN6" s="48" t="s">
        <v>128</v>
      </c>
      <c r="AO6" s="20"/>
      <c r="AP6" s="20">
        <v>15</v>
      </c>
      <c r="AQ6" s="20" t="s">
        <v>19</v>
      </c>
      <c r="AR6" s="20"/>
      <c r="AS6" s="20"/>
      <c r="AT6" s="48"/>
      <c r="AU6" s="20"/>
      <c r="AV6" s="20"/>
      <c r="AW6" s="20"/>
      <c r="AX6" s="20"/>
      <c r="AY6" s="20"/>
      <c r="AZ6" s="48"/>
      <c r="BA6" s="20"/>
      <c r="BB6" s="20"/>
      <c r="BC6" s="20"/>
      <c r="BD6" s="20"/>
      <c r="BE6" s="20"/>
      <c r="BF6" s="48"/>
      <c r="BG6" s="20"/>
      <c r="BH6" s="20"/>
      <c r="BI6" s="20"/>
      <c r="BJ6" s="20"/>
      <c r="BK6" s="20"/>
      <c r="BL6" s="48"/>
      <c r="BM6" s="20"/>
      <c r="BN6" s="20"/>
      <c r="BO6" s="20"/>
      <c r="BP6" s="20"/>
      <c r="BQ6" s="20"/>
      <c r="BR6" s="20" t="s">
        <v>91</v>
      </c>
      <c r="BS6" s="20" t="s">
        <v>124</v>
      </c>
      <c r="BT6" s="55">
        <f t="shared" si="0"/>
        <v>39500</v>
      </c>
      <c r="BU6" s="20"/>
      <c r="BV6" s="20"/>
      <c r="BW6" s="20"/>
      <c r="BX6" s="20"/>
      <c r="BY6" s="20"/>
    </row>
    <row r="7" spans="1:77" s="56" customFormat="1" ht="15.75" thickBot="1" x14ac:dyDescent="0.3">
      <c r="A7" s="80">
        <v>6</v>
      </c>
      <c r="B7" s="49">
        <v>46006</v>
      </c>
      <c r="C7" s="20" t="s">
        <v>115</v>
      </c>
      <c r="D7" s="20" t="s">
        <v>90</v>
      </c>
      <c r="E7" s="20" t="s">
        <v>42</v>
      </c>
      <c r="F7" s="20" t="s">
        <v>142</v>
      </c>
      <c r="G7" s="20" t="s">
        <v>151</v>
      </c>
      <c r="H7" s="20" t="s">
        <v>161</v>
      </c>
      <c r="I7" s="20"/>
      <c r="J7" s="48" t="s">
        <v>134</v>
      </c>
      <c r="K7" s="48">
        <v>1000</v>
      </c>
      <c r="L7" s="48">
        <v>20</v>
      </c>
      <c r="M7" s="20" t="s">
        <v>17</v>
      </c>
      <c r="N7" s="20" t="s">
        <v>22</v>
      </c>
      <c r="O7" s="48">
        <v>3.5</v>
      </c>
      <c r="P7" s="48" t="s">
        <v>118</v>
      </c>
      <c r="Q7" s="48">
        <v>750</v>
      </c>
      <c r="R7" s="48">
        <v>12</v>
      </c>
      <c r="S7" s="20" t="s">
        <v>17</v>
      </c>
      <c r="T7" s="20" t="s">
        <v>22</v>
      </c>
      <c r="U7" s="48">
        <v>3.5</v>
      </c>
      <c r="V7" s="48" t="s">
        <v>135</v>
      </c>
      <c r="W7" s="48">
        <v>500</v>
      </c>
      <c r="X7" s="48">
        <v>13</v>
      </c>
      <c r="Y7" s="20"/>
      <c r="Z7" s="20"/>
      <c r="AA7" s="48">
        <v>3.5</v>
      </c>
      <c r="AB7" s="48" t="s">
        <v>131</v>
      </c>
      <c r="AC7" s="48">
        <v>1000</v>
      </c>
      <c r="AD7" s="48">
        <v>2</v>
      </c>
      <c r="AE7" s="20"/>
      <c r="AF7" s="20"/>
      <c r="AG7" s="48">
        <v>3.5</v>
      </c>
      <c r="AH7" s="48" t="s">
        <v>132</v>
      </c>
      <c r="AI7" s="48">
        <v>2000</v>
      </c>
      <c r="AJ7" s="48">
        <v>1</v>
      </c>
      <c r="AK7" s="20" t="s">
        <v>17</v>
      </c>
      <c r="AL7" s="20" t="s">
        <v>22</v>
      </c>
      <c r="AM7" s="48">
        <v>3.5</v>
      </c>
      <c r="AN7" s="48" t="s">
        <v>128</v>
      </c>
      <c r="AO7" s="20"/>
      <c r="AP7" s="20">
        <v>15</v>
      </c>
      <c r="AQ7" s="20" t="s">
        <v>19</v>
      </c>
      <c r="AR7" s="20"/>
      <c r="AS7" s="20"/>
      <c r="AT7" s="48"/>
      <c r="AU7" s="20"/>
      <c r="AV7" s="20"/>
      <c r="AW7" s="20"/>
      <c r="AX7" s="20"/>
      <c r="AY7" s="20"/>
      <c r="AZ7" s="48"/>
      <c r="BA7" s="20"/>
      <c r="BB7" s="20"/>
      <c r="BC7" s="20"/>
      <c r="BD7" s="20"/>
      <c r="BE7" s="20"/>
      <c r="BF7" s="48"/>
      <c r="BG7" s="20"/>
      <c r="BH7" s="20"/>
      <c r="BI7" s="20"/>
      <c r="BJ7" s="20"/>
      <c r="BK7" s="20"/>
      <c r="BL7" s="48"/>
      <c r="BM7" s="20"/>
      <c r="BN7" s="20"/>
      <c r="BO7" s="20"/>
      <c r="BP7" s="20"/>
      <c r="BQ7" s="20"/>
      <c r="BR7" s="20" t="s">
        <v>91</v>
      </c>
      <c r="BS7" s="20" t="s">
        <v>124</v>
      </c>
      <c r="BT7" s="55">
        <f t="shared" si="0"/>
        <v>39500</v>
      </c>
      <c r="BU7" s="20"/>
      <c r="BV7" s="20"/>
      <c r="BW7" s="20"/>
      <c r="BX7" s="20"/>
      <c r="BY7" s="20"/>
    </row>
    <row r="8" spans="1:77" s="56" customFormat="1" ht="15.75" thickBot="1" x14ac:dyDescent="0.3">
      <c r="A8" s="80">
        <v>7</v>
      </c>
      <c r="B8" s="49">
        <v>46006</v>
      </c>
      <c r="C8" s="20" t="s">
        <v>115</v>
      </c>
      <c r="D8" s="20" t="s">
        <v>90</v>
      </c>
      <c r="E8" s="20" t="s">
        <v>42</v>
      </c>
      <c r="F8" s="20" t="s">
        <v>143</v>
      </c>
      <c r="G8" s="20" t="s">
        <v>152</v>
      </c>
      <c r="H8" s="20" t="s">
        <v>162</v>
      </c>
      <c r="I8" s="20"/>
      <c r="J8" s="48" t="s">
        <v>134</v>
      </c>
      <c r="K8" s="48">
        <v>1000</v>
      </c>
      <c r="L8" s="48">
        <v>20</v>
      </c>
      <c r="M8" s="20" t="s">
        <v>17</v>
      </c>
      <c r="N8" s="20" t="s">
        <v>22</v>
      </c>
      <c r="O8" s="48">
        <v>3.5</v>
      </c>
      <c r="P8" s="48" t="s">
        <v>118</v>
      </c>
      <c r="Q8" s="48">
        <v>750</v>
      </c>
      <c r="R8" s="48">
        <v>12</v>
      </c>
      <c r="S8" s="20" t="s">
        <v>17</v>
      </c>
      <c r="T8" s="20" t="s">
        <v>22</v>
      </c>
      <c r="U8" s="48">
        <v>3.5</v>
      </c>
      <c r="V8" s="48" t="s">
        <v>135</v>
      </c>
      <c r="W8" s="48">
        <v>500</v>
      </c>
      <c r="X8" s="48">
        <v>13</v>
      </c>
      <c r="Y8" s="20"/>
      <c r="Z8" s="20"/>
      <c r="AA8" s="48">
        <v>3.5</v>
      </c>
      <c r="AB8" s="48" t="s">
        <v>131</v>
      </c>
      <c r="AC8" s="48">
        <v>1000</v>
      </c>
      <c r="AD8" s="48">
        <v>2</v>
      </c>
      <c r="AE8" s="20"/>
      <c r="AF8" s="20"/>
      <c r="AG8" s="48">
        <v>3.5</v>
      </c>
      <c r="AH8" s="48" t="s">
        <v>132</v>
      </c>
      <c r="AI8" s="48">
        <v>2000</v>
      </c>
      <c r="AJ8" s="48">
        <v>1</v>
      </c>
      <c r="AK8" s="20" t="s">
        <v>17</v>
      </c>
      <c r="AL8" s="20" t="s">
        <v>22</v>
      </c>
      <c r="AM8" s="48">
        <v>3.5</v>
      </c>
      <c r="AN8" s="48" t="s">
        <v>128</v>
      </c>
      <c r="AO8" s="20"/>
      <c r="AP8" s="20">
        <v>15</v>
      </c>
      <c r="AQ8" s="20" t="s">
        <v>19</v>
      </c>
      <c r="AR8" s="20"/>
      <c r="AS8" s="20"/>
      <c r="AT8" s="48"/>
      <c r="AU8" s="20"/>
      <c r="AV8" s="20"/>
      <c r="AW8" s="20"/>
      <c r="AX8" s="20"/>
      <c r="AY8" s="20"/>
      <c r="AZ8" s="48"/>
      <c r="BA8" s="20"/>
      <c r="BB8" s="20"/>
      <c r="BC8" s="20"/>
      <c r="BD8" s="20"/>
      <c r="BE8" s="20"/>
      <c r="BF8" s="48"/>
      <c r="BG8" s="20"/>
      <c r="BH8" s="20"/>
      <c r="BI8" s="20"/>
      <c r="BJ8" s="20"/>
      <c r="BK8" s="20"/>
      <c r="BL8" s="48"/>
      <c r="BM8" s="20"/>
      <c r="BN8" s="20"/>
      <c r="BO8" s="20"/>
      <c r="BP8" s="20"/>
      <c r="BQ8" s="20"/>
      <c r="BR8" s="20" t="s">
        <v>91</v>
      </c>
      <c r="BS8" s="20" t="s">
        <v>124</v>
      </c>
      <c r="BT8" s="55">
        <f t="shared" si="0"/>
        <v>39500</v>
      </c>
      <c r="BU8" s="20"/>
      <c r="BV8" s="20"/>
      <c r="BW8" s="20"/>
      <c r="BX8" s="20"/>
      <c r="BY8" s="20"/>
    </row>
    <row r="9" spans="1:77" s="56" customFormat="1" ht="15.75" thickBot="1" x14ac:dyDescent="0.3">
      <c r="A9" s="80">
        <v>8</v>
      </c>
      <c r="B9" s="49">
        <v>46006</v>
      </c>
      <c r="C9" s="20" t="s">
        <v>115</v>
      </c>
      <c r="D9" s="20" t="s">
        <v>90</v>
      </c>
      <c r="E9" s="20" t="s">
        <v>42</v>
      </c>
      <c r="F9" s="20" t="s">
        <v>121</v>
      </c>
      <c r="G9" s="20" t="s">
        <v>153</v>
      </c>
      <c r="H9" s="20" t="s">
        <v>163</v>
      </c>
      <c r="I9" s="20"/>
      <c r="J9" s="48" t="s">
        <v>134</v>
      </c>
      <c r="K9" s="48">
        <v>1000</v>
      </c>
      <c r="L9" s="48">
        <v>20</v>
      </c>
      <c r="M9" s="20" t="s">
        <v>17</v>
      </c>
      <c r="N9" s="20" t="s">
        <v>22</v>
      </c>
      <c r="O9" s="48">
        <v>3.5</v>
      </c>
      <c r="P9" s="48" t="s">
        <v>118</v>
      </c>
      <c r="Q9" s="48">
        <v>750</v>
      </c>
      <c r="R9" s="48">
        <v>12</v>
      </c>
      <c r="S9" s="20" t="s">
        <v>17</v>
      </c>
      <c r="T9" s="20" t="s">
        <v>22</v>
      </c>
      <c r="U9" s="48">
        <v>3.5</v>
      </c>
      <c r="V9" s="48" t="s">
        <v>135</v>
      </c>
      <c r="W9" s="48">
        <v>500</v>
      </c>
      <c r="X9" s="48">
        <v>13</v>
      </c>
      <c r="Y9" s="20"/>
      <c r="Z9" s="20"/>
      <c r="AA9" s="48">
        <v>3.5</v>
      </c>
      <c r="AB9" s="48" t="s">
        <v>131</v>
      </c>
      <c r="AC9" s="48">
        <v>1000</v>
      </c>
      <c r="AD9" s="48">
        <v>2</v>
      </c>
      <c r="AE9" s="20"/>
      <c r="AF9" s="20"/>
      <c r="AG9" s="48">
        <v>3.5</v>
      </c>
      <c r="AH9" s="48" t="s">
        <v>132</v>
      </c>
      <c r="AI9" s="48">
        <v>2000</v>
      </c>
      <c r="AJ9" s="48">
        <v>1</v>
      </c>
      <c r="AK9" s="20" t="s">
        <v>17</v>
      </c>
      <c r="AL9" s="20" t="s">
        <v>22</v>
      </c>
      <c r="AM9" s="48">
        <v>3.5</v>
      </c>
      <c r="AN9" s="48" t="s">
        <v>128</v>
      </c>
      <c r="AO9" s="20"/>
      <c r="AP9" s="20">
        <v>15</v>
      </c>
      <c r="AQ9" s="20" t="s">
        <v>19</v>
      </c>
      <c r="AR9" s="20"/>
      <c r="AS9" s="20"/>
      <c r="AT9" s="48"/>
      <c r="AU9" s="20"/>
      <c r="AV9" s="20"/>
      <c r="AW9" s="20"/>
      <c r="AX9" s="20"/>
      <c r="AY9" s="20"/>
      <c r="AZ9" s="48"/>
      <c r="BA9" s="20"/>
      <c r="BB9" s="20"/>
      <c r="BC9" s="20"/>
      <c r="BD9" s="20"/>
      <c r="BE9" s="20"/>
      <c r="BF9" s="48"/>
      <c r="BG9" s="20"/>
      <c r="BH9" s="20"/>
      <c r="BI9" s="20"/>
      <c r="BJ9" s="20"/>
      <c r="BK9" s="20"/>
      <c r="BL9" s="48"/>
      <c r="BM9" s="20"/>
      <c r="BN9" s="20"/>
      <c r="BO9" s="20"/>
      <c r="BP9" s="20"/>
      <c r="BQ9" s="20"/>
      <c r="BR9" s="20" t="s">
        <v>91</v>
      </c>
      <c r="BS9" s="20" t="s">
        <v>124</v>
      </c>
      <c r="BT9" s="55">
        <f t="shared" si="0"/>
        <v>39500</v>
      </c>
      <c r="BU9" s="20"/>
      <c r="BV9" s="20"/>
      <c r="BW9" s="20"/>
      <c r="BX9" s="20"/>
      <c r="BY9" s="20"/>
    </row>
    <row r="10" spans="1:77" s="56" customFormat="1" ht="15.75" thickBot="1" x14ac:dyDescent="0.3">
      <c r="A10" s="80">
        <v>9</v>
      </c>
      <c r="B10" s="49">
        <v>46006</v>
      </c>
      <c r="C10" s="20" t="s">
        <v>115</v>
      </c>
      <c r="D10" s="20" t="s">
        <v>90</v>
      </c>
      <c r="E10" s="20" t="s">
        <v>42</v>
      </c>
      <c r="F10" s="20" t="s">
        <v>144</v>
      </c>
      <c r="G10" s="20" t="s">
        <v>154</v>
      </c>
      <c r="H10" s="20" t="s">
        <v>164</v>
      </c>
      <c r="I10" s="20"/>
      <c r="J10" s="48" t="s">
        <v>134</v>
      </c>
      <c r="K10" s="48">
        <v>1000</v>
      </c>
      <c r="L10" s="48">
        <v>20</v>
      </c>
      <c r="M10" s="20" t="s">
        <v>17</v>
      </c>
      <c r="N10" s="20" t="s">
        <v>22</v>
      </c>
      <c r="O10" s="48">
        <v>3.5</v>
      </c>
      <c r="P10" s="48" t="s">
        <v>118</v>
      </c>
      <c r="Q10" s="48">
        <v>750</v>
      </c>
      <c r="R10" s="48">
        <v>12</v>
      </c>
      <c r="S10" s="20" t="s">
        <v>17</v>
      </c>
      <c r="T10" s="20" t="s">
        <v>22</v>
      </c>
      <c r="U10" s="48">
        <v>3.5</v>
      </c>
      <c r="V10" s="48" t="s">
        <v>135</v>
      </c>
      <c r="W10" s="48">
        <v>500</v>
      </c>
      <c r="X10" s="48">
        <v>13</v>
      </c>
      <c r="Y10" s="20"/>
      <c r="Z10" s="20"/>
      <c r="AA10" s="48">
        <v>3.5</v>
      </c>
      <c r="AB10" s="48" t="s">
        <v>131</v>
      </c>
      <c r="AC10" s="48">
        <v>1000</v>
      </c>
      <c r="AD10" s="48">
        <v>2</v>
      </c>
      <c r="AE10" s="20"/>
      <c r="AF10" s="20"/>
      <c r="AG10" s="48">
        <v>3.5</v>
      </c>
      <c r="AH10" s="48" t="s">
        <v>132</v>
      </c>
      <c r="AI10" s="48">
        <v>2000</v>
      </c>
      <c r="AJ10" s="48">
        <v>1</v>
      </c>
      <c r="AK10" s="20" t="s">
        <v>17</v>
      </c>
      <c r="AL10" s="20" t="s">
        <v>22</v>
      </c>
      <c r="AM10" s="48">
        <v>3.5</v>
      </c>
      <c r="AN10" s="48" t="s">
        <v>128</v>
      </c>
      <c r="AO10" s="20"/>
      <c r="AP10" s="20">
        <v>15</v>
      </c>
      <c r="AQ10" s="20" t="s">
        <v>19</v>
      </c>
      <c r="AR10" s="20"/>
      <c r="AS10" s="20"/>
      <c r="AT10" s="48"/>
      <c r="AU10" s="20"/>
      <c r="AV10" s="20"/>
      <c r="AW10" s="20"/>
      <c r="AX10" s="20"/>
      <c r="AY10" s="20"/>
      <c r="AZ10" s="48"/>
      <c r="BA10" s="20"/>
      <c r="BB10" s="20"/>
      <c r="BC10" s="20"/>
      <c r="BD10" s="20"/>
      <c r="BE10" s="20"/>
      <c r="BF10" s="48"/>
      <c r="BG10" s="20"/>
      <c r="BH10" s="20"/>
      <c r="BI10" s="20"/>
      <c r="BJ10" s="20"/>
      <c r="BK10" s="20"/>
      <c r="BL10" s="48"/>
      <c r="BM10" s="20"/>
      <c r="BN10" s="20"/>
      <c r="BO10" s="20"/>
      <c r="BP10" s="20"/>
      <c r="BQ10" s="20"/>
      <c r="BR10" s="20" t="s">
        <v>91</v>
      </c>
      <c r="BS10" s="20" t="s">
        <v>124</v>
      </c>
      <c r="BT10" s="55">
        <f t="shared" si="0"/>
        <v>39500</v>
      </c>
      <c r="BU10" s="20"/>
      <c r="BV10" s="20"/>
      <c r="BW10" s="20"/>
      <c r="BX10" s="20"/>
      <c r="BY10" s="20"/>
    </row>
    <row r="11" spans="1:77" s="56" customFormat="1" ht="15.75" thickBot="1" x14ac:dyDescent="0.3">
      <c r="A11" s="80">
        <v>10</v>
      </c>
      <c r="B11" s="49">
        <v>46006</v>
      </c>
      <c r="C11" s="20" t="s">
        <v>115</v>
      </c>
      <c r="D11" s="20" t="s">
        <v>90</v>
      </c>
      <c r="E11" s="20" t="s">
        <v>42</v>
      </c>
      <c r="F11" s="20" t="s">
        <v>145</v>
      </c>
      <c r="G11" s="20" t="s">
        <v>155</v>
      </c>
      <c r="H11" s="20" t="s">
        <v>165</v>
      </c>
      <c r="I11" s="20"/>
      <c r="J11" s="48" t="s">
        <v>134</v>
      </c>
      <c r="K11" s="48">
        <v>1000</v>
      </c>
      <c r="L11" s="48">
        <v>20</v>
      </c>
      <c r="M11" s="20" t="s">
        <v>17</v>
      </c>
      <c r="N11" s="20" t="s">
        <v>22</v>
      </c>
      <c r="O11" s="48">
        <v>3.5</v>
      </c>
      <c r="P11" s="48" t="s">
        <v>118</v>
      </c>
      <c r="Q11" s="48">
        <v>750</v>
      </c>
      <c r="R11" s="48">
        <v>12</v>
      </c>
      <c r="S11" s="20" t="s">
        <v>17</v>
      </c>
      <c r="T11" s="20" t="s">
        <v>22</v>
      </c>
      <c r="U11" s="48">
        <v>3.5</v>
      </c>
      <c r="V11" s="48" t="s">
        <v>135</v>
      </c>
      <c r="W11" s="48">
        <v>500</v>
      </c>
      <c r="X11" s="48">
        <v>13</v>
      </c>
      <c r="Y11" s="20"/>
      <c r="Z11" s="20"/>
      <c r="AA11" s="48">
        <v>3.5</v>
      </c>
      <c r="AB11" s="48" t="s">
        <v>131</v>
      </c>
      <c r="AC11" s="48">
        <v>1000</v>
      </c>
      <c r="AD11" s="48">
        <v>2</v>
      </c>
      <c r="AE11" s="20"/>
      <c r="AF11" s="20"/>
      <c r="AG11" s="48">
        <v>3.5</v>
      </c>
      <c r="AH11" s="48" t="s">
        <v>132</v>
      </c>
      <c r="AI11" s="48">
        <v>2000</v>
      </c>
      <c r="AJ11" s="48">
        <v>1</v>
      </c>
      <c r="AK11" s="20" t="s">
        <v>17</v>
      </c>
      <c r="AL11" s="20" t="s">
        <v>22</v>
      </c>
      <c r="AM11" s="48">
        <v>3.5</v>
      </c>
      <c r="AN11" s="48" t="s">
        <v>128</v>
      </c>
      <c r="AO11" s="20"/>
      <c r="AP11" s="20">
        <v>15</v>
      </c>
      <c r="AQ11" s="20" t="s">
        <v>19</v>
      </c>
      <c r="AR11" s="20"/>
      <c r="AS11" s="20"/>
      <c r="AT11" s="48"/>
      <c r="AU11" s="20"/>
      <c r="AV11" s="20"/>
      <c r="AW11" s="20"/>
      <c r="AX11" s="20"/>
      <c r="AY11" s="20"/>
      <c r="AZ11" s="48"/>
      <c r="BA11" s="20"/>
      <c r="BB11" s="20"/>
      <c r="BC11" s="20"/>
      <c r="BD11" s="20"/>
      <c r="BE11" s="20"/>
      <c r="BF11" s="48"/>
      <c r="BG11" s="20"/>
      <c r="BH11" s="20"/>
      <c r="BI11" s="20"/>
      <c r="BJ11" s="20"/>
      <c r="BK11" s="20"/>
      <c r="BL11" s="48"/>
      <c r="BM11" s="20"/>
      <c r="BN11" s="20"/>
      <c r="BO11" s="20"/>
      <c r="BP11" s="20"/>
      <c r="BQ11" s="20"/>
      <c r="BR11" s="20" t="s">
        <v>91</v>
      </c>
      <c r="BS11" s="20" t="s">
        <v>124</v>
      </c>
      <c r="BT11" s="55">
        <f t="shared" si="0"/>
        <v>39500</v>
      </c>
      <c r="BU11" s="20"/>
      <c r="BV11" s="20"/>
      <c r="BW11" s="20"/>
      <c r="BX11" s="20"/>
      <c r="BY11" s="20"/>
    </row>
    <row r="12" spans="1:77" s="53" customFormat="1" ht="15.75" thickBot="1" x14ac:dyDescent="0.3">
      <c r="A12" s="75"/>
      <c r="B12" s="47"/>
      <c r="C12" s="1"/>
      <c r="D12" s="1"/>
      <c r="E12" s="1"/>
      <c r="F12" s="1"/>
      <c r="G12" s="1"/>
      <c r="H12" s="1"/>
      <c r="I12" s="1"/>
      <c r="J12" s="3"/>
      <c r="K12" s="3"/>
      <c r="L12" s="1"/>
      <c r="M12" s="1"/>
      <c r="N12" s="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9"/>
      <c r="BI12" s="1"/>
      <c r="BJ12" s="55"/>
      <c r="BK12" s="1"/>
      <c r="BL12" s="1"/>
      <c r="BM12" s="1"/>
      <c r="BN12" s="1"/>
      <c r="BO12" s="1"/>
      <c r="BP12" s="1"/>
    </row>
    <row r="13" spans="1:77" s="40" customFormat="1" ht="15.75" thickBot="1" x14ac:dyDescent="0.3">
      <c r="A13" s="75"/>
      <c r="B13" s="65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48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50"/>
      <c r="BK13" s="20"/>
      <c r="BL13" s="20"/>
      <c r="BM13" s="20"/>
      <c r="BN13" s="20"/>
      <c r="BO13" s="39"/>
    </row>
    <row r="14" spans="1:77" hidden="1" x14ac:dyDescent="0.25">
      <c r="I14" s="4">
        <f t="shared" ref="I14:M23" si="1">I2</f>
        <v>0</v>
      </c>
      <c r="J14" s="4" t="str">
        <f t="shared" si="1"/>
        <v>AG</v>
      </c>
      <c r="K14" s="4">
        <f t="shared" si="1"/>
        <v>1000</v>
      </c>
      <c r="L14" s="4">
        <f t="shared" si="1"/>
        <v>20</v>
      </c>
      <c r="M14" s="4" t="str">
        <f t="shared" si="1"/>
        <v>Y</v>
      </c>
      <c r="P14" s="4" t="str">
        <f t="shared" ref="P14:P23" si="2">M2</f>
        <v>Y</v>
      </c>
      <c r="Q14" s="4" t="str">
        <f t="shared" ref="Q14:Q23" si="3">N2</f>
        <v>3L</v>
      </c>
      <c r="R14" s="4">
        <f>R2</f>
        <v>12</v>
      </c>
      <c r="S14" s="4" t="str">
        <f>S2</f>
        <v>Y</v>
      </c>
      <c r="T14" s="4">
        <f>W2</f>
        <v>500</v>
      </c>
      <c r="U14" s="4">
        <f>X2</f>
        <v>13</v>
      </c>
      <c r="V14" s="4" t="str">
        <f>AB2</f>
        <v>UT</v>
      </c>
      <c r="W14" s="4">
        <f>AC2</f>
        <v>1000</v>
      </c>
      <c r="X14" s="4">
        <f>AG2</f>
        <v>3.5</v>
      </c>
      <c r="Y14" s="4" t="str">
        <f>AH2</f>
        <v>HT</v>
      </c>
      <c r="Z14" s="4" t="str">
        <f>AL2</f>
        <v>3L</v>
      </c>
      <c r="AA14" s="4">
        <f>AM2</f>
        <v>3.5</v>
      </c>
      <c r="AB14" s="4" t="str">
        <f>AQ2</f>
        <v>W</v>
      </c>
      <c r="AC14" s="4">
        <f>AR2</f>
        <v>0</v>
      </c>
      <c r="AD14" s="4">
        <f>AV2</f>
        <v>0</v>
      </c>
      <c r="AE14" s="4">
        <f>AW2</f>
        <v>0</v>
      </c>
      <c r="AF14" s="4">
        <f>BA2</f>
        <v>0</v>
      </c>
      <c r="AG14" s="4">
        <f>BB2</f>
        <v>0</v>
      </c>
      <c r="AH14" s="4">
        <f>BF2</f>
        <v>0</v>
      </c>
      <c r="AI14" s="4">
        <f>BG2</f>
        <v>0</v>
      </c>
      <c r="AK14" s="28">
        <v>1</v>
      </c>
      <c r="AL14" s="29">
        <f>IF($P$14="3L",$Q$14,IF($R$14="3L",$S$14,IF($T$14="3L",$U$14,IF($V$14="3L",$W$14,IF($X$14="3L",$Y$14,IF($Z$14="3L",$AA$14,IF($AB$14="3L",$AC$14,IF($AD$14="3L",$AE$14,IF($AF$14="3L",$AG$14,IF($AH$14="3L",$AI$14,""))))))))))</f>
        <v>3.5</v>
      </c>
      <c r="AM14" s="29" t="str">
        <f>IF($P$14="4L",$Q$14,IF($R$14="4L",$S$14,IF($T$14="4L",$U$14,IF($V$14="4L",$W$14,IF($X$14="4L",$Y$14,IF($Z$14="4L",$AA$14,IF($AB$14="4L",$AC$14,IF($AD$14="4L",$AE$14,IF($AF$14="4L",$AG$14,IF($AH$14="4L",$AI$14,""))))))))))</f>
        <v/>
      </c>
      <c r="AN14" s="29" t="str">
        <f>IF($P$14="5L",$Q$14,IF($R$14="5L",$S$14,IF($T$14="5L",$U$14,IF($V$14="5L",$W$14,IF($X$14="5L",$Y$14,IF($Z$14="5L",$AA$14,IF($AB$14="5L",$AC$14,IF($AD$14="5L",$AE$14,IF($AF$14="5L",$AG$14,IF($AH$14="5L",$AI$14,""))))))))))</f>
        <v/>
      </c>
      <c r="AO14" s="29" t="str">
        <f>IF($P$14="FUM",$Q$14,IF($R$14="FUM",$S$14,IF($T$14="FUM",$U$14,IF($V$14="FUM",$W$14,IF($X$14="FUM",$Y$14,IF($Z$14="FUM",$AA$14,IF($AB$14="FUM",$AC$14,IF($AD$14="FUM",$AE$14,IF($AF$14="FUM",$AG$14,IF($AH$14="FUM",$AI$14,""))))))))))</f>
        <v/>
      </c>
      <c r="AP14" s="29" t="str">
        <f>IF($P$14="PURE",$Q$14,IF($R$14="PURE",$S$14,IF($T$14="PURE",$U$14,IF($V$14="PURE",$W$14,IF($X$14="PURE",$Y$14,IF($Z$14="PURE",$AA$14,IF($AB$14="PURE",$AC$14,IF($AD$14="PURE",$AE$14,IF($AF$14="PURE",$AG$14,IF($AH$14="PURE",$AI$14,""))))))))))</f>
        <v/>
      </c>
    </row>
    <row r="15" spans="1:77" hidden="1" x14ac:dyDescent="0.25">
      <c r="I15" s="4">
        <f t="shared" si="1"/>
        <v>0</v>
      </c>
      <c r="J15" s="4" t="str">
        <f t="shared" si="1"/>
        <v>AG</v>
      </c>
      <c r="K15" s="4">
        <f t="shared" si="1"/>
        <v>1000</v>
      </c>
      <c r="L15" s="4">
        <f t="shared" si="1"/>
        <v>20</v>
      </c>
      <c r="M15" s="4" t="str">
        <f t="shared" si="1"/>
        <v>Y</v>
      </c>
      <c r="P15" s="4" t="str">
        <f t="shared" si="2"/>
        <v>Y</v>
      </c>
      <c r="Q15" s="4" t="str">
        <f t="shared" si="3"/>
        <v>3L</v>
      </c>
      <c r="R15" s="4">
        <f t="shared" ref="R15:S23" si="4">R3</f>
        <v>12</v>
      </c>
      <c r="S15" s="4" t="str">
        <f t="shared" si="4"/>
        <v>Y</v>
      </c>
      <c r="T15" s="4">
        <f t="shared" ref="T15:U23" si="5">W3</f>
        <v>500</v>
      </c>
      <c r="U15" s="4">
        <f t="shared" si="5"/>
        <v>13</v>
      </c>
      <c r="V15" s="4" t="str">
        <f t="shared" ref="V15:W23" si="6">AB3</f>
        <v>UT</v>
      </c>
      <c r="W15" s="4">
        <f t="shared" si="6"/>
        <v>1000</v>
      </c>
      <c r="X15" s="4">
        <f t="shared" ref="X15:Y23" si="7">AG3</f>
        <v>3.5</v>
      </c>
      <c r="Y15" s="4" t="str">
        <f t="shared" si="7"/>
        <v>HT</v>
      </c>
      <c r="Z15" s="4" t="str">
        <f t="shared" ref="Z15:AA23" si="8">AL3</f>
        <v>3L</v>
      </c>
      <c r="AA15" s="4">
        <f t="shared" si="8"/>
        <v>3.5</v>
      </c>
      <c r="AB15" s="4" t="str">
        <f t="shared" ref="AB15:AC23" si="9">AQ3</f>
        <v>W</v>
      </c>
      <c r="AC15" s="4">
        <f t="shared" si="9"/>
        <v>0</v>
      </c>
      <c r="AD15" s="4">
        <f t="shared" ref="AD15:AE23" si="10">AV3</f>
        <v>0</v>
      </c>
      <c r="AE15" s="4">
        <f t="shared" si="10"/>
        <v>0</v>
      </c>
      <c r="AF15" s="4">
        <f t="shared" ref="AF15:AG23" si="11">BA3</f>
        <v>0</v>
      </c>
      <c r="AG15" s="4">
        <f t="shared" si="11"/>
        <v>0</v>
      </c>
      <c r="AH15" s="4">
        <f t="shared" ref="AH15:AI23" si="12">BF3</f>
        <v>0</v>
      </c>
      <c r="AI15" s="4">
        <f t="shared" si="12"/>
        <v>0</v>
      </c>
      <c r="AK15" s="28">
        <v>2</v>
      </c>
      <c r="AL15" s="29">
        <f>IF($P$15="3L",$Q$15,IF($R$15="3L",$S$15,IF($T$15="3L",$U$15,IF($V$15="3L",$W$15,IF($X$15="3L",$Y$15,IF($Z$15="3L",$AA$15,IF($AB$15="3L",$AC$15,IF($AD$15="3L",$AE$15,IF($AF$15="3L",$AG$15,IF($AH$15="3L",$AI$15,""))))))))))</f>
        <v>3.5</v>
      </c>
      <c r="AM15" s="29" t="str">
        <f>IF($P$15="4L",$Q$15,IF($R$15="4L",$S$15,IF($T$15="4L",$U$15,IF($V$15="4L",$W$15,IF($X$15="4L",$Y$15,IF($Z$15="4L",$AA$15,IF($AB$15="4L",$AC$15,IF($AD$15="4L",$AE$15,IF($AF$15="4L",$AG$15,IF($AH$15="4L",$AI$15,""))))))))))</f>
        <v/>
      </c>
      <c r="AN15" s="29" t="str">
        <f>IF($P$15="5L",$Q$15,IF($R$15="5L",$S$15,IF($T$15="5L",$U$15,IF($V$15="5L",$W$15,IF($X$15="5L",$Y$15,IF($Z$15="5L",$AA$15,IF($AB$15="5L",$AC$15,IF($AD$15="5L",$AE$15,IF($AF$15="5L",$AG$15,IF($AH$15="5L",$AI$15,""))))))))))</f>
        <v/>
      </c>
      <c r="AO15" s="29" t="str">
        <f>IF($P$15="FUM",$Q$15,IF($R$15="FUM",$S$15,IF($T$15="FUM",$U$15,IF($V$15="FUM",$W$15,IF($X$15="FUM",$Y$15,IF($Z$15="FUM",$AA$15,IF($AB$15="FUM",$AC$15,IF($AD$15="FUM",$AE$15,IF($AF$15="FUM",$AG$15,IF($AH$15="FUM",$AI$15,""))))))))))</f>
        <v/>
      </c>
      <c r="AP15" s="29" t="str">
        <f>IF($P$15="PURE",$Q$15,IF($R$15="PURE",$S$15,IF($T$15="PURE",$U$15,IF($V$15="PURE",$W$15,IF($X$15="PURE",$Y$15,IF($Z$15="PURE",$AA$15,IF($AB$15="PURE",$AC$15,IF($AD$15="PURE",$AE$15,IF($AF$15="PURE",$AG$15,IF($AH$15="PURE",$AI$15,""))))))))))</f>
        <v/>
      </c>
    </row>
    <row r="16" spans="1:77" hidden="1" x14ac:dyDescent="0.25">
      <c r="I16" s="4">
        <f t="shared" si="1"/>
        <v>0</v>
      </c>
      <c r="J16" s="4" t="str">
        <f t="shared" si="1"/>
        <v>AG</v>
      </c>
      <c r="K16" s="4">
        <f t="shared" si="1"/>
        <v>1000</v>
      </c>
      <c r="L16" s="4">
        <f t="shared" si="1"/>
        <v>20</v>
      </c>
      <c r="M16" s="4" t="str">
        <f t="shared" si="1"/>
        <v>Y</v>
      </c>
      <c r="P16" s="4" t="str">
        <f t="shared" si="2"/>
        <v>Y</v>
      </c>
      <c r="Q16" s="4" t="str">
        <f t="shared" si="3"/>
        <v>3L</v>
      </c>
      <c r="R16" s="4">
        <f t="shared" si="4"/>
        <v>12</v>
      </c>
      <c r="S16" s="4" t="str">
        <f t="shared" si="4"/>
        <v>Y</v>
      </c>
      <c r="T16" s="4">
        <f t="shared" si="5"/>
        <v>500</v>
      </c>
      <c r="U16" s="4">
        <f t="shared" si="5"/>
        <v>13</v>
      </c>
      <c r="V16" s="4" t="str">
        <f t="shared" si="6"/>
        <v>UT</v>
      </c>
      <c r="W16" s="4">
        <f t="shared" si="6"/>
        <v>1000</v>
      </c>
      <c r="X16" s="4">
        <f t="shared" si="7"/>
        <v>3.5</v>
      </c>
      <c r="Y16" s="4" t="str">
        <f t="shared" si="7"/>
        <v>HT</v>
      </c>
      <c r="Z16" s="4" t="str">
        <f t="shared" si="8"/>
        <v>3L</v>
      </c>
      <c r="AA16" s="4">
        <f t="shared" si="8"/>
        <v>3.5</v>
      </c>
      <c r="AB16" s="4" t="str">
        <f t="shared" si="9"/>
        <v>W</v>
      </c>
      <c r="AC16" s="4">
        <f t="shared" si="9"/>
        <v>0</v>
      </c>
      <c r="AD16" s="4">
        <f t="shared" si="10"/>
        <v>0</v>
      </c>
      <c r="AE16" s="4">
        <f t="shared" si="10"/>
        <v>0</v>
      </c>
      <c r="AF16" s="4">
        <f t="shared" si="11"/>
        <v>0</v>
      </c>
      <c r="AG16" s="4">
        <f t="shared" si="11"/>
        <v>0</v>
      </c>
      <c r="AH16" s="4">
        <f t="shared" si="12"/>
        <v>0</v>
      </c>
      <c r="AI16" s="4">
        <f t="shared" si="12"/>
        <v>0</v>
      </c>
      <c r="AK16" s="28">
        <v>3</v>
      </c>
      <c r="AL16" s="29">
        <f>IF($P$16="3L",$Q$16,IF($R$16="3L",$S$16,IF($T$16="3L",$U$16,IF($V$16="3L",$W$16,IF($X$16="3L",$Y$16,IF($Z$16="3L",$AA$16,IF($AB$16="3L",$AC$16,IF($AD$16="3L",$AE$16,IF($AF$16="3L",$AG$16,IF($AH$16="3L",$AI$16,""))))))))))</f>
        <v>3.5</v>
      </c>
      <c r="AM16" s="29" t="str">
        <f>IF($P$16="4L",$Q$16,IF($R$16="4L",$S$16,IF($T$16="4L",$U$16,IF($V$16="4L",$W$16,IF($X$16="4L",$Y$16,IF($Z$16="4L",$AA$16,IF($AB$16="4L",$AC$16,IF($AD$16="4L",$AE$16,IF($AF$16="4L",$AG$16,IF($AH$16="4L",$AI$16,""))))))))))</f>
        <v/>
      </c>
      <c r="AN16" s="29" t="str">
        <f>IF($P$16="5L",$Q$16,IF($R$16="5L",$S$16,IF($T$16="5L",$U$16,IF($V$16="5L",$W$16,IF($X$16="5L",$Y$16,IF($Z$16="5L",$AA$16,IF($AB$16="5L",$AC$16,IF($AD$16="5L",$AE$16,IF($AF$16="5L",$AG$16,IF($AH$16="5L",$AI$16,""))))))))))</f>
        <v/>
      </c>
      <c r="AO16" s="29" t="str">
        <f>IF($P$16="FUM",$Q$16,IF($R$16="FUM",$S$16,IF($T$16="FUM",$U$16,IF($V$16="FUM",$W$16,IF($X$16="FUM",$Y$16,IF($Z$16="FUM",$AA$16,IF($AB$16="FUM",$AC$16,IF($AD$16="FUM",$AE$16,IF($AF$16="FUM",$AG$16,IF($AH$16="FUM",$AI$16,""))))))))))</f>
        <v/>
      </c>
      <c r="AP16" s="29" t="str">
        <f>IF($P$16="PURE",$Q$16,IF($R$16="PURE",$S$16,IF($T$16="PURE",$U$16,IF($V$16="PURE",$W$16,IF($X$16="PURE",$Y$16,IF($Z$16="PURE",$AA$16,IF($AB$16="PURE",$AC$16,IF($AD$16="PURE",$AE$16,IF($AF$16="PURE",$AG$16,IF($AH$16="PURE",$AI$16,""))))))))))</f>
        <v/>
      </c>
    </row>
    <row r="17" spans="9:42" hidden="1" x14ac:dyDescent="0.25">
      <c r="I17" s="4">
        <f t="shared" si="1"/>
        <v>0</v>
      </c>
      <c r="J17" s="4" t="str">
        <f t="shared" si="1"/>
        <v>AG</v>
      </c>
      <c r="K17" s="4">
        <f t="shared" si="1"/>
        <v>1000</v>
      </c>
      <c r="L17" s="4">
        <f t="shared" si="1"/>
        <v>20</v>
      </c>
      <c r="M17" s="4" t="str">
        <f t="shared" si="1"/>
        <v>Y</v>
      </c>
      <c r="P17" s="4" t="str">
        <f t="shared" si="2"/>
        <v>Y</v>
      </c>
      <c r="Q17" s="4" t="str">
        <f t="shared" si="3"/>
        <v>3L</v>
      </c>
      <c r="R17" s="4">
        <f t="shared" si="4"/>
        <v>12</v>
      </c>
      <c r="S17" s="4" t="str">
        <f t="shared" si="4"/>
        <v>Y</v>
      </c>
      <c r="T17" s="4">
        <f t="shared" si="5"/>
        <v>500</v>
      </c>
      <c r="U17" s="4">
        <f t="shared" si="5"/>
        <v>13</v>
      </c>
      <c r="V17" s="4" t="str">
        <f t="shared" si="6"/>
        <v>UT</v>
      </c>
      <c r="W17" s="4">
        <f t="shared" si="6"/>
        <v>1000</v>
      </c>
      <c r="X17" s="4">
        <f t="shared" si="7"/>
        <v>3.5</v>
      </c>
      <c r="Y17" s="4" t="str">
        <f t="shared" si="7"/>
        <v>HT</v>
      </c>
      <c r="Z17" s="4" t="str">
        <f t="shared" si="8"/>
        <v>3L</v>
      </c>
      <c r="AA17" s="4">
        <f t="shared" si="8"/>
        <v>3.5</v>
      </c>
      <c r="AB17" s="4" t="str">
        <f t="shared" si="9"/>
        <v>W</v>
      </c>
      <c r="AC17" s="4">
        <f t="shared" si="9"/>
        <v>0</v>
      </c>
      <c r="AD17" s="4">
        <f t="shared" si="10"/>
        <v>0</v>
      </c>
      <c r="AE17" s="4">
        <f t="shared" si="10"/>
        <v>0</v>
      </c>
      <c r="AF17" s="4">
        <f t="shared" si="11"/>
        <v>0</v>
      </c>
      <c r="AG17" s="4">
        <f t="shared" si="11"/>
        <v>0</v>
      </c>
      <c r="AH17" s="4">
        <f t="shared" si="12"/>
        <v>0</v>
      </c>
      <c r="AI17" s="4">
        <f t="shared" si="12"/>
        <v>0</v>
      </c>
      <c r="AK17" s="28">
        <v>4</v>
      </c>
      <c r="AL17" s="29">
        <f>IF($P$17="3L",$Q$17,IF($R$17="3L",$S$17,IF($T$17="3L",$U$17,IF($V$17="3L",$W$17,IF($X$17="3L",$Y$17,IF($Z$17="3L",$AA$17,IF($AB$17="3L",$AC$17,IF($AD$17="3L",$AE$17,IF($AF$17="3L",$AG$17,IF($AH$17="3L",$AI$17,""))))))))))</f>
        <v>3.5</v>
      </c>
      <c r="AM17" s="29" t="str">
        <f>IF($P$17="4L",$Q$17,IF($R$17="4L",$S$17,IF($T$17="4L",$U$17,IF($V$17="4L",$W$17,IF($X$17="4L",$Y$17,IF($Z$17="4L",$AA$17,IF($AB$17="4L",$AC$17,IF($AD$17="4L",$AE$17,IF($AF$17="4L",$AG$17,IF($AH$17="4L",$AI$17,""))))))))))</f>
        <v/>
      </c>
      <c r="AN17" s="29" t="str">
        <f>IF($P$17="5L",$Q$17,IF($R$17="5L",$S$17,IF($T$17="5L",$U$17,IF($V$17="5L",$W$17,IF($X$17="5L",$Y$17,IF($Z$17="5L",$AA$17,IF($AB$17="5L",$AC$17,IF($AD$17="5L",$AE$17,IF($AF$17="5L",$AG$17,IF($AH$17="5L",$AI$17,""))))))))))</f>
        <v/>
      </c>
      <c r="AO17" s="29" t="str">
        <f>IF($P$17="FUM",$Q$17,IF($R$17="FUM",$S$17,IF($T$17="FUM",$U$17,IF($V$17="FUM",$W$17,IF($X$17="FUM",$Y$17,IF($Z$17="FUM",$AA$17,IF($AB$17="FUM",$AC$17,IF($AD$17="FUM",$AE$17,IF($AF$17="FUM",$AG$17,IF($AH$17="FUM",$AI$17,""))))))))))</f>
        <v/>
      </c>
      <c r="AP17" s="29" t="str">
        <f>IF($P$17="PURE",$Q$17,IF($R$17="PURE",$S$17,IF($T$17="PURE",$U$17,IF($V$17="PURE",$W$17,IF($X$17="PURE",$Y$17,IF($Z$17="PURE",$AA$17,IF($AB$17="PURE",$AC$17,IF($AD$17="PURE",$AE$17,IF($AF$17="PURE",$AG$17,IF($AH$17="PURE",$AI$17,""))))))))))</f>
        <v/>
      </c>
    </row>
    <row r="18" spans="9:42" hidden="1" x14ac:dyDescent="0.25">
      <c r="I18" s="4">
        <f t="shared" si="1"/>
        <v>0</v>
      </c>
      <c r="J18" s="4" t="str">
        <f t="shared" si="1"/>
        <v>AG</v>
      </c>
      <c r="K18" s="4">
        <f t="shared" si="1"/>
        <v>1000</v>
      </c>
      <c r="L18" s="4">
        <f t="shared" si="1"/>
        <v>20</v>
      </c>
      <c r="M18" s="4" t="str">
        <f t="shared" si="1"/>
        <v>Y</v>
      </c>
      <c r="P18" s="4" t="str">
        <f t="shared" si="2"/>
        <v>Y</v>
      </c>
      <c r="Q18" s="4" t="str">
        <f t="shared" si="3"/>
        <v>3L</v>
      </c>
      <c r="R18" s="4">
        <f t="shared" si="4"/>
        <v>12</v>
      </c>
      <c r="S18" s="4" t="str">
        <f t="shared" si="4"/>
        <v>Y</v>
      </c>
      <c r="T18" s="4">
        <f t="shared" si="5"/>
        <v>500</v>
      </c>
      <c r="U18" s="4">
        <f t="shared" si="5"/>
        <v>13</v>
      </c>
      <c r="V18" s="4" t="str">
        <f t="shared" si="6"/>
        <v>UT</v>
      </c>
      <c r="W18" s="4">
        <f t="shared" si="6"/>
        <v>1000</v>
      </c>
      <c r="X18" s="4">
        <f t="shared" si="7"/>
        <v>3.5</v>
      </c>
      <c r="Y18" s="4" t="str">
        <f t="shared" si="7"/>
        <v>HT</v>
      </c>
      <c r="Z18" s="4" t="str">
        <f t="shared" si="8"/>
        <v>3L</v>
      </c>
      <c r="AA18" s="4">
        <f t="shared" si="8"/>
        <v>3.5</v>
      </c>
      <c r="AB18" s="4" t="str">
        <f t="shared" si="9"/>
        <v>W</v>
      </c>
      <c r="AC18" s="4">
        <f t="shared" si="9"/>
        <v>0</v>
      </c>
      <c r="AD18" s="4">
        <f t="shared" si="10"/>
        <v>0</v>
      </c>
      <c r="AE18" s="4">
        <f t="shared" si="10"/>
        <v>0</v>
      </c>
      <c r="AF18" s="4">
        <f t="shared" si="11"/>
        <v>0</v>
      </c>
      <c r="AG18" s="4">
        <f t="shared" si="11"/>
        <v>0</v>
      </c>
      <c r="AH18" s="4">
        <f t="shared" si="12"/>
        <v>0</v>
      </c>
      <c r="AI18" s="4">
        <f t="shared" si="12"/>
        <v>0</v>
      </c>
      <c r="AK18" s="28">
        <v>5</v>
      </c>
      <c r="AL18" s="29">
        <f>IF($P$18="3L",$Q$18,IF($R$18="3L",$S$18,IF($T$18="3L",$U$18,IF($V$18="3L",$W$18,IF($X$18="3L",$Y$18,IF($Z$18="3L",$AA$18,IF($AB$18="3L",$AC$18,IF($AD$18="3L",$AE$18,IF($AF$18="3L",$AG$18,IF($AH$18="3L",$AI$18,""))))))))))</f>
        <v>3.5</v>
      </c>
      <c r="AM18" s="29" t="str">
        <f>IF($P$18="4L",$Q$18,IF($R$18="4L",$S$18,IF($T$18="4L",$U$18,IF($V$18="4L",$W$18,IF($X$18="4L",$Y$18,IF($Z$18="4L",$AA$18,IF($AB$18="4L",$AC$18,IF($AD$18="4L",$AE$18,IF($AF$18="4L",$AG$18,IF($AH$18="4L",$AI$18,""))))))))))</f>
        <v/>
      </c>
      <c r="AN18" s="29" t="str">
        <f>IF($P$18="5L",$Q$18,IF($R$18="5L",$S$18,IF($T$18="5L",$U$18,IF($V$18="5L",$W$18,IF($X$18="5L",$Y$18,IF($Z$18="5L",$AA$18,IF($AB$18="5L",$AC$18,IF($AD$18="5L",$AE$18,IF($AF$18="5L",$AG$18,IF($AH$18="5L",$AI$18,""))))))))))</f>
        <v/>
      </c>
      <c r="AO18" s="29" t="str">
        <f>IF($P$18="FUM",$Q$18,IF($R$18="FUM",$S$18,IF($T$18="FUM",$U$18,IF($V$18="FUM",$W$18,IF($X$18="FUM",$Y$18,IF($Z$18="FUM",$AA$18,IF($AB$18="FUM",$AC$18,IF($AD$18="FUM",$AE$18,IF($AF$18="FUM",$AG$18,IF($AH$18="FUM",$AI$18,""))))))))))</f>
        <v/>
      </c>
      <c r="AP18" s="29" t="str">
        <f>IF($P$18="PURE",$Q$18,IF($R$18="PURE",$S$18,IF($T$18="PURE",$U$18,IF($V$18="PURE",$W$18,IF($X$18="PURE",$Y$18,IF($Z$18="PURE",$AA$18,IF($AB$18="PURE",$AC$18,IF($AD$18="PURE",$AE$18,IF($AF$18="PURE",$AG$18,IF($AH$18="PURE",$AI$18,""))))))))))</f>
        <v/>
      </c>
    </row>
    <row r="19" spans="9:42" hidden="1" x14ac:dyDescent="0.25">
      <c r="I19" s="4">
        <f t="shared" si="1"/>
        <v>0</v>
      </c>
      <c r="J19" s="4" t="str">
        <f t="shared" si="1"/>
        <v>AG</v>
      </c>
      <c r="K19" s="4">
        <f t="shared" si="1"/>
        <v>1000</v>
      </c>
      <c r="L19" s="4">
        <f t="shared" si="1"/>
        <v>20</v>
      </c>
      <c r="M19" s="4" t="str">
        <f t="shared" si="1"/>
        <v>Y</v>
      </c>
      <c r="P19" s="4" t="str">
        <f t="shared" si="2"/>
        <v>Y</v>
      </c>
      <c r="Q19" s="4" t="str">
        <f t="shared" si="3"/>
        <v>3L</v>
      </c>
      <c r="R19" s="4">
        <f t="shared" si="4"/>
        <v>12</v>
      </c>
      <c r="S19" s="4" t="str">
        <f t="shared" si="4"/>
        <v>Y</v>
      </c>
      <c r="T19" s="4">
        <f t="shared" si="5"/>
        <v>500</v>
      </c>
      <c r="U19" s="4">
        <f t="shared" si="5"/>
        <v>13</v>
      </c>
      <c r="V19" s="4" t="str">
        <f t="shared" si="6"/>
        <v>UT</v>
      </c>
      <c r="W19" s="4">
        <f t="shared" si="6"/>
        <v>1000</v>
      </c>
      <c r="X19" s="4">
        <f t="shared" si="7"/>
        <v>3.5</v>
      </c>
      <c r="Y19" s="4" t="str">
        <f t="shared" si="7"/>
        <v>HT</v>
      </c>
      <c r="Z19" s="4" t="str">
        <f t="shared" si="8"/>
        <v>3L</v>
      </c>
      <c r="AA19" s="4">
        <f t="shared" si="8"/>
        <v>3.5</v>
      </c>
      <c r="AB19" s="4" t="str">
        <f t="shared" si="9"/>
        <v>W</v>
      </c>
      <c r="AC19" s="4">
        <f t="shared" si="9"/>
        <v>0</v>
      </c>
      <c r="AD19" s="4">
        <f t="shared" si="10"/>
        <v>0</v>
      </c>
      <c r="AE19" s="4">
        <f t="shared" si="10"/>
        <v>0</v>
      </c>
      <c r="AF19" s="4">
        <f t="shared" si="11"/>
        <v>0</v>
      </c>
      <c r="AG19" s="4">
        <f t="shared" si="11"/>
        <v>0</v>
      </c>
      <c r="AH19" s="4">
        <f t="shared" si="12"/>
        <v>0</v>
      </c>
      <c r="AI19" s="4">
        <f t="shared" si="12"/>
        <v>0</v>
      </c>
      <c r="AK19" s="28">
        <v>6</v>
      </c>
      <c r="AL19" s="29">
        <f>IF($P$19="3L",$Q$19,IF($R$19="3L",$S$19,IF($T$19="3L",$U$19,IF($V$19="3L",$W$19,IF($X$19="3L",$Y$19,IF($Z$19="3L",$AA$19,IF($AB$19="3L",$AC$19,IF($AD$19="3L",$AE$19,IF($AF$19="3L",$AG$19,IF($AH$19="3L",$AI$19,""))))))))))</f>
        <v>3.5</v>
      </c>
      <c r="AM19" s="29" t="str">
        <f>IF($P$19="4L",$Q$19,IF($R$19="4L",$S$19,IF($T$19="4L",$U$19,IF($V$19="4L",$W$19,IF($X$19="4L",$Y$19,IF($Z$19="4L",$AA$19,IF($AB$19="4L",$AC$19,IF($AD$19="4L",$AE$19,IF($AF$19="4L",$AG$19,IF($AH$19="4L",$AI$19,""))))))))))</f>
        <v/>
      </c>
      <c r="AN19" s="29" t="str">
        <f>IF($P$19="5L",$Q$19,IF($R$19="5L",$S$19,IF($T$19="5L",$U$19,IF($V$19="5L",$W$19,IF($X$19="5L",$Y$19,IF($Z$19="5L",$AA$19,IF($AB$19="5L",$AC$19,IF($AD$19="5L",$AE$19,IF($AF$19="5L",$AG$19,IF($AH$19="5L",$AI$19,""))))))))))</f>
        <v/>
      </c>
      <c r="AO19" s="29" t="str">
        <f>IF($P$19="FUM",$Q$19,IF($R$19="FUM",$S$19,IF($T$19="FUM",$U$19,IF($V$19="FUM",$W$19,IF($X$19="FUM",$Y$19,IF($Z$19="FUM",$AA$19,IF($AB$19="FUM",$AC$19,IF($AD$19="FUM",$AE$19,IF($AF$19="FUM",$AG$19,IF($AH$19="FUM",$AI$19,""))))))))))</f>
        <v/>
      </c>
      <c r="AP19" s="29" t="str">
        <f>IF($P$19="PURE",$Q$19,IF($R$19="PURE",$S$19,IF($T$19="PURE",$U$19,IF($V$19="PURE",$W$19,IF($X$19="PURE",$Y$19,IF($Z$19="PURE",$AA$19,IF($AB$19="PURE",$AC$19,IF($AD$19="PURE",$AE$19,IF($AF$19="PURE",$AG$19,IF($AH$19="PURE",$AI$19,""))))))))))</f>
        <v/>
      </c>
    </row>
    <row r="20" spans="9:42" hidden="1" x14ac:dyDescent="0.25">
      <c r="I20" s="4">
        <f t="shared" si="1"/>
        <v>0</v>
      </c>
      <c r="J20" s="4" t="str">
        <f t="shared" si="1"/>
        <v>AG</v>
      </c>
      <c r="K20" s="4">
        <f t="shared" si="1"/>
        <v>1000</v>
      </c>
      <c r="L20" s="4">
        <f t="shared" si="1"/>
        <v>20</v>
      </c>
      <c r="M20" s="4" t="str">
        <f t="shared" si="1"/>
        <v>Y</v>
      </c>
      <c r="P20" s="4" t="str">
        <f t="shared" si="2"/>
        <v>Y</v>
      </c>
      <c r="Q20" s="4" t="str">
        <f t="shared" si="3"/>
        <v>3L</v>
      </c>
      <c r="R20" s="4">
        <f t="shared" si="4"/>
        <v>12</v>
      </c>
      <c r="S20" s="4" t="str">
        <f t="shared" si="4"/>
        <v>Y</v>
      </c>
      <c r="T20" s="4">
        <f t="shared" si="5"/>
        <v>500</v>
      </c>
      <c r="U20" s="4">
        <f t="shared" si="5"/>
        <v>13</v>
      </c>
      <c r="V20" s="4" t="str">
        <f t="shared" si="6"/>
        <v>UT</v>
      </c>
      <c r="W20" s="4">
        <f t="shared" si="6"/>
        <v>1000</v>
      </c>
      <c r="X20" s="4">
        <f t="shared" si="7"/>
        <v>3.5</v>
      </c>
      <c r="Y20" s="4" t="str">
        <f t="shared" si="7"/>
        <v>HT</v>
      </c>
      <c r="Z20" s="4" t="str">
        <f t="shared" si="8"/>
        <v>3L</v>
      </c>
      <c r="AA20" s="4">
        <f t="shared" si="8"/>
        <v>3.5</v>
      </c>
      <c r="AB20" s="4" t="str">
        <f t="shared" si="9"/>
        <v>W</v>
      </c>
      <c r="AC20" s="4">
        <f t="shared" si="9"/>
        <v>0</v>
      </c>
      <c r="AD20" s="4">
        <f t="shared" si="10"/>
        <v>0</v>
      </c>
      <c r="AE20" s="4">
        <f t="shared" si="10"/>
        <v>0</v>
      </c>
      <c r="AF20" s="4">
        <f t="shared" si="11"/>
        <v>0</v>
      </c>
      <c r="AG20" s="4">
        <f t="shared" si="11"/>
        <v>0</v>
      </c>
      <c r="AH20" s="4">
        <f t="shared" si="12"/>
        <v>0</v>
      </c>
      <c r="AI20" s="4">
        <f t="shared" si="12"/>
        <v>0</v>
      </c>
      <c r="AK20" s="28">
        <v>7</v>
      </c>
      <c r="AL20" s="29">
        <f>IF($P$20="3L",$Q$20,IF($R$20="3L",$S$20,IF($T$20="3L",$U$20,IF($V$20="3L",$W$20,IF($X$20="3L",$Y$20,IF($Z$20="3L",$AA$20,IF($AB$20="3L",$AC$20,IF($AD$20="3L",$AE$20,IF($AF$20="3L",$AG$20,IF($AH$20="3L",$AI$20,""))))))))))</f>
        <v>3.5</v>
      </c>
      <c r="AM20" s="29" t="str">
        <f>IF($P$20="4L",$Q$20,IF($R$20="4L",$S$20,IF($T$20="4L",$U$20,IF($V$20="4L",$W$20,IF($X$20="4L",$Y$20,IF($Z$20="4L",$AA$20,IF($AB$20="4L",$AC$20,IF($AD$20="4L",$AE$20,IF($AF$20="4L",$AG$20,IF($AH$20="4L",$AI$20,""))))))))))</f>
        <v/>
      </c>
      <c r="AN20" s="29" t="str">
        <f>IF($P$20="5L",$Q$20,IF($R$20="5L",$S$20,IF($T$20="5L",$U$20,IF($V$20="5L",$W$20,IF($X$20="5L",$Y$20,IF($Z$20="5L",$AA$20,IF($AB$20="5L",$AC$20,IF($AD$20="5L",$AE$20,IF($AF$20="5L",$AG$20,IF($AH$20="5L",$AI$20,""))))))))))</f>
        <v/>
      </c>
      <c r="AO20" s="29" t="str">
        <f>IF($P$20="FUM",$Q$20,IF($R$20="FUM",$S$20,IF($T$20="FUM",$U$20,IF($V$20="FUM",$W$20,IF($X$20="FUM",$Y$20,IF($Z$20="FUM",$AA$20,IF($AB$20="FUM",$AC$20,IF($AD$20="FUM",$AE$20,IF($AF$20="FUM",$AG$20,IF($AH$20="FUM",$AI$20,""))))))))))</f>
        <v/>
      </c>
      <c r="AP20" s="29" t="str">
        <f>IF($P$20="PURE",$Q$20,IF($R$20="PURE",$S$20,IF($T$20="PURE",$U$20,IF($V$20="PURE",$W$20,IF($X$20="PURE",$Y$20,IF($Z$20="PURE",$AA$20,IF($AB$20="PURE",$AC$20,IF($AD$20="PURE",$AE$20,IF($AF$20="PURE",$AG$20,IF($AH$20="PURE",$AI$20,""))))))))))</f>
        <v/>
      </c>
    </row>
    <row r="21" spans="9:42" hidden="1" x14ac:dyDescent="0.25">
      <c r="I21" s="4">
        <f t="shared" si="1"/>
        <v>0</v>
      </c>
      <c r="J21" s="4" t="str">
        <f t="shared" si="1"/>
        <v>AG</v>
      </c>
      <c r="K21" s="4">
        <f t="shared" si="1"/>
        <v>1000</v>
      </c>
      <c r="L21" s="4">
        <f t="shared" si="1"/>
        <v>20</v>
      </c>
      <c r="M21" s="4" t="str">
        <f t="shared" si="1"/>
        <v>Y</v>
      </c>
      <c r="P21" s="4" t="str">
        <f t="shared" si="2"/>
        <v>Y</v>
      </c>
      <c r="Q21" s="4" t="str">
        <f t="shared" si="3"/>
        <v>3L</v>
      </c>
      <c r="R21" s="4">
        <f t="shared" si="4"/>
        <v>12</v>
      </c>
      <c r="S21" s="4" t="str">
        <f t="shared" si="4"/>
        <v>Y</v>
      </c>
      <c r="T21" s="4">
        <f t="shared" si="5"/>
        <v>500</v>
      </c>
      <c r="U21" s="4">
        <f t="shared" si="5"/>
        <v>13</v>
      </c>
      <c r="V21" s="4" t="str">
        <f t="shared" si="6"/>
        <v>UT</v>
      </c>
      <c r="W21" s="4">
        <f t="shared" si="6"/>
        <v>1000</v>
      </c>
      <c r="X21" s="4">
        <f t="shared" si="7"/>
        <v>3.5</v>
      </c>
      <c r="Y21" s="4" t="str">
        <f t="shared" si="7"/>
        <v>HT</v>
      </c>
      <c r="Z21" s="4" t="str">
        <f t="shared" si="8"/>
        <v>3L</v>
      </c>
      <c r="AA21" s="4">
        <f t="shared" si="8"/>
        <v>3.5</v>
      </c>
      <c r="AB21" s="4" t="str">
        <f t="shared" si="9"/>
        <v>W</v>
      </c>
      <c r="AC21" s="4">
        <f t="shared" si="9"/>
        <v>0</v>
      </c>
      <c r="AD21" s="4">
        <f t="shared" si="10"/>
        <v>0</v>
      </c>
      <c r="AE21" s="4">
        <f t="shared" si="10"/>
        <v>0</v>
      </c>
      <c r="AF21" s="4">
        <f t="shared" si="11"/>
        <v>0</v>
      </c>
      <c r="AG21" s="4">
        <f t="shared" si="11"/>
        <v>0</v>
      </c>
      <c r="AH21" s="4">
        <f t="shared" si="12"/>
        <v>0</v>
      </c>
      <c r="AI21" s="4">
        <f t="shared" si="12"/>
        <v>0</v>
      </c>
      <c r="AK21" s="28">
        <v>8</v>
      </c>
      <c r="AL21" s="29">
        <f>IF($P$21="3L",$Q$21,IF($R$21="3L",$S$21,IF($T$21="3L",$U$21,IF($V$21="3L",$W$21,IF($X$21="3L",$Y$21,IF($Z$21="3L",$AA$21,IF($AB$21="3L",$AC$21,IF($AD$21="3L",$AE$21,IF($AF$21="3L",$AG$21,IF($AH$21="3L",$AI$21,""))))))))))</f>
        <v>3.5</v>
      </c>
      <c r="AM21" s="29" t="str">
        <f>IF($P$21="4L",$Q$21,IF($R$21="4L",$S$21,IF($T$21="4L",$U$21,IF($V$21="4L",$W$21,IF($X$21="4L",$Y$21,IF($Z$21="4L",$AA$21,IF($AB$21="4L",$AC$21,IF($AD$21="4L",$AE$21,IF($AF$21="4L",$AG$21,IF($AH$21="4L",$AI$21,""))))))))))</f>
        <v/>
      </c>
      <c r="AN21" s="29" t="str">
        <f>IF($P$21="5L",$Q$21,IF($R$21="5L",$S$21,IF($T$21="5L",$U$21,IF($V$21="5L",$W$21,IF($X$21="5L",$Y$21,IF($Z$21="5L",$AA$21,IF($AB$21="5L",$AC$21,IF($AD$21="5L",$AE$21,IF($AF$21="5L",$AG$21,IF($AH$21="5L",$AI$21,""))))))))))</f>
        <v/>
      </c>
      <c r="AO21" s="29" t="str">
        <f>IF($P$21="FUM",$Q$21,IF($R$21="FUM",$S$21,IF($T$21="FUM",$U$21,IF($V$21="FUM",$W$21,IF($X$21="FUM",$Y$21,IF($Z$21="FUM",$AA$21,IF($AB$21="FUM",$AC$21,IF($AD$21="FUM",$AE$21,IF($AF$21="FUM",$AG$21,IF($AH$21="FUM",$AI$21,""))))))))))</f>
        <v/>
      </c>
      <c r="AP21" s="29" t="str">
        <f>IF($P$21="PURE",$Q$21,IF($R$21="PURE",$S$21,IF($T$21="PURE",$U$21,IF($V$21="PURE",$W$21,IF($X$21="PURE",$Y$21,IF($Z$21="PURE",$AA$21,IF($AB$21="PURE",$AC$21,IF($AD$21="PURE",$AE$21,IF($AF$21="PURE",$AG$21,IF($AH$21="PURE",$AI$21,""))))))))))</f>
        <v/>
      </c>
    </row>
    <row r="22" spans="9:42" hidden="1" x14ac:dyDescent="0.25">
      <c r="I22" s="4">
        <f t="shared" si="1"/>
        <v>0</v>
      </c>
      <c r="J22" s="4" t="str">
        <f t="shared" si="1"/>
        <v>AG</v>
      </c>
      <c r="K22" s="4">
        <f t="shared" si="1"/>
        <v>1000</v>
      </c>
      <c r="L22" s="4">
        <f t="shared" si="1"/>
        <v>20</v>
      </c>
      <c r="M22" s="4" t="str">
        <f t="shared" si="1"/>
        <v>Y</v>
      </c>
      <c r="P22" s="4" t="str">
        <f t="shared" si="2"/>
        <v>Y</v>
      </c>
      <c r="Q22" s="4" t="str">
        <f t="shared" si="3"/>
        <v>3L</v>
      </c>
      <c r="R22" s="4">
        <f t="shared" si="4"/>
        <v>12</v>
      </c>
      <c r="S22" s="4" t="str">
        <f t="shared" si="4"/>
        <v>Y</v>
      </c>
      <c r="T22" s="4">
        <f t="shared" si="5"/>
        <v>500</v>
      </c>
      <c r="U22" s="4">
        <f t="shared" si="5"/>
        <v>13</v>
      </c>
      <c r="V22" s="4" t="str">
        <f t="shared" si="6"/>
        <v>UT</v>
      </c>
      <c r="W22" s="4">
        <f t="shared" si="6"/>
        <v>1000</v>
      </c>
      <c r="X22" s="4">
        <f t="shared" si="7"/>
        <v>3.5</v>
      </c>
      <c r="Y22" s="4" t="str">
        <f t="shared" si="7"/>
        <v>HT</v>
      </c>
      <c r="Z22" s="4" t="str">
        <f t="shared" si="8"/>
        <v>3L</v>
      </c>
      <c r="AA22" s="4">
        <f t="shared" si="8"/>
        <v>3.5</v>
      </c>
      <c r="AB22" s="4" t="str">
        <f t="shared" si="9"/>
        <v>W</v>
      </c>
      <c r="AC22" s="4">
        <f t="shared" si="9"/>
        <v>0</v>
      </c>
      <c r="AD22" s="4">
        <f t="shared" si="10"/>
        <v>0</v>
      </c>
      <c r="AE22" s="4">
        <f t="shared" si="10"/>
        <v>0</v>
      </c>
      <c r="AF22" s="4">
        <f t="shared" si="11"/>
        <v>0</v>
      </c>
      <c r="AG22" s="4">
        <f t="shared" si="11"/>
        <v>0</v>
      </c>
      <c r="AH22" s="4">
        <f t="shared" si="12"/>
        <v>0</v>
      </c>
      <c r="AI22" s="4">
        <f t="shared" si="12"/>
        <v>0</v>
      </c>
      <c r="AK22" s="28">
        <v>9</v>
      </c>
      <c r="AL22" s="29">
        <f>IF($P$22="3L",$Q$22,IF($R$22="3L",$S$22,IF($T$22="3L",$U$22,IF($V$22="3L",$W$22,IF($X$22="3L",$Y$22,IF($Z$22="3L",$AA$22,IF($AB$22="3L",$AC$22,IF($AD$22="3L",$AE$22,IF($AF$22="3L",$AG$22,IF($AH$22="3L",$AI$22,""))))))))))</f>
        <v>3.5</v>
      </c>
      <c r="AM22" s="29" t="str">
        <f>IF($P$22="4L",$Q$22,IF($R$22="4L",$S$22,IF($T$22="4L",$U$22,IF($V$22="4L",$W$22,IF($X$22="4L",$Y$22,IF($Z$22="4L",$AA$22,IF($AB$22="4L",$AC$22,IF($AD$22="4L",$AE$22,IF($AF$22="4L",$AG$22,IF($AH$22="4L",$AI$22,""))))))))))</f>
        <v/>
      </c>
      <c r="AN22" s="29" t="str">
        <f>IF($P$22="5L",$Q$22,IF($R$22="5L",$S$22,IF($T$22="5L",$U$22,IF($V$22="5L",$W$22,IF($X$22="5L",$Y$22,IF($Z$22="5L",$AA$22,IF($AB$22="5L",$AC$22,IF($AD$22="5L",$AE$22,IF($AF$22="5L",$AG$22,IF($AH$22="5L",$AI$22,""))))))))))</f>
        <v/>
      </c>
      <c r="AO22" s="29" t="str">
        <f>IF($P$22="FUM",$Q$22,IF($R$22="FUM",$S$22,IF($T$22="FUM",$U$22,IF($V$22="FUM",$W$22,IF($X$22="FUM",$Y$22,IF($Z$22="FUM",$AA$22,IF($AB$22="FUM",$AC$22,IF($AD$22="FUM",$AE$22,IF($AF$22="FUM",$AG$22,IF($AH$22="FUM",$AI$22,""))))))))))</f>
        <v/>
      </c>
      <c r="AP22" s="29" t="str">
        <f>IF($P$22="PURE",$Q$22,IF($R$22="PURE",$S$22,IF($T$22="PURE",$U$22,IF($V$22="PURE",$W$22,IF($X$22="PURE",$Y$22,IF($Z$22="PURE",$AA$22,IF($AB$22="PURE",$AC$22,IF($AD$22="PURE",$AE$22,IF($AF$22="PURE",$AG$22,IF($AH$22="PURE",$AI$22,""))))))))))</f>
        <v/>
      </c>
    </row>
    <row r="23" spans="9:42" hidden="1" x14ac:dyDescent="0.25">
      <c r="I23" s="4">
        <f t="shared" si="1"/>
        <v>0</v>
      </c>
      <c r="J23" s="4" t="str">
        <f t="shared" si="1"/>
        <v>AG</v>
      </c>
      <c r="K23" s="4">
        <f t="shared" si="1"/>
        <v>1000</v>
      </c>
      <c r="L23" s="4">
        <f t="shared" si="1"/>
        <v>20</v>
      </c>
      <c r="M23" s="4" t="str">
        <f t="shared" si="1"/>
        <v>Y</v>
      </c>
      <c r="P23" s="4" t="str">
        <f t="shared" si="2"/>
        <v>Y</v>
      </c>
      <c r="Q23" s="4" t="str">
        <f t="shared" si="3"/>
        <v>3L</v>
      </c>
      <c r="R23" s="4">
        <f t="shared" si="4"/>
        <v>12</v>
      </c>
      <c r="S23" s="4" t="str">
        <f t="shared" si="4"/>
        <v>Y</v>
      </c>
      <c r="T23" s="4">
        <f t="shared" si="5"/>
        <v>500</v>
      </c>
      <c r="U23" s="4">
        <f t="shared" si="5"/>
        <v>13</v>
      </c>
      <c r="V23" s="4" t="str">
        <f t="shared" si="6"/>
        <v>UT</v>
      </c>
      <c r="W23" s="4">
        <f t="shared" si="6"/>
        <v>1000</v>
      </c>
      <c r="X23" s="4">
        <f t="shared" si="7"/>
        <v>3.5</v>
      </c>
      <c r="Y23" s="4" t="str">
        <f t="shared" si="7"/>
        <v>HT</v>
      </c>
      <c r="Z23" s="4" t="str">
        <f t="shared" si="8"/>
        <v>3L</v>
      </c>
      <c r="AA23" s="4">
        <f t="shared" si="8"/>
        <v>3.5</v>
      </c>
      <c r="AB23" s="4" t="str">
        <f t="shared" si="9"/>
        <v>W</v>
      </c>
      <c r="AC23" s="4">
        <f t="shared" si="9"/>
        <v>0</v>
      </c>
      <c r="AD23" s="4">
        <f t="shared" si="10"/>
        <v>0</v>
      </c>
      <c r="AE23" s="4">
        <f t="shared" si="10"/>
        <v>0</v>
      </c>
      <c r="AF23" s="4">
        <f t="shared" si="11"/>
        <v>0</v>
      </c>
      <c r="AG23" s="4">
        <f t="shared" si="11"/>
        <v>0</v>
      </c>
      <c r="AH23" s="4">
        <f t="shared" si="12"/>
        <v>0</v>
      </c>
      <c r="AI23" s="4">
        <f t="shared" si="12"/>
        <v>0</v>
      </c>
      <c r="AK23" s="28">
        <v>10</v>
      </c>
      <c r="AL23" s="29">
        <f>IF($P$23="3L",$Q$23,IF($R$23="3L",$S$23,IF($T$23="3L",$U$23,IF($V$23="3L",$W$23,IF($X$23="3L",$Y$23,IF($Z$23="3L",$AA$23,IF($AB$23="3L",$AC$23,IF($AD$23="3L",$AE$23,IF($AF$23="3L",$AG$23,IF($AH$23="3L",$AI$23,""))))))))))</f>
        <v>3.5</v>
      </c>
      <c r="AM23" s="29" t="str">
        <f>IF($P$23="4L",$Q$23,IF($R$23="4L",$S$23,IF($T$23="4L",$U$23,IF($V$23="4L",$W$23,IF($X$23="4L",$Y$23,IF($Z$23="4L",$AA$23,IF($AB$23="4L",$AC$23,IF($AD$23="4L",$AE$23,IF($AF$23="4L",$AG$23,IF($AH$23="4L",$AI$23,""))))))))))</f>
        <v/>
      </c>
      <c r="AN23" s="29" t="str">
        <f>IF($P$23="5L",$Q$23,IF($R$23="5L",$S$23,IF($T$23="5L",$U$23,IF($V$23="5L",$W$23,IF($X$23="5L",$Y$23,IF($Z$23="5L",$AA$23,IF($AB$23="5L",$AC$23,IF($AD$23="5L",$AE$23,IF($AF$23="5L",$AG$23,IF($AH$23="5L",$AI$23,""))))))))))</f>
        <v/>
      </c>
      <c r="AO23" s="29" t="str">
        <f>IF($P$23="FUM",$Q$23,IF($R$23="FUM",$S$23,IF($T$23="FUM",$U$23,IF($V$23="FUM",$W$23,IF($X$23="FUM",$Y$23,IF($Z$23="FUM",$AA$23,IF($AB$23="FUM",$AC$23,IF($AD$23="FUM",$AE$23,IF($AF$23="FUM",$AG$23,IF($AH$23="FUM",$AI$23,""))))))))))</f>
        <v/>
      </c>
      <c r="AP23" s="29" t="str">
        <f>IF($P$23="PURE",$Q$23,IF($R$23="PURE",$S$23,IF($T$23="PURE",$U$23,IF($V$23="PURE",$W$23,IF($X$23="PURE",$Y$23,IF($Z$23="PURE",$AA$23,IF($AB$23="PURE",$AC$23,IF($AD$23="PURE",$AE$23,IF($AF$23="PURE",$AG$23,IF($AH$23="PURE",$AI$23,""))))))))))</f>
        <v/>
      </c>
    </row>
    <row r="24" spans="9:42" hidden="1" x14ac:dyDescent="0.25">
      <c r="I24" s="4" t="str">
        <f t="shared" ref="I24:I33" si="13">N2</f>
        <v>3L</v>
      </c>
      <c r="J24" s="4">
        <f t="shared" ref="J24:J33" si="14">O2</f>
        <v>3.5</v>
      </c>
      <c r="K24" s="4" t="str">
        <f t="shared" ref="K24:K33" si="15">P2</f>
        <v>Pure</v>
      </c>
      <c r="L24" s="4">
        <f t="shared" ref="L24:L33" si="16">Q2</f>
        <v>750</v>
      </c>
      <c r="M24" s="4">
        <f t="shared" ref="M24:M33" si="17">R2</f>
        <v>12</v>
      </c>
    </row>
    <row r="25" spans="9:42" hidden="1" x14ac:dyDescent="0.25">
      <c r="I25" s="4" t="str">
        <f t="shared" si="13"/>
        <v>3L</v>
      </c>
      <c r="J25" s="4">
        <f t="shared" si="14"/>
        <v>3.5</v>
      </c>
      <c r="K25" s="4" t="str">
        <f t="shared" si="15"/>
        <v>Pure</v>
      </c>
      <c r="L25" s="4">
        <f t="shared" si="16"/>
        <v>750</v>
      </c>
      <c r="M25" s="4">
        <f t="shared" si="17"/>
        <v>12</v>
      </c>
    </row>
    <row r="26" spans="9:42" hidden="1" x14ac:dyDescent="0.25">
      <c r="I26" s="4" t="str">
        <f t="shared" si="13"/>
        <v>3L</v>
      </c>
      <c r="J26" s="4">
        <f t="shared" si="14"/>
        <v>3.5</v>
      </c>
      <c r="K26" s="4" t="str">
        <f t="shared" si="15"/>
        <v>Pure</v>
      </c>
      <c r="L26" s="4">
        <f t="shared" si="16"/>
        <v>750</v>
      </c>
      <c r="M26" s="4">
        <f t="shared" si="17"/>
        <v>12</v>
      </c>
    </row>
    <row r="27" spans="9:42" hidden="1" x14ac:dyDescent="0.25">
      <c r="I27" s="4" t="str">
        <f t="shared" si="13"/>
        <v>3L</v>
      </c>
      <c r="J27" s="4">
        <f t="shared" si="14"/>
        <v>3.5</v>
      </c>
      <c r="K27" s="4" t="str">
        <f t="shared" si="15"/>
        <v>Pure</v>
      </c>
      <c r="L27" s="4">
        <f t="shared" si="16"/>
        <v>750</v>
      </c>
      <c r="M27" s="4">
        <f t="shared" si="17"/>
        <v>12</v>
      </c>
    </row>
    <row r="28" spans="9:42" hidden="1" x14ac:dyDescent="0.25">
      <c r="I28" s="4" t="str">
        <f t="shared" si="13"/>
        <v>3L</v>
      </c>
      <c r="J28" s="4">
        <f t="shared" si="14"/>
        <v>3.5</v>
      </c>
      <c r="K28" s="4" t="str">
        <f t="shared" si="15"/>
        <v>Pure</v>
      </c>
      <c r="L28" s="4">
        <f t="shared" si="16"/>
        <v>750</v>
      </c>
      <c r="M28" s="4">
        <f t="shared" si="17"/>
        <v>12</v>
      </c>
    </row>
    <row r="29" spans="9:42" hidden="1" x14ac:dyDescent="0.25">
      <c r="I29" s="4" t="str">
        <f t="shared" si="13"/>
        <v>3L</v>
      </c>
      <c r="J29" s="4">
        <f t="shared" si="14"/>
        <v>3.5</v>
      </c>
      <c r="K29" s="4" t="str">
        <f t="shared" si="15"/>
        <v>Pure</v>
      </c>
      <c r="L29" s="4">
        <f t="shared" si="16"/>
        <v>750</v>
      </c>
      <c r="M29" s="4">
        <f t="shared" si="17"/>
        <v>12</v>
      </c>
    </row>
    <row r="30" spans="9:42" hidden="1" x14ac:dyDescent="0.25">
      <c r="I30" s="4" t="str">
        <f t="shared" si="13"/>
        <v>3L</v>
      </c>
      <c r="J30" s="4">
        <f t="shared" si="14"/>
        <v>3.5</v>
      </c>
      <c r="K30" s="4" t="str">
        <f t="shared" si="15"/>
        <v>Pure</v>
      </c>
      <c r="L30" s="4">
        <f t="shared" si="16"/>
        <v>750</v>
      </c>
      <c r="M30" s="4">
        <f t="shared" si="17"/>
        <v>12</v>
      </c>
    </row>
    <row r="31" spans="9:42" hidden="1" x14ac:dyDescent="0.25">
      <c r="I31" s="4" t="str">
        <f t="shared" si="13"/>
        <v>3L</v>
      </c>
      <c r="J31" s="4">
        <f t="shared" si="14"/>
        <v>3.5</v>
      </c>
      <c r="K31" s="4" t="str">
        <f t="shared" si="15"/>
        <v>Pure</v>
      </c>
      <c r="L31" s="4">
        <f t="shared" si="16"/>
        <v>750</v>
      </c>
      <c r="M31" s="4">
        <f t="shared" si="17"/>
        <v>12</v>
      </c>
    </row>
    <row r="32" spans="9:42" hidden="1" x14ac:dyDescent="0.25">
      <c r="I32" s="4" t="str">
        <f t="shared" si="13"/>
        <v>3L</v>
      </c>
      <c r="J32" s="4">
        <f t="shared" si="14"/>
        <v>3.5</v>
      </c>
      <c r="K32" s="4" t="str">
        <f t="shared" si="15"/>
        <v>Pure</v>
      </c>
      <c r="L32" s="4">
        <f t="shared" si="16"/>
        <v>750</v>
      </c>
      <c r="M32" s="4">
        <f t="shared" si="17"/>
        <v>12</v>
      </c>
    </row>
    <row r="33" spans="9:13" hidden="1" x14ac:dyDescent="0.25">
      <c r="I33" s="4" t="str">
        <f t="shared" si="13"/>
        <v>3L</v>
      </c>
      <c r="J33" s="4">
        <f t="shared" si="14"/>
        <v>3.5</v>
      </c>
      <c r="K33" s="4" t="str">
        <f t="shared" si="15"/>
        <v>Pure</v>
      </c>
      <c r="L33" s="4">
        <f t="shared" si="16"/>
        <v>750</v>
      </c>
      <c r="M33" s="4">
        <f t="shared" si="17"/>
        <v>12</v>
      </c>
    </row>
    <row r="34" spans="9:13" hidden="1" x14ac:dyDescent="0.25">
      <c r="I34" s="4" t="str">
        <f t="shared" ref="I34:I43" si="18">S2</f>
        <v>Y</v>
      </c>
      <c r="J34" s="4" t="str">
        <f t="shared" ref="J34:J43" si="19">T2</f>
        <v>3L</v>
      </c>
      <c r="K34" s="4">
        <f t="shared" ref="K34:K43" si="20">U2</f>
        <v>3.5</v>
      </c>
      <c r="L34" s="4" t="str">
        <f t="shared" ref="L34:L43" si="21">V2</f>
        <v>Loft</v>
      </c>
      <c r="M34" s="4">
        <f t="shared" ref="M34:M43" si="22">W2</f>
        <v>500</v>
      </c>
    </row>
    <row r="35" spans="9:13" hidden="1" x14ac:dyDescent="0.25">
      <c r="I35" s="4" t="str">
        <f t="shared" si="18"/>
        <v>Y</v>
      </c>
      <c r="J35" s="4" t="str">
        <f t="shared" si="19"/>
        <v>3L</v>
      </c>
      <c r="K35" s="4">
        <f t="shared" si="20"/>
        <v>3.5</v>
      </c>
      <c r="L35" s="4" t="str">
        <f t="shared" si="21"/>
        <v>Loft</v>
      </c>
      <c r="M35" s="4">
        <f t="shared" si="22"/>
        <v>500</v>
      </c>
    </row>
    <row r="36" spans="9:13" hidden="1" x14ac:dyDescent="0.25">
      <c r="I36" s="4" t="str">
        <f t="shared" si="18"/>
        <v>Y</v>
      </c>
      <c r="J36" s="4" t="str">
        <f t="shared" si="19"/>
        <v>3L</v>
      </c>
      <c r="K36" s="4">
        <f t="shared" si="20"/>
        <v>3.5</v>
      </c>
      <c r="L36" s="4" t="str">
        <f t="shared" si="21"/>
        <v>Loft</v>
      </c>
      <c r="M36" s="4">
        <f t="shared" si="22"/>
        <v>500</v>
      </c>
    </row>
    <row r="37" spans="9:13" hidden="1" x14ac:dyDescent="0.25">
      <c r="I37" s="4" t="str">
        <f t="shared" si="18"/>
        <v>Y</v>
      </c>
      <c r="J37" s="4" t="str">
        <f t="shared" si="19"/>
        <v>3L</v>
      </c>
      <c r="K37" s="4">
        <f t="shared" si="20"/>
        <v>3.5</v>
      </c>
      <c r="L37" s="4" t="str">
        <f t="shared" si="21"/>
        <v>Loft</v>
      </c>
      <c r="M37" s="4">
        <f t="shared" si="22"/>
        <v>500</v>
      </c>
    </row>
    <row r="38" spans="9:13" hidden="1" x14ac:dyDescent="0.25">
      <c r="I38" s="4" t="str">
        <f t="shared" si="18"/>
        <v>Y</v>
      </c>
      <c r="J38" s="4" t="str">
        <f t="shared" si="19"/>
        <v>3L</v>
      </c>
      <c r="K38" s="4">
        <f t="shared" si="20"/>
        <v>3.5</v>
      </c>
      <c r="L38" s="4" t="str">
        <f t="shared" si="21"/>
        <v>Loft</v>
      </c>
      <c r="M38" s="4">
        <f t="shared" si="22"/>
        <v>500</v>
      </c>
    </row>
    <row r="39" spans="9:13" hidden="1" x14ac:dyDescent="0.25">
      <c r="I39" s="4" t="str">
        <f t="shared" si="18"/>
        <v>Y</v>
      </c>
      <c r="J39" s="4" t="str">
        <f t="shared" si="19"/>
        <v>3L</v>
      </c>
      <c r="K39" s="4">
        <f t="shared" si="20"/>
        <v>3.5</v>
      </c>
      <c r="L39" s="4" t="str">
        <f t="shared" si="21"/>
        <v>Loft</v>
      </c>
      <c r="M39" s="4">
        <f t="shared" si="22"/>
        <v>500</v>
      </c>
    </row>
    <row r="40" spans="9:13" hidden="1" x14ac:dyDescent="0.25">
      <c r="I40" s="4" t="str">
        <f t="shared" si="18"/>
        <v>Y</v>
      </c>
      <c r="J40" s="4" t="str">
        <f t="shared" si="19"/>
        <v>3L</v>
      </c>
      <c r="K40" s="4">
        <f t="shared" si="20"/>
        <v>3.5</v>
      </c>
      <c r="L40" s="4" t="str">
        <f t="shared" si="21"/>
        <v>Loft</v>
      </c>
      <c r="M40" s="4">
        <f t="shared" si="22"/>
        <v>500</v>
      </c>
    </row>
    <row r="41" spans="9:13" hidden="1" x14ac:dyDescent="0.25">
      <c r="I41" s="4" t="str">
        <f t="shared" si="18"/>
        <v>Y</v>
      </c>
      <c r="J41" s="4" t="str">
        <f t="shared" si="19"/>
        <v>3L</v>
      </c>
      <c r="K41" s="4">
        <f t="shared" si="20"/>
        <v>3.5</v>
      </c>
      <c r="L41" s="4" t="str">
        <f t="shared" si="21"/>
        <v>Loft</v>
      </c>
      <c r="M41" s="4">
        <f t="shared" si="22"/>
        <v>500</v>
      </c>
    </row>
    <row r="42" spans="9:13" hidden="1" x14ac:dyDescent="0.25">
      <c r="I42" s="4" t="str">
        <f t="shared" si="18"/>
        <v>Y</v>
      </c>
      <c r="J42" s="4" t="str">
        <f t="shared" si="19"/>
        <v>3L</v>
      </c>
      <c r="K42" s="4">
        <f t="shared" si="20"/>
        <v>3.5</v>
      </c>
      <c r="L42" s="4" t="str">
        <f t="shared" si="21"/>
        <v>Loft</v>
      </c>
      <c r="M42" s="4">
        <f t="shared" si="22"/>
        <v>500</v>
      </c>
    </row>
    <row r="43" spans="9:13" hidden="1" x14ac:dyDescent="0.25">
      <c r="I43" s="4" t="str">
        <f t="shared" si="18"/>
        <v>Y</v>
      </c>
      <c r="J43" s="4" t="str">
        <f t="shared" si="19"/>
        <v>3L</v>
      </c>
      <c r="K43" s="4">
        <f t="shared" si="20"/>
        <v>3.5</v>
      </c>
      <c r="L43" s="4" t="str">
        <f t="shared" si="21"/>
        <v>Loft</v>
      </c>
      <c r="M43" s="4">
        <f t="shared" si="22"/>
        <v>500</v>
      </c>
    </row>
    <row r="44" spans="9:13" hidden="1" x14ac:dyDescent="0.25">
      <c r="I44" s="4">
        <f t="shared" ref="I44:I53" si="23">X2</f>
        <v>13</v>
      </c>
      <c r="J44" s="4">
        <f t="shared" ref="J44:J53" si="24">Y2</f>
        <v>0</v>
      </c>
      <c r="K44" s="4">
        <f t="shared" ref="K44:K53" si="25">Z2</f>
        <v>0</v>
      </c>
      <c r="L44" s="4">
        <f t="shared" ref="L44:L53" si="26">AA2</f>
        <v>3.5</v>
      </c>
      <c r="M44" s="4" t="str">
        <f t="shared" ref="M44:M53" si="27">AB2</f>
        <v>UT</v>
      </c>
    </row>
    <row r="45" spans="9:13" hidden="1" x14ac:dyDescent="0.25">
      <c r="I45" s="4">
        <f t="shared" si="23"/>
        <v>13</v>
      </c>
      <c r="J45" s="4">
        <f t="shared" si="24"/>
        <v>0</v>
      </c>
      <c r="K45" s="4">
        <f t="shared" si="25"/>
        <v>0</v>
      </c>
      <c r="L45" s="4">
        <f t="shared" si="26"/>
        <v>3.5</v>
      </c>
      <c r="M45" s="4" t="str">
        <f t="shared" si="27"/>
        <v>UT</v>
      </c>
    </row>
    <row r="46" spans="9:13" hidden="1" x14ac:dyDescent="0.25">
      <c r="I46" s="4">
        <f t="shared" si="23"/>
        <v>13</v>
      </c>
      <c r="J46" s="4">
        <f t="shared" si="24"/>
        <v>0</v>
      </c>
      <c r="K46" s="4">
        <f t="shared" si="25"/>
        <v>0</v>
      </c>
      <c r="L46" s="4">
        <f t="shared" si="26"/>
        <v>3.5</v>
      </c>
      <c r="M46" s="4" t="str">
        <f t="shared" si="27"/>
        <v>UT</v>
      </c>
    </row>
    <row r="47" spans="9:13" hidden="1" x14ac:dyDescent="0.25">
      <c r="I47" s="4">
        <f t="shared" si="23"/>
        <v>13</v>
      </c>
      <c r="J47" s="4">
        <f t="shared" si="24"/>
        <v>0</v>
      </c>
      <c r="K47" s="4">
        <f t="shared" si="25"/>
        <v>0</v>
      </c>
      <c r="L47" s="4">
        <f t="shared" si="26"/>
        <v>3.5</v>
      </c>
      <c r="M47" s="4" t="str">
        <f t="shared" si="27"/>
        <v>UT</v>
      </c>
    </row>
    <row r="48" spans="9:13" hidden="1" x14ac:dyDescent="0.25">
      <c r="I48" s="4">
        <f t="shared" si="23"/>
        <v>13</v>
      </c>
      <c r="J48" s="4">
        <f t="shared" si="24"/>
        <v>0</v>
      </c>
      <c r="K48" s="4">
        <f t="shared" si="25"/>
        <v>0</v>
      </c>
      <c r="L48" s="4">
        <f t="shared" si="26"/>
        <v>3.5</v>
      </c>
      <c r="M48" s="4" t="str">
        <f t="shared" si="27"/>
        <v>UT</v>
      </c>
    </row>
    <row r="49" spans="9:13" hidden="1" x14ac:dyDescent="0.25">
      <c r="I49" s="4">
        <f t="shared" si="23"/>
        <v>13</v>
      </c>
      <c r="J49" s="4">
        <f t="shared" si="24"/>
        <v>0</v>
      </c>
      <c r="K49" s="4">
        <f t="shared" si="25"/>
        <v>0</v>
      </c>
      <c r="L49" s="4">
        <f t="shared" si="26"/>
        <v>3.5</v>
      </c>
      <c r="M49" s="4" t="str">
        <f t="shared" si="27"/>
        <v>UT</v>
      </c>
    </row>
    <row r="50" spans="9:13" hidden="1" x14ac:dyDescent="0.25">
      <c r="I50" s="4">
        <f t="shared" si="23"/>
        <v>13</v>
      </c>
      <c r="J50" s="4">
        <f t="shared" si="24"/>
        <v>0</v>
      </c>
      <c r="K50" s="4">
        <f t="shared" si="25"/>
        <v>0</v>
      </c>
      <c r="L50" s="4">
        <f t="shared" si="26"/>
        <v>3.5</v>
      </c>
      <c r="M50" s="4" t="str">
        <f t="shared" si="27"/>
        <v>UT</v>
      </c>
    </row>
    <row r="51" spans="9:13" hidden="1" x14ac:dyDescent="0.25">
      <c r="I51" s="4">
        <f t="shared" si="23"/>
        <v>13</v>
      </c>
      <c r="J51" s="4">
        <f t="shared" si="24"/>
        <v>0</v>
      </c>
      <c r="K51" s="4">
        <f t="shared" si="25"/>
        <v>0</v>
      </c>
      <c r="L51" s="4">
        <f t="shared" si="26"/>
        <v>3.5</v>
      </c>
      <c r="M51" s="4" t="str">
        <f t="shared" si="27"/>
        <v>UT</v>
      </c>
    </row>
    <row r="52" spans="9:13" hidden="1" x14ac:dyDescent="0.25">
      <c r="I52" s="4">
        <f t="shared" si="23"/>
        <v>13</v>
      </c>
      <c r="J52" s="4">
        <f t="shared" si="24"/>
        <v>0</v>
      </c>
      <c r="K52" s="4">
        <f t="shared" si="25"/>
        <v>0</v>
      </c>
      <c r="L52" s="4">
        <f t="shared" si="26"/>
        <v>3.5</v>
      </c>
      <c r="M52" s="4" t="str">
        <f t="shared" si="27"/>
        <v>UT</v>
      </c>
    </row>
    <row r="53" spans="9:13" hidden="1" x14ac:dyDescent="0.25">
      <c r="I53" s="4">
        <f t="shared" si="23"/>
        <v>13</v>
      </c>
      <c r="J53" s="4">
        <f t="shared" si="24"/>
        <v>0</v>
      </c>
      <c r="K53" s="4">
        <f t="shared" si="25"/>
        <v>0</v>
      </c>
      <c r="L53" s="4">
        <f t="shared" si="26"/>
        <v>3.5</v>
      </c>
      <c r="M53" s="4" t="str">
        <f t="shared" si="27"/>
        <v>UT</v>
      </c>
    </row>
    <row r="54" spans="9:13" hidden="1" x14ac:dyDescent="0.25">
      <c r="I54" s="4">
        <f t="shared" ref="I54:I63" si="28">AC2</f>
        <v>1000</v>
      </c>
      <c r="J54" s="4">
        <f t="shared" ref="J54:J63" si="29">AD2</f>
        <v>2</v>
      </c>
      <c r="K54" s="4">
        <f t="shared" ref="K54:K63" si="30">AE2</f>
        <v>0</v>
      </c>
      <c r="L54" s="4">
        <f t="shared" ref="L54:L63" si="31">AF2</f>
        <v>0</v>
      </c>
      <c r="M54" s="4">
        <f t="shared" ref="M54:M63" si="32">AG2</f>
        <v>3.5</v>
      </c>
    </row>
    <row r="55" spans="9:13" hidden="1" x14ac:dyDescent="0.25">
      <c r="I55" s="4">
        <f t="shared" si="28"/>
        <v>1000</v>
      </c>
      <c r="J55" s="4">
        <f t="shared" si="29"/>
        <v>2</v>
      </c>
      <c r="K55" s="4">
        <f t="shared" si="30"/>
        <v>0</v>
      </c>
      <c r="L55" s="4">
        <f t="shared" si="31"/>
        <v>0</v>
      </c>
      <c r="M55" s="4">
        <f t="shared" si="32"/>
        <v>3.5</v>
      </c>
    </row>
    <row r="56" spans="9:13" hidden="1" x14ac:dyDescent="0.25">
      <c r="I56" s="4">
        <f t="shared" si="28"/>
        <v>1000</v>
      </c>
      <c r="J56" s="4">
        <f t="shared" si="29"/>
        <v>2</v>
      </c>
      <c r="K56" s="4">
        <f t="shared" si="30"/>
        <v>0</v>
      </c>
      <c r="L56" s="4">
        <f t="shared" si="31"/>
        <v>0</v>
      </c>
      <c r="M56" s="4">
        <f t="shared" si="32"/>
        <v>3.5</v>
      </c>
    </row>
    <row r="57" spans="9:13" hidden="1" x14ac:dyDescent="0.25">
      <c r="I57" s="4">
        <f t="shared" si="28"/>
        <v>1000</v>
      </c>
      <c r="J57" s="4">
        <f t="shared" si="29"/>
        <v>2</v>
      </c>
      <c r="K57" s="4">
        <f t="shared" si="30"/>
        <v>0</v>
      </c>
      <c r="L57" s="4">
        <f t="shared" si="31"/>
        <v>0</v>
      </c>
      <c r="M57" s="4">
        <f t="shared" si="32"/>
        <v>3.5</v>
      </c>
    </row>
    <row r="58" spans="9:13" hidden="1" x14ac:dyDescent="0.25">
      <c r="I58" s="4">
        <f t="shared" si="28"/>
        <v>1000</v>
      </c>
      <c r="J58" s="4">
        <f t="shared" si="29"/>
        <v>2</v>
      </c>
      <c r="K58" s="4">
        <f t="shared" si="30"/>
        <v>0</v>
      </c>
      <c r="L58" s="4">
        <f t="shared" si="31"/>
        <v>0</v>
      </c>
      <c r="M58" s="4">
        <f t="shared" si="32"/>
        <v>3.5</v>
      </c>
    </row>
    <row r="59" spans="9:13" hidden="1" x14ac:dyDescent="0.25">
      <c r="I59" s="4">
        <f t="shared" si="28"/>
        <v>1000</v>
      </c>
      <c r="J59" s="4">
        <f t="shared" si="29"/>
        <v>2</v>
      </c>
      <c r="K59" s="4">
        <f t="shared" si="30"/>
        <v>0</v>
      </c>
      <c r="L59" s="4">
        <f t="shared" si="31"/>
        <v>0</v>
      </c>
      <c r="M59" s="4">
        <f t="shared" si="32"/>
        <v>3.5</v>
      </c>
    </row>
    <row r="60" spans="9:13" hidden="1" x14ac:dyDescent="0.25">
      <c r="I60" s="4">
        <f t="shared" si="28"/>
        <v>1000</v>
      </c>
      <c r="J60" s="4">
        <f t="shared" si="29"/>
        <v>2</v>
      </c>
      <c r="K60" s="4">
        <f t="shared" si="30"/>
        <v>0</v>
      </c>
      <c r="L60" s="4">
        <f t="shared" si="31"/>
        <v>0</v>
      </c>
      <c r="M60" s="4">
        <f t="shared" si="32"/>
        <v>3.5</v>
      </c>
    </row>
    <row r="61" spans="9:13" hidden="1" x14ac:dyDescent="0.25">
      <c r="I61" s="4">
        <f t="shared" si="28"/>
        <v>1000</v>
      </c>
      <c r="J61" s="4">
        <f t="shared" si="29"/>
        <v>2</v>
      </c>
      <c r="K61" s="4">
        <f t="shared" si="30"/>
        <v>0</v>
      </c>
      <c r="L61" s="4">
        <f t="shared" si="31"/>
        <v>0</v>
      </c>
      <c r="M61" s="4">
        <f t="shared" si="32"/>
        <v>3.5</v>
      </c>
    </row>
    <row r="62" spans="9:13" hidden="1" x14ac:dyDescent="0.25">
      <c r="I62" s="4">
        <f t="shared" si="28"/>
        <v>1000</v>
      </c>
      <c r="J62" s="4">
        <f t="shared" si="29"/>
        <v>2</v>
      </c>
      <c r="K62" s="4">
        <f t="shared" si="30"/>
        <v>0</v>
      </c>
      <c r="L62" s="4">
        <f t="shared" si="31"/>
        <v>0</v>
      </c>
      <c r="M62" s="4">
        <f t="shared" si="32"/>
        <v>3.5</v>
      </c>
    </row>
    <row r="63" spans="9:13" hidden="1" x14ac:dyDescent="0.25">
      <c r="I63" s="4">
        <f t="shared" si="28"/>
        <v>1000</v>
      </c>
      <c r="J63" s="4">
        <f t="shared" si="29"/>
        <v>2</v>
      </c>
      <c r="K63" s="4">
        <f t="shared" si="30"/>
        <v>0</v>
      </c>
      <c r="L63" s="4">
        <f t="shared" si="31"/>
        <v>0</v>
      </c>
      <c r="M63" s="4">
        <f t="shared" si="32"/>
        <v>3.5</v>
      </c>
    </row>
    <row r="64" spans="9:13" hidden="1" x14ac:dyDescent="0.25">
      <c r="I64" s="4" t="str">
        <f t="shared" ref="I64:I73" si="33">AH2</f>
        <v>HT</v>
      </c>
      <c r="J64" s="4">
        <f t="shared" ref="J64:J73" si="34">AI2</f>
        <v>2000</v>
      </c>
      <c r="K64" s="4">
        <f t="shared" ref="K64:K73" si="35">AJ2</f>
        <v>1</v>
      </c>
      <c r="L64" s="4" t="str">
        <f t="shared" ref="L64:L73" si="36">AK2</f>
        <v>Y</v>
      </c>
      <c r="M64" s="4" t="str">
        <f t="shared" ref="M64:M73" si="37">AL2</f>
        <v>3L</v>
      </c>
    </row>
    <row r="65" spans="9:13" hidden="1" x14ac:dyDescent="0.25">
      <c r="I65" s="4" t="str">
        <f t="shared" si="33"/>
        <v>HT</v>
      </c>
      <c r="J65" s="4">
        <f t="shared" si="34"/>
        <v>2000</v>
      </c>
      <c r="K65" s="4">
        <f t="shared" si="35"/>
        <v>1</v>
      </c>
      <c r="L65" s="4" t="str">
        <f t="shared" si="36"/>
        <v>Y</v>
      </c>
      <c r="M65" s="4" t="str">
        <f t="shared" si="37"/>
        <v>3L</v>
      </c>
    </row>
    <row r="66" spans="9:13" hidden="1" x14ac:dyDescent="0.25">
      <c r="I66" s="4" t="str">
        <f t="shared" si="33"/>
        <v>HT</v>
      </c>
      <c r="J66" s="4">
        <f t="shared" si="34"/>
        <v>2000</v>
      </c>
      <c r="K66" s="4">
        <f t="shared" si="35"/>
        <v>1</v>
      </c>
      <c r="L66" s="4" t="str">
        <f t="shared" si="36"/>
        <v>Y</v>
      </c>
      <c r="M66" s="4" t="str">
        <f t="shared" si="37"/>
        <v>3L</v>
      </c>
    </row>
    <row r="67" spans="9:13" hidden="1" x14ac:dyDescent="0.25">
      <c r="I67" s="4" t="str">
        <f t="shared" si="33"/>
        <v>HT</v>
      </c>
      <c r="J67" s="4">
        <f t="shared" si="34"/>
        <v>2000</v>
      </c>
      <c r="K67" s="4">
        <f t="shared" si="35"/>
        <v>1</v>
      </c>
      <c r="L67" s="4" t="str">
        <f t="shared" si="36"/>
        <v>Y</v>
      </c>
      <c r="M67" s="4" t="str">
        <f t="shared" si="37"/>
        <v>3L</v>
      </c>
    </row>
    <row r="68" spans="9:13" hidden="1" x14ac:dyDescent="0.25">
      <c r="I68" s="4" t="str">
        <f t="shared" si="33"/>
        <v>HT</v>
      </c>
      <c r="J68" s="4">
        <f t="shared" si="34"/>
        <v>2000</v>
      </c>
      <c r="K68" s="4">
        <f t="shared" si="35"/>
        <v>1</v>
      </c>
      <c r="L68" s="4" t="str">
        <f t="shared" si="36"/>
        <v>Y</v>
      </c>
      <c r="M68" s="4" t="str">
        <f t="shared" si="37"/>
        <v>3L</v>
      </c>
    </row>
    <row r="69" spans="9:13" hidden="1" x14ac:dyDescent="0.25">
      <c r="I69" s="4" t="str">
        <f t="shared" si="33"/>
        <v>HT</v>
      </c>
      <c r="J69" s="4">
        <f t="shared" si="34"/>
        <v>2000</v>
      </c>
      <c r="K69" s="4">
        <f t="shared" si="35"/>
        <v>1</v>
      </c>
      <c r="L69" s="4" t="str">
        <f t="shared" si="36"/>
        <v>Y</v>
      </c>
      <c r="M69" s="4" t="str">
        <f t="shared" si="37"/>
        <v>3L</v>
      </c>
    </row>
    <row r="70" spans="9:13" hidden="1" x14ac:dyDescent="0.25">
      <c r="I70" s="4" t="str">
        <f t="shared" si="33"/>
        <v>HT</v>
      </c>
      <c r="J70" s="4">
        <f t="shared" si="34"/>
        <v>2000</v>
      </c>
      <c r="K70" s="4">
        <f t="shared" si="35"/>
        <v>1</v>
      </c>
      <c r="L70" s="4" t="str">
        <f t="shared" si="36"/>
        <v>Y</v>
      </c>
      <c r="M70" s="4" t="str">
        <f t="shared" si="37"/>
        <v>3L</v>
      </c>
    </row>
    <row r="71" spans="9:13" hidden="1" x14ac:dyDescent="0.25">
      <c r="I71" s="4" t="str">
        <f t="shared" si="33"/>
        <v>HT</v>
      </c>
      <c r="J71" s="4">
        <f t="shared" si="34"/>
        <v>2000</v>
      </c>
      <c r="K71" s="4">
        <f t="shared" si="35"/>
        <v>1</v>
      </c>
      <c r="L71" s="4" t="str">
        <f t="shared" si="36"/>
        <v>Y</v>
      </c>
      <c r="M71" s="4" t="str">
        <f t="shared" si="37"/>
        <v>3L</v>
      </c>
    </row>
    <row r="72" spans="9:13" hidden="1" x14ac:dyDescent="0.25">
      <c r="I72" s="4" t="str">
        <f t="shared" si="33"/>
        <v>HT</v>
      </c>
      <c r="J72" s="4">
        <f t="shared" si="34"/>
        <v>2000</v>
      </c>
      <c r="K72" s="4">
        <f t="shared" si="35"/>
        <v>1</v>
      </c>
      <c r="L72" s="4" t="str">
        <f t="shared" si="36"/>
        <v>Y</v>
      </c>
      <c r="M72" s="4" t="str">
        <f t="shared" si="37"/>
        <v>3L</v>
      </c>
    </row>
    <row r="73" spans="9:13" hidden="1" x14ac:dyDescent="0.25">
      <c r="I73" s="4" t="str">
        <f t="shared" si="33"/>
        <v>HT</v>
      </c>
      <c r="J73" s="4">
        <f t="shared" si="34"/>
        <v>2000</v>
      </c>
      <c r="K73" s="4">
        <f t="shared" si="35"/>
        <v>1</v>
      </c>
      <c r="L73" s="4" t="str">
        <f t="shared" si="36"/>
        <v>Y</v>
      </c>
      <c r="M73" s="4" t="str">
        <f t="shared" si="37"/>
        <v>3L</v>
      </c>
    </row>
    <row r="74" spans="9:13" hidden="1" x14ac:dyDescent="0.25">
      <c r="I74" s="4">
        <f t="shared" ref="I74:I83" si="38">AM2</f>
        <v>3.5</v>
      </c>
      <c r="J74" s="4" t="str">
        <f t="shared" ref="J74:J83" si="39">AN2</f>
        <v>CAP</v>
      </c>
      <c r="K74" s="4">
        <f t="shared" ref="K74:K83" si="40">AO2</f>
        <v>0</v>
      </c>
      <c r="L74" s="4">
        <f t="shared" ref="L74:L83" si="41">AP2</f>
        <v>15</v>
      </c>
      <c r="M74" s="4" t="str">
        <f t="shared" ref="M74:M83" si="42">AQ2</f>
        <v>W</v>
      </c>
    </row>
    <row r="75" spans="9:13" hidden="1" x14ac:dyDescent="0.25">
      <c r="I75" s="4">
        <f t="shared" si="38"/>
        <v>3.5</v>
      </c>
      <c r="J75" s="4" t="str">
        <f t="shared" si="39"/>
        <v>CAP</v>
      </c>
      <c r="K75" s="4">
        <f t="shared" si="40"/>
        <v>0</v>
      </c>
      <c r="L75" s="4">
        <f t="shared" si="41"/>
        <v>15</v>
      </c>
      <c r="M75" s="4" t="str">
        <f t="shared" si="42"/>
        <v>W</v>
      </c>
    </row>
    <row r="76" spans="9:13" hidden="1" x14ac:dyDescent="0.25">
      <c r="I76" s="4">
        <f t="shared" si="38"/>
        <v>3.5</v>
      </c>
      <c r="J76" s="4" t="str">
        <f t="shared" si="39"/>
        <v>CAP</v>
      </c>
      <c r="K76" s="4">
        <f t="shared" si="40"/>
        <v>0</v>
      </c>
      <c r="L76" s="4">
        <f t="shared" si="41"/>
        <v>15</v>
      </c>
      <c r="M76" s="4" t="str">
        <f t="shared" si="42"/>
        <v>W</v>
      </c>
    </row>
    <row r="77" spans="9:13" hidden="1" x14ac:dyDescent="0.25">
      <c r="I77" s="4">
        <f t="shared" si="38"/>
        <v>3.5</v>
      </c>
      <c r="J77" s="4" t="str">
        <f t="shared" si="39"/>
        <v>CAP</v>
      </c>
      <c r="K77" s="4">
        <f t="shared" si="40"/>
        <v>0</v>
      </c>
      <c r="L77" s="4">
        <f t="shared" si="41"/>
        <v>15</v>
      </c>
      <c r="M77" s="4" t="str">
        <f t="shared" si="42"/>
        <v>W</v>
      </c>
    </row>
    <row r="78" spans="9:13" hidden="1" x14ac:dyDescent="0.25">
      <c r="I78" s="4">
        <f t="shared" si="38"/>
        <v>3.5</v>
      </c>
      <c r="J78" s="4" t="str">
        <f t="shared" si="39"/>
        <v>CAP</v>
      </c>
      <c r="K78" s="4">
        <f t="shared" si="40"/>
        <v>0</v>
      </c>
      <c r="L78" s="4">
        <f t="shared" si="41"/>
        <v>15</v>
      </c>
      <c r="M78" s="4" t="str">
        <f t="shared" si="42"/>
        <v>W</v>
      </c>
    </row>
    <row r="79" spans="9:13" hidden="1" x14ac:dyDescent="0.25">
      <c r="I79" s="4">
        <f t="shared" si="38"/>
        <v>3.5</v>
      </c>
      <c r="J79" s="4" t="str">
        <f t="shared" si="39"/>
        <v>CAP</v>
      </c>
      <c r="K79" s="4">
        <f t="shared" si="40"/>
        <v>0</v>
      </c>
      <c r="L79" s="4">
        <f t="shared" si="41"/>
        <v>15</v>
      </c>
      <c r="M79" s="4" t="str">
        <f t="shared" si="42"/>
        <v>W</v>
      </c>
    </row>
    <row r="80" spans="9:13" hidden="1" x14ac:dyDescent="0.25">
      <c r="I80" s="4">
        <f t="shared" si="38"/>
        <v>3.5</v>
      </c>
      <c r="J80" s="4" t="str">
        <f t="shared" si="39"/>
        <v>CAP</v>
      </c>
      <c r="K80" s="4">
        <f t="shared" si="40"/>
        <v>0</v>
      </c>
      <c r="L80" s="4">
        <f t="shared" si="41"/>
        <v>15</v>
      </c>
      <c r="M80" s="4" t="str">
        <f t="shared" si="42"/>
        <v>W</v>
      </c>
    </row>
    <row r="81" spans="9:13" hidden="1" x14ac:dyDescent="0.25">
      <c r="I81" s="4">
        <f t="shared" si="38"/>
        <v>3.5</v>
      </c>
      <c r="J81" s="4" t="str">
        <f t="shared" si="39"/>
        <v>CAP</v>
      </c>
      <c r="K81" s="4">
        <f t="shared" si="40"/>
        <v>0</v>
      </c>
      <c r="L81" s="4">
        <f t="shared" si="41"/>
        <v>15</v>
      </c>
      <c r="M81" s="4" t="str">
        <f t="shared" si="42"/>
        <v>W</v>
      </c>
    </row>
    <row r="82" spans="9:13" hidden="1" x14ac:dyDescent="0.25">
      <c r="I82" s="4">
        <f t="shared" si="38"/>
        <v>3.5</v>
      </c>
      <c r="J82" s="4" t="str">
        <f t="shared" si="39"/>
        <v>CAP</v>
      </c>
      <c r="K82" s="4">
        <f t="shared" si="40"/>
        <v>0</v>
      </c>
      <c r="L82" s="4">
        <f t="shared" si="41"/>
        <v>15</v>
      </c>
      <c r="M82" s="4" t="str">
        <f t="shared" si="42"/>
        <v>W</v>
      </c>
    </row>
    <row r="83" spans="9:13" hidden="1" x14ac:dyDescent="0.25">
      <c r="I83" s="4">
        <f t="shared" si="38"/>
        <v>3.5</v>
      </c>
      <c r="J83" s="4" t="str">
        <f t="shared" si="39"/>
        <v>CAP</v>
      </c>
      <c r="K83" s="4">
        <f t="shared" si="40"/>
        <v>0</v>
      </c>
      <c r="L83" s="4">
        <f t="shared" si="41"/>
        <v>15</v>
      </c>
      <c r="M83" s="4" t="str">
        <f t="shared" si="42"/>
        <v>W</v>
      </c>
    </row>
    <row r="84" spans="9:13" hidden="1" x14ac:dyDescent="0.25">
      <c r="I84" s="4">
        <f t="shared" ref="I84:I93" si="43">AR2</f>
        <v>0</v>
      </c>
      <c r="J84" s="4">
        <f t="shared" ref="J84:J93" si="44">AS2</f>
        <v>0</v>
      </c>
      <c r="K84" s="4">
        <f t="shared" ref="K84:K93" si="45">AT2</f>
        <v>0</v>
      </c>
      <c r="L84" s="4">
        <f t="shared" ref="L84:L93" si="46">AU2</f>
        <v>0</v>
      </c>
      <c r="M84" s="4">
        <f t="shared" ref="M84:M93" si="47">AV2</f>
        <v>0</v>
      </c>
    </row>
    <row r="85" spans="9:13" hidden="1" x14ac:dyDescent="0.25">
      <c r="I85" s="4">
        <f t="shared" si="43"/>
        <v>0</v>
      </c>
      <c r="J85" s="4">
        <f t="shared" si="44"/>
        <v>0</v>
      </c>
      <c r="K85" s="4">
        <f t="shared" si="45"/>
        <v>0</v>
      </c>
      <c r="L85" s="4">
        <f t="shared" si="46"/>
        <v>0</v>
      </c>
      <c r="M85" s="4">
        <f t="shared" si="47"/>
        <v>0</v>
      </c>
    </row>
    <row r="86" spans="9:13" hidden="1" x14ac:dyDescent="0.25">
      <c r="I86" s="4">
        <f t="shared" si="43"/>
        <v>0</v>
      </c>
      <c r="J86" s="4">
        <f t="shared" si="44"/>
        <v>0</v>
      </c>
      <c r="K86" s="4">
        <f t="shared" si="45"/>
        <v>0</v>
      </c>
      <c r="L86" s="4">
        <f t="shared" si="46"/>
        <v>0</v>
      </c>
      <c r="M86" s="4">
        <f t="shared" si="47"/>
        <v>0</v>
      </c>
    </row>
    <row r="87" spans="9:13" hidden="1" x14ac:dyDescent="0.25">
      <c r="I87" s="4">
        <f t="shared" si="43"/>
        <v>0</v>
      </c>
      <c r="J87" s="4">
        <f t="shared" si="44"/>
        <v>0</v>
      </c>
      <c r="K87" s="4">
        <f t="shared" si="45"/>
        <v>0</v>
      </c>
      <c r="L87" s="4">
        <f t="shared" si="46"/>
        <v>0</v>
      </c>
      <c r="M87" s="4">
        <f t="shared" si="47"/>
        <v>0</v>
      </c>
    </row>
    <row r="88" spans="9:13" hidden="1" x14ac:dyDescent="0.25">
      <c r="I88" s="4">
        <f t="shared" si="43"/>
        <v>0</v>
      </c>
      <c r="J88" s="4">
        <f t="shared" si="44"/>
        <v>0</v>
      </c>
      <c r="K88" s="4">
        <f t="shared" si="45"/>
        <v>0</v>
      </c>
      <c r="L88" s="4">
        <f t="shared" si="46"/>
        <v>0</v>
      </c>
      <c r="M88" s="4">
        <f t="shared" si="47"/>
        <v>0</v>
      </c>
    </row>
    <row r="89" spans="9:13" hidden="1" x14ac:dyDescent="0.25">
      <c r="I89" s="4">
        <f t="shared" si="43"/>
        <v>0</v>
      </c>
      <c r="J89" s="4">
        <f t="shared" si="44"/>
        <v>0</v>
      </c>
      <c r="K89" s="4">
        <f t="shared" si="45"/>
        <v>0</v>
      </c>
      <c r="L89" s="4">
        <f t="shared" si="46"/>
        <v>0</v>
      </c>
      <c r="M89" s="4">
        <f t="shared" si="47"/>
        <v>0</v>
      </c>
    </row>
    <row r="90" spans="9:13" hidden="1" x14ac:dyDescent="0.25">
      <c r="I90" s="4">
        <f t="shared" si="43"/>
        <v>0</v>
      </c>
      <c r="J90" s="4">
        <f t="shared" si="44"/>
        <v>0</v>
      </c>
      <c r="K90" s="4">
        <f t="shared" si="45"/>
        <v>0</v>
      </c>
      <c r="L90" s="4">
        <f t="shared" si="46"/>
        <v>0</v>
      </c>
      <c r="M90" s="4">
        <f t="shared" si="47"/>
        <v>0</v>
      </c>
    </row>
    <row r="91" spans="9:13" hidden="1" x14ac:dyDescent="0.25">
      <c r="I91" s="4">
        <f t="shared" si="43"/>
        <v>0</v>
      </c>
      <c r="J91" s="4">
        <f t="shared" si="44"/>
        <v>0</v>
      </c>
      <c r="K91" s="4">
        <f t="shared" si="45"/>
        <v>0</v>
      </c>
      <c r="L91" s="4">
        <f t="shared" si="46"/>
        <v>0</v>
      </c>
      <c r="M91" s="4">
        <f t="shared" si="47"/>
        <v>0</v>
      </c>
    </row>
    <row r="92" spans="9:13" hidden="1" x14ac:dyDescent="0.25">
      <c r="I92" s="4">
        <f t="shared" si="43"/>
        <v>0</v>
      </c>
      <c r="J92" s="4">
        <f t="shared" si="44"/>
        <v>0</v>
      </c>
      <c r="K92" s="4">
        <f t="shared" si="45"/>
        <v>0</v>
      </c>
      <c r="L92" s="4">
        <f t="shared" si="46"/>
        <v>0</v>
      </c>
      <c r="M92" s="4">
        <f t="shared" si="47"/>
        <v>0</v>
      </c>
    </row>
    <row r="93" spans="9:13" hidden="1" x14ac:dyDescent="0.25">
      <c r="I93" s="4">
        <f t="shared" si="43"/>
        <v>0</v>
      </c>
      <c r="J93" s="4">
        <f t="shared" si="44"/>
        <v>0</v>
      </c>
      <c r="K93" s="4">
        <f t="shared" si="45"/>
        <v>0</v>
      </c>
      <c r="L93" s="4">
        <f t="shared" si="46"/>
        <v>0</v>
      </c>
      <c r="M93" s="4">
        <f t="shared" si="47"/>
        <v>0</v>
      </c>
    </row>
    <row r="94" spans="9:13" hidden="1" x14ac:dyDescent="0.25">
      <c r="I94" s="4">
        <f t="shared" ref="I94:I103" si="48">AW2</f>
        <v>0</v>
      </c>
      <c r="J94" s="4">
        <f t="shared" ref="J94:J103" si="49">AX2</f>
        <v>0</v>
      </c>
      <c r="K94" s="4">
        <f t="shared" ref="K94:K103" si="50">AY2</f>
        <v>0</v>
      </c>
      <c r="L94" s="4">
        <f t="shared" ref="L94:L103" si="51">AZ2</f>
        <v>0</v>
      </c>
      <c r="M94" s="4">
        <f t="shared" ref="M94:M103" si="52">BA2</f>
        <v>0</v>
      </c>
    </row>
    <row r="95" spans="9:13" hidden="1" x14ac:dyDescent="0.25">
      <c r="I95" s="4">
        <f t="shared" si="48"/>
        <v>0</v>
      </c>
      <c r="J95" s="4">
        <f t="shared" si="49"/>
        <v>0</v>
      </c>
      <c r="K95" s="4">
        <f t="shared" si="50"/>
        <v>0</v>
      </c>
      <c r="L95" s="4">
        <f t="shared" si="51"/>
        <v>0</v>
      </c>
      <c r="M95" s="4">
        <f t="shared" si="52"/>
        <v>0</v>
      </c>
    </row>
    <row r="96" spans="9:13" hidden="1" x14ac:dyDescent="0.25">
      <c r="I96" s="4">
        <f t="shared" si="48"/>
        <v>0</v>
      </c>
      <c r="J96" s="4">
        <f t="shared" si="49"/>
        <v>0</v>
      </c>
      <c r="K96" s="4">
        <f t="shared" si="50"/>
        <v>0</v>
      </c>
      <c r="L96" s="4">
        <f t="shared" si="51"/>
        <v>0</v>
      </c>
      <c r="M96" s="4">
        <f t="shared" si="52"/>
        <v>0</v>
      </c>
    </row>
    <row r="97" spans="9:13" hidden="1" x14ac:dyDescent="0.25">
      <c r="I97" s="4">
        <f t="shared" si="48"/>
        <v>0</v>
      </c>
      <c r="J97" s="4">
        <f t="shared" si="49"/>
        <v>0</v>
      </c>
      <c r="K97" s="4">
        <f t="shared" si="50"/>
        <v>0</v>
      </c>
      <c r="L97" s="4">
        <f t="shared" si="51"/>
        <v>0</v>
      </c>
      <c r="M97" s="4">
        <f t="shared" si="52"/>
        <v>0</v>
      </c>
    </row>
    <row r="98" spans="9:13" hidden="1" x14ac:dyDescent="0.25">
      <c r="I98" s="4">
        <f t="shared" si="48"/>
        <v>0</v>
      </c>
      <c r="J98" s="4">
        <f t="shared" si="49"/>
        <v>0</v>
      </c>
      <c r="K98" s="4">
        <f t="shared" si="50"/>
        <v>0</v>
      </c>
      <c r="L98" s="4">
        <f t="shared" si="51"/>
        <v>0</v>
      </c>
      <c r="M98" s="4">
        <f t="shared" si="52"/>
        <v>0</v>
      </c>
    </row>
    <row r="99" spans="9:13" hidden="1" x14ac:dyDescent="0.25">
      <c r="I99" s="4">
        <f t="shared" si="48"/>
        <v>0</v>
      </c>
      <c r="J99" s="4">
        <f t="shared" si="49"/>
        <v>0</v>
      </c>
      <c r="K99" s="4">
        <f t="shared" si="50"/>
        <v>0</v>
      </c>
      <c r="L99" s="4">
        <f t="shared" si="51"/>
        <v>0</v>
      </c>
      <c r="M99" s="4">
        <f t="shared" si="52"/>
        <v>0</v>
      </c>
    </row>
    <row r="100" spans="9:13" hidden="1" x14ac:dyDescent="0.25">
      <c r="I100" s="4">
        <f t="shared" si="48"/>
        <v>0</v>
      </c>
      <c r="J100" s="4">
        <f t="shared" si="49"/>
        <v>0</v>
      </c>
      <c r="K100" s="4">
        <f t="shared" si="50"/>
        <v>0</v>
      </c>
      <c r="L100" s="4">
        <f t="shared" si="51"/>
        <v>0</v>
      </c>
      <c r="M100" s="4">
        <f t="shared" si="52"/>
        <v>0</v>
      </c>
    </row>
    <row r="101" spans="9:13" hidden="1" x14ac:dyDescent="0.25">
      <c r="I101" s="4">
        <f t="shared" si="48"/>
        <v>0</v>
      </c>
      <c r="J101" s="4">
        <f t="shared" si="49"/>
        <v>0</v>
      </c>
      <c r="K101" s="4">
        <f t="shared" si="50"/>
        <v>0</v>
      </c>
      <c r="L101" s="4">
        <f t="shared" si="51"/>
        <v>0</v>
      </c>
      <c r="M101" s="4">
        <f t="shared" si="52"/>
        <v>0</v>
      </c>
    </row>
    <row r="102" spans="9:13" hidden="1" x14ac:dyDescent="0.25">
      <c r="I102" s="4">
        <f t="shared" si="48"/>
        <v>0</v>
      </c>
      <c r="J102" s="4">
        <f t="shared" si="49"/>
        <v>0</v>
      </c>
      <c r="K102" s="4">
        <f t="shared" si="50"/>
        <v>0</v>
      </c>
      <c r="L102" s="4">
        <f t="shared" si="51"/>
        <v>0</v>
      </c>
      <c r="M102" s="4">
        <f t="shared" si="52"/>
        <v>0</v>
      </c>
    </row>
    <row r="103" spans="9:13" hidden="1" x14ac:dyDescent="0.25">
      <c r="I103" s="4">
        <f t="shared" si="48"/>
        <v>0</v>
      </c>
      <c r="J103" s="4">
        <f t="shared" si="49"/>
        <v>0</v>
      </c>
      <c r="K103" s="4">
        <f t="shared" si="50"/>
        <v>0</v>
      </c>
      <c r="L103" s="4">
        <f t="shared" si="51"/>
        <v>0</v>
      </c>
      <c r="M103" s="4">
        <f t="shared" si="52"/>
        <v>0</v>
      </c>
    </row>
    <row r="104" spans="9:13" hidden="1" x14ac:dyDescent="0.25">
      <c r="I104" s="4">
        <f t="shared" ref="I104:I113" si="53">BB2</f>
        <v>0</v>
      </c>
      <c r="J104" s="4">
        <f t="shared" ref="J104:J113" si="54">BC2</f>
        <v>0</v>
      </c>
      <c r="K104" s="4">
        <f t="shared" ref="K104:K113" si="55">BD2</f>
        <v>0</v>
      </c>
      <c r="L104" s="4">
        <f t="shared" ref="L104:L113" si="56">BE2</f>
        <v>0</v>
      </c>
      <c r="M104" s="4">
        <f t="shared" ref="M104:M113" si="57">BF2</f>
        <v>0</v>
      </c>
    </row>
    <row r="105" spans="9:13" hidden="1" x14ac:dyDescent="0.25">
      <c r="I105" s="4">
        <f t="shared" si="53"/>
        <v>0</v>
      </c>
      <c r="J105" s="4">
        <f t="shared" si="54"/>
        <v>0</v>
      </c>
      <c r="K105" s="4">
        <f t="shared" si="55"/>
        <v>0</v>
      </c>
      <c r="L105" s="4">
        <f t="shared" si="56"/>
        <v>0</v>
      </c>
      <c r="M105" s="4">
        <f t="shared" si="57"/>
        <v>0</v>
      </c>
    </row>
    <row r="106" spans="9:13" hidden="1" x14ac:dyDescent="0.25">
      <c r="I106" s="4">
        <f t="shared" si="53"/>
        <v>0</v>
      </c>
      <c r="J106" s="4">
        <f t="shared" si="54"/>
        <v>0</v>
      </c>
      <c r="K106" s="4">
        <f t="shared" si="55"/>
        <v>0</v>
      </c>
      <c r="L106" s="4">
        <f t="shared" si="56"/>
        <v>0</v>
      </c>
      <c r="M106" s="4">
        <f t="shared" si="57"/>
        <v>0</v>
      </c>
    </row>
    <row r="107" spans="9:13" hidden="1" x14ac:dyDescent="0.25">
      <c r="I107" s="4">
        <f t="shared" si="53"/>
        <v>0</v>
      </c>
      <c r="J107" s="4">
        <f t="shared" si="54"/>
        <v>0</v>
      </c>
      <c r="K107" s="4">
        <f t="shared" si="55"/>
        <v>0</v>
      </c>
      <c r="L107" s="4">
        <f t="shared" si="56"/>
        <v>0</v>
      </c>
      <c r="M107" s="4">
        <f t="shared" si="57"/>
        <v>0</v>
      </c>
    </row>
    <row r="108" spans="9:13" hidden="1" x14ac:dyDescent="0.25">
      <c r="I108" s="4">
        <f t="shared" si="53"/>
        <v>0</v>
      </c>
      <c r="J108" s="4">
        <f t="shared" si="54"/>
        <v>0</v>
      </c>
      <c r="K108" s="4">
        <f t="shared" si="55"/>
        <v>0</v>
      </c>
      <c r="L108" s="4">
        <f t="shared" si="56"/>
        <v>0</v>
      </c>
      <c r="M108" s="4">
        <f t="shared" si="57"/>
        <v>0</v>
      </c>
    </row>
    <row r="109" spans="9:13" hidden="1" x14ac:dyDescent="0.25">
      <c r="I109" s="4">
        <f t="shared" si="53"/>
        <v>0</v>
      </c>
      <c r="J109" s="4">
        <f t="shared" si="54"/>
        <v>0</v>
      </c>
      <c r="K109" s="4">
        <f t="shared" si="55"/>
        <v>0</v>
      </c>
      <c r="L109" s="4">
        <f t="shared" si="56"/>
        <v>0</v>
      </c>
      <c r="M109" s="4">
        <f t="shared" si="57"/>
        <v>0</v>
      </c>
    </row>
    <row r="110" spans="9:13" hidden="1" x14ac:dyDescent="0.25">
      <c r="I110" s="4">
        <f t="shared" si="53"/>
        <v>0</v>
      </c>
      <c r="J110" s="4">
        <f t="shared" si="54"/>
        <v>0</v>
      </c>
      <c r="K110" s="4">
        <f t="shared" si="55"/>
        <v>0</v>
      </c>
      <c r="L110" s="4">
        <f t="shared" si="56"/>
        <v>0</v>
      </c>
      <c r="M110" s="4">
        <f t="shared" si="57"/>
        <v>0</v>
      </c>
    </row>
    <row r="111" spans="9:13" hidden="1" x14ac:dyDescent="0.25">
      <c r="I111" s="4">
        <f t="shared" si="53"/>
        <v>0</v>
      </c>
      <c r="J111" s="4">
        <f t="shared" si="54"/>
        <v>0</v>
      </c>
      <c r="K111" s="4">
        <f t="shared" si="55"/>
        <v>0</v>
      </c>
      <c r="L111" s="4">
        <f t="shared" si="56"/>
        <v>0</v>
      </c>
      <c r="M111" s="4">
        <f t="shared" si="57"/>
        <v>0</v>
      </c>
    </row>
    <row r="112" spans="9:13" hidden="1" x14ac:dyDescent="0.25">
      <c r="I112" s="4">
        <f t="shared" si="53"/>
        <v>0</v>
      </c>
      <c r="J112" s="4">
        <f t="shared" si="54"/>
        <v>0</v>
      </c>
      <c r="K112" s="4">
        <f t="shared" si="55"/>
        <v>0</v>
      </c>
      <c r="L112" s="4">
        <f t="shared" si="56"/>
        <v>0</v>
      </c>
      <c r="M112" s="4">
        <f t="shared" si="57"/>
        <v>0</v>
      </c>
    </row>
    <row r="113" spans="1:15" hidden="1" x14ac:dyDescent="0.25">
      <c r="I113" s="45">
        <f t="shared" si="53"/>
        <v>0</v>
      </c>
      <c r="J113" s="45">
        <f t="shared" si="54"/>
        <v>0</v>
      </c>
      <c r="K113" s="4">
        <f t="shared" si="55"/>
        <v>0</v>
      </c>
      <c r="L113" s="4">
        <f t="shared" si="56"/>
        <v>0</v>
      </c>
      <c r="M113" s="4">
        <f t="shared" si="57"/>
        <v>0</v>
      </c>
    </row>
    <row r="116" spans="1:15" x14ac:dyDescent="0.25">
      <c r="A116" s="118" t="s">
        <v>92</v>
      </c>
      <c r="B116" s="118"/>
      <c r="C116" s="146">
        <v>46008</v>
      </c>
      <c r="D116" s="147"/>
      <c r="E116" s="147"/>
      <c r="H116" s="118" t="s">
        <v>116</v>
      </c>
      <c r="I116" s="118"/>
      <c r="J116" s="146" t="s">
        <v>113</v>
      </c>
      <c r="K116" s="147"/>
      <c r="L116" s="147"/>
    </row>
    <row r="117" spans="1:15" ht="13.7" customHeight="1" thickBot="1" x14ac:dyDescent="0.3"/>
    <row r="118" spans="1:15" s="63" customFormat="1" ht="25.5" customHeight="1" thickBot="1" x14ac:dyDescent="0.3">
      <c r="A118" s="131" t="s">
        <v>117</v>
      </c>
      <c r="B118" s="132"/>
      <c r="C118" s="132"/>
      <c r="D118" s="132" t="str">
        <f>F2</f>
        <v>AP01</v>
      </c>
      <c r="E118" s="133"/>
      <c r="F118" s="83" t="s">
        <v>76</v>
      </c>
      <c r="G118" s="84">
        <f>$C$116</f>
        <v>46008</v>
      </c>
      <c r="H118" s="85"/>
      <c r="I118" s="131" t="s">
        <v>35</v>
      </c>
      <c r="J118" s="132"/>
      <c r="K118" s="132"/>
      <c r="L118" s="132" t="str">
        <f>F3</f>
        <v>AP02</v>
      </c>
      <c r="M118" s="133"/>
      <c r="N118" s="83" t="s">
        <v>76</v>
      </c>
      <c r="O118" s="84">
        <f>$C$116</f>
        <v>46008</v>
      </c>
    </row>
    <row r="119" spans="1:15" s="63" customFormat="1" ht="25.5" customHeight="1" x14ac:dyDescent="0.25">
      <c r="A119" s="134" t="str">
        <f>G2</f>
        <v>PAWAN PUTRA AGENCY 1</v>
      </c>
      <c r="B119" s="135"/>
      <c r="C119" s="135"/>
      <c r="D119" s="135"/>
      <c r="E119" s="136"/>
      <c r="F119" s="137" t="s">
        <v>96</v>
      </c>
      <c r="G119" s="138"/>
      <c r="H119" s="85"/>
      <c r="I119" s="134" t="str">
        <f>G3</f>
        <v>PAWAN PUTRA AGENCY 2</v>
      </c>
      <c r="J119" s="135"/>
      <c r="K119" s="135"/>
      <c r="L119" s="135"/>
      <c r="M119" s="136" t="s">
        <v>96</v>
      </c>
      <c r="N119" s="137" t="s">
        <v>96</v>
      </c>
      <c r="O119" s="138"/>
    </row>
    <row r="120" spans="1:15" s="63" customFormat="1" ht="25.5" customHeight="1" thickBot="1" x14ac:dyDescent="0.3">
      <c r="A120" s="134" t="str">
        <f>H2</f>
        <v>TIRUPATHI 1</v>
      </c>
      <c r="B120" s="135"/>
      <c r="C120" s="135"/>
      <c r="D120" s="135"/>
      <c r="E120" s="136"/>
      <c r="F120" s="134">
        <f>A2</f>
        <v>1</v>
      </c>
      <c r="G120" s="136"/>
      <c r="H120" s="85"/>
      <c r="I120" s="134" t="str">
        <f>H3</f>
        <v>TIRUPATHI 2</v>
      </c>
      <c r="J120" s="135"/>
      <c r="K120" s="135"/>
      <c r="L120" s="135"/>
      <c r="M120" s="136">
        <f>A3</f>
        <v>2</v>
      </c>
      <c r="N120" s="134">
        <f>A3</f>
        <v>2</v>
      </c>
      <c r="O120" s="136"/>
    </row>
    <row r="121" spans="1:15" s="63" customFormat="1" ht="25.5" customHeight="1" thickBot="1" x14ac:dyDescent="0.3">
      <c r="A121" s="87" t="s">
        <v>136</v>
      </c>
      <c r="B121" s="88" t="s">
        <v>27</v>
      </c>
      <c r="C121" s="88" t="s">
        <v>28</v>
      </c>
      <c r="D121" s="88" t="s">
        <v>29</v>
      </c>
      <c r="E121" s="88" t="s">
        <v>30</v>
      </c>
      <c r="F121" s="89" t="s">
        <v>87</v>
      </c>
      <c r="G121" s="90" t="s">
        <v>88</v>
      </c>
      <c r="H121" s="85"/>
      <c r="I121" s="87" t="s">
        <v>136</v>
      </c>
      <c r="J121" s="88" t="s">
        <v>27</v>
      </c>
      <c r="K121" s="88" t="s">
        <v>28</v>
      </c>
      <c r="L121" s="88" t="s">
        <v>29</v>
      </c>
      <c r="M121" s="88" t="s">
        <v>30</v>
      </c>
      <c r="N121" s="89" t="s">
        <v>87</v>
      </c>
      <c r="O121" s="90" t="s">
        <v>88</v>
      </c>
    </row>
    <row r="122" spans="1:15" s="63" customFormat="1" ht="25.5" customHeight="1" x14ac:dyDescent="0.25">
      <c r="A122" s="91" t="str">
        <f>J2</f>
        <v>AG</v>
      </c>
      <c r="B122" s="92">
        <f t="shared" ref="B122:E122" si="58">K2</f>
        <v>1000</v>
      </c>
      <c r="C122" s="92">
        <f t="shared" si="58"/>
        <v>20</v>
      </c>
      <c r="D122" s="92" t="str">
        <f t="shared" si="58"/>
        <v>Y</v>
      </c>
      <c r="E122" s="92" t="str">
        <f t="shared" si="58"/>
        <v>3L</v>
      </c>
      <c r="F122" s="93">
        <v>0.5</v>
      </c>
      <c r="G122" s="94">
        <f>IF(A122="CAP",C122*F122,B122*C122*F122)</f>
        <v>10000</v>
      </c>
      <c r="H122" s="85"/>
      <c r="I122" s="91" t="str">
        <f>J3</f>
        <v>AG</v>
      </c>
      <c r="J122" s="92">
        <f t="shared" ref="J122:M122" si="59">K3</f>
        <v>1000</v>
      </c>
      <c r="K122" s="92">
        <f t="shared" si="59"/>
        <v>20</v>
      </c>
      <c r="L122" s="92" t="str">
        <f t="shared" si="59"/>
        <v>Y</v>
      </c>
      <c r="M122" s="92" t="str">
        <f t="shared" si="59"/>
        <v>3L</v>
      </c>
      <c r="N122" s="93">
        <v>0.5</v>
      </c>
      <c r="O122" s="94">
        <f>IF(I122="CAP",K122*N122,J122*K122*N122)</f>
        <v>10000</v>
      </c>
    </row>
    <row r="123" spans="1:15" s="63" customFormat="1" ht="25.5" customHeight="1" x14ac:dyDescent="0.25">
      <c r="A123" s="95" t="str">
        <f>P2</f>
        <v>Pure</v>
      </c>
      <c r="B123" s="96">
        <f t="shared" ref="B123:E123" si="60">Q2</f>
        <v>750</v>
      </c>
      <c r="C123" s="96">
        <f t="shared" si="60"/>
        <v>12</v>
      </c>
      <c r="D123" s="96" t="str">
        <f t="shared" si="60"/>
        <v>Y</v>
      </c>
      <c r="E123" s="96" t="str">
        <f t="shared" si="60"/>
        <v>3L</v>
      </c>
      <c r="F123" s="97">
        <v>0.5</v>
      </c>
      <c r="G123" s="98">
        <f t="shared" ref="G123:G131" si="61">IF(A123="CAP",C123*F123,B123*C123*F123)</f>
        <v>4500</v>
      </c>
      <c r="H123" s="85"/>
      <c r="I123" s="95" t="str">
        <f>P3</f>
        <v>Pure</v>
      </c>
      <c r="J123" s="96">
        <f t="shared" ref="J123:M123" si="62">Q3</f>
        <v>750</v>
      </c>
      <c r="K123" s="96">
        <f t="shared" si="62"/>
        <v>12</v>
      </c>
      <c r="L123" s="96" t="str">
        <f t="shared" si="62"/>
        <v>Y</v>
      </c>
      <c r="M123" s="96" t="str">
        <f t="shared" si="62"/>
        <v>3L</v>
      </c>
      <c r="N123" s="97">
        <v>0.5</v>
      </c>
      <c r="O123" s="98">
        <f t="shared" ref="O123:O131" si="63">IF(I123="CAP",K123*N123,J123*K123*N123)</f>
        <v>4500</v>
      </c>
    </row>
    <row r="124" spans="1:15" s="63" customFormat="1" ht="25.5" customHeight="1" x14ac:dyDescent="0.25">
      <c r="A124" s="95" t="str">
        <f>V2</f>
        <v>Loft</v>
      </c>
      <c r="B124" s="96">
        <f t="shared" ref="B124:E124" si="64">W2</f>
        <v>500</v>
      </c>
      <c r="C124" s="96">
        <f t="shared" si="64"/>
        <v>13</v>
      </c>
      <c r="D124" s="96">
        <f t="shared" si="64"/>
        <v>0</v>
      </c>
      <c r="E124" s="96">
        <f t="shared" si="64"/>
        <v>0</v>
      </c>
      <c r="F124" s="97">
        <v>0.5</v>
      </c>
      <c r="G124" s="98">
        <f t="shared" si="61"/>
        <v>3250</v>
      </c>
      <c r="H124" s="85"/>
      <c r="I124" s="95" t="str">
        <f>V3</f>
        <v>Loft</v>
      </c>
      <c r="J124" s="96">
        <f t="shared" ref="J124:M124" si="65">W3</f>
        <v>500</v>
      </c>
      <c r="K124" s="96">
        <f t="shared" si="65"/>
        <v>13</v>
      </c>
      <c r="L124" s="96">
        <f t="shared" si="65"/>
        <v>0</v>
      </c>
      <c r="M124" s="96">
        <f t="shared" si="65"/>
        <v>0</v>
      </c>
      <c r="N124" s="97">
        <v>0.5</v>
      </c>
      <c r="O124" s="98">
        <f t="shared" si="63"/>
        <v>3250</v>
      </c>
    </row>
    <row r="125" spans="1:15" s="63" customFormat="1" ht="25.5" customHeight="1" x14ac:dyDescent="0.25">
      <c r="A125" s="95" t="str">
        <f>AB2</f>
        <v>UT</v>
      </c>
      <c r="B125" s="96">
        <f t="shared" ref="B125:E125" si="66">AC2</f>
        <v>1000</v>
      </c>
      <c r="C125" s="96">
        <f t="shared" si="66"/>
        <v>2</v>
      </c>
      <c r="D125" s="96">
        <f t="shared" si="66"/>
        <v>0</v>
      </c>
      <c r="E125" s="96">
        <f t="shared" si="66"/>
        <v>0</v>
      </c>
      <c r="F125" s="97">
        <v>0.5</v>
      </c>
      <c r="G125" s="98">
        <f t="shared" si="61"/>
        <v>1000</v>
      </c>
      <c r="H125" s="85"/>
      <c r="I125" s="95" t="str">
        <f>AB3</f>
        <v>UT</v>
      </c>
      <c r="J125" s="96">
        <f t="shared" ref="J125:M125" si="67">AC3</f>
        <v>1000</v>
      </c>
      <c r="K125" s="96">
        <f t="shared" si="67"/>
        <v>2</v>
      </c>
      <c r="L125" s="96">
        <f t="shared" si="67"/>
        <v>0</v>
      </c>
      <c r="M125" s="96">
        <f t="shared" si="67"/>
        <v>0</v>
      </c>
      <c r="N125" s="97">
        <v>0.5</v>
      </c>
      <c r="O125" s="98">
        <f t="shared" si="63"/>
        <v>1000</v>
      </c>
    </row>
    <row r="126" spans="1:15" s="63" customFormat="1" ht="25.5" customHeight="1" x14ac:dyDescent="0.25">
      <c r="A126" s="95" t="str">
        <f>AH2</f>
        <v>HT</v>
      </c>
      <c r="B126" s="96">
        <f t="shared" ref="B126:E126" si="68">AI2</f>
        <v>2000</v>
      </c>
      <c r="C126" s="96">
        <f t="shared" si="68"/>
        <v>1</v>
      </c>
      <c r="D126" s="96" t="str">
        <f t="shared" si="68"/>
        <v>Y</v>
      </c>
      <c r="E126" s="96" t="str">
        <f t="shared" si="68"/>
        <v>3L</v>
      </c>
      <c r="F126" s="97">
        <v>0.6</v>
      </c>
      <c r="G126" s="98">
        <f t="shared" si="61"/>
        <v>1200</v>
      </c>
      <c r="H126" s="85"/>
      <c r="I126" s="95" t="str">
        <f>AH3</f>
        <v>HT</v>
      </c>
      <c r="J126" s="96">
        <f t="shared" ref="J126:M126" si="69">AI3</f>
        <v>2000</v>
      </c>
      <c r="K126" s="96">
        <f t="shared" si="69"/>
        <v>1</v>
      </c>
      <c r="L126" s="96" t="str">
        <f t="shared" si="69"/>
        <v>Y</v>
      </c>
      <c r="M126" s="96" t="str">
        <f t="shared" si="69"/>
        <v>3L</v>
      </c>
      <c r="N126" s="97">
        <v>0.6</v>
      </c>
      <c r="O126" s="98">
        <f t="shared" si="63"/>
        <v>1200</v>
      </c>
    </row>
    <row r="127" spans="1:15" s="63" customFormat="1" ht="25.5" customHeight="1" x14ac:dyDescent="0.25">
      <c r="A127" s="95" t="str">
        <f>AN2</f>
        <v>CAP</v>
      </c>
      <c r="B127" s="96">
        <f t="shared" ref="B127:E127" si="70">AO2</f>
        <v>0</v>
      </c>
      <c r="C127" s="96">
        <f t="shared" si="70"/>
        <v>15</v>
      </c>
      <c r="D127" s="96" t="str">
        <f t="shared" si="70"/>
        <v>W</v>
      </c>
      <c r="E127" s="96">
        <f t="shared" si="70"/>
        <v>0</v>
      </c>
      <c r="F127" s="97">
        <v>150</v>
      </c>
      <c r="G127" s="98">
        <f t="shared" si="61"/>
        <v>2250</v>
      </c>
      <c r="H127" s="85"/>
      <c r="I127" s="95" t="str">
        <f>AN3</f>
        <v>CAP</v>
      </c>
      <c r="J127" s="96">
        <f t="shared" ref="J127:M127" si="71">AO3</f>
        <v>0</v>
      </c>
      <c r="K127" s="96">
        <f t="shared" si="71"/>
        <v>15</v>
      </c>
      <c r="L127" s="96" t="str">
        <f t="shared" si="71"/>
        <v>W</v>
      </c>
      <c r="M127" s="96">
        <f t="shared" si="71"/>
        <v>0</v>
      </c>
      <c r="N127" s="97">
        <v>150</v>
      </c>
      <c r="O127" s="98">
        <f t="shared" si="63"/>
        <v>2250</v>
      </c>
    </row>
    <row r="128" spans="1:15" s="63" customFormat="1" ht="25.5" customHeight="1" x14ac:dyDescent="0.25">
      <c r="A128" s="95">
        <f>AT2</f>
        <v>0</v>
      </c>
      <c r="B128" s="96">
        <f t="shared" ref="B128:E128" si="72">AU2</f>
        <v>0</v>
      </c>
      <c r="C128" s="96">
        <f t="shared" si="72"/>
        <v>0</v>
      </c>
      <c r="D128" s="96">
        <f t="shared" si="72"/>
        <v>0</v>
      </c>
      <c r="E128" s="96">
        <f t="shared" si="72"/>
        <v>0</v>
      </c>
      <c r="F128" s="97"/>
      <c r="G128" s="98">
        <f t="shared" si="61"/>
        <v>0</v>
      </c>
      <c r="H128" s="85"/>
      <c r="I128" s="95">
        <f>AT3</f>
        <v>0</v>
      </c>
      <c r="J128" s="96">
        <f t="shared" ref="J128:M128" si="73">AU3</f>
        <v>0</v>
      </c>
      <c r="K128" s="96">
        <f t="shared" si="73"/>
        <v>0</v>
      </c>
      <c r="L128" s="96">
        <f t="shared" si="73"/>
        <v>0</v>
      </c>
      <c r="M128" s="96">
        <f t="shared" si="73"/>
        <v>0</v>
      </c>
      <c r="N128" s="97">
        <f t="shared" ref="N128:N130" si="74">IF(I128="CAP",J128*M128,M128*I128*J128)</f>
        <v>0</v>
      </c>
      <c r="O128" s="98">
        <f t="shared" si="63"/>
        <v>0</v>
      </c>
    </row>
    <row r="129" spans="1:15" s="63" customFormat="1" ht="25.5" customHeight="1" x14ac:dyDescent="0.25">
      <c r="A129" s="95">
        <f>AZ2</f>
        <v>0</v>
      </c>
      <c r="B129" s="96">
        <f t="shared" ref="B129:E129" si="75">BA2</f>
        <v>0</v>
      </c>
      <c r="C129" s="96">
        <f t="shared" si="75"/>
        <v>0</v>
      </c>
      <c r="D129" s="96">
        <f t="shared" si="75"/>
        <v>0</v>
      </c>
      <c r="E129" s="96">
        <f t="shared" si="75"/>
        <v>0</v>
      </c>
      <c r="F129" s="97"/>
      <c r="G129" s="98">
        <f t="shared" si="61"/>
        <v>0</v>
      </c>
      <c r="H129" s="85"/>
      <c r="I129" s="95">
        <f>AZ3</f>
        <v>0</v>
      </c>
      <c r="J129" s="96">
        <f t="shared" ref="J129:M129" si="76">BA3</f>
        <v>0</v>
      </c>
      <c r="K129" s="96">
        <f t="shared" si="76"/>
        <v>0</v>
      </c>
      <c r="L129" s="96">
        <f t="shared" si="76"/>
        <v>0</v>
      </c>
      <c r="M129" s="96">
        <f t="shared" si="76"/>
        <v>0</v>
      </c>
      <c r="N129" s="97">
        <f t="shared" si="74"/>
        <v>0</v>
      </c>
      <c r="O129" s="98">
        <f t="shared" si="63"/>
        <v>0</v>
      </c>
    </row>
    <row r="130" spans="1:15" s="63" customFormat="1" ht="25.5" customHeight="1" x14ac:dyDescent="0.25">
      <c r="A130" s="95">
        <f>BF2</f>
        <v>0</v>
      </c>
      <c r="B130" s="96">
        <f t="shared" ref="B130:E130" si="77">BG2</f>
        <v>0</v>
      </c>
      <c r="C130" s="96">
        <f t="shared" si="77"/>
        <v>0</v>
      </c>
      <c r="D130" s="96">
        <f t="shared" si="77"/>
        <v>0</v>
      </c>
      <c r="E130" s="96">
        <f t="shared" si="77"/>
        <v>0</v>
      </c>
      <c r="F130" s="97"/>
      <c r="G130" s="98">
        <f t="shared" si="61"/>
        <v>0</v>
      </c>
      <c r="H130" s="85"/>
      <c r="I130" s="95">
        <f>BF3</f>
        <v>0</v>
      </c>
      <c r="J130" s="96">
        <f t="shared" ref="J130:M130" si="78">BG3</f>
        <v>0</v>
      </c>
      <c r="K130" s="96">
        <f t="shared" si="78"/>
        <v>0</v>
      </c>
      <c r="L130" s="96">
        <f t="shared" si="78"/>
        <v>0</v>
      </c>
      <c r="M130" s="96">
        <f t="shared" si="78"/>
        <v>0</v>
      </c>
      <c r="N130" s="97">
        <f t="shared" si="74"/>
        <v>0</v>
      </c>
      <c r="O130" s="98">
        <f t="shared" si="63"/>
        <v>0</v>
      </c>
    </row>
    <row r="131" spans="1:15" s="63" customFormat="1" ht="25.5" customHeight="1" thickBot="1" x14ac:dyDescent="0.3">
      <c r="A131" s="99">
        <f>BL2</f>
        <v>0</v>
      </c>
      <c r="B131" s="100">
        <f t="shared" ref="B131:E131" si="79">BM2</f>
        <v>0</v>
      </c>
      <c r="C131" s="100">
        <f t="shared" si="79"/>
        <v>0</v>
      </c>
      <c r="D131" s="100">
        <f t="shared" si="79"/>
        <v>0</v>
      </c>
      <c r="E131" s="100">
        <f t="shared" si="79"/>
        <v>0</v>
      </c>
      <c r="F131" s="101"/>
      <c r="G131" s="102">
        <f t="shared" si="61"/>
        <v>0</v>
      </c>
      <c r="H131" s="85"/>
      <c r="I131" s="99">
        <f>BL3</f>
        <v>0</v>
      </c>
      <c r="J131" s="100">
        <f t="shared" ref="J131:M131" si="80">BM3</f>
        <v>0</v>
      </c>
      <c r="K131" s="100">
        <f t="shared" si="80"/>
        <v>0</v>
      </c>
      <c r="L131" s="100">
        <f t="shared" si="80"/>
        <v>0</v>
      </c>
      <c r="M131" s="100">
        <f t="shared" si="80"/>
        <v>0</v>
      </c>
      <c r="N131" s="101">
        <f>IF(I131="CAP",J131*M131,M131*I131*J131)</f>
        <v>0</v>
      </c>
      <c r="O131" s="102">
        <f t="shared" si="63"/>
        <v>0</v>
      </c>
    </row>
    <row r="132" spans="1:15" s="63" customFormat="1" ht="25.5" customHeight="1" x14ac:dyDescent="0.25">
      <c r="A132" s="137" t="s">
        <v>24</v>
      </c>
      <c r="B132" s="138"/>
      <c r="C132" s="129">
        <f>SUM(C122:C131)</f>
        <v>63</v>
      </c>
      <c r="D132" s="130"/>
      <c r="E132" s="130" t="s">
        <v>86</v>
      </c>
      <c r="F132" s="141"/>
      <c r="G132" s="142">
        <f>SUM(G122:G131)</f>
        <v>22200</v>
      </c>
      <c r="H132" s="85"/>
      <c r="I132" s="137" t="s">
        <v>24</v>
      </c>
      <c r="J132" s="138">
        <f>SUM(J122:J131)</f>
        <v>5250</v>
      </c>
      <c r="K132" s="129">
        <f>SUM(K122:K131)</f>
        <v>63</v>
      </c>
      <c r="L132" s="130"/>
      <c r="M132" s="130" t="s">
        <v>86</v>
      </c>
      <c r="N132" s="141"/>
      <c r="O132" s="142">
        <f>SUM(O122:O131)</f>
        <v>22200</v>
      </c>
    </row>
    <row r="133" spans="1:15" s="63" customFormat="1" ht="25.5" customHeight="1" thickBot="1" x14ac:dyDescent="0.3">
      <c r="A133" s="139"/>
      <c r="B133" s="140"/>
      <c r="C133" s="127">
        <f>SUMPRODUCT(C122:C131,B122:B131)</f>
        <v>39500</v>
      </c>
      <c r="D133" s="128"/>
      <c r="E133" s="144" t="s">
        <v>89</v>
      </c>
      <c r="F133" s="145"/>
      <c r="G133" s="143"/>
      <c r="H133" s="85"/>
      <c r="I133" s="139"/>
      <c r="J133" s="140">
        <f>SUMPRODUCT(I122:I131,J122:J131)</f>
        <v>0</v>
      </c>
      <c r="K133" s="127">
        <f>SUMPRODUCT(K122:K131,J122:J131)</f>
        <v>39500</v>
      </c>
      <c r="L133" s="128"/>
      <c r="M133" s="144" t="s">
        <v>89</v>
      </c>
      <c r="N133" s="145"/>
      <c r="O133" s="143"/>
    </row>
    <row r="134" spans="1:15" s="63" customFormat="1" ht="25.5" customHeight="1" x14ac:dyDescent="0.25">
      <c r="A134" s="125" t="s">
        <v>116</v>
      </c>
      <c r="B134" s="125"/>
      <c r="C134" s="125"/>
      <c r="D134" s="125"/>
      <c r="E134" s="85"/>
      <c r="F134" s="126" t="str">
        <f>$J$116</f>
        <v>KA41C4059</v>
      </c>
      <c r="G134" s="125"/>
      <c r="H134" s="85"/>
      <c r="I134" s="125" t="s">
        <v>116</v>
      </c>
      <c r="J134" s="125"/>
      <c r="K134" s="125"/>
      <c r="L134" s="125"/>
      <c r="M134" s="85"/>
      <c r="N134" s="126" t="str">
        <f>$J$116</f>
        <v>KA41C4059</v>
      </c>
      <c r="O134" s="125"/>
    </row>
    <row r="135" spans="1:15" s="63" customFormat="1" ht="25.5" customHeight="1" x14ac:dyDescent="0.25">
      <c r="A135" s="86"/>
      <c r="B135" s="86"/>
      <c r="C135" s="86"/>
      <c r="D135" s="86"/>
      <c r="E135" s="85"/>
      <c r="F135" s="106"/>
      <c r="G135" s="86"/>
      <c r="H135" s="85"/>
      <c r="I135" s="86"/>
      <c r="J135" s="86"/>
      <c r="K135" s="86"/>
      <c r="L135" s="86"/>
      <c r="M135" s="85"/>
      <c r="N135" s="106"/>
      <c r="O135" s="86"/>
    </row>
    <row r="136" spans="1:15" s="63" customFormat="1" ht="25.5" customHeight="1" x14ac:dyDescent="0.25">
      <c r="A136" s="86"/>
      <c r="B136" s="86"/>
      <c r="C136" s="86"/>
      <c r="D136" s="86"/>
      <c r="E136" s="85"/>
      <c r="F136" s="106"/>
      <c r="G136" s="86"/>
      <c r="H136" s="85"/>
      <c r="I136" s="86"/>
      <c r="J136" s="86"/>
      <c r="K136" s="86"/>
      <c r="L136" s="86"/>
      <c r="M136" s="85"/>
      <c r="N136" s="106"/>
      <c r="O136" s="86"/>
    </row>
    <row r="137" spans="1:15" s="63" customFormat="1" ht="25.5" customHeight="1" x14ac:dyDescent="0.25">
      <c r="A137" s="86"/>
      <c r="B137" s="85"/>
      <c r="C137" s="85"/>
      <c r="D137" s="85"/>
      <c r="E137" s="85"/>
      <c r="F137" s="85"/>
      <c r="G137" s="85"/>
      <c r="H137" s="86"/>
      <c r="I137" s="85"/>
      <c r="J137" s="85"/>
      <c r="K137" s="85"/>
      <c r="L137" s="85"/>
      <c r="M137" s="103"/>
      <c r="N137" s="85"/>
      <c r="O137" s="85"/>
    </row>
    <row r="138" spans="1:15" s="63" customFormat="1" ht="25.5" customHeight="1" thickBot="1" x14ac:dyDescent="0.3">
      <c r="A138" s="104"/>
      <c r="B138" s="85"/>
      <c r="C138" s="85"/>
      <c r="D138" s="85"/>
      <c r="E138" s="85"/>
      <c r="F138" s="104"/>
      <c r="G138" s="104"/>
      <c r="H138" s="104"/>
      <c r="I138" s="85"/>
      <c r="J138" s="85"/>
      <c r="K138" s="85"/>
      <c r="L138" s="85"/>
      <c r="M138" s="104"/>
      <c r="N138" s="85"/>
      <c r="O138" s="85"/>
    </row>
    <row r="139" spans="1:15" s="63" customFormat="1" ht="25.5" customHeight="1" thickBot="1" x14ac:dyDescent="0.3">
      <c r="A139" s="131" t="s">
        <v>117</v>
      </c>
      <c r="B139" s="132"/>
      <c r="C139" s="132"/>
      <c r="D139" s="132" t="str">
        <f>F4</f>
        <v>AP03</v>
      </c>
      <c r="E139" s="133"/>
      <c r="F139" s="83" t="s">
        <v>76</v>
      </c>
      <c r="G139" s="84">
        <f>$C$116</f>
        <v>46008</v>
      </c>
      <c r="H139" s="85"/>
      <c r="I139" s="131" t="s">
        <v>35</v>
      </c>
      <c r="J139" s="132"/>
      <c r="K139" s="132"/>
      <c r="L139" s="132" t="str">
        <f>F5</f>
        <v>AP04</v>
      </c>
      <c r="M139" s="133"/>
      <c r="N139" s="83" t="s">
        <v>76</v>
      </c>
      <c r="O139" s="84">
        <f>$C$116</f>
        <v>46008</v>
      </c>
    </row>
    <row r="140" spans="1:15" s="63" customFormat="1" ht="25.5" customHeight="1" x14ac:dyDescent="0.25">
      <c r="A140" s="134" t="str">
        <f>G4</f>
        <v>PAWAN PUTRA AGENCY 3</v>
      </c>
      <c r="B140" s="135"/>
      <c r="C140" s="135"/>
      <c r="D140" s="135"/>
      <c r="E140" s="136"/>
      <c r="F140" s="137" t="s">
        <v>96</v>
      </c>
      <c r="G140" s="138"/>
      <c r="H140" s="85"/>
      <c r="I140" s="134" t="str">
        <f>G5</f>
        <v>PAWAN PUTRA AGENCY 4</v>
      </c>
      <c r="J140" s="135"/>
      <c r="K140" s="135"/>
      <c r="L140" s="135"/>
      <c r="M140" s="136" t="s">
        <v>96</v>
      </c>
      <c r="N140" s="137" t="s">
        <v>96</v>
      </c>
      <c r="O140" s="138"/>
    </row>
    <row r="141" spans="1:15" s="63" customFormat="1" ht="25.5" customHeight="1" thickBot="1" x14ac:dyDescent="0.3">
      <c r="A141" s="134" t="str">
        <f>H4</f>
        <v>TIRUPATHI 3</v>
      </c>
      <c r="B141" s="135"/>
      <c r="C141" s="135"/>
      <c r="D141" s="135"/>
      <c r="E141" s="136"/>
      <c r="F141" s="148">
        <f>A4</f>
        <v>3</v>
      </c>
      <c r="G141" s="136"/>
      <c r="H141" s="85"/>
      <c r="I141" s="134" t="str">
        <f>H5</f>
        <v>TIRUPATHI 4</v>
      </c>
      <c r="J141" s="135"/>
      <c r="K141" s="135"/>
      <c r="L141" s="135"/>
      <c r="M141" s="136">
        <f>A22</f>
        <v>0</v>
      </c>
      <c r="N141" s="148">
        <f>A5</f>
        <v>4</v>
      </c>
      <c r="O141" s="136"/>
    </row>
    <row r="142" spans="1:15" s="63" customFormat="1" ht="25.5" customHeight="1" thickBot="1" x14ac:dyDescent="0.3">
      <c r="A142" s="87" t="s">
        <v>136</v>
      </c>
      <c r="B142" s="88" t="s">
        <v>27</v>
      </c>
      <c r="C142" s="88" t="s">
        <v>28</v>
      </c>
      <c r="D142" s="88" t="s">
        <v>29</v>
      </c>
      <c r="E142" s="88" t="s">
        <v>30</v>
      </c>
      <c r="F142" s="89" t="s">
        <v>87</v>
      </c>
      <c r="G142" s="90" t="s">
        <v>88</v>
      </c>
      <c r="H142" s="85"/>
      <c r="I142" s="87" t="s">
        <v>136</v>
      </c>
      <c r="J142" s="88" t="s">
        <v>27</v>
      </c>
      <c r="K142" s="88" t="s">
        <v>28</v>
      </c>
      <c r="L142" s="88" t="s">
        <v>29</v>
      </c>
      <c r="M142" s="88" t="s">
        <v>30</v>
      </c>
      <c r="N142" s="89" t="s">
        <v>87</v>
      </c>
      <c r="O142" s="90" t="s">
        <v>88</v>
      </c>
    </row>
    <row r="143" spans="1:15" s="63" customFormat="1" ht="25.5" customHeight="1" x14ac:dyDescent="0.25">
      <c r="A143" s="91" t="str">
        <f>J4</f>
        <v>AG</v>
      </c>
      <c r="B143" s="91">
        <f t="shared" ref="B143:E143" si="81">K4</f>
        <v>1000</v>
      </c>
      <c r="C143" s="91">
        <f t="shared" si="81"/>
        <v>20</v>
      </c>
      <c r="D143" s="91" t="str">
        <f t="shared" si="81"/>
        <v>Y</v>
      </c>
      <c r="E143" s="91" t="str">
        <f t="shared" si="81"/>
        <v>3L</v>
      </c>
      <c r="F143" s="93">
        <v>0.5</v>
      </c>
      <c r="G143" s="94">
        <f>IF(A143="CAP",C143*F143,B143*C143*F143)</f>
        <v>10000</v>
      </c>
      <c r="H143" s="85"/>
      <c r="I143" s="91" t="str">
        <f>J5</f>
        <v>AG</v>
      </c>
      <c r="J143" s="91">
        <f t="shared" ref="J143:M143" si="82">K5</f>
        <v>1000</v>
      </c>
      <c r="K143" s="91">
        <f t="shared" si="82"/>
        <v>20</v>
      </c>
      <c r="L143" s="91" t="str">
        <f t="shared" si="82"/>
        <v>Y</v>
      </c>
      <c r="M143" s="91" t="str">
        <f t="shared" si="82"/>
        <v>3L</v>
      </c>
      <c r="N143" s="93">
        <v>0.5</v>
      </c>
      <c r="O143" s="94">
        <f>IF(I143="CAP",K143*N143,J143*K143*N143)</f>
        <v>10000</v>
      </c>
    </row>
    <row r="144" spans="1:15" s="63" customFormat="1" ht="25.5" customHeight="1" x14ac:dyDescent="0.25">
      <c r="A144" s="95" t="str">
        <f>P4</f>
        <v>Pure</v>
      </c>
      <c r="B144" s="95">
        <f t="shared" ref="B144:E144" si="83">Q4</f>
        <v>750</v>
      </c>
      <c r="C144" s="95">
        <f t="shared" si="83"/>
        <v>12</v>
      </c>
      <c r="D144" s="95" t="str">
        <f t="shared" si="83"/>
        <v>Y</v>
      </c>
      <c r="E144" s="95" t="str">
        <f t="shared" si="83"/>
        <v>3L</v>
      </c>
      <c r="F144" s="97">
        <v>0.5</v>
      </c>
      <c r="G144" s="98">
        <f t="shared" ref="G144:G152" si="84">IF(A144="CAP",C144*F144,B144*C144*F144)</f>
        <v>4500</v>
      </c>
      <c r="H144" s="85"/>
      <c r="I144" s="95" t="str">
        <f>P5</f>
        <v>Pure</v>
      </c>
      <c r="J144" s="95">
        <f t="shared" ref="J144:M144" si="85">Q5</f>
        <v>750</v>
      </c>
      <c r="K144" s="95">
        <f t="shared" si="85"/>
        <v>12</v>
      </c>
      <c r="L144" s="95" t="str">
        <f t="shared" si="85"/>
        <v>Y</v>
      </c>
      <c r="M144" s="95" t="str">
        <f t="shared" si="85"/>
        <v>3L</v>
      </c>
      <c r="N144" s="97">
        <v>0.5</v>
      </c>
      <c r="O144" s="98">
        <f t="shared" ref="O144:O152" si="86">IF(I144="CAP",K144*N144,J144*K144*N144)</f>
        <v>4500</v>
      </c>
    </row>
    <row r="145" spans="1:15" s="63" customFormat="1" ht="25.5" customHeight="1" x14ac:dyDescent="0.25">
      <c r="A145" s="95" t="str">
        <f>V4</f>
        <v>Loft</v>
      </c>
      <c r="B145" s="95">
        <f t="shared" ref="B145:E145" si="87">W4</f>
        <v>500</v>
      </c>
      <c r="C145" s="95">
        <f t="shared" si="87"/>
        <v>13</v>
      </c>
      <c r="D145" s="95">
        <f t="shared" si="87"/>
        <v>0</v>
      </c>
      <c r="E145" s="95">
        <f t="shared" si="87"/>
        <v>0</v>
      </c>
      <c r="F145" s="97">
        <v>0.5</v>
      </c>
      <c r="G145" s="98">
        <f t="shared" si="84"/>
        <v>3250</v>
      </c>
      <c r="H145" s="85"/>
      <c r="I145" s="95" t="str">
        <f>V5</f>
        <v>Loft</v>
      </c>
      <c r="J145" s="95">
        <f t="shared" ref="J145:M145" si="88">W5</f>
        <v>500</v>
      </c>
      <c r="K145" s="95">
        <f t="shared" si="88"/>
        <v>13</v>
      </c>
      <c r="L145" s="95">
        <f t="shared" si="88"/>
        <v>0</v>
      </c>
      <c r="M145" s="95">
        <f t="shared" si="88"/>
        <v>0</v>
      </c>
      <c r="N145" s="97">
        <v>0.5</v>
      </c>
      <c r="O145" s="98">
        <f t="shared" si="86"/>
        <v>3250</v>
      </c>
    </row>
    <row r="146" spans="1:15" s="63" customFormat="1" ht="25.5" customHeight="1" x14ac:dyDescent="0.25">
      <c r="A146" s="95" t="str">
        <f>AB4</f>
        <v>UT</v>
      </c>
      <c r="B146" s="95">
        <f t="shared" ref="B146:E146" si="89">AC4</f>
        <v>1000</v>
      </c>
      <c r="C146" s="95">
        <f t="shared" si="89"/>
        <v>2</v>
      </c>
      <c r="D146" s="95">
        <f t="shared" si="89"/>
        <v>0</v>
      </c>
      <c r="E146" s="95">
        <f t="shared" si="89"/>
        <v>0</v>
      </c>
      <c r="F146" s="97">
        <v>0.5</v>
      </c>
      <c r="G146" s="98">
        <f t="shared" si="84"/>
        <v>1000</v>
      </c>
      <c r="H146" s="85"/>
      <c r="I146" s="95" t="str">
        <f>AB5</f>
        <v>UT</v>
      </c>
      <c r="J146" s="95">
        <f t="shared" ref="J146:M146" si="90">AC5</f>
        <v>1000</v>
      </c>
      <c r="K146" s="95">
        <f t="shared" si="90"/>
        <v>2</v>
      </c>
      <c r="L146" s="95">
        <f t="shared" si="90"/>
        <v>0</v>
      </c>
      <c r="M146" s="95">
        <f t="shared" si="90"/>
        <v>0</v>
      </c>
      <c r="N146" s="97">
        <v>0.5</v>
      </c>
      <c r="O146" s="98">
        <f t="shared" si="86"/>
        <v>1000</v>
      </c>
    </row>
    <row r="147" spans="1:15" s="63" customFormat="1" ht="25.5" customHeight="1" x14ac:dyDescent="0.25">
      <c r="A147" s="95" t="str">
        <f>AH4</f>
        <v>HT</v>
      </c>
      <c r="B147" s="95">
        <f t="shared" ref="B147:E147" si="91">AI4</f>
        <v>2000</v>
      </c>
      <c r="C147" s="95">
        <f t="shared" si="91"/>
        <v>1</v>
      </c>
      <c r="D147" s="95" t="str">
        <f t="shared" si="91"/>
        <v>Y</v>
      </c>
      <c r="E147" s="95" t="str">
        <f t="shared" si="91"/>
        <v>3L</v>
      </c>
      <c r="F147" s="97">
        <v>0.6</v>
      </c>
      <c r="G147" s="98">
        <f t="shared" si="84"/>
        <v>1200</v>
      </c>
      <c r="H147" s="85"/>
      <c r="I147" s="95" t="str">
        <f>AH5</f>
        <v>HT</v>
      </c>
      <c r="J147" s="95">
        <f t="shared" ref="J147:M147" si="92">AI5</f>
        <v>2000</v>
      </c>
      <c r="K147" s="95">
        <f t="shared" si="92"/>
        <v>1</v>
      </c>
      <c r="L147" s="95" t="str">
        <f t="shared" si="92"/>
        <v>Y</v>
      </c>
      <c r="M147" s="95" t="str">
        <f t="shared" si="92"/>
        <v>3L</v>
      </c>
      <c r="N147" s="97">
        <v>0.6</v>
      </c>
      <c r="O147" s="98">
        <f t="shared" si="86"/>
        <v>1200</v>
      </c>
    </row>
    <row r="148" spans="1:15" s="63" customFormat="1" ht="25.5" customHeight="1" x14ac:dyDescent="0.25">
      <c r="A148" s="95" t="str">
        <f>AN4</f>
        <v>CAP</v>
      </c>
      <c r="B148" s="95">
        <f t="shared" ref="B148:E148" si="93">AO4</f>
        <v>0</v>
      </c>
      <c r="C148" s="95">
        <f t="shared" si="93"/>
        <v>15</v>
      </c>
      <c r="D148" s="95" t="str">
        <f t="shared" si="93"/>
        <v>W</v>
      </c>
      <c r="E148" s="95">
        <f t="shared" si="93"/>
        <v>0</v>
      </c>
      <c r="F148" s="97">
        <v>150</v>
      </c>
      <c r="G148" s="98">
        <f t="shared" si="84"/>
        <v>2250</v>
      </c>
      <c r="H148" s="85"/>
      <c r="I148" s="95" t="str">
        <f>AN5</f>
        <v>CAP</v>
      </c>
      <c r="J148" s="95">
        <f t="shared" ref="J148:M148" si="94">AO5</f>
        <v>0</v>
      </c>
      <c r="K148" s="95">
        <f t="shared" si="94"/>
        <v>15</v>
      </c>
      <c r="L148" s="95" t="str">
        <f t="shared" si="94"/>
        <v>W</v>
      </c>
      <c r="M148" s="95">
        <f t="shared" si="94"/>
        <v>0</v>
      </c>
      <c r="N148" s="97">
        <v>150</v>
      </c>
      <c r="O148" s="98">
        <f t="shared" si="86"/>
        <v>2250</v>
      </c>
    </row>
    <row r="149" spans="1:15" s="63" customFormat="1" ht="25.5" customHeight="1" x14ac:dyDescent="0.25">
      <c r="A149" s="95">
        <f>AT4</f>
        <v>0</v>
      </c>
      <c r="B149" s="95">
        <f t="shared" ref="B149:E149" si="95">AU4</f>
        <v>0</v>
      </c>
      <c r="C149" s="95">
        <f t="shared" si="95"/>
        <v>0</v>
      </c>
      <c r="D149" s="95">
        <f t="shared" si="95"/>
        <v>0</v>
      </c>
      <c r="E149" s="95">
        <f t="shared" si="95"/>
        <v>0</v>
      </c>
      <c r="F149" s="97"/>
      <c r="G149" s="98">
        <f t="shared" si="84"/>
        <v>0</v>
      </c>
      <c r="H149" s="85"/>
      <c r="I149" s="95">
        <f>AT5</f>
        <v>0</v>
      </c>
      <c r="J149" s="95">
        <f t="shared" ref="J149:M149" si="96">AU5</f>
        <v>0</v>
      </c>
      <c r="K149" s="95">
        <f t="shared" si="96"/>
        <v>0</v>
      </c>
      <c r="L149" s="95">
        <f t="shared" si="96"/>
        <v>0</v>
      </c>
      <c r="M149" s="95">
        <f t="shared" si="96"/>
        <v>0</v>
      </c>
      <c r="N149" s="97">
        <f t="shared" ref="N149:N151" si="97">IF(I149="CAP",J149*M149,M149*I149*J149)</f>
        <v>0</v>
      </c>
      <c r="O149" s="98">
        <f t="shared" si="86"/>
        <v>0</v>
      </c>
    </row>
    <row r="150" spans="1:15" s="63" customFormat="1" ht="25.5" customHeight="1" x14ac:dyDescent="0.25">
      <c r="A150" s="95">
        <f>AZ4</f>
        <v>0</v>
      </c>
      <c r="B150" s="95">
        <f t="shared" ref="B150:E150" si="98">BA4</f>
        <v>0</v>
      </c>
      <c r="C150" s="95">
        <f t="shared" si="98"/>
        <v>0</v>
      </c>
      <c r="D150" s="95">
        <f t="shared" si="98"/>
        <v>0</v>
      </c>
      <c r="E150" s="95">
        <f t="shared" si="98"/>
        <v>0</v>
      </c>
      <c r="F150" s="97"/>
      <c r="G150" s="98">
        <f t="shared" si="84"/>
        <v>0</v>
      </c>
      <c r="H150" s="85"/>
      <c r="I150" s="95">
        <f>AZ5</f>
        <v>0</v>
      </c>
      <c r="J150" s="95">
        <f t="shared" ref="J150:M150" si="99">BA5</f>
        <v>0</v>
      </c>
      <c r="K150" s="95">
        <f t="shared" si="99"/>
        <v>0</v>
      </c>
      <c r="L150" s="95">
        <f t="shared" si="99"/>
        <v>0</v>
      </c>
      <c r="M150" s="95">
        <f t="shared" si="99"/>
        <v>0</v>
      </c>
      <c r="N150" s="97">
        <f t="shared" si="97"/>
        <v>0</v>
      </c>
      <c r="O150" s="98">
        <f t="shared" si="86"/>
        <v>0</v>
      </c>
    </row>
    <row r="151" spans="1:15" s="63" customFormat="1" ht="25.5" customHeight="1" x14ac:dyDescent="0.25">
      <c r="A151" s="95">
        <f>BF4</f>
        <v>0</v>
      </c>
      <c r="B151" s="95">
        <f t="shared" ref="B151:E151" si="100">BG4</f>
        <v>0</v>
      </c>
      <c r="C151" s="95">
        <f t="shared" si="100"/>
        <v>0</v>
      </c>
      <c r="D151" s="95">
        <f t="shared" si="100"/>
        <v>0</v>
      </c>
      <c r="E151" s="95">
        <f t="shared" si="100"/>
        <v>0</v>
      </c>
      <c r="F151" s="97"/>
      <c r="G151" s="98">
        <f t="shared" si="84"/>
        <v>0</v>
      </c>
      <c r="H151" s="85"/>
      <c r="I151" s="95">
        <f>BF5</f>
        <v>0</v>
      </c>
      <c r="J151" s="95">
        <f t="shared" ref="J151:M151" si="101">BG5</f>
        <v>0</v>
      </c>
      <c r="K151" s="95">
        <f t="shared" si="101"/>
        <v>0</v>
      </c>
      <c r="L151" s="95">
        <f t="shared" si="101"/>
        <v>0</v>
      </c>
      <c r="M151" s="95">
        <f t="shared" si="101"/>
        <v>0</v>
      </c>
      <c r="N151" s="97">
        <f t="shared" si="97"/>
        <v>0</v>
      </c>
      <c r="O151" s="98">
        <f t="shared" si="86"/>
        <v>0</v>
      </c>
    </row>
    <row r="152" spans="1:15" s="63" customFormat="1" ht="25.5" customHeight="1" thickBot="1" x14ac:dyDescent="0.3">
      <c r="A152" s="99">
        <f>BL4</f>
        <v>0</v>
      </c>
      <c r="B152" s="99">
        <f t="shared" ref="B152:E152" si="102">BM4</f>
        <v>0</v>
      </c>
      <c r="C152" s="99">
        <f t="shared" si="102"/>
        <v>0</v>
      </c>
      <c r="D152" s="99">
        <f t="shared" si="102"/>
        <v>0</v>
      </c>
      <c r="E152" s="99">
        <f t="shared" si="102"/>
        <v>0</v>
      </c>
      <c r="F152" s="101"/>
      <c r="G152" s="102">
        <f t="shared" si="84"/>
        <v>0</v>
      </c>
      <c r="H152" s="85"/>
      <c r="I152" s="99">
        <f>BL5</f>
        <v>0</v>
      </c>
      <c r="J152" s="99">
        <f t="shared" ref="J152:M152" si="103">BM5</f>
        <v>0</v>
      </c>
      <c r="K152" s="99">
        <f t="shared" si="103"/>
        <v>0</v>
      </c>
      <c r="L152" s="99">
        <f t="shared" si="103"/>
        <v>0</v>
      </c>
      <c r="M152" s="99">
        <f t="shared" si="103"/>
        <v>0</v>
      </c>
      <c r="N152" s="101">
        <f>IF(I152="CAP",J152*M152,M152*I152*J152)</f>
        <v>0</v>
      </c>
      <c r="O152" s="102">
        <f t="shared" si="86"/>
        <v>0</v>
      </c>
    </row>
    <row r="153" spans="1:15" s="63" customFormat="1" ht="25.5" customHeight="1" x14ac:dyDescent="0.25">
      <c r="A153" s="137" t="s">
        <v>24</v>
      </c>
      <c r="B153" s="138"/>
      <c r="C153" s="129">
        <f>SUM(C143:C152)</f>
        <v>63</v>
      </c>
      <c r="D153" s="130"/>
      <c r="E153" s="130" t="s">
        <v>86</v>
      </c>
      <c r="F153" s="141"/>
      <c r="G153" s="142">
        <f>SUM(G143:G152)</f>
        <v>22200</v>
      </c>
      <c r="H153" s="85"/>
      <c r="I153" s="137" t="s">
        <v>24</v>
      </c>
      <c r="J153" s="138">
        <f>SUM(J143:J152)</f>
        <v>5250</v>
      </c>
      <c r="K153" s="129">
        <f>SUM(K143:K152)</f>
        <v>63</v>
      </c>
      <c r="L153" s="130"/>
      <c r="M153" s="130" t="s">
        <v>86</v>
      </c>
      <c r="N153" s="141"/>
      <c r="O153" s="142">
        <f>SUM(O143:O152)</f>
        <v>22200</v>
      </c>
    </row>
    <row r="154" spans="1:15" s="63" customFormat="1" ht="25.5" customHeight="1" thickBot="1" x14ac:dyDescent="0.3">
      <c r="A154" s="139"/>
      <c r="B154" s="140"/>
      <c r="C154" s="127">
        <f>SUMPRODUCT(C143:C152,B143:B152)</f>
        <v>39500</v>
      </c>
      <c r="D154" s="128"/>
      <c r="E154" s="144" t="s">
        <v>89</v>
      </c>
      <c r="F154" s="145"/>
      <c r="G154" s="143"/>
      <c r="H154" s="85"/>
      <c r="I154" s="139"/>
      <c r="J154" s="140">
        <f>SUMPRODUCT(I143:I152,J143:J152)</f>
        <v>0</v>
      </c>
      <c r="K154" s="127">
        <f>SUMPRODUCT(K143:K152,J143:J152)</f>
        <v>39500</v>
      </c>
      <c r="L154" s="128"/>
      <c r="M154" s="144" t="s">
        <v>89</v>
      </c>
      <c r="N154" s="145"/>
      <c r="O154" s="143"/>
    </row>
    <row r="155" spans="1:15" s="63" customFormat="1" ht="37.5" customHeight="1" x14ac:dyDescent="0.25">
      <c r="A155" s="125" t="s">
        <v>116</v>
      </c>
      <c r="B155" s="125"/>
      <c r="C155" s="125"/>
      <c r="D155" s="125"/>
      <c r="E155" s="85"/>
      <c r="F155" s="126" t="str">
        <f>$J$116</f>
        <v>KA41C4059</v>
      </c>
      <c r="G155" s="125"/>
      <c r="H155" s="85"/>
      <c r="I155" s="125" t="s">
        <v>116</v>
      </c>
      <c r="J155" s="125"/>
      <c r="K155" s="125"/>
      <c r="L155" s="125"/>
      <c r="M155" s="85"/>
      <c r="N155" s="126" t="str">
        <f>$J$116</f>
        <v>KA41C4059</v>
      </c>
      <c r="O155" s="125"/>
    </row>
    <row r="156" spans="1:15" ht="21" x14ac:dyDescent="0.25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85"/>
      <c r="O156" s="85"/>
    </row>
    <row r="157" spans="1:15" ht="21.75" thickBot="1" x14ac:dyDescent="0.3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85"/>
      <c r="O157" s="85"/>
    </row>
    <row r="158" spans="1:15" s="63" customFormat="1" ht="25.5" customHeight="1" thickBot="1" x14ac:dyDescent="0.3">
      <c r="A158" s="131" t="s">
        <v>117</v>
      </c>
      <c r="B158" s="132"/>
      <c r="C158" s="132"/>
      <c r="D158" s="132" t="str">
        <f>F6</f>
        <v>AP05</v>
      </c>
      <c r="E158" s="133"/>
      <c r="F158" s="83" t="s">
        <v>76</v>
      </c>
      <c r="G158" s="84">
        <f>$C$116</f>
        <v>46008</v>
      </c>
      <c r="H158" s="85"/>
      <c r="I158" s="131" t="s">
        <v>35</v>
      </c>
      <c r="J158" s="132"/>
      <c r="K158" s="132"/>
      <c r="L158" s="132" t="str">
        <f>F7</f>
        <v>AP06</v>
      </c>
      <c r="M158" s="133"/>
      <c r="N158" s="83" t="s">
        <v>76</v>
      </c>
      <c r="O158" s="84">
        <f>$C$116</f>
        <v>46008</v>
      </c>
    </row>
    <row r="159" spans="1:15" s="63" customFormat="1" ht="25.5" customHeight="1" x14ac:dyDescent="0.25">
      <c r="A159" s="134" t="str">
        <f>G6</f>
        <v>PAWAN PUTRA AGENCY 5</v>
      </c>
      <c r="B159" s="135"/>
      <c r="C159" s="135"/>
      <c r="D159" s="135"/>
      <c r="E159" s="136"/>
      <c r="F159" s="137" t="s">
        <v>96</v>
      </c>
      <c r="G159" s="138"/>
      <c r="H159" s="85"/>
      <c r="I159" s="134" t="str">
        <f>G7</f>
        <v>PAWAN PUTRA AGENCY 6</v>
      </c>
      <c r="J159" s="135"/>
      <c r="K159" s="135"/>
      <c r="L159" s="135"/>
      <c r="M159" s="136" t="s">
        <v>96</v>
      </c>
      <c r="N159" s="137" t="s">
        <v>96</v>
      </c>
      <c r="O159" s="138"/>
    </row>
    <row r="160" spans="1:15" s="63" customFormat="1" ht="25.5" customHeight="1" thickBot="1" x14ac:dyDescent="0.3">
      <c r="A160" s="134" t="str">
        <f>H6</f>
        <v>TIRUPATHI 5</v>
      </c>
      <c r="B160" s="135"/>
      <c r="C160" s="135"/>
      <c r="D160" s="135"/>
      <c r="E160" s="136"/>
      <c r="F160" s="148">
        <f>A6</f>
        <v>5</v>
      </c>
      <c r="G160" s="136"/>
      <c r="H160" s="85"/>
      <c r="I160" s="134" t="str">
        <f>H7</f>
        <v>TIRUPATHI 6</v>
      </c>
      <c r="J160" s="135"/>
      <c r="K160" s="135"/>
      <c r="L160" s="135"/>
      <c r="M160" s="136">
        <f>A41</f>
        <v>0</v>
      </c>
      <c r="N160" s="148">
        <f>A7</f>
        <v>6</v>
      </c>
      <c r="O160" s="136"/>
    </row>
    <row r="161" spans="1:15" s="63" customFormat="1" ht="25.5" customHeight="1" thickBot="1" x14ac:dyDescent="0.3">
      <c r="A161" s="87" t="s">
        <v>136</v>
      </c>
      <c r="B161" s="88" t="s">
        <v>27</v>
      </c>
      <c r="C161" s="88" t="s">
        <v>28</v>
      </c>
      <c r="D161" s="88" t="s">
        <v>29</v>
      </c>
      <c r="E161" s="88" t="s">
        <v>30</v>
      </c>
      <c r="F161" s="89" t="s">
        <v>87</v>
      </c>
      <c r="G161" s="90" t="s">
        <v>88</v>
      </c>
      <c r="H161" s="85"/>
      <c r="I161" s="87" t="s">
        <v>136</v>
      </c>
      <c r="J161" s="88" t="s">
        <v>27</v>
      </c>
      <c r="K161" s="88" t="s">
        <v>28</v>
      </c>
      <c r="L161" s="88" t="s">
        <v>29</v>
      </c>
      <c r="M161" s="88" t="s">
        <v>30</v>
      </c>
      <c r="N161" s="89" t="s">
        <v>87</v>
      </c>
      <c r="O161" s="90" t="s">
        <v>88</v>
      </c>
    </row>
    <row r="162" spans="1:15" s="63" customFormat="1" ht="25.5" customHeight="1" x14ac:dyDescent="0.25">
      <c r="A162" s="91" t="str">
        <f>J6</f>
        <v>AG</v>
      </c>
      <c r="B162" s="91">
        <f t="shared" ref="B162:E162" si="104">K6</f>
        <v>1000</v>
      </c>
      <c r="C162" s="91">
        <f t="shared" si="104"/>
        <v>20</v>
      </c>
      <c r="D162" s="91" t="str">
        <f t="shared" si="104"/>
        <v>Y</v>
      </c>
      <c r="E162" s="91" t="str">
        <f t="shared" si="104"/>
        <v>3L</v>
      </c>
      <c r="F162" s="93">
        <v>0.5</v>
      </c>
      <c r="G162" s="94">
        <f>IF(A162="CAP",C162*F162,B162*C162*F162)</f>
        <v>10000</v>
      </c>
      <c r="H162" s="85"/>
      <c r="I162" s="91" t="str">
        <f>J7</f>
        <v>AG</v>
      </c>
      <c r="J162" s="91">
        <f t="shared" ref="J162:M162" si="105">K7</f>
        <v>1000</v>
      </c>
      <c r="K162" s="91">
        <f t="shared" si="105"/>
        <v>20</v>
      </c>
      <c r="L162" s="91" t="str">
        <f t="shared" si="105"/>
        <v>Y</v>
      </c>
      <c r="M162" s="91" t="str">
        <f t="shared" si="105"/>
        <v>3L</v>
      </c>
      <c r="N162" s="93">
        <v>0.5</v>
      </c>
      <c r="O162" s="94">
        <f>IF(I162="CAP",K162*N162,J162*K162*N162)</f>
        <v>10000</v>
      </c>
    </row>
    <row r="163" spans="1:15" s="63" customFormat="1" ht="25.5" customHeight="1" x14ac:dyDescent="0.25">
      <c r="A163" s="95" t="str">
        <f>P6</f>
        <v>Pure</v>
      </c>
      <c r="B163" s="95">
        <f t="shared" ref="B163:E163" si="106">Q6</f>
        <v>750</v>
      </c>
      <c r="C163" s="95">
        <f t="shared" si="106"/>
        <v>12</v>
      </c>
      <c r="D163" s="95" t="str">
        <f t="shared" si="106"/>
        <v>Y</v>
      </c>
      <c r="E163" s="95" t="str">
        <f t="shared" si="106"/>
        <v>3L</v>
      </c>
      <c r="F163" s="97">
        <v>0.5</v>
      </c>
      <c r="G163" s="98">
        <f t="shared" ref="G163:G171" si="107">IF(A163="CAP",C163*F163,B163*C163*F163)</f>
        <v>4500</v>
      </c>
      <c r="H163" s="85"/>
      <c r="I163" s="95" t="str">
        <f>P7</f>
        <v>Pure</v>
      </c>
      <c r="J163" s="95">
        <f t="shared" ref="J163:M163" si="108">Q7</f>
        <v>750</v>
      </c>
      <c r="K163" s="95">
        <f t="shared" si="108"/>
        <v>12</v>
      </c>
      <c r="L163" s="95" t="str">
        <f t="shared" si="108"/>
        <v>Y</v>
      </c>
      <c r="M163" s="95" t="str">
        <f t="shared" si="108"/>
        <v>3L</v>
      </c>
      <c r="N163" s="97">
        <v>0.5</v>
      </c>
      <c r="O163" s="98">
        <f t="shared" ref="O163:O171" si="109">IF(I163="CAP",K163*N163,J163*K163*N163)</f>
        <v>4500</v>
      </c>
    </row>
    <row r="164" spans="1:15" s="63" customFormat="1" ht="25.5" customHeight="1" x14ac:dyDescent="0.25">
      <c r="A164" s="95" t="str">
        <f>V6</f>
        <v>Loft</v>
      </c>
      <c r="B164" s="95">
        <f t="shared" ref="B164:E164" si="110">W6</f>
        <v>500</v>
      </c>
      <c r="C164" s="95">
        <f t="shared" si="110"/>
        <v>13</v>
      </c>
      <c r="D164" s="95">
        <f t="shared" si="110"/>
        <v>0</v>
      </c>
      <c r="E164" s="95">
        <f t="shared" si="110"/>
        <v>0</v>
      </c>
      <c r="F164" s="97">
        <v>0.5</v>
      </c>
      <c r="G164" s="98">
        <f t="shared" si="107"/>
        <v>3250</v>
      </c>
      <c r="H164" s="85"/>
      <c r="I164" s="95" t="str">
        <f>V7</f>
        <v>Loft</v>
      </c>
      <c r="J164" s="95">
        <f t="shared" ref="J164:M164" si="111">W7</f>
        <v>500</v>
      </c>
      <c r="K164" s="95">
        <f t="shared" si="111"/>
        <v>13</v>
      </c>
      <c r="L164" s="95">
        <f t="shared" si="111"/>
        <v>0</v>
      </c>
      <c r="M164" s="95">
        <f t="shared" si="111"/>
        <v>0</v>
      </c>
      <c r="N164" s="97">
        <v>0.5</v>
      </c>
      <c r="O164" s="98">
        <f t="shared" si="109"/>
        <v>3250</v>
      </c>
    </row>
    <row r="165" spans="1:15" s="63" customFormat="1" ht="25.5" customHeight="1" x14ac:dyDescent="0.25">
      <c r="A165" s="95" t="str">
        <f>AB6</f>
        <v>UT</v>
      </c>
      <c r="B165" s="95">
        <f t="shared" ref="B165:E165" si="112">AC6</f>
        <v>1000</v>
      </c>
      <c r="C165" s="95">
        <f t="shared" si="112"/>
        <v>2</v>
      </c>
      <c r="D165" s="95">
        <f t="shared" si="112"/>
        <v>0</v>
      </c>
      <c r="E165" s="95">
        <f t="shared" si="112"/>
        <v>0</v>
      </c>
      <c r="F165" s="97">
        <v>0.5</v>
      </c>
      <c r="G165" s="98">
        <f t="shared" si="107"/>
        <v>1000</v>
      </c>
      <c r="H165" s="85"/>
      <c r="I165" s="95" t="str">
        <f>AB7</f>
        <v>UT</v>
      </c>
      <c r="J165" s="95">
        <f t="shared" ref="J165:M165" si="113">AC7</f>
        <v>1000</v>
      </c>
      <c r="K165" s="95">
        <f t="shared" si="113"/>
        <v>2</v>
      </c>
      <c r="L165" s="95">
        <f t="shared" si="113"/>
        <v>0</v>
      </c>
      <c r="M165" s="95">
        <f t="shared" si="113"/>
        <v>0</v>
      </c>
      <c r="N165" s="97">
        <v>0.5</v>
      </c>
      <c r="O165" s="98">
        <f t="shared" si="109"/>
        <v>1000</v>
      </c>
    </row>
    <row r="166" spans="1:15" s="63" customFormat="1" ht="25.5" customHeight="1" x14ac:dyDescent="0.25">
      <c r="A166" s="95" t="str">
        <f>AH6</f>
        <v>HT</v>
      </c>
      <c r="B166" s="95">
        <f t="shared" ref="B166:E166" si="114">AI6</f>
        <v>2000</v>
      </c>
      <c r="C166" s="95">
        <f t="shared" si="114"/>
        <v>1</v>
      </c>
      <c r="D166" s="95" t="str">
        <f t="shared" si="114"/>
        <v>Y</v>
      </c>
      <c r="E166" s="95" t="str">
        <f t="shared" si="114"/>
        <v>3L</v>
      </c>
      <c r="F166" s="97">
        <v>0.6</v>
      </c>
      <c r="G166" s="98">
        <f t="shared" si="107"/>
        <v>1200</v>
      </c>
      <c r="H166" s="85"/>
      <c r="I166" s="95" t="str">
        <f>AH7</f>
        <v>HT</v>
      </c>
      <c r="J166" s="95">
        <f t="shared" ref="J166:M166" si="115">AI7</f>
        <v>2000</v>
      </c>
      <c r="K166" s="95">
        <f t="shared" si="115"/>
        <v>1</v>
      </c>
      <c r="L166" s="95" t="str">
        <f t="shared" si="115"/>
        <v>Y</v>
      </c>
      <c r="M166" s="95" t="str">
        <f t="shared" si="115"/>
        <v>3L</v>
      </c>
      <c r="N166" s="97">
        <v>0.6</v>
      </c>
      <c r="O166" s="98">
        <f t="shared" si="109"/>
        <v>1200</v>
      </c>
    </row>
    <row r="167" spans="1:15" s="63" customFormat="1" ht="25.5" customHeight="1" x14ac:dyDescent="0.25">
      <c r="A167" s="105" t="str">
        <f>AN6</f>
        <v>CAP</v>
      </c>
      <c r="B167" s="105">
        <f t="shared" ref="B167:E167" si="116">AO6</f>
        <v>0</v>
      </c>
      <c r="C167" s="105">
        <f t="shared" si="116"/>
        <v>15</v>
      </c>
      <c r="D167" s="105" t="str">
        <f t="shared" si="116"/>
        <v>W</v>
      </c>
      <c r="E167" s="105">
        <f t="shared" si="116"/>
        <v>0</v>
      </c>
      <c r="F167" s="97">
        <v>150</v>
      </c>
      <c r="G167" s="98">
        <f t="shared" si="107"/>
        <v>2250</v>
      </c>
      <c r="H167" s="85"/>
      <c r="I167" s="95" t="str">
        <f>AN7</f>
        <v>CAP</v>
      </c>
      <c r="J167" s="95">
        <f t="shared" ref="J167:M167" si="117">AO7</f>
        <v>0</v>
      </c>
      <c r="K167" s="95">
        <f t="shared" si="117"/>
        <v>15</v>
      </c>
      <c r="L167" s="95" t="str">
        <f t="shared" si="117"/>
        <v>W</v>
      </c>
      <c r="M167" s="95">
        <f t="shared" si="117"/>
        <v>0</v>
      </c>
      <c r="N167" s="97">
        <v>150</v>
      </c>
      <c r="O167" s="98">
        <f t="shared" si="109"/>
        <v>2250</v>
      </c>
    </row>
    <row r="168" spans="1:15" s="63" customFormat="1" ht="25.5" customHeight="1" x14ac:dyDescent="0.25">
      <c r="A168" s="95">
        <f>AT6</f>
        <v>0</v>
      </c>
      <c r="B168" s="95">
        <f t="shared" ref="B168:E168" si="118">AU6</f>
        <v>0</v>
      </c>
      <c r="C168" s="95">
        <f t="shared" si="118"/>
        <v>0</v>
      </c>
      <c r="D168" s="95">
        <f t="shared" si="118"/>
        <v>0</v>
      </c>
      <c r="E168" s="95">
        <f t="shared" si="118"/>
        <v>0</v>
      </c>
      <c r="F168" s="97"/>
      <c r="G168" s="98">
        <f t="shared" si="107"/>
        <v>0</v>
      </c>
      <c r="H168" s="85"/>
      <c r="I168" s="95">
        <f>AT7</f>
        <v>0</v>
      </c>
      <c r="J168" s="95">
        <f t="shared" ref="J168:M168" si="119">AU7</f>
        <v>0</v>
      </c>
      <c r="K168" s="95">
        <f t="shared" si="119"/>
        <v>0</v>
      </c>
      <c r="L168" s="95">
        <f t="shared" si="119"/>
        <v>0</v>
      </c>
      <c r="M168" s="95">
        <f t="shared" si="119"/>
        <v>0</v>
      </c>
      <c r="N168" s="97">
        <f t="shared" ref="N168:N170" si="120">IF(I168="CAP",J168*M168,M168*I168*J168)</f>
        <v>0</v>
      </c>
      <c r="O168" s="98">
        <f t="shared" si="109"/>
        <v>0</v>
      </c>
    </row>
    <row r="169" spans="1:15" s="63" customFormat="1" ht="25.5" customHeight="1" x14ac:dyDescent="0.25">
      <c r="A169" s="95">
        <f>AZ6</f>
        <v>0</v>
      </c>
      <c r="B169" s="95">
        <f t="shared" ref="B169:E169" si="121">BA6</f>
        <v>0</v>
      </c>
      <c r="C169" s="95">
        <f t="shared" si="121"/>
        <v>0</v>
      </c>
      <c r="D169" s="95">
        <f t="shared" si="121"/>
        <v>0</v>
      </c>
      <c r="E169" s="95">
        <f t="shared" si="121"/>
        <v>0</v>
      </c>
      <c r="F169" s="97"/>
      <c r="G169" s="98">
        <f t="shared" si="107"/>
        <v>0</v>
      </c>
      <c r="H169" s="85"/>
      <c r="I169" s="95">
        <f>AZ7</f>
        <v>0</v>
      </c>
      <c r="J169" s="95">
        <f t="shared" ref="J169:M169" si="122">BA7</f>
        <v>0</v>
      </c>
      <c r="K169" s="95">
        <f t="shared" si="122"/>
        <v>0</v>
      </c>
      <c r="L169" s="95">
        <f t="shared" si="122"/>
        <v>0</v>
      </c>
      <c r="M169" s="95">
        <f t="shared" si="122"/>
        <v>0</v>
      </c>
      <c r="N169" s="97">
        <f t="shared" si="120"/>
        <v>0</v>
      </c>
      <c r="O169" s="98">
        <f t="shared" si="109"/>
        <v>0</v>
      </c>
    </row>
    <row r="170" spans="1:15" s="63" customFormat="1" ht="25.5" customHeight="1" x14ac:dyDescent="0.25">
      <c r="A170" s="95">
        <f>BF6</f>
        <v>0</v>
      </c>
      <c r="B170" s="95">
        <f t="shared" ref="B170:E170" si="123">BG6</f>
        <v>0</v>
      </c>
      <c r="C170" s="95">
        <f t="shared" si="123"/>
        <v>0</v>
      </c>
      <c r="D170" s="95">
        <f t="shared" si="123"/>
        <v>0</v>
      </c>
      <c r="E170" s="95">
        <f t="shared" si="123"/>
        <v>0</v>
      </c>
      <c r="F170" s="97"/>
      <c r="G170" s="98">
        <f t="shared" si="107"/>
        <v>0</v>
      </c>
      <c r="H170" s="85"/>
      <c r="I170" s="95">
        <f>BF7</f>
        <v>0</v>
      </c>
      <c r="J170" s="95">
        <f t="shared" ref="J170:M170" si="124">BG7</f>
        <v>0</v>
      </c>
      <c r="K170" s="95">
        <f t="shared" si="124"/>
        <v>0</v>
      </c>
      <c r="L170" s="95">
        <f t="shared" si="124"/>
        <v>0</v>
      </c>
      <c r="M170" s="95">
        <f t="shared" si="124"/>
        <v>0</v>
      </c>
      <c r="N170" s="97">
        <f t="shared" si="120"/>
        <v>0</v>
      </c>
      <c r="O170" s="98">
        <f t="shared" si="109"/>
        <v>0</v>
      </c>
    </row>
    <row r="171" spans="1:15" s="63" customFormat="1" ht="25.5" customHeight="1" thickBot="1" x14ac:dyDescent="0.3">
      <c r="A171" s="99">
        <f>BL6</f>
        <v>0</v>
      </c>
      <c r="B171" s="99">
        <f t="shared" ref="B171:E171" si="125">BM6</f>
        <v>0</v>
      </c>
      <c r="C171" s="99">
        <f t="shared" si="125"/>
        <v>0</v>
      </c>
      <c r="D171" s="99">
        <f t="shared" si="125"/>
        <v>0</v>
      </c>
      <c r="E171" s="99">
        <f t="shared" si="125"/>
        <v>0</v>
      </c>
      <c r="F171" s="101"/>
      <c r="G171" s="102">
        <f t="shared" si="107"/>
        <v>0</v>
      </c>
      <c r="H171" s="85"/>
      <c r="I171" s="99">
        <f>BL7</f>
        <v>0</v>
      </c>
      <c r="J171" s="99">
        <f t="shared" ref="J171:M171" si="126">BM7</f>
        <v>0</v>
      </c>
      <c r="K171" s="99">
        <f t="shared" si="126"/>
        <v>0</v>
      </c>
      <c r="L171" s="99">
        <f t="shared" si="126"/>
        <v>0</v>
      </c>
      <c r="M171" s="99">
        <f t="shared" si="126"/>
        <v>0</v>
      </c>
      <c r="N171" s="101">
        <f>IF(I171="CAP",J171*M171,M171*I171*J171)</f>
        <v>0</v>
      </c>
      <c r="O171" s="102">
        <f t="shared" si="109"/>
        <v>0</v>
      </c>
    </row>
    <row r="172" spans="1:15" s="63" customFormat="1" ht="25.5" customHeight="1" x14ac:dyDescent="0.25">
      <c r="A172" s="137" t="s">
        <v>24</v>
      </c>
      <c r="B172" s="138"/>
      <c r="C172" s="129">
        <f>SUM(C162:C171)</f>
        <v>63</v>
      </c>
      <c r="D172" s="130"/>
      <c r="E172" s="130" t="s">
        <v>86</v>
      </c>
      <c r="F172" s="141"/>
      <c r="G172" s="142">
        <f>SUM(G162:G171)</f>
        <v>22200</v>
      </c>
      <c r="H172" s="85"/>
      <c r="I172" s="137" t="s">
        <v>24</v>
      </c>
      <c r="J172" s="138">
        <f>SUM(J162:J171)</f>
        <v>5250</v>
      </c>
      <c r="K172" s="129">
        <f>SUM(K162:K171)</f>
        <v>63</v>
      </c>
      <c r="L172" s="130"/>
      <c r="M172" s="130" t="s">
        <v>86</v>
      </c>
      <c r="N172" s="141"/>
      <c r="O172" s="142">
        <f>SUM(O162:O171)</f>
        <v>22200</v>
      </c>
    </row>
    <row r="173" spans="1:15" s="63" customFormat="1" ht="25.5" customHeight="1" thickBot="1" x14ac:dyDescent="0.3">
      <c r="A173" s="139"/>
      <c r="B173" s="140"/>
      <c r="C173" s="127">
        <f>SUMPRODUCT(C162:C171,B162:B171)</f>
        <v>39500</v>
      </c>
      <c r="D173" s="128"/>
      <c r="E173" s="144" t="s">
        <v>89</v>
      </c>
      <c r="F173" s="145"/>
      <c r="G173" s="143"/>
      <c r="H173" s="85"/>
      <c r="I173" s="139"/>
      <c r="J173" s="140">
        <f>SUMPRODUCT(I162:I171,J162:J171)</f>
        <v>0</v>
      </c>
      <c r="K173" s="127">
        <f>SUMPRODUCT(K162:K171,J162:J171)</f>
        <v>39500</v>
      </c>
      <c r="L173" s="128"/>
      <c r="M173" s="144" t="s">
        <v>89</v>
      </c>
      <c r="N173" s="145"/>
      <c r="O173" s="143"/>
    </row>
    <row r="174" spans="1:15" s="63" customFormat="1" ht="25.5" customHeight="1" x14ac:dyDescent="0.25">
      <c r="A174" s="125" t="s">
        <v>116</v>
      </c>
      <c r="B174" s="125"/>
      <c r="C174" s="125"/>
      <c r="D174" s="125"/>
      <c r="E174" s="85"/>
      <c r="F174" s="126" t="str">
        <f>$J$116</f>
        <v>KA41C4059</v>
      </c>
      <c r="G174" s="125"/>
      <c r="H174" s="85"/>
      <c r="I174" s="125" t="s">
        <v>116</v>
      </c>
      <c r="J174" s="125"/>
      <c r="K174" s="125"/>
      <c r="L174" s="125"/>
      <c r="M174" s="85"/>
      <c r="N174" s="126" t="str">
        <f>$J$116</f>
        <v>KA41C4059</v>
      </c>
      <c r="O174" s="125"/>
    </row>
    <row r="175" spans="1:15" s="63" customFormat="1" ht="25.5" customHeight="1" x14ac:dyDescent="0.25">
      <c r="A175" s="86"/>
      <c r="B175" s="86"/>
      <c r="C175" s="86"/>
      <c r="D175" s="86"/>
      <c r="E175" s="85"/>
      <c r="F175" s="106"/>
      <c r="G175" s="86"/>
      <c r="H175" s="85"/>
      <c r="I175" s="86"/>
      <c r="J175" s="86"/>
      <c r="K175" s="86"/>
      <c r="L175" s="86"/>
      <c r="M175" s="85"/>
      <c r="N175" s="106"/>
      <c r="O175" s="86"/>
    </row>
    <row r="176" spans="1:15" s="63" customFormat="1" ht="25.5" customHeight="1" x14ac:dyDescent="0.25">
      <c r="A176" s="86"/>
      <c r="B176" s="86"/>
      <c r="C176" s="86"/>
      <c r="D176" s="86"/>
      <c r="E176" s="85"/>
      <c r="F176" s="106"/>
      <c r="G176" s="86"/>
      <c r="H176" s="85"/>
      <c r="I176" s="86"/>
      <c r="J176" s="86"/>
      <c r="K176" s="86"/>
      <c r="L176" s="86"/>
      <c r="M176" s="85"/>
      <c r="N176" s="106"/>
      <c r="O176" s="86"/>
    </row>
    <row r="177" spans="1:15" ht="21" x14ac:dyDescent="0.25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85"/>
      <c r="O177" s="85"/>
    </row>
    <row r="178" spans="1:15" ht="21.75" thickBot="1" x14ac:dyDescent="0.3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85"/>
      <c r="O178" s="85"/>
    </row>
    <row r="179" spans="1:15" s="63" customFormat="1" ht="25.5" customHeight="1" thickBot="1" x14ac:dyDescent="0.3">
      <c r="A179" s="131" t="s">
        <v>117</v>
      </c>
      <c r="B179" s="132"/>
      <c r="C179" s="132"/>
      <c r="D179" s="132" t="str">
        <f>F8</f>
        <v>AP07</v>
      </c>
      <c r="E179" s="133"/>
      <c r="F179" s="83" t="s">
        <v>76</v>
      </c>
      <c r="G179" s="84">
        <f>$C$116</f>
        <v>46008</v>
      </c>
      <c r="H179" s="85"/>
      <c r="I179" s="131" t="s">
        <v>35</v>
      </c>
      <c r="J179" s="132"/>
      <c r="K179" s="132"/>
      <c r="L179" s="132" t="str">
        <f>F9</f>
        <v>AP08</v>
      </c>
      <c r="M179" s="133"/>
      <c r="N179" s="83" t="s">
        <v>76</v>
      </c>
      <c r="O179" s="84">
        <f>$C$116</f>
        <v>46008</v>
      </c>
    </row>
    <row r="180" spans="1:15" s="63" customFormat="1" ht="25.5" customHeight="1" x14ac:dyDescent="0.25">
      <c r="A180" s="134" t="str">
        <f>G8</f>
        <v>PAWAN PUTRA AGENCY 7</v>
      </c>
      <c r="B180" s="135"/>
      <c r="C180" s="135"/>
      <c r="D180" s="135"/>
      <c r="E180" s="136"/>
      <c r="F180" s="137" t="s">
        <v>96</v>
      </c>
      <c r="G180" s="138"/>
      <c r="H180" s="85"/>
      <c r="I180" s="134" t="str">
        <f>G9</f>
        <v>PAWAN PUTRA AGENCY 8</v>
      </c>
      <c r="J180" s="135"/>
      <c r="K180" s="135"/>
      <c r="L180" s="135"/>
      <c r="M180" s="136" t="s">
        <v>96</v>
      </c>
      <c r="N180" s="137" t="s">
        <v>96</v>
      </c>
      <c r="O180" s="138"/>
    </row>
    <row r="181" spans="1:15" s="63" customFormat="1" ht="25.5" customHeight="1" thickBot="1" x14ac:dyDescent="0.3">
      <c r="A181" s="134" t="str">
        <f>H8</f>
        <v>TIRUPATHI 7</v>
      </c>
      <c r="B181" s="135"/>
      <c r="C181" s="135"/>
      <c r="D181" s="135"/>
      <c r="E181" s="136"/>
      <c r="F181" s="148">
        <f>A8</f>
        <v>7</v>
      </c>
      <c r="G181" s="136"/>
      <c r="H181" s="85"/>
      <c r="I181" s="134" t="str">
        <f>H9</f>
        <v>TIRUPATHI 8</v>
      </c>
      <c r="J181" s="135"/>
      <c r="K181" s="135"/>
      <c r="L181" s="135"/>
      <c r="M181" s="136">
        <f>A60</f>
        <v>0</v>
      </c>
      <c r="N181" s="148">
        <f>A9</f>
        <v>8</v>
      </c>
      <c r="O181" s="136"/>
    </row>
    <row r="182" spans="1:15" s="63" customFormat="1" ht="25.5" customHeight="1" thickBot="1" x14ac:dyDescent="0.3">
      <c r="A182" s="87" t="s">
        <v>136</v>
      </c>
      <c r="B182" s="88" t="s">
        <v>27</v>
      </c>
      <c r="C182" s="88" t="s">
        <v>28</v>
      </c>
      <c r="D182" s="88" t="s">
        <v>29</v>
      </c>
      <c r="E182" s="88" t="s">
        <v>30</v>
      </c>
      <c r="F182" s="89" t="s">
        <v>87</v>
      </c>
      <c r="G182" s="90" t="s">
        <v>88</v>
      </c>
      <c r="H182" s="85"/>
      <c r="I182" s="87" t="s">
        <v>136</v>
      </c>
      <c r="J182" s="88" t="s">
        <v>27</v>
      </c>
      <c r="K182" s="88" t="s">
        <v>28</v>
      </c>
      <c r="L182" s="88" t="s">
        <v>29</v>
      </c>
      <c r="M182" s="88" t="s">
        <v>30</v>
      </c>
      <c r="N182" s="89" t="s">
        <v>87</v>
      </c>
      <c r="O182" s="90" t="s">
        <v>88</v>
      </c>
    </row>
    <row r="183" spans="1:15" s="63" customFormat="1" ht="25.5" customHeight="1" x14ac:dyDescent="0.25">
      <c r="A183" s="91" t="str">
        <f>J8</f>
        <v>AG</v>
      </c>
      <c r="B183" s="91">
        <f t="shared" ref="B183:E183" si="127">K8</f>
        <v>1000</v>
      </c>
      <c r="C183" s="91">
        <f t="shared" si="127"/>
        <v>20</v>
      </c>
      <c r="D183" s="91" t="str">
        <f t="shared" si="127"/>
        <v>Y</v>
      </c>
      <c r="E183" s="91" t="str">
        <f t="shared" si="127"/>
        <v>3L</v>
      </c>
      <c r="F183" s="93">
        <v>0.5</v>
      </c>
      <c r="G183" s="94">
        <f>IF(A183="CAP",C183*F183,B183*C183*F183)</f>
        <v>10000</v>
      </c>
      <c r="H183" s="85"/>
      <c r="I183" s="91" t="str">
        <f>J9</f>
        <v>AG</v>
      </c>
      <c r="J183" s="91">
        <f t="shared" ref="J183:M183" si="128">K9</f>
        <v>1000</v>
      </c>
      <c r="K183" s="91">
        <f t="shared" si="128"/>
        <v>20</v>
      </c>
      <c r="L183" s="91" t="str">
        <f t="shared" si="128"/>
        <v>Y</v>
      </c>
      <c r="M183" s="91" t="str">
        <f t="shared" si="128"/>
        <v>3L</v>
      </c>
      <c r="N183" s="93">
        <v>0.5</v>
      </c>
      <c r="O183" s="94">
        <f>IF(I183="CAP",K183*N183,J183*K183*N183)</f>
        <v>10000</v>
      </c>
    </row>
    <row r="184" spans="1:15" s="63" customFormat="1" ht="25.5" customHeight="1" x14ac:dyDescent="0.25">
      <c r="A184" s="95" t="str">
        <f>P8</f>
        <v>Pure</v>
      </c>
      <c r="B184" s="95">
        <f t="shared" ref="B184:E184" si="129">Q8</f>
        <v>750</v>
      </c>
      <c r="C184" s="95">
        <f t="shared" si="129"/>
        <v>12</v>
      </c>
      <c r="D184" s="95" t="str">
        <f t="shared" si="129"/>
        <v>Y</v>
      </c>
      <c r="E184" s="95" t="str">
        <f t="shared" si="129"/>
        <v>3L</v>
      </c>
      <c r="F184" s="97">
        <v>0.5</v>
      </c>
      <c r="G184" s="98">
        <f t="shared" ref="G184:G192" si="130">IF(A184="CAP",C184*F184,B184*C184*F184)</f>
        <v>4500</v>
      </c>
      <c r="H184" s="85"/>
      <c r="I184" s="95" t="str">
        <f>P9</f>
        <v>Pure</v>
      </c>
      <c r="J184" s="95">
        <f t="shared" ref="J184:M184" si="131">Q9</f>
        <v>750</v>
      </c>
      <c r="K184" s="95">
        <f t="shared" si="131"/>
        <v>12</v>
      </c>
      <c r="L184" s="95" t="str">
        <f t="shared" si="131"/>
        <v>Y</v>
      </c>
      <c r="M184" s="95" t="str">
        <f t="shared" si="131"/>
        <v>3L</v>
      </c>
      <c r="N184" s="97">
        <v>0.5</v>
      </c>
      <c r="O184" s="98">
        <f t="shared" ref="O184:O192" si="132">IF(I184="CAP",K184*N184,J184*K184*N184)</f>
        <v>4500</v>
      </c>
    </row>
    <row r="185" spans="1:15" s="63" customFormat="1" ht="25.5" customHeight="1" x14ac:dyDescent="0.25">
      <c r="A185" s="95" t="str">
        <f>V8</f>
        <v>Loft</v>
      </c>
      <c r="B185" s="95">
        <f t="shared" ref="B185:E185" si="133">W8</f>
        <v>500</v>
      </c>
      <c r="C185" s="95">
        <f t="shared" si="133"/>
        <v>13</v>
      </c>
      <c r="D185" s="95">
        <f t="shared" si="133"/>
        <v>0</v>
      </c>
      <c r="E185" s="95">
        <f t="shared" si="133"/>
        <v>0</v>
      </c>
      <c r="F185" s="97">
        <v>0.5</v>
      </c>
      <c r="G185" s="98">
        <f t="shared" si="130"/>
        <v>3250</v>
      </c>
      <c r="H185" s="85"/>
      <c r="I185" s="95" t="str">
        <f>V9</f>
        <v>Loft</v>
      </c>
      <c r="J185" s="95">
        <f t="shared" ref="J185:M185" si="134">W9</f>
        <v>500</v>
      </c>
      <c r="K185" s="95">
        <f t="shared" si="134"/>
        <v>13</v>
      </c>
      <c r="L185" s="95">
        <f t="shared" si="134"/>
        <v>0</v>
      </c>
      <c r="M185" s="95">
        <f t="shared" si="134"/>
        <v>0</v>
      </c>
      <c r="N185" s="97">
        <v>0.5</v>
      </c>
      <c r="O185" s="98">
        <f t="shared" si="132"/>
        <v>3250</v>
      </c>
    </row>
    <row r="186" spans="1:15" s="63" customFormat="1" ht="25.5" customHeight="1" x14ac:dyDescent="0.25">
      <c r="A186" s="95" t="str">
        <f>AB8</f>
        <v>UT</v>
      </c>
      <c r="B186" s="95">
        <f t="shared" ref="B186:E186" si="135">AC8</f>
        <v>1000</v>
      </c>
      <c r="C186" s="95">
        <f t="shared" si="135"/>
        <v>2</v>
      </c>
      <c r="D186" s="95">
        <f t="shared" si="135"/>
        <v>0</v>
      </c>
      <c r="E186" s="95">
        <f t="shared" si="135"/>
        <v>0</v>
      </c>
      <c r="F186" s="97">
        <v>0.5</v>
      </c>
      <c r="G186" s="98">
        <f t="shared" si="130"/>
        <v>1000</v>
      </c>
      <c r="H186" s="85"/>
      <c r="I186" s="95" t="str">
        <f>AB9</f>
        <v>UT</v>
      </c>
      <c r="J186" s="95">
        <f t="shared" ref="J186:M186" si="136">AC9</f>
        <v>1000</v>
      </c>
      <c r="K186" s="95">
        <f t="shared" si="136"/>
        <v>2</v>
      </c>
      <c r="L186" s="95">
        <f t="shared" si="136"/>
        <v>0</v>
      </c>
      <c r="M186" s="95">
        <f t="shared" si="136"/>
        <v>0</v>
      </c>
      <c r="N186" s="97">
        <v>0.5</v>
      </c>
      <c r="O186" s="98">
        <f t="shared" si="132"/>
        <v>1000</v>
      </c>
    </row>
    <row r="187" spans="1:15" s="63" customFormat="1" ht="25.5" customHeight="1" x14ac:dyDescent="0.25">
      <c r="A187" s="95" t="str">
        <f>AH8</f>
        <v>HT</v>
      </c>
      <c r="B187" s="95">
        <f t="shared" ref="B187:E187" si="137">AI8</f>
        <v>2000</v>
      </c>
      <c r="C187" s="95">
        <f t="shared" si="137"/>
        <v>1</v>
      </c>
      <c r="D187" s="95" t="str">
        <f t="shared" si="137"/>
        <v>Y</v>
      </c>
      <c r="E187" s="95" t="str">
        <f t="shared" si="137"/>
        <v>3L</v>
      </c>
      <c r="F187" s="97">
        <v>0.6</v>
      </c>
      <c r="G187" s="98">
        <f t="shared" si="130"/>
        <v>1200</v>
      </c>
      <c r="H187" s="85"/>
      <c r="I187" s="95" t="str">
        <f>AH9</f>
        <v>HT</v>
      </c>
      <c r="J187" s="95">
        <f t="shared" ref="J187:M187" si="138">AI9</f>
        <v>2000</v>
      </c>
      <c r="K187" s="95">
        <f t="shared" si="138"/>
        <v>1</v>
      </c>
      <c r="L187" s="95" t="str">
        <f t="shared" si="138"/>
        <v>Y</v>
      </c>
      <c r="M187" s="95" t="str">
        <f t="shared" si="138"/>
        <v>3L</v>
      </c>
      <c r="N187" s="97">
        <v>0.6</v>
      </c>
      <c r="O187" s="98">
        <f t="shared" si="132"/>
        <v>1200</v>
      </c>
    </row>
    <row r="188" spans="1:15" s="63" customFormat="1" ht="25.5" customHeight="1" x14ac:dyDescent="0.25">
      <c r="A188" s="95" t="str">
        <f>AN8</f>
        <v>CAP</v>
      </c>
      <c r="B188" s="95">
        <f t="shared" ref="B188:E188" si="139">AO8</f>
        <v>0</v>
      </c>
      <c r="C188" s="95">
        <f t="shared" si="139"/>
        <v>15</v>
      </c>
      <c r="D188" s="95" t="str">
        <f t="shared" si="139"/>
        <v>W</v>
      </c>
      <c r="E188" s="95">
        <f t="shared" si="139"/>
        <v>0</v>
      </c>
      <c r="F188" s="97">
        <v>150</v>
      </c>
      <c r="G188" s="98">
        <f t="shared" si="130"/>
        <v>2250</v>
      </c>
      <c r="H188" s="85"/>
      <c r="I188" s="95" t="str">
        <f>AN9</f>
        <v>CAP</v>
      </c>
      <c r="J188" s="95">
        <f t="shared" ref="J188:M188" si="140">AO9</f>
        <v>0</v>
      </c>
      <c r="K188" s="95">
        <f t="shared" si="140"/>
        <v>15</v>
      </c>
      <c r="L188" s="95" t="str">
        <f t="shared" si="140"/>
        <v>W</v>
      </c>
      <c r="M188" s="95">
        <f t="shared" si="140"/>
        <v>0</v>
      </c>
      <c r="N188" s="97">
        <v>150</v>
      </c>
      <c r="O188" s="98">
        <f t="shared" si="132"/>
        <v>2250</v>
      </c>
    </row>
    <row r="189" spans="1:15" s="63" customFormat="1" ht="25.5" customHeight="1" x14ac:dyDescent="0.25">
      <c r="A189" s="95">
        <f>AT8</f>
        <v>0</v>
      </c>
      <c r="B189" s="95">
        <f t="shared" ref="B189:E189" si="141">AU8</f>
        <v>0</v>
      </c>
      <c r="C189" s="95">
        <f t="shared" si="141"/>
        <v>0</v>
      </c>
      <c r="D189" s="95">
        <f t="shared" si="141"/>
        <v>0</v>
      </c>
      <c r="E189" s="95">
        <f t="shared" si="141"/>
        <v>0</v>
      </c>
      <c r="F189" s="97"/>
      <c r="G189" s="98">
        <f t="shared" si="130"/>
        <v>0</v>
      </c>
      <c r="H189" s="85"/>
      <c r="I189" s="95">
        <f>AT9</f>
        <v>0</v>
      </c>
      <c r="J189" s="95">
        <f t="shared" ref="J189:M189" si="142">AU9</f>
        <v>0</v>
      </c>
      <c r="K189" s="95">
        <f t="shared" si="142"/>
        <v>0</v>
      </c>
      <c r="L189" s="95">
        <f t="shared" si="142"/>
        <v>0</v>
      </c>
      <c r="M189" s="95">
        <f t="shared" si="142"/>
        <v>0</v>
      </c>
      <c r="N189" s="97">
        <f t="shared" ref="N189:N191" si="143">IF(I189="CAP",J189*M189,M189*I189*J189)</f>
        <v>0</v>
      </c>
      <c r="O189" s="98">
        <f t="shared" si="132"/>
        <v>0</v>
      </c>
    </row>
    <row r="190" spans="1:15" s="63" customFormat="1" ht="25.5" customHeight="1" x14ac:dyDescent="0.25">
      <c r="A190" s="95">
        <f>AZ8</f>
        <v>0</v>
      </c>
      <c r="B190" s="95">
        <f t="shared" ref="B190:E190" si="144">BA8</f>
        <v>0</v>
      </c>
      <c r="C190" s="95">
        <f t="shared" si="144"/>
        <v>0</v>
      </c>
      <c r="D190" s="95">
        <f t="shared" si="144"/>
        <v>0</v>
      </c>
      <c r="E190" s="95">
        <f t="shared" si="144"/>
        <v>0</v>
      </c>
      <c r="F190" s="97"/>
      <c r="G190" s="98">
        <f t="shared" si="130"/>
        <v>0</v>
      </c>
      <c r="H190" s="85"/>
      <c r="I190" s="95">
        <f>AZ9</f>
        <v>0</v>
      </c>
      <c r="J190" s="95">
        <f t="shared" ref="J190:M190" si="145">BA9</f>
        <v>0</v>
      </c>
      <c r="K190" s="95">
        <f t="shared" si="145"/>
        <v>0</v>
      </c>
      <c r="L190" s="95">
        <f t="shared" si="145"/>
        <v>0</v>
      </c>
      <c r="M190" s="95">
        <f t="shared" si="145"/>
        <v>0</v>
      </c>
      <c r="N190" s="97">
        <f t="shared" si="143"/>
        <v>0</v>
      </c>
      <c r="O190" s="98">
        <f t="shared" si="132"/>
        <v>0</v>
      </c>
    </row>
    <row r="191" spans="1:15" s="63" customFormat="1" ht="25.5" customHeight="1" x14ac:dyDescent="0.25">
      <c r="A191" s="95">
        <f>BF8</f>
        <v>0</v>
      </c>
      <c r="B191" s="95">
        <f t="shared" ref="B191:E191" si="146">BG8</f>
        <v>0</v>
      </c>
      <c r="C191" s="95">
        <f t="shared" si="146"/>
        <v>0</v>
      </c>
      <c r="D191" s="95">
        <f t="shared" si="146"/>
        <v>0</v>
      </c>
      <c r="E191" s="95">
        <f t="shared" si="146"/>
        <v>0</v>
      </c>
      <c r="F191" s="97"/>
      <c r="G191" s="98">
        <f t="shared" si="130"/>
        <v>0</v>
      </c>
      <c r="H191" s="85"/>
      <c r="I191" s="95">
        <f>BF9</f>
        <v>0</v>
      </c>
      <c r="J191" s="95">
        <f t="shared" ref="J191:M191" si="147">BG9</f>
        <v>0</v>
      </c>
      <c r="K191" s="95">
        <f t="shared" si="147"/>
        <v>0</v>
      </c>
      <c r="L191" s="95">
        <f t="shared" si="147"/>
        <v>0</v>
      </c>
      <c r="M191" s="95">
        <f t="shared" si="147"/>
        <v>0</v>
      </c>
      <c r="N191" s="97">
        <f t="shared" si="143"/>
        <v>0</v>
      </c>
      <c r="O191" s="98">
        <f t="shared" si="132"/>
        <v>0</v>
      </c>
    </row>
    <row r="192" spans="1:15" s="63" customFormat="1" ht="25.5" customHeight="1" thickBot="1" x14ac:dyDescent="0.3">
      <c r="A192" s="99">
        <f>BL8</f>
        <v>0</v>
      </c>
      <c r="B192" s="99">
        <f t="shared" ref="B192:E192" si="148">BM8</f>
        <v>0</v>
      </c>
      <c r="C192" s="99">
        <f t="shared" si="148"/>
        <v>0</v>
      </c>
      <c r="D192" s="99">
        <f t="shared" si="148"/>
        <v>0</v>
      </c>
      <c r="E192" s="99">
        <f t="shared" si="148"/>
        <v>0</v>
      </c>
      <c r="F192" s="101"/>
      <c r="G192" s="102">
        <f t="shared" si="130"/>
        <v>0</v>
      </c>
      <c r="H192" s="85"/>
      <c r="I192" s="99">
        <f>BL9</f>
        <v>0</v>
      </c>
      <c r="J192" s="99">
        <f t="shared" ref="J192:M192" si="149">BM9</f>
        <v>0</v>
      </c>
      <c r="K192" s="99">
        <f t="shared" si="149"/>
        <v>0</v>
      </c>
      <c r="L192" s="99">
        <f t="shared" si="149"/>
        <v>0</v>
      </c>
      <c r="M192" s="99">
        <f t="shared" si="149"/>
        <v>0</v>
      </c>
      <c r="N192" s="101">
        <f>IF(I192="CAP",J192*M192,M192*I192*J192)</f>
        <v>0</v>
      </c>
      <c r="O192" s="102">
        <f t="shared" si="132"/>
        <v>0</v>
      </c>
    </row>
    <row r="193" spans="1:15" s="63" customFormat="1" ht="25.5" customHeight="1" x14ac:dyDescent="0.25">
      <c r="A193" s="137" t="s">
        <v>24</v>
      </c>
      <c r="B193" s="138"/>
      <c r="C193" s="129">
        <f>SUM(C183:C192)</f>
        <v>63</v>
      </c>
      <c r="D193" s="130"/>
      <c r="E193" s="130" t="s">
        <v>86</v>
      </c>
      <c r="F193" s="141"/>
      <c r="G193" s="142">
        <f>SUM(G183:G192)</f>
        <v>22200</v>
      </c>
      <c r="H193" s="85"/>
      <c r="I193" s="137" t="s">
        <v>24</v>
      </c>
      <c r="J193" s="138">
        <f>SUM(J183:J192)</f>
        <v>5250</v>
      </c>
      <c r="K193" s="129">
        <f>SUM(K183:K192)</f>
        <v>63</v>
      </c>
      <c r="L193" s="130"/>
      <c r="M193" s="130" t="s">
        <v>86</v>
      </c>
      <c r="N193" s="141"/>
      <c r="O193" s="142">
        <f>SUM(O183:O192)</f>
        <v>22200</v>
      </c>
    </row>
    <row r="194" spans="1:15" s="63" customFormat="1" ht="25.5" customHeight="1" thickBot="1" x14ac:dyDescent="0.3">
      <c r="A194" s="139"/>
      <c r="B194" s="140"/>
      <c r="C194" s="127">
        <f>SUMPRODUCT(C183:C192,B183:B192)</f>
        <v>39500</v>
      </c>
      <c r="D194" s="128"/>
      <c r="E194" s="144" t="s">
        <v>89</v>
      </c>
      <c r="F194" s="145"/>
      <c r="G194" s="143"/>
      <c r="H194" s="85"/>
      <c r="I194" s="139"/>
      <c r="J194" s="140">
        <f>SUMPRODUCT(I183:I192,J183:J192)</f>
        <v>0</v>
      </c>
      <c r="K194" s="127">
        <f>SUMPRODUCT(K183:K192,J183:J192)</f>
        <v>39500</v>
      </c>
      <c r="L194" s="128"/>
      <c r="M194" s="144" t="s">
        <v>89</v>
      </c>
      <c r="N194" s="145"/>
      <c r="O194" s="143"/>
    </row>
    <row r="195" spans="1:15" s="63" customFormat="1" ht="25.5" customHeight="1" x14ac:dyDescent="0.25">
      <c r="A195" s="125" t="s">
        <v>116</v>
      </c>
      <c r="B195" s="125"/>
      <c r="C195" s="125"/>
      <c r="D195" s="125"/>
      <c r="E195" s="85"/>
      <c r="F195" s="126" t="str">
        <f>$J$116</f>
        <v>KA41C4059</v>
      </c>
      <c r="G195" s="125"/>
      <c r="H195" s="85"/>
      <c r="I195" s="125" t="s">
        <v>116</v>
      </c>
      <c r="J195" s="125"/>
      <c r="K195" s="125"/>
      <c r="L195" s="125"/>
      <c r="M195" s="85"/>
      <c r="N195" s="126" t="str">
        <f>$J$116</f>
        <v>KA41C4059</v>
      </c>
      <c r="O195" s="125"/>
    </row>
    <row r="196" spans="1:15" ht="21" x14ac:dyDescent="0.25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85"/>
      <c r="O196" s="85"/>
    </row>
    <row r="197" spans="1:15" ht="21.75" thickBot="1" x14ac:dyDescent="0.3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85"/>
      <c r="O197" s="85"/>
    </row>
    <row r="198" spans="1:15" s="63" customFormat="1" ht="25.5" customHeight="1" thickBot="1" x14ac:dyDescent="0.3">
      <c r="A198" s="131" t="s">
        <v>117</v>
      </c>
      <c r="B198" s="132"/>
      <c r="C198" s="132"/>
      <c r="D198" s="132" t="str">
        <f>F10</f>
        <v>AP09</v>
      </c>
      <c r="E198" s="133"/>
      <c r="F198" s="83" t="s">
        <v>76</v>
      </c>
      <c r="G198" s="84">
        <f>$C$116</f>
        <v>46008</v>
      </c>
      <c r="H198" s="85"/>
      <c r="I198" s="131" t="s">
        <v>35</v>
      </c>
      <c r="J198" s="132"/>
      <c r="K198" s="132"/>
      <c r="L198" s="132" t="str">
        <f>F11</f>
        <v>AP10</v>
      </c>
      <c r="M198" s="133"/>
      <c r="N198" s="83" t="s">
        <v>76</v>
      </c>
      <c r="O198" s="84">
        <f>$C$116</f>
        <v>46008</v>
      </c>
    </row>
    <row r="199" spans="1:15" s="63" customFormat="1" ht="25.5" customHeight="1" x14ac:dyDescent="0.25">
      <c r="A199" s="134" t="str">
        <f>G10</f>
        <v>PAWAN PUTRA AGENCY 9</v>
      </c>
      <c r="B199" s="135"/>
      <c r="C199" s="135"/>
      <c r="D199" s="135"/>
      <c r="E199" s="136"/>
      <c r="F199" s="137" t="s">
        <v>96</v>
      </c>
      <c r="G199" s="138"/>
      <c r="H199" s="85"/>
      <c r="I199" s="134" t="str">
        <f>G11</f>
        <v>PAWAN PUTRA AGENCY 10</v>
      </c>
      <c r="J199" s="135"/>
      <c r="K199" s="135"/>
      <c r="L199" s="135"/>
      <c r="M199" s="136" t="s">
        <v>96</v>
      </c>
      <c r="N199" s="137" t="s">
        <v>96</v>
      </c>
      <c r="O199" s="138"/>
    </row>
    <row r="200" spans="1:15" s="63" customFormat="1" ht="25.5" customHeight="1" thickBot="1" x14ac:dyDescent="0.3">
      <c r="A200" s="134" t="str">
        <f>H10</f>
        <v>TIRUPATHI 9</v>
      </c>
      <c r="B200" s="135"/>
      <c r="C200" s="135"/>
      <c r="D200" s="135"/>
      <c r="E200" s="136"/>
      <c r="F200" s="148">
        <f>A10</f>
        <v>9</v>
      </c>
      <c r="G200" s="136"/>
      <c r="H200" s="85"/>
      <c r="I200" s="134" t="str">
        <f>H11</f>
        <v>TIRUPATHI 10</v>
      </c>
      <c r="J200" s="135"/>
      <c r="K200" s="135"/>
      <c r="L200" s="135"/>
      <c r="M200" s="136">
        <f>A79</f>
        <v>0</v>
      </c>
      <c r="N200" s="148">
        <f>A11</f>
        <v>10</v>
      </c>
      <c r="O200" s="136"/>
    </row>
    <row r="201" spans="1:15" s="63" customFormat="1" ht="25.5" customHeight="1" thickBot="1" x14ac:dyDescent="0.3">
      <c r="A201" s="87" t="s">
        <v>136</v>
      </c>
      <c r="B201" s="88" t="s">
        <v>27</v>
      </c>
      <c r="C201" s="88" t="s">
        <v>28</v>
      </c>
      <c r="D201" s="88" t="s">
        <v>29</v>
      </c>
      <c r="E201" s="88" t="s">
        <v>30</v>
      </c>
      <c r="F201" s="89" t="s">
        <v>87</v>
      </c>
      <c r="G201" s="90" t="s">
        <v>88</v>
      </c>
      <c r="H201" s="85"/>
      <c r="I201" s="87" t="s">
        <v>136</v>
      </c>
      <c r="J201" s="88" t="s">
        <v>27</v>
      </c>
      <c r="K201" s="88" t="s">
        <v>28</v>
      </c>
      <c r="L201" s="88" t="s">
        <v>29</v>
      </c>
      <c r="M201" s="88" t="s">
        <v>30</v>
      </c>
      <c r="N201" s="89" t="s">
        <v>87</v>
      </c>
      <c r="O201" s="90" t="s">
        <v>88</v>
      </c>
    </row>
    <row r="202" spans="1:15" s="63" customFormat="1" ht="25.5" customHeight="1" x14ac:dyDescent="0.25">
      <c r="A202" s="91" t="str">
        <f>J10</f>
        <v>AG</v>
      </c>
      <c r="B202" s="91">
        <f t="shared" ref="B202:E202" si="150">K10</f>
        <v>1000</v>
      </c>
      <c r="C202" s="91">
        <f t="shared" si="150"/>
        <v>20</v>
      </c>
      <c r="D202" s="91" t="str">
        <f t="shared" si="150"/>
        <v>Y</v>
      </c>
      <c r="E202" s="91" t="str">
        <f t="shared" si="150"/>
        <v>3L</v>
      </c>
      <c r="F202" s="93">
        <v>0.5</v>
      </c>
      <c r="G202" s="94">
        <f>IF(A202="CAP",C202*F202,B202*C202*F202)</f>
        <v>10000</v>
      </c>
      <c r="H202" s="85"/>
      <c r="I202" s="91" t="str">
        <f>J11</f>
        <v>AG</v>
      </c>
      <c r="J202" s="91">
        <f t="shared" ref="J202:M202" si="151">K11</f>
        <v>1000</v>
      </c>
      <c r="K202" s="91">
        <f t="shared" si="151"/>
        <v>20</v>
      </c>
      <c r="L202" s="91" t="str">
        <f t="shared" si="151"/>
        <v>Y</v>
      </c>
      <c r="M202" s="91" t="str">
        <f t="shared" si="151"/>
        <v>3L</v>
      </c>
      <c r="N202" s="93">
        <v>0.5</v>
      </c>
      <c r="O202" s="94">
        <f>IF(I202="CAP",K202*N202,J202*K202*N202)</f>
        <v>10000</v>
      </c>
    </row>
    <row r="203" spans="1:15" s="63" customFormat="1" ht="25.5" customHeight="1" x14ac:dyDescent="0.25">
      <c r="A203" s="95" t="str">
        <f>P10</f>
        <v>Pure</v>
      </c>
      <c r="B203" s="95">
        <f t="shared" ref="B203:E203" si="152">Q10</f>
        <v>750</v>
      </c>
      <c r="C203" s="95">
        <f t="shared" si="152"/>
        <v>12</v>
      </c>
      <c r="D203" s="95" t="str">
        <f t="shared" si="152"/>
        <v>Y</v>
      </c>
      <c r="E203" s="95" t="str">
        <f t="shared" si="152"/>
        <v>3L</v>
      </c>
      <c r="F203" s="97">
        <v>0.5</v>
      </c>
      <c r="G203" s="98">
        <f t="shared" ref="G203:G211" si="153">IF(A203="CAP",C203*F203,B203*C203*F203)</f>
        <v>4500</v>
      </c>
      <c r="H203" s="85"/>
      <c r="I203" s="95" t="str">
        <f>P11</f>
        <v>Pure</v>
      </c>
      <c r="J203" s="95">
        <f t="shared" ref="J203:M203" si="154">Q11</f>
        <v>750</v>
      </c>
      <c r="K203" s="95">
        <f t="shared" si="154"/>
        <v>12</v>
      </c>
      <c r="L203" s="95" t="str">
        <f t="shared" si="154"/>
        <v>Y</v>
      </c>
      <c r="M203" s="95" t="str">
        <f t="shared" si="154"/>
        <v>3L</v>
      </c>
      <c r="N203" s="97">
        <v>0.5</v>
      </c>
      <c r="O203" s="98">
        <f t="shared" ref="O203:O211" si="155">IF(I203="CAP",K203*N203,J203*K203*N203)</f>
        <v>4500</v>
      </c>
    </row>
    <row r="204" spans="1:15" s="63" customFormat="1" ht="25.5" customHeight="1" x14ac:dyDescent="0.25">
      <c r="A204" s="95" t="str">
        <f>V10</f>
        <v>Loft</v>
      </c>
      <c r="B204" s="95">
        <f t="shared" ref="B204:E204" si="156">W10</f>
        <v>500</v>
      </c>
      <c r="C204" s="95">
        <f t="shared" si="156"/>
        <v>13</v>
      </c>
      <c r="D204" s="95">
        <f t="shared" si="156"/>
        <v>0</v>
      </c>
      <c r="E204" s="95">
        <f t="shared" si="156"/>
        <v>0</v>
      </c>
      <c r="F204" s="97">
        <v>0.5</v>
      </c>
      <c r="G204" s="98">
        <f t="shared" si="153"/>
        <v>3250</v>
      </c>
      <c r="H204" s="85"/>
      <c r="I204" s="95" t="str">
        <f>V11</f>
        <v>Loft</v>
      </c>
      <c r="J204" s="95">
        <f t="shared" ref="J204:M204" si="157">W11</f>
        <v>500</v>
      </c>
      <c r="K204" s="95">
        <f t="shared" si="157"/>
        <v>13</v>
      </c>
      <c r="L204" s="95">
        <f t="shared" si="157"/>
        <v>0</v>
      </c>
      <c r="M204" s="95">
        <f t="shared" si="157"/>
        <v>0</v>
      </c>
      <c r="N204" s="97">
        <v>0.5</v>
      </c>
      <c r="O204" s="98">
        <f t="shared" si="155"/>
        <v>3250</v>
      </c>
    </row>
    <row r="205" spans="1:15" s="63" customFormat="1" ht="25.5" customHeight="1" x14ac:dyDescent="0.25">
      <c r="A205" s="95" t="str">
        <f>AB10</f>
        <v>UT</v>
      </c>
      <c r="B205" s="95">
        <f t="shared" ref="B205:E205" si="158">AC10</f>
        <v>1000</v>
      </c>
      <c r="C205" s="95">
        <f t="shared" si="158"/>
        <v>2</v>
      </c>
      <c r="D205" s="95">
        <f t="shared" si="158"/>
        <v>0</v>
      </c>
      <c r="E205" s="95">
        <f t="shared" si="158"/>
        <v>0</v>
      </c>
      <c r="F205" s="97">
        <v>0.5</v>
      </c>
      <c r="G205" s="98">
        <f t="shared" si="153"/>
        <v>1000</v>
      </c>
      <c r="H205" s="85"/>
      <c r="I205" s="95" t="str">
        <f>AB11</f>
        <v>UT</v>
      </c>
      <c r="J205" s="95">
        <f t="shared" ref="J205:M205" si="159">AC11</f>
        <v>1000</v>
      </c>
      <c r="K205" s="95">
        <f t="shared" si="159"/>
        <v>2</v>
      </c>
      <c r="L205" s="95">
        <f t="shared" si="159"/>
        <v>0</v>
      </c>
      <c r="M205" s="95">
        <f t="shared" si="159"/>
        <v>0</v>
      </c>
      <c r="N205" s="97">
        <v>0.5</v>
      </c>
      <c r="O205" s="98">
        <f t="shared" si="155"/>
        <v>1000</v>
      </c>
    </row>
    <row r="206" spans="1:15" s="63" customFormat="1" ht="25.5" customHeight="1" x14ac:dyDescent="0.25">
      <c r="A206" s="95" t="str">
        <f>AH10</f>
        <v>HT</v>
      </c>
      <c r="B206" s="95">
        <f t="shared" ref="B206:E206" si="160">AI10</f>
        <v>2000</v>
      </c>
      <c r="C206" s="95">
        <f t="shared" si="160"/>
        <v>1</v>
      </c>
      <c r="D206" s="95" t="str">
        <f t="shared" si="160"/>
        <v>Y</v>
      </c>
      <c r="E206" s="95" t="str">
        <f t="shared" si="160"/>
        <v>3L</v>
      </c>
      <c r="F206" s="97">
        <v>0.6</v>
      </c>
      <c r="G206" s="98">
        <f t="shared" si="153"/>
        <v>1200</v>
      </c>
      <c r="H206" s="85"/>
      <c r="I206" s="95" t="str">
        <f>AH11</f>
        <v>HT</v>
      </c>
      <c r="J206" s="95">
        <f t="shared" ref="J206:M206" si="161">AI11</f>
        <v>2000</v>
      </c>
      <c r="K206" s="95">
        <f t="shared" si="161"/>
        <v>1</v>
      </c>
      <c r="L206" s="95" t="str">
        <f t="shared" si="161"/>
        <v>Y</v>
      </c>
      <c r="M206" s="95" t="str">
        <f t="shared" si="161"/>
        <v>3L</v>
      </c>
      <c r="N206" s="97">
        <v>0.6</v>
      </c>
      <c r="O206" s="98">
        <f t="shared" si="155"/>
        <v>1200</v>
      </c>
    </row>
    <row r="207" spans="1:15" s="63" customFormat="1" ht="25.5" customHeight="1" x14ac:dyDescent="0.25">
      <c r="A207" s="95" t="str">
        <f>AN10</f>
        <v>CAP</v>
      </c>
      <c r="B207" s="95">
        <f t="shared" ref="B207:E207" si="162">AO10</f>
        <v>0</v>
      </c>
      <c r="C207" s="95">
        <f t="shared" si="162"/>
        <v>15</v>
      </c>
      <c r="D207" s="95" t="str">
        <f t="shared" si="162"/>
        <v>W</v>
      </c>
      <c r="E207" s="95">
        <f t="shared" si="162"/>
        <v>0</v>
      </c>
      <c r="F207" s="97">
        <v>150</v>
      </c>
      <c r="G207" s="98">
        <f t="shared" si="153"/>
        <v>2250</v>
      </c>
      <c r="H207" s="85"/>
      <c r="I207" s="95" t="str">
        <f>AN11</f>
        <v>CAP</v>
      </c>
      <c r="J207" s="95">
        <f t="shared" ref="J207:M207" si="163">AO11</f>
        <v>0</v>
      </c>
      <c r="K207" s="95">
        <f t="shared" si="163"/>
        <v>15</v>
      </c>
      <c r="L207" s="95" t="str">
        <f t="shared" si="163"/>
        <v>W</v>
      </c>
      <c r="M207" s="95">
        <f t="shared" si="163"/>
        <v>0</v>
      </c>
      <c r="N207" s="97">
        <v>150</v>
      </c>
      <c r="O207" s="98">
        <f t="shared" si="155"/>
        <v>2250</v>
      </c>
    </row>
    <row r="208" spans="1:15" s="63" customFormat="1" ht="25.5" customHeight="1" x14ac:dyDescent="0.25">
      <c r="A208" s="95">
        <f>AT10</f>
        <v>0</v>
      </c>
      <c r="B208" s="95">
        <f t="shared" ref="B208:E208" si="164">AU10</f>
        <v>0</v>
      </c>
      <c r="C208" s="95">
        <f t="shared" si="164"/>
        <v>0</v>
      </c>
      <c r="D208" s="95">
        <f t="shared" si="164"/>
        <v>0</v>
      </c>
      <c r="E208" s="95">
        <f t="shared" si="164"/>
        <v>0</v>
      </c>
      <c r="F208" s="97"/>
      <c r="G208" s="98">
        <f t="shared" si="153"/>
        <v>0</v>
      </c>
      <c r="H208" s="85"/>
      <c r="I208" s="95">
        <f>AT11</f>
        <v>0</v>
      </c>
      <c r="J208" s="95">
        <f t="shared" ref="J208:M208" si="165">AU11</f>
        <v>0</v>
      </c>
      <c r="K208" s="95">
        <f t="shared" si="165"/>
        <v>0</v>
      </c>
      <c r="L208" s="95">
        <f t="shared" si="165"/>
        <v>0</v>
      </c>
      <c r="M208" s="95">
        <f t="shared" si="165"/>
        <v>0</v>
      </c>
      <c r="N208" s="97">
        <f t="shared" ref="N208:N210" si="166">IF(I208="CAP",J208*M208,M208*I208*J208)</f>
        <v>0</v>
      </c>
      <c r="O208" s="98">
        <f t="shared" si="155"/>
        <v>0</v>
      </c>
    </row>
    <row r="209" spans="1:15" s="63" customFormat="1" ht="25.5" customHeight="1" x14ac:dyDescent="0.25">
      <c r="A209" s="95">
        <f>AZ10</f>
        <v>0</v>
      </c>
      <c r="B209" s="95">
        <f t="shared" ref="B209:E209" si="167">BA10</f>
        <v>0</v>
      </c>
      <c r="C209" s="95">
        <f t="shared" si="167"/>
        <v>0</v>
      </c>
      <c r="D209" s="95">
        <f t="shared" si="167"/>
        <v>0</v>
      </c>
      <c r="E209" s="95">
        <f t="shared" si="167"/>
        <v>0</v>
      </c>
      <c r="F209" s="97"/>
      <c r="G209" s="98">
        <f t="shared" si="153"/>
        <v>0</v>
      </c>
      <c r="H209" s="85"/>
      <c r="I209" s="95">
        <f>AZ11</f>
        <v>0</v>
      </c>
      <c r="J209" s="95">
        <f t="shared" ref="J209:M209" si="168">BA11</f>
        <v>0</v>
      </c>
      <c r="K209" s="95">
        <f t="shared" si="168"/>
        <v>0</v>
      </c>
      <c r="L209" s="95">
        <f t="shared" si="168"/>
        <v>0</v>
      </c>
      <c r="M209" s="95">
        <f t="shared" si="168"/>
        <v>0</v>
      </c>
      <c r="N209" s="97">
        <f t="shared" si="166"/>
        <v>0</v>
      </c>
      <c r="O209" s="98">
        <f t="shared" si="155"/>
        <v>0</v>
      </c>
    </row>
    <row r="210" spans="1:15" s="63" customFormat="1" ht="25.5" customHeight="1" x14ac:dyDescent="0.25">
      <c r="A210" s="95">
        <f>BF10</f>
        <v>0</v>
      </c>
      <c r="B210" s="95">
        <f t="shared" ref="B210:E210" si="169">BG10</f>
        <v>0</v>
      </c>
      <c r="C210" s="95">
        <f t="shared" si="169"/>
        <v>0</v>
      </c>
      <c r="D210" s="95">
        <f t="shared" si="169"/>
        <v>0</v>
      </c>
      <c r="E210" s="95">
        <f t="shared" si="169"/>
        <v>0</v>
      </c>
      <c r="F210" s="97"/>
      <c r="G210" s="98">
        <f t="shared" si="153"/>
        <v>0</v>
      </c>
      <c r="H210" s="85"/>
      <c r="I210" s="95">
        <f>BF11</f>
        <v>0</v>
      </c>
      <c r="J210" s="95">
        <f t="shared" ref="J210:M210" si="170">BG11</f>
        <v>0</v>
      </c>
      <c r="K210" s="95">
        <f t="shared" si="170"/>
        <v>0</v>
      </c>
      <c r="L210" s="95">
        <f t="shared" si="170"/>
        <v>0</v>
      </c>
      <c r="M210" s="95">
        <f t="shared" si="170"/>
        <v>0</v>
      </c>
      <c r="N210" s="97">
        <f t="shared" si="166"/>
        <v>0</v>
      </c>
      <c r="O210" s="98">
        <f t="shared" si="155"/>
        <v>0</v>
      </c>
    </row>
    <row r="211" spans="1:15" s="63" customFormat="1" ht="25.5" customHeight="1" thickBot="1" x14ac:dyDescent="0.3">
      <c r="A211" s="99">
        <f>BL10</f>
        <v>0</v>
      </c>
      <c r="B211" s="99">
        <f t="shared" ref="B211:E211" si="171">BM10</f>
        <v>0</v>
      </c>
      <c r="C211" s="99">
        <f t="shared" si="171"/>
        <v>0</v>
      </c>
      <c r="D211" s="99">
        <f t="shared" si="171"/>
        <v>0</v>
      </c>
      <c r="E211" s="99">
        <f t="shared" si="171"/>
        <v>0</v>
      </c>
      <c r="F211" s="101"/>
      <c r="G211" s="102">
        <f t="shared" si="153"/>
        <v>0</v>
      </c>
      <c r="H211" s="85"/>
      <c r="I211" s="99">
        <f>BL11</f>
        <v>0</v>
      </c>
      <c r="J211" s="99">
        <f t="shared" ref="J211:M211" si="172">BM11</f>
        <v>0</v>
      </c>
      <c r="K211" s="99">
        <f t="shared" si="172"/>
        <v>0</v>
      </c>
      <c r="L211" s="99">
        <f t="shared" si="172"/>
        <v>0</v>
      </c>
      <c r="M211" s="99">
        <f t="shared" si="172"/>
        <v>0</v>
      </c>
      <c r="N211" s="101">
        <f>IF(I211="CAP",J211*M211,M211*I211*J211)</f>
        <v>0</v>
      </c>
      <c r="O211" s="102">
        <f t="shared" si="155"/>
        <v>0</v>
      </c>
    </row>
    <row r="212" spans="1:15" s="63" customFormat="1" ht="25.5" customHeight="1" x14ac:dyDescent="0.25">
      <c r="A212" s="137" t="s">
        <v>24</v>
      </c>
      <c r="B212" s="138"/>
      <c r="C212" s="129">
        <f>SUM(C202:C211)</f>
        <v>63</v>
      </c>
      <c r="D212" s="130"/>
      <c r="E212" s="130" t="s">
        <v>86</v>
      </c>
      <c r="F212" s="141"/>
      <c r="G212" s="142">
        <f>SUM(G202:G211)</f>
        <v>22200</v>
      </c>
      <c r="H212" s="85"/>
      <c r="I212" s="137" t="s">
        <v>24</v>
      </c>
      <c r="J212" s="138">
        <f>SUM(J202:J211)</f>
        <v>5250</v>
      </c>
      <c r="K212" s="129">
        <f>SUM(K202:K211)</f>
        <v>63</v>
      </c>
      <c r="L212" s="130"/>
      <c r="M212" s="130" t="s">
        <v>86</v>
      </c>
      <c r="N212" s="141"/>
      <c r="O212" s="142">
        <f>SUM(O202:O211)</f>
        <v>22200</v>
      </c>
    </row>
    <row r="213" spans="1:15" s="63" customFormat="1" ht="25.5" customHeight="1" thickBot="1" x14ac:dyDescent="0.3">
      <c r="A213" s="139"/>
      <c r="B213" s="140"/>
      <c r="C213" s="127">
        <f>SUMPRODUCT(C202:C211,B202:B211)</f>
        <v>39500</v>
      </c>
      <c r="D213" s="128"/>
      <c r="E213" s="144" t="s">
        <v>89</v>
      </c>
      <c r="F213" s="145"/>
      <c r="G213" s="143"/>
      <c r="H213" s="85"/>
      <c r="I213" s="139"/>
      <c r="J213" s="140">
        <f>SUMPRODUCT(I202:I211,J202:J211)</f>
        <v>0</v>
      </c>
      <c r="K213" s="127">
        <f>SUMPRODUCT(K202:K211,J202:J211)</f>
        <v>39500</v>
      </c>
      <c r="L213" s="128"/>
      <c r="M213" s="144" t="s">
        <v>89</v>
      </c>
      <c r="N213" s="145"/>
      <c r="O213" s="143"/>
    </row>
    <row r="214" spans="1:15" s="63" customFormat="1" ht="25.5" customHeight="1" x14ac:dyDescent="0.25">
      <c r="A214" s="125" t="s">
        <v>116</v>
      </c>
      <c r="B214" s="125"/>
      <c r="C214" s="125"/>
      <c r="D214" s="125"/>
      <c r="E214" s="85"/>
      <c r="F214" s="126" t="str">
        <f>$J$116</f>
        <v>KA41C4059</v>
      </c>
      <c r="G214" s="125"/>
      <c r="H214" s="85"/>
      <c r="I214" s="125" t="s">
        <v>116</v>
      </c>
      <c r="J214" s="125"/>
      <c r="K214" s="125"/>
      <c r="L214" s="125"/>
      <c r="M214" s="85"/>
      <c r="N214" s="126" t="str">
        <f>$J$116</f>
        <v>KA41C4059</v>
      </c>
      <c r="O214" s="125"/>
    </row>
  </sheetData>
  <mergeCells count="144">
    <mergeCell ref="N214:O214"/>
    <mergeCell ref="I200:M200"/>
    <mergeCell ref="N200:O200"/>
    <mergeCell ref="A212:B213"/>
    <mergeCell ref="C212:D212"/>
    <mergeCell ref="E212:F212"/>
    <mergeCell ref="G212:G213"/>
    <mergeCell ref="I212:J213"/>
    <mergeCell ref="K212:L212"/>
    <mergeCell ref="M212:N212"/>
    <mergeCell ref="O212:O213"/>
    <mergeCell ref="C213:D213"/>
    <mergeCell ref="E213:F213"/>
    <mergeCell ref="K213:L213"/>
    <mergeCell ref="M213:N213"/>
    <mergeCell ref="A214:D214"/>
    <mergeCell ref="F214:G214"/>
    <mergeCell ref="I214:L214"/>
    <mergeCell ref="A200:E200"/>
    <mergeCell ref="F200:G200"/>
    <mergeCell ref="I195:L195"/>
    <mergeCell ref="N195:O195"/>
    <mergeCell ref="A198:C198"/>
    <mergeCell ref="D198:E198"/>
    <mergeCell ref="I198:K198"/>
    <mergeCell ref="L198:M198"/>
    <mergeCell ref="A199:E199"/>
    <mergeCell ref="F199:G199"/>
    <mergeCell ref="I199:M199"/>
    <mergeCell ref="N199:O199"/>
    <mergeCell ref="A195:D195"/>
    <mergeCell ref="F195:G195"/>
    <mergeCell ref="N181:O181"/>
    <mergeCell ref="A193:B194"/>
    <mergeCell ref="C193:D193"/>
    <mergeCell ref="E193:F193"/>
    <mergeCell ref="G193:G194"/>
    <mergeCell ref="I193:J194"/>
    <mergeCell ref="K193:L193"/>
    <mergeCell ref="M193:N193"/>
    <mergeCell ref="O193:O194"/>
    <mergeCell ref="C194:D194"/>
    <mergeCell ref="E194:F194"/>
    <mergeCell ref="K194:L194"/>
    <mergeCell ref="M194:N194"/>
    <mergeCell ref="I181:M181"/>
    <mergeCell ref="N174:O174"/>
    <mergeCell ref="A179:C179"/>
    <mergeCell ref="D179:E179"/>
    <mergeCell ref="I179:K179"/>
    <mergeCell ref="L179:M179"/>
    <mergeCell ref="A180:E180"/>
    <mergeCell ref="F180:G180"/>
    <mergeCell ref="I180:M180"/>
    <mergeCell ref="N180:O180"/>
    <mergeCell ref="I174:L174"/>
    <mergeCell ref="A160:E160"/>
    <mergeCell ref="F160:G160"/>
    <mergeCell ref="I160:M160"/>
    <mergeCell ref="N160:O160"/>
    <mergeCell ref="A172:B173"/>
    <mergeCell ref="C172:D172"/>
    <mergeCell ref="E172:F172"/>
    <mergeCell ref="G172:G173"/>
    <mergeCell ref="I172:J173"/>
    <mergeCell ref="K172:L172"/>
    <mergeCell ref="M172:N172"/>
    <mergeCell ref="O172:O173"/>
    <mergeCell ref="C173:D173"/>
    <mergeCell ref="E173:F173"/>
    <mergeCell ref="M173:N173"/>
    <mergeCell ref="A155:D155"/>
    <mergeCell ref="F155:G155"/>
    <mergeCell ref="I155:L155"/>
    <mergeCell ref="N155:O155"/>
    <mergeCell ref="A158:C158"/>
    <mergeCell ref="D158:E158"/>
    <mergeCell ref="I158:K158"/>
    <mergeCell ref="L158:M158"/>
    <mergeCell ref="A159:E159"/>
    <mergeCell ref="F159:G159"/>
    <mergeCell ref="I159:M159"/>
    <mergeCell ref="N159:O159"/>
    <mergeCell ref="A153:B154"/>
    <mergeCell ref="C153:D153"/>
    <mergeCell ref="E153:F153"/>
    <mergeCell ref="G153:G154"/>
    <mergeCell ref="I153:J154"/>
    <mergeCell ref="K153:L153"/>
    <mergeCell ref="M153:N153"/>
    <mergeCell ref="O153:O154"/>
    <mergeCell ref="C154:D154"/>
    <mergeCell ref="E154:F154"/>
    <mergeCell ref="M154:N154"/>
    <mergeCell ref="A139:C139"/>
    <mergeCell ref="D139:E139"/>
    <mergeCell ref="I139:K139"/>
    <mergeCell ref="L139:M139"/>
    <mergeCell ref="A140:E140"/>
    <mergeCell ref="F140:G140"/>
    <mergeCell ref="I140:M140"/>
    <mergeCell ref="N140:O140"/>
    <mergeCell ref="A141:E141"/>
    <mergeCell ref="F141:G141"/>
    <mergeCell ref="I141:M141"/>
    <mergeCell ref="N141:O141"/>
    <mergeCell ref="H116:I116"/>
    <mergeCell ref="J116:L116"/>
    <mergeCell ref="A116:B116"/>
    <mergeCell ref="C116:E116"/>
    <mergeCell ref="K154:L154"/>
    <mergeCell ref="A174:D174"/>
    <mergeCell ref="F174:G174"/>
    <mergeCell ref="A181:E181"/>
    <mergeCell ref="F181:G181"/>
    <mergeCell ref="F134:G134"/>
    <mergeCell ref="A134:D134"/>
    <mergeCell ref="A118:C118"/>
    <mergeCell ref="A119:E119"/>
    <mergeCell ref="A120:E120"/>
    <mergeCell ref="D118:E118"/>
    <mergeCell ref="F119:G119"/>
    <mergeCell ref="F120:G120"/>
    <mergeCell ref="A132:B133"/>
    <mergeCell ref="C132:D132"/>
    <mergeCell ref="E132:F132"/>
    <mergeCell ref="C133:D133"/>
    <mergeCell ref="E133:F133"/>
    <mergeCell ref="G132:G133"/>
    <mergeCell ref="K173:L173"/>
    <mergeCell ref="I134:L134"/>
    <mergeCell ref="N134:O134"/>
    <mergeCell ref="K133:L133"/>
    <mergeCell ref="K132:L132"/>
    <mergeCell ref="I118:K118"/>
    <mergeCell ref="L118:M118"/>
    <mergeCell ref="I119:M119"/>
    <mergeCell ref="N119:O119"/>
    <mergeCell ref="I120:M120"/>
    <mergeCell ref="N120:O120"/>
    <mergeCell ref="I132:J133"/>
    <mergeCell ref="M132:N132"/>
    <mergeCell ref="O132:O133"/>
    <mergeCell ref="M133:N133"/>
  </mergeCells>
  <phoneticPr fontId="14" type="noConversion"/>
  <pageMargins left="0.26" right="0" top="0" bottom="0" header="0.31496062992125984" footer="0.31496062992125984"/>
  <pageSetup paperSize="9" scale="85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Y189"/>
  <sheetViews>
    <sheetView showZeros="0" topLeftCell="Q1" zoomScale="85" zoomScaleNormal="85" workbookViewId="0">
      <selection sqref="A1:XFD1048576"/>
    </sheetView>
  </sheetViews>
  <sheetFormatPr defaultColWidth="9.140625" defaultRowHeight="15" x14ac:dyDescent="0.25"/>
  <cols>
    <col min="1" max="1" width="6.28515625" style="28" customWidth="1"/>
    <col min="2" max="2" width="5.85546875" style="28" customWidth="1"/>
    <col min="3" max="3" width="4.42578125" style="28" customWidth="1"/>
    <col min="4" max="4" width="6.28515625" style="28" customWidth="1"/>
    <col min="5" max="5" width="5.85546875" style="28" customWidth="1"/>
    <col min="6" max="6" width="4.42578125" style="28" customWidth="1"/>
    <col min="7" max="7" width="6.28515625" style="28" customWidth="1"/>
    <col min="8" max="8" width="5.85546875" style="28" customWidth="1"/>
    <col min="9" max="9" width="4.42578125" style="28" customWidth="1"/>
    <col min="10" max="10" width="6.28515625" style="28" customWidth="1"/>
    <col min="11" max="12" width="4.42578125" style="28" customWidth="1"/>
    <col min="13" max="13" width="6.28515625" style="28" customWidth="1"/>
    <col min="14" max="15" width="4.42578125" style="28" customWidth="1"/>
    <col min="16" max="16" width="6.28515625" style="28" customWidth="1"/>
    <col min="17" max="18" width="4.42578125" style="28" customWidth="1"/>
    <col min="19" max="19" width="6.28515625" style="28" customWidth="1"/>
    <col min="20" max="21" width="4.7109375" style="28" customWidth="1"/>
    <col min="22" max="22" width="6.28515625" style="28" customWidth="1"/>
    <col min="23" max="23" width="5.42578125" style="28" customWidth="1"/>
    <col min="24" max="31" width="4.42578125" style="28" customWidth="1"/>
    <col min="32" max="33" width="6.28515625" style="28" customWidth="1"/>
    <col min="34" max="62" width="5.85546875" style="28" customWidth="1"/>
    <col min="63" max="63" width="5.140625" style="28" bestFit="1" customWidth="1"/>
    <col min="64" max="64" width="5.7109375" style="28" bestFit="1" customWidth="1"/>
    <col min="65" max="65" width="5" style="28" bestFit="1" customWidth="1"/>
    <col min="66" max="67" width="4.140625" style="28" bestFit="1" customWidth="1"/>
    <col min="68" max="68" width="4.28515625" style="28" bestFit="1" customWidth="1"/>
    <col min="69" max="69" width="5.140625" style="28" bestFit="1" customWidth="1"/>
    <col min="70" max="70" width="7.42578125" style="28" bestFit="1" customWidth="1"/>
    <col min="71" max="71" width="12.5703125" style="28" bestFit="1" customWidth="1"/>
    <col min="72" max="72" width="6.140625" style="28" bestFit="1" customWidth="1"/>
    <col min="73" max="16384" width="9.140625" style="28"/>
  </cols>
  <sheetData>
    <row r="1" spans="1:77" ht="16.5" customHeight="1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15</v>
      </c>
      <c r="J1" s="24" t="s">
        <v>133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133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133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12</v>
      </c>
      <c r="AB1" s="24" t="s">
        <v>133</v>
      </c>
      <c r="AC1" s="24" t="s">
        <v>8</v>
      </c>
      <c r="AD1" s="24" t="s">
        <v>9</v>
      </c>
      <c r="AE1" s="24" t="s">
        <v>10</v>
      </c>
      <c r="AF1" s="24" t="s">
        <v>11</v>
      </c>
      <c r="AG1" s="24" t="s">
        <v>12</v>
      </c>
      <c r="AH1" s="24" t="s">
        <v>133</v>
      </c>
      <c r="AI1" s="24" t="s">
        <v>8</v>
      </c>
      <c r="AJ1" s="24" t="s">
        <v>9</v>
      </c>
      <c r="AK1" s="24" t="s">
        <v>10</v>
      </c>
      <c r="AL1" s="24" t="s">
        <v>11</v>
      </c>
      <c r="AM1" s="24" t="s">
        <v>12</v>
      </c>
      <c r="AN1" s="24" t="s">
        <v>133</v>
      </c>
      <c r="AO1" s="24" t="s">
        <v>8</v>
      </c>
      <c r="AP1" s="24" t="s">
        <v>9</v>
      </c>
      <c r="AQ1" s="24" t="s">
        <v>10</v>
      </c>
      <c r="AR1" s="24" t="s">
        <v>11</v>
      </c>
      <c r="AS1" s="24" t="s">
        <v>12</v>
      </c>
      <c r="AT1" s="24" t="s">
        <v>133</v>
      </c>
      <c r="AU1" s="24" t="s">
        <v>8</v>
      </c>
      <c r="AV1" s="24" t="s">
        <v>9</v>
      </c>
      <c r="AW1" s="24" t="s">
        <v>10</v>
      </c>
      <c r="AX1" s="24" t="s">
        <v>11</v>
      </c>
      <c r="AY1" s="24" t="s">
        <v>12</v>
      </c>
      <c r="AZ1" s="24" t="s">
        <v>133</v>
      </c>
      <c r="BA1" s="24" t="s">
        <v>8</v>
      </c>
      <c r="BB1" s="24" t="s">
        <v>9</v>
      </c>
      <c r="BC1" s="24" t="s">
        <v>10</v>
      </c>
      <c r="BD1" s="24" t="s">
        <v>11</v>
      </c>
      <c r="BE1" s="24" t="s">
        <v>12</v>
      </c>
      <c r="BF1" s="24" t="s">
        <v>133</v>
      </c>
      <c r="BG1" s="24" t="s">
        <v>8</v>
      </c>
      <c r="BH1" s="24" t="s">
        <v>9</v>
      </c>
      <c r="BI1" s="24" t="s">
        <v>10</v>
      </c>
      <c r="BJ1" s="24" t="s">
        <v>11</v>
      </c>
      <c r="BK1" s="24" t="s">
        <v>12</v>
      </c>
      <c r="BL1" s="24" t="s">
        <v>133</v>
      </c>
      <c r="BM1" s="24" t="s">
        <v>8</v>
      </c>
      <c r="BN1" s="24" t="s">
        <v>9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36</v>
      </c>
      <c r="BU1" s="26"/>
      <c r="BV1" s="27"/>
      <c r="BW1" s="27"/>
      <c r="BX1" s="27"/>
      <c r="BY1" s="27"/>
    </row>
    <row r="2" spans="1:77" s="56" customFormat="1" ht="78" thickBot="1" x14ac:dyDescent="0.3">
      <c r="A2" s="188">
        <v>21420</v>
      </c>
      <c r="B2" s="189">
        <v>46031</v>
      </c>
      <c r="C2" s="41" t="s">
        <v>239</v>
      </c>
      <c r="D2" s="41" t="s">
        <v>90</v>
      </c>
      <c r="E2" s="41" t="s">
        <v>42</v>
      </c>
      <c r="F2" s="41" t="s">
        <v>121</v>
      </c>
      <c r="G2" s="41" t="s">
        <v>122</v>
      </c>
      <c r="H2" s="41" t="s">
        <v>123</v>
      </c>
      <c r="I2" s="41"/>
      <c r="J2" s="41" t="s">
        <v>134</v>
      </c>
      <c r="K2" s="188">
        <v>1500</v>
      </c>
      <c r="L2" s="188">
        <v>8</v>
      </c>
      <c r="M2" s="41" t="s">
        <v>17</v>
      </c>
      <c r="N2" s="41" t="s">
        <v>22</v>
      </c>
      <c r="O2" s="188">
        <v>3.5</v>
      </c>
      <c r="P2" s="41" t="s">
        <v>134</v>
      </c>
      <c r="Q2" s="188">
        <v>1000</v>
      </c>
      <c r="R2" s="188">
        <v>10</v>
      </c>
      <c r="S2" s="41" t="s">
        <v>17</v>
      </c>
      <c r="T2" s="41" t="s">
        <v>22</v>
      </c>
      <c r="U2" s="188">
        <v>3.5</v>
      </c>
      <c r="V2" s="41" t="s">
        <v>134</v>
      </c>
      <c r="W2" s="188">
        <v>750</v>
      </c>
      <c r="X2" s="188">
        <v>10</v>
      </c>
      <c r="Y2" s="41" t="s">
        <v>17</v>
      </c>
      <c r="Z2" s="41" t="s">
        <v>22</v>
      </c>
      <c r="AA2" s="188">
        <v>3.5</v>
      </c>
      <c r="AB2" s="41" t="s">
        <v>134</v>
      </c>
      <c r="AC2" s="188">
        <v>500</v>
      </c>
      <c r="AD2" s="188">
        <v>20</v>
      </c>
      <c r="AE2" s="41" t="s">
        <v>17</v>
      </c>
      <c r="AF2" s="41" t="s">
        <v>22</v>
      </c>
      <c r="AG2" s="188">
        <v>3.5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 t="s">
        <v>91</v>
      </c>
      <c r="BS2" s="41" t="s">
        <v>253</v>
      </c>
      <c r="BT2" s="108">
        <f t="shared" ref="BT2" si="0">K2*L2+Q2*R2+W2*X2+AC2*AD2+AI2*AJ2+AO2*AP2+AU2*AV2+BA2*BB2+BG2*BH2+BM2*BN2</f>
        <v>39500</v>
      </c>
    </row>
    <row r="3" spans="1:77" s="56" customFormat="1" ht="15.75" thickBot="1" x14ac:dyDescent="0.3">
      <c r="A3" s="80"/>
      <c r="B3" s="49"/>
      <c r="C3" s="20"/>
      <c r="D3" s="20"/>
      <c r="E3" s="20"/>
      <c r="F3" s="20"/>
      <c r="G3" s="20"/>
      <c r="H3" s="20"/>
      <c r="I3" s="20"/>
      <c r="J3" s="48"/>
      <c r="K3" s="48"/>
      <c r="L3" s="48"/>
      <c r="M3" s="20"/>
      <c r="N3" s="20"/>
      <c r="O3" s="48"/>
      <c r="P3" s="48"/>
      <c r="Q3" s="48"/>
      <c r="R3" s="48"/>
      <c r="S3" s="20"/>
      <c r="T3" s="20"/>
      <c r="U3" s="48"/>
      <c r="V3" s="48"/>
      <c r="W3" s="48"/>
      <c r="X3" s="48"/>
      <c r="Y3" s="48"/>
      <c r="Z3" s="20"/>
      <c r="AA3" s="48"/>
      <c r="AB3" s="48"/>
      <c r="AC3" s="48"/>
      <c r="AD3" s="48"/>
      <c r="AE3" s="20"/>
      <c r="AF3" s="20"/>
      <c r="AG3" s="48"/>
      <c r="AH3" s="48"/>
      <c r="AI3" s="48"/>
      <c r="AJ3" s="48"/>
      <c r="AK3" s="20"/>
      <c r="AL3" s="20"/>
      <c r="AM3" s="48"/>
      <c r="AN3" s="48"/>
      <c r="AO3" s="48"/>
      <c r="AP3" s="48"/>
      <c r="AQ3" s="20"/>
      <c r="AR3" s="20"/>
      <c r="AS3" s="48"/>
      <c r="AT3" s="48"/>
      <c r="AU3" s="48"/>
      <c r="AV3" s="48"/>
      <c r="AW3" s="20"/>
      <c r="AX3" s="20"/>
      <c r="AY3" s="48"/>
      <c r="AZ3" s="48"/>
      <c r="BA3" s="48"/>
      <c r="BB3" s="48"/>
      <c r="BC3" s="20"/>
      <c r="BD3" s="20"/>
      <c r="BE3" s="48"/>
      <c r="BF3" s="48"/>
      <c r="BG3" s="48"/>
      <c r="BH3" s="48"/>
      <c r="BI3" s="20"/>
      <c r="BJ3" s="20"/>
      <c r="BK3" s="48"/>
      <c r="BL3" s="48"/>
      <c r="BM3" s="48"/>
      <c r="BN3" s="48"/>
      <c r="BO3" s="20"/>
      <c r="BP3" s="20"/>
      <c r="BQ3" s="48"/>
      <c r="BR3" s="20"/>
      <c r="BS3" s="20"/>
      <c r="BT3" s="55"/>
      <c r="BU3" s="20"/>
      <c r="BV3" s="20"/>
      <c r="BW3" s="20"/>
      <c r="BX3" s="20"/>
      <c r="BY3" s="20"/>
    </row>
    <row r="4" spans="1:77" s="56" customFormat="1" ht="15.75" thickBot="1" x14ac:dyDescent="0.3">
      <c r="A4" s="80"/>
      <c r="B4" s="49"/>
      <c r="C4" s="20"/>
      <c r="D4" s="20"/>
      <c r="E4" s="20"/>
      <c r="F4" s="20"/>
      <c r="G4" s="20"/>
      <c r="H4" s="20"/>
      <c r="I4" s="20"/>
      <c r="J4" s="48"/>
      <c r="K4" s="48"/>
      <c r="L4" s="48"/>
      <c r="M4" s="20"/>
      <c r="N4" s="20"/>
      <c r="O4" s="48"/>
      <c r="P4" s="48"/>
      <c r="Q4" s="48"/>
      <c r="R4" s="48"/>
      <c r="S4" s="20"/>
      <c r="T4" s="20"/>
      <c r="U4" s="48"/>
      <c r="V4" s="48"/>
      <c r="W4" s="48"/>
      <c r="X4" s="48"/>
      <c r="Y4" s="48"/>
      <c r="Z4" s="20"/>
      <c r="AA4" s="48"/>
      <c r="AB4" s="48"/>
      <c r="AC4" s="48"/>
      <c r="AD4" s="48"/>
      <c r="AE4" s="20"/>
      <c r="AF4" s="20"/>
      <c r="AG4" s="48"/>
      <c r="AH4" s="48"/>
      <c r="AI4" s="48"/>
      <c r="AJ4" s="48"/>
      <c r="AK4" s="20"/>
      <c r="AL4" s="20"/>
      <c r="AM4" s="48"/>
      <c r="AN4" s="48"/>
      <c r="AO4" s="48"/>
      <c r="AP4" s="48"/>
      <c r="AQ4" s="20"/>
      <c r="AR4" s="20"/>
      <c r="AS4" s="48"/>
      <c r="AT4" s="48"/>
      <c r="AU4" s="48"/>
      <c r="AV4" s="48"/>
      <c r="AW4" s="20"/>
      <c r="AX4" s="20"/>
      <c r="AY4" s="48"/>
      <c r="AZ4" s="48"/>
      <c r="BA4" s="48"/>
      <c r="BB4" s="48"/>
      <c r="BC4" s="20"/>
      <c r="BD4" s="20"/>
      <c r="BE4" s="48"/>
      <c r="BF4" s="48"/>
      <c r="BG4" s="48"/>
      <c r="BH4" s="48"/>
      <c r="BI4" s="20"/>
      <c r="BJ4" s="20"/>
      <c r="BK4" s="48"/>
      <c r="BL4" s="48"/>
      <c r="BM4" s="48"/>
      <c r="BN4" s="48"/>
      <c r="BO4" s="20"/>
      <c r="BP4" s="20"/>
      <c r="BQ4" s="48"/>
      <c r="BR4" s="20"/>
      <c r="BS4" s="20"/>
      <c r="BT4" s="55"/>
      <c r="BU4" s="20"/>
      <c r="BV4" s="20"/>
      <c r="BW4" s="20"/>
      <c r="BX4" s="20"/>
      <c r="BY4" s="20"/>
    </row>
    <row r="5" spans="1:77" s="56" customFormat="1" ht="15.75" thickBot="1" x14ac:dyDescent="0.3">
      <c r="A5" s="80"/>
      <c r="B5" s="49"/>
      <c r="C5" s="20"/>
      <c r="D5" s="20"/>
      <c r="E5" s="20"/>
      <c r="F5" s="20"/>
      <c r="G5" s="20"/>
      <c r="H5" s="20"/>
      <c r="I5" s="20"/>
      <c r="J5" s="48"/>
      <c r="K5" s="48"/>
      <c r="L5" s="48"/>
      <c r="M5" s="20"/>
      <c r="N5" s="20"/>
      <c r="O5" s="48"/>
      <c r="P5" s="48"/>
      <c r="Q5" s="48"/>
      <c r="R5" s="48"/>
      <c r="S5" s="20"/>
      <c r="T5" s="20"/>
      <c r="U5" s="48"/>
      <c r="V5" s="48"/>
      <c r="W5" s="48"/>
      <c r="X5" s="48"/>
      <c r="Y5" s="48"/>
      <c r="Z5" s="20"/>
      <c r="AA5" s="48"/>
      <c r="AB5" s="48"/>
      <c r="AC5" s="48"/>
      <c r="AD5" s="48"/>
      <c r="AE5" s="20"/>
      <c r="AF5" s="20"/>
      <c r="AG5" s="48"/>
      <c r="AH5" s="48"/>
      <c r="AI5" s="48"/>
      <c r="AJ5" s="48"/>
      <c r="AK5" s="20"/>
      <c r="AL5" s="20"/>
      <c r="AM5" s="48"/>
      <c r="AN5" s="48"/>
      <c r="AO5" s="48"/>
      <c r="AP5" s="48"/>
      <c r="AQ5" s="20"/>
      <c r="AR5" s="20"/>
      <c r="AS5" s="48"/>
      <c r="AT5" s="48"/>
      <c r="AU5" s="48"/>
      <c r="AV5" s="48"/>
      <c r="AW5" s="20"/>
      <c r="AX5" s="20"/>
      <c r="AY5" s="48"/>
      <c r="AZ5" s="48"/>
      <c r="BA5" s="48"/>
      <c r="BB5" s="48"/>
      <c r="BC5" s="20"/>
      <c r="BD5" s="20"/>
      <c r="BE5" s="48"/>
      <c r="BF5" s="48"/>
      <c r="BG5" s="48"/>
      <c r="BH5" s="48"/>
      <c r="BI5" s="20"/>
      <c r="BJ5" s="20"/>
      <c r="BK5" s="48"/>
      <c r="BL5" s="48"/>
      <c r="BM5" s="48"/>
      <c r="BN5" s="48"/>
      <c r="BO5" s="20"/>
      <c r="BP5" s="20"/>
      <c r="BQ5" s="48"/>
      <c r="BR5" s="20"/>
      <c r="BS5" s="20"/>
      <c r="BT5" s="55"/>
      <c r="BU5" s="20"/>
      <c r="BV5" s="20"/>
      <c r="BW5" s="20"/>
      <c r="BX5" s="20"/>
      <c r="BY5" s="20"/>
    </row>
    <row r="6" spans="1:77" s="56" customFormat="1" ht="15.75" thickBot="1" x14ac:dyDescent="0.3">
      <c r="A6" s="80"/>
      <c r="B6" s="49"/>
      <c r="C6" s="20"/>
      <c r="D6" s="20"/>
      <c r="E6" s="20"/>
      <c r="F6" s="20"/>
      <c r="G6" s="20"/>
      <c r="H6" s="20"/>
      <c r="I6" s="20"/>
      <c r="J6" s="48"/>
      <c r="K6" s="48"/>
      <c r="L6" s="48"/>
      <c r="M6" s="20"/>
      <c r="N6" s="20"/>
      <c r="O6" s="48"/>
      <c r="P6" s="48"/>
      <c r="Q6" s="48"/>
      <c r="R6" s="48"/>
      <c r="S6" s="20"/>
      <c r="T6" s="20"/>
      <c r="U6" s="48"/>
      <c r="V6" s="48"/>
      <c r="W6" s="48"/>
      <c r="X6" s="48"/>
      <c r="Y6" s="48"/>
      <c r="Z6" s="20"/>
      <c r="AA6" s="48"/>
      <c r="AB6" s="48"/>
      <c r="AC6" s="48"/>
      <c r="AD6" s="48"/>
      <c r="AE6" s="20"/>
      <c r="AF6" s="20"/>
      <c r="AG6" s="48"/>
      <c r="AH6" s="48"/>
      <c r="AI6" s="48"/>
      <c r="AJ6" s="48"/>
      <c r="AK6" s="20"/>
      <c r="AL6" s="20"/>
      <c r="AM6" s="48"/>
      <c r="AN6" s="48"/>
      <c r="AO6" s="48"/>
      <c r="AP6" s="48"/>
      <c r="AQ6" s="20"/>
      <c r="AR6" s="20"/>
      <c r="AS6" s="48"/>
      <c r="AT6" s="48"/>
      <c r="AU6" s="48"/>
      <c r="AV6" s="48"/>
      <c r="AW6" s="20"/>
      <c r="AX6" s="20"/>
      <c r="AY6" s="48"/>
      <c r="AZ6" s="48"/>
      <c r="BA6" s="48"/>
      <c r="BB6" s="48"/>
      <c r="BC6" s="20"/>
      <c r="BD6" s="20"/>
      <c r="BE6" s="48"/>
      <c r="BF6" s="48"/>
      <c r="BG6" s="48"/>
      <c r="BH6" s="48"/>
      <c r="BI6" s="20"/>
      <c r="BJ6" s="20"/>
      <c r="BK6" s="48"/>
      <c r="BL6" s="48"/>
      <c r="BM6" s="48"/>
      <c r="BN6" s="48"/>
      <c r="BO6" s="20"/>
      <c r="BP6" s="20"/>
      <c r="BQ6" s="48"/>
      <c r="BR6" s="20"/>
      <c r="BS6" s="20"/>
      <c r="BT6" s="55"/>
      <c r="BU6" s="20"/>
      <c r="BV6" s="20"/>
      <c r="BW6" s="20"/>
      <c r="BX6" s="20"/>
      <c r="BY6" s="20"/>
    </row>
    <row r="7" spans="1:77" s="56" customFormat="1" ht="15.75" thickBot="1" x14ac:dyDescent="0.3">
      <c r="A7" s="80"/>
      <c r="B7" s="49"/>
      <c r="C7" s="20"/>
      <c r="D7" s="20"/>
      <c r="E7" s="20"/>
      <c r="F7" s="20"/>
      <c r="G7" s="20"/>
      <c r="H7" s="20"/>
      <c r="I7" s="20"/>
      <c r="J7" s="48"/>
      <c r="K7" s="48"/>
      <c r="L7" s="48"/>
      <c r="M7" s="20"/>
      <c r="N7" s="20"/>
      <c r="O7" s="48"/>
      <c r="P7" s="48"/>
      <c r="Q7" s="48"/>
      <c r="R7" s="48"/>
      <c r="S7" s="20"/>
      <c r="T7" s="20"/>
      <c r="U7" s="48"/>
      <c r="V7" s="48"/>
      <c r="W7" s="48"/>
      <c r="X7" s="48"/>
      <c r="Y7" s="48"/>
      <c r="Z7" s="20"/>
      <c r="AA7" s="48"/>
      <c r="AB7" s="48"/>
      <c r="AC7" s="48"/>
      <c r="AD7" s="48"/>
      <c r="AE7" s="20"/>
      <c r="AF7" s="20"/>
      <c r="AG7" s="48"/>
      <c r="AH7" s="48"/>
      <c r="AI7" s="48"/>
      <c r="AJ7" s="48"/>
      <c r="AK7" s="20"/>
      <c r="AL7" s="20"/>
      <c r="AM7" s="48"/>
      <c r="AN7" s="48"/>
      <c r="AO7" s="48"/>
      <c r="AP7" s="48"/>
      <c r="AQ7" s="20"/>
      <c r="AR7" s="20"/>
      <c r="AS7" s="48"/>
      <c r="AT7" s="48"/>
      <c r="AU7" s="48"/>
      <c r="AV7" s="48"/>
      <c r="AW7" s="20"/>
      <c r="AX7" s="20"/>
      <c r="AY7" s="48"/>
      <c r="AZ7" s="48"/>
      <c r="BA7" s="48"/>
      <c r="BB7" s="48"/>
      <c r="BC7" s="20"/>
      <c r="BD7" s="20"/>
      <c r="BE7" s="48"/>
      <c r="BF7" s="48"/>
      <c r="BG7" s="48"/>
      <c r="BH7" s="48"/>
      <c r="BI7" s="20"/>
      <c r="BJ7" s="20"/>
      <c r="BK7" s="48"/>
      <c r="BL7" s="48"/>
      <c r="BM7" s="48"/>
      <c r="BN7" s="48"/>
      <c r="BO7" s="20"/>
      <c r="BP7" s="20"/>
      <c r="BQ7" s="48"/>
      <c r="BR7" s="20"/>
      <c r="BS7" s="20"/>
      <c r="BT7" s="55"/>
      <c r="BU7" s="20"/>
      <c r="BV7" s="20"/>
      <c r="BW7" s="20"/>
      <c r="BX7" s="20"/>
      <c r="BY7" s="20"/>
    </row>
    <row r="8" spans="1:77" s="56" customFormat="1" ht="15.75" thickBot="1" x14ac:dyDescent="0.3">
      <c r="A8" s="80"/>
      <c r="B8" s="49"/>
      <c r="C8" s="20"/>
      <c r="D8" s="20"/>
      <c r="E8" s="20"/>
      <c r="F8" s="20"/>
      <c r="G8" s="20"/>
      <c r="H8" s="20"/>
      <c r="I8" s="20"/>
      <c r="J8" s="48"/>
      <c r="K8" s="48"/>
      <c r="L8" s="48"/>
      <c r="M8" s="20"/>
      <c r="N8" s="20"/>
      <c r="O8" s="48"/>
      <c r="P8" s="48"/>
      <c r="Q8" s="48"/>
      <c r="R8" s="48"/>
      <c r="S8" s="20"/>
      <c r="T8" s="20"/>
      <c r="U8" s="48"/>
      <c r="V8" s="48"/>
      <c r="W8" s="48"/>
      <c r="X8" s="48"/>
      <c r="Y8" s="48"/>
      <c r="Z8" s="20"/>
      <c r="AA8" s="48"/>
      <c r="AB8" s="48"/>
      <c r="AC8" s="48"/>
      <c r="AD8" s="48"/>
      <c r="AE8" s="20"/>
      <c r="AF8" s="20"/>
      <c r="AG8" s="48"/>
      <c r="AH8" s="48"/>
      <c r="AI8" s="48"/>
      <c r="AJ8" s="48"/>
      <c r="AK8" s="20"/>
      <c r="AL8" s="20"/>
      <c r="AM8" s="48"/>
      <c r="AN8" s="48"/>
      <c r="AO8" s="48"/>
      <c r="AP8" s="48"/>
      <c r="AQ8" s="20"/>
      <c r="AR8" s="20"/>
      <c r="AS8" s="48"/>
      <c r="AT8" s="48"/>
      <c r="AU8" s="48"/>
      <c r="AV8" s="48"/>
      <c r="AW8" s="20"/>
      <c r="AX8" s="20"/>
      <c r="AY8" s="48"/>
      <c r="AZ8" s="48"/>
      <c r="BA8" s="48"/>
      <c r="BB8" s="48"/>
      <c r="BC8" s="20"/>
      <c r="BD8" s="20"/>
      <c r="BE8" s="48"/>
      <c r="BF8" s="48"/>
      <c r="BG8" s="48"/>
      <c r="BH8" s="48"/>
      <c r="BI8" s="20"/>
      <c r="BJ8" s="20"/>
      <c r="BK8" s="48"/>
      <c r="BL8" s="48"/>
      <c r="BM8" s="48"/>
      <c r="BN8" s="48"/>
      <c r="BO8" s="20"/>
      <c r="BP8" s="20"/>
      <c r="BQ8" s="48"/>
      <c r="BR8" s="20"/>
      <c r="BS8" s="20"/>
      <c r="BT8" s="55"/>
      <c r="BU8" s="20"/>
      <c r="BV8" s="20"/>
      <c r="BW8" s="20"/>
      <c r="BX8" s="20"/>
      <c r="BY8" s="20"/>
    </row>
    <row r="9" spans="1:77" s="56" customFormat="1" ht="15.75" thickBot="1" x14ac:dyDescent="0.3">
      <c r="A9" s="80"/>
      <c r="B9" s="49"/>
      <c r="C9" s="20"/>
      <c r="D9" s="20"/>
      <c r="E9" s="20"/>
      <c r="F9" s="20"/>
      <c r="G9" s="20"/>
      <c r="H9" s="20"/>
      <c r="I9" s="20"/>
      <c r="J9" s="48"/>
      <c r="K9" s="48"/>
      <c r="L9" s="48"/>
      <c r="M9" s="20"/>
      <c r="N9" s="20"/>
      <c r="O9" s="48"/>
      <c r="P9" s="48"/>
      <c r="Q9" s="48"/>
      <c r="R9" s="48"/>
      <c r="S9" s="20"/>
      <c r="T9" s="20"/>
      <c r="U9" s="48"/>
      <c r="V9" s="48"/>
      <c r="W9" s="48"/>
      <c r="X9" s="48"/>
      <c r="Y9" s="48"/>
      <c r="Z9" s="20"/>
      <c r="AA9" s="48"/>
      <c r="AB9" s="48"/>
      <c r="AC9" s="48"/>
      <c r="AD9" s="48"/>
      <c r="AE9" s="20"/>
      <c r="AF9" s="20"/>
      <c r="AG9" s="48"/>
      <c r="AH9" s="48"/>
      <c r="AI9" s="48"/>
      <c r="AJ9" s="48"/>
      <c r="AK9" s="20"/>
      <c r="AL9" s="20"/>
      <c r="AM9" s="48"/>
      <c r="AN9" s="48"/>
      <c r="AO9" s="48"/>
      <c r="AP9" s="48"/>
      <c r="AQ9" s="20"/>
      <c r="AR9" s="20"/>
      <c r="AS9" s="48"/>
      <c r="AT9" s="48"/>
      <c r="AU9" s="48"/>
      <c r="AV9" s="48"/>
      <c r="AW9" s="20"/>
      <c r="AX9" s="20"/>
      <c r="AY9" s="48"/>
      <c r="AZ9" s="48"/>
      <c r="BA9" s="48"/>
      <c r="BB9" s="48"/>
      <c r="BC9" s="20"/>
      <c r="BD9" s="20"/>
      <c r="BE9" s="48"/>
      <c r="BF9" s="48"/>
      <c r="BG9" s="48"/>
      <c r="BH9" s="48"/>
      <c r="BI9" s="20"/>
      <c r="BJ9" s="20"/>
      <c r="BK9" s="48"/>
      <c r="BL9" s="48"/>
      <c r="BM9" s="48"/>
      <c r="BN9" s="48"/>
      <c r="BO9" s="20"/>
      <c r="BP9" s="20"/>
      <c r="BQ9" s="48"/>
      <c r="BR9" s="20"/>
      <c r="BS9" s="20"/>
      <c r="BT9" s="55"/>
      <c r="BU9" s="20"/>
      <c r="BV9" s="20"/>
      <c r="BW9" s="20"/>
      <c r="BX9" s="20"/>
      <c r="BY9" s="20"/>
    </row>
    <row r="10" spans="1:77" s="56" customFormat="1" ht="15.75" thickBot="1" x14ac:dyDescent="0.3">
      <c r="A10" s="80"/>
      <c r="B10" s="49"/>
      <c r="C10" s="20"/>
      <c r="D10" s="20"/>
      <c r="E10" s="20"/>
      <c r="F10" s="20"/>
      <c r="G10" s="20"/>
      <c r="H10" s="20"/>
      <c r="I10" s="20"/>
      <c r="J10" s="48"/>
      <c r="K10" s="48"/>
      <c r="L10" s="48"/>
      <c r="M10" s="20"/>
      <c r="N10" s="20"/>
      <c r="O10" s="48"/>
      <c r="P10" s="48"/>
      <c r="Q10" s="48"/>
      <c r="R10" s="48"/>
      <c r="S10" s="20"/>
      <c r="T10" s="20"/>
      <c r="U10" s="48"/>
      <c r="V10" s="48"/>
      <c r="W10" s="48"/>
      <c r="X10" s="48"/>
      <c r="Y10" s="48"/>
      <c r="Z10" s="20"/>
      <c r="AA10" s="48"/>
      <c r="AB10" s="48"/>
      <c r="AC10" s="48"/>
      <c r="AD10" s="48"/>
      <c r="AE10" s="20"/>
      <c r="AF10" s="20"/>
      <c r="AG10" s="48"/>
      <c r="AH10" s="48"/>
      <c r="AI10" s="48"/>
      <c r="AJ10" s="48"/>
      <c r="AK10" s="20"/>
      <c r="AL10" s="20"/>
      <c r="AM10" s="48"/>
      <c r="AN10" s="48"/>
      <c r="AO10" s="48"/>
      <c r="AP10" s="48"/>
      <c r="AQ10" s="20"/>
      <c r="AR10" s="20"/>
      <c r="AS10" s="48"/>
      <c r="AT10" s="48"/>
      <c r="AU10" s="48"/>
      <c r="AV10" s="48"/>
      <c r="AW10" s="20"/>
      <c r="AX10" s="20"/>
      <c r="AY10" s="48"/>
      <c r="AZ10" s="48"/>
      <c r="BA10" s="48"/>
      <c r="BB10" s="48"/>
      <c r="BC10" s="20"/>
      <c r="BD10" s="20"/>
      <c r="BE10" s="48"/>
      <c r="BF10" s="48"/>
      <c r="BG10" s="48"/>
      <c r="BH10" s="48"/>
      <c r="BI10" s="20"/>
      <c r="BJ10" s="20"/>
      <c r="BK10" s="48"/>
      <c r="BL10" s="48"/>
      <c r="BM10" s="48"/>
      <c r="BN10" s="48"/>
      <c r="BO10" s="20"/>
      <c r="BP10" s="20"/>
      <c r="BQ10" s="48"/>
      <c r="BR10" s="20"/>
      <c r="BS10" s="20"/>
      <c r="BT10" s="55"/>
      <c r="BU10" s="20"/>
      <c r="BV10" s="20"/>
      <c r="BW10" s="20"/>
      <c r="BX10" s="20"/>
      <c r="BY10" s="20"/>
    </row>
    <row r="11" spans="1:77" s="56" customFormat="1" ht="15.75" thickBot="1" x14ac:dyDescent="0.3">
      <c r="A11" s="80"/>
      <c r="B11" s="49"/>
      <c r="C11" s="20"/>
      <c r="D11" s="20"/>
      <c r="E11" s="20"/>
      <c r="F11" s="20"/>
      <c r="G11" s="20"/>
      <c r="H11" s="20"/>
      <c r="I11" s="20"/>
      <c r="J11" s="48"/>
      <c r="K11" s="48"/>
      <c r="L11" s="48"/>
      <c r="M11" s="20"/>
      <c r="N11" s="20"/>
      <c r="O11" s="48"/>
      <c r="P11" s="48"/>
      <c r="Q11" s="48"/>
      <c r="R11" s="48"/>
      <c r="S11" s="20"/>
      <c r="T11" s="20"/>
      <c r="U11" s="48"/>
      <c r="V11" s="48"/>
      <c r="W11" s="48"/>
      <c r="X11" s="48"/>
      <c r="Y11" s="48"/>
      <c r="Z11" s="20"/>
      <c r="AA11" s="48"/>
      <c r="AB11" s="48"/>
      <c r="AC11" s="48"/>
      <c r="AD11" s="48"/>
      <c r="AE11" s="20"/>
      <c r="AF11" s="20"/>
      <c r="AG11" s="48"/>
      <c r="AH11" s="48"/>
      <c r="AI11" s="48"/>
      <c r="AJ11" s="48"/>
      <c r="AK11" s="20"/>
      <c r="AL11" s="20"/>
      <c r="AM11" s="48"/>
      <c r="AN11" s="48"/>
      <c r="AO11" s="48"/>
      <c r="AP11" s="48"/>
      <c r="AQ11" s="20"/>
      <c r="AR11" s="20"/>
      <c r="AS11" s="48"/>
      <c r="AT11" s="48"/>
      <c r="AU11" s="48"/>
      <c r="AV11" s="48"/>
      <c r="AW11" s="20"/>
      <c r="AX11" s="20"/>
      <c r="AY11" s="48"/>
      <c r="AZ11" s="48"/>
      <c r="BA11" s="48"/>
      <c r="BB11" s="48"/>
      <c r="BC11" s="20"/>
      <c r="BD11" s="20"/>
      <c r="BE11" s="48"/>
      <c r="BF11" s="48"/>
      <c r="BG11" s="48"/>
      <c r="BH11" s="48"/>
      <c r="BI11" s="20"/>
      <c r="BJ11" s="20"/>
      <c r="BK11" s="48"/>
      <c r="BL11" s="48"/>
      <c r="BM11" s="48"/>
      <c r="BN11" s="48"/>
      <c r="BO11" s="20"/>
      <c r="BP11" s="20"/>
      <c r="BQ11" s="48"/>
      <c r="BR11" s="20"/>
      <c r="BS11" s="20"/>
      <c r="BT11" s="55"/>
      <c r="BU11" s="20"/>
      <c r="BV11" s="20"/>
      <c r="BW11" s="20"/>
      <c r="BX11" s="20"/>
      <c r="BY11" s="20"/>
    </row>
    <row r="12" spans="1:77" s="40" customFormat="1" ht="15.75" thickBot="1" x14ac:dyDescent="0.3">
      <c r="A12" s="75"/>
      <c r="B12" s="2"/>
      <c r="C12" s="1"/>
      <c r="D12" s="1"/>
      <c r="E12" s="1"/>
      <c r="F12" s="25"/>
      <c r="G12" s="1"/>
      <c r="H12" s="1"/>
      <c r="I12" s="1"/>
      <c r="J12" s="3"/>
      <c r="K12" s="3"/>
      <c r="L12" s="3"/>
      <c r="M12" s="1"/>
      <c r="N12" s="1"/>
      <c r="O12" s="3"/>
      <c r="P12" s="3"/>
      <c r="Q12" s="3"/>
      <c r="R12" s="3"/>
      <c r="S12" s="1"/>
      <c r="T12" s="1"/>
      <c r="U12" s="3"/>
      <c r="V12" s="3"/>
      <c r="W12" s="1"/>
      <c r="X12" s="1"/>
      <c r="Y12" s="1"/>
      <c r="Z12" s="1"/>
      <c r="AA12" s="1"/>
      <c r="AB12" s="3"/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3"/>
      <c r="AO12" s="1"/>
      <c r="AP12" s="1"/>
      <c r="AQ12" s="1"/>
      <c r="AR12" s="1"/>
      <c r="AS12" s="1"/>
      <c r="AT12" s="3"/>
      <c r="AU12" s="1"/>
      <c r="AV12" s="1"/>
      <c r="AW12" s="1"/>
      <c r="AX12" s="1"/>
      <c r="AY12" s="1"/>
      <c r="AZ12" s="3"/>
      <c r="BA12" s="1"/>
      <c r="BB12" s="1"/>
      <c r="BC12" s="1"/>
      <c r="BD12" s="1"/>
      <c r="BE12" s="1"/>
      <c r="BF12" s="3"/>
      <c r="BG12" s="1"/>
      <c r="BH12" s="1"/>
      <c r="BI12" s="1"/>
      <c r="BJ12" s="1"/>
      <c r="BK12" s="1"/>
      <c r="BL12" s="3"/>
      <c r="BM12" s="1"/>
      <c r="BN12" s="1"/>
      <c r="BO12" s="1"/>
      <c r="BP12" s="1"/>
      <c r="BQ12" s="1"/>
      <c r="BR12" s="19"/>
      <c r="BS12" s="1"/>
      <c r="BT12" s="37"/>
      <c r="BU12" s="1"/>
      <c r="BV12" s="1"/>
      <c r="BW12" s="1"/>
      <c r="BX12" s="1"/>
      <c r="BY12" s="39"/>
    </row>
    <row r="13" spans="1:77" s="40" customFormat="1" ht="15.75" thickBot="1" x14ac:dyDescent="0.3">
      <c r="A13" s="48"/>
      <c r="B13" s="49"/>
      <c r="C13" s="20"/>
      <c r="D13" s="20"/>
      <c r="E13" s="20"/>
      <c r="F13" s="20"/>
      <c r="G13" s="20"/>
      <c r="H13" s="20"/>
      <c r="I13" s="20"/>
      <c r="J13" s="48"/>
      <c r="K13" s="48"/>
      <c r="L13" s="48"/>
      <c r="M13" s="20"/>
      <c r="N13" s="20"/>
      <c r="O13" s="48"/>
      <c r="P13" s="48"/>
      <c r="Q13" s="20"/>
      <c r="R13" s="20"/>
      <c r="S13" s="20"/>
      <c r="T13" s="20"/>
      <c r="U13" s="20"/>
      <c r="V13" s="48"/>
      <c r="W13" s="20"/>
      <c r="X13" s="20"/>
      <c r="Y13" s="20"/>
      <c r="Z13" s="20"/>
      <c r="AA13" s="20"/>
      <c r="AB13" s="48"/>
      <c r="AC13" s="20"/>
      <c r="AD13" s="20"/>
      <c r="AE13" s="20"/>
      <c r="AF13" s="20"/>
      <c r="AG13" s="20"/>
      <c r="AH13" s="48"/>
      <c r="AI13" s="20"/>
      <c r="AJ13" s="20"/>
      <c r="AK13" s="20"/>
      <c r="AL13" s="20"/>
      <c r="AM13" s="20"/>
      <c r="AN13" s="48"/>
      <c r="AO13" s="20"/>
      <c r="AP13" s="20"/>
      <c r="AQ13" s="20"/>
      <c r="AR13" s="20"/>
      <c r="AS13" s="20"/>
      <c r="AT13" s="48"/>
      <c r="AU13" s="20"/>
      <c r="AV13" s="20"/>
      <c r="AW13" s="20"/>
      <c r="AX13" s="20"/>
      <c r="AY13" s="20"/>
      <c r="AZ13" s="48"/>
      <c r="BA13" s="20"/>
      <c r="BB13" s="20"/>
      <c r="BC13" s="20"/>
      <c r="BD13" s="20"/>
      <c r="BE13" s="20"/>
      <c r="BF13" s="48"/>
      <c r="BG13" s="20"/>
      <c r="BH13" s="20"/>
      <c r="BI13" s="20"/>
      <c r="BJ13" s="20"/>
      <c r="BK13" s="20"/>
      <c r="BL13" s="48"/>
      <c r="BM13" s="20"/>
      <c r="BN13" s="20"/>
      <c r="BO13" s="20"/>
      <c r="BP13" s="20"/>
      <c r="BQ13" s="20"/>
      <c r="BR13" s="20"/>
      <c r="BS13" s="20"/>
      <c r="BT13" s="50"/>
      <c r="BU13" s="20"/>
      <c r="BV13" s="20"/>
      <c r="BW13" s="20"/>
      <c r="BX13" s="20"/>
      <c r="BY13" s="39"/>
    </row>
    <row r="14" spans="1:77" hidden="1" x14ac:dyDescent="0.25">
      <c r="H14" s="4" t="str">
        <f t="shared" ref="H14:L23" si="1">J2</f>
        <v>AG</v>
      </c>
      <c r="I14" s="4">
        <f t="shared" si="1"/>
        <v>1500</v>
      </c>
      <c r="J14" s="4">
        <f t="shared" si="1"/>
        <v>8</v>
      </c>
      <c r="K14" s="4" t="str">
        <f t="shared" si="1"/>
        <v>Y</v>
      </c>
      <c r="L14" s="4" t="str">
        <f t="shared" si="1"/>
        <v>3L</v>
      </c>
      <c r="O14" s="28" t="str">
        <f>J2</f>
        <v>AG</v>
      </c>
      <c r="P14" s="4" t="str">
        <f t="shared" ref="P14:R23" si="2">N2</f>
        <v>3L</v>
      </c>
      <c r="Q14" s="4">
        <f t="shared" si="2"/>
        <v>3.5</v>
      </c>
      <c r="R14" s="4" t="str">
        <f t="shared" si="2"/>
        <v>AG</v>
      </c>
      <c r="S14" s="4" t="str">
        <f t="shared" ref="S14:U23" si="3">T2</f>
        <v>3L</v>
      </c>
      <c r="T14" s="4">
        <f t="shared" si="3"/>
        <v>3.5</v>
      </c>
      <c r="U14" s="4" t="str">
        <f t="shared" si="3"/>
        <v>AG</v>
      </c>
      <c r="V14" s="4" t="str">
        <f t="shared" ref="V14:X23" si="4">Z2</f>
        <v>3L</v>
      </c>
      <c r="W14" s="4">
        <f t="shared" si="4"/>
        <v>3.5</v>
      </c>
      <c r="X14" s="4" t="str">
        <f t="shared" si="4"/>
        <v>AG</v>
      </c>
      <c r="Y14" s="4" t="str">
        <f t="shared" ref="Y14:AA23" si="5">AF2</f>
        <v>3L</v>
      </c>
      <c r="Z14" s="4">
        <f t="shared" si="5"/>
        <v>3.5</v>
      </c>
      <c r="AA14" s="4">
        <f t="shared" si="5"/>
        <v>0</v>
      </c>
      <c r="AB14" s="4">
        <f t="shared" ref="AB14:AD23" si="6">AL2</f>
        <v>0</v>
      </c>
      <c r="AC14" s="4">
        <f t="shared" si="6"/>
        <v>0</v>
      </c>
      <c r="AD14" s="4">
        <f t="shared" si="6"/>
        <v>0</v>
      </c>
      <c r="AE14" s="4">
        <f t="shared" ref="AE14:AG23" si="7">AR2</f>
        <v>0</v>
      </c>
      <c r="AF14" s="4">
        <f t="shared" si="7"/>
        <v>0</v>
      </c>
      <c r="AG14" s="4">
        <f t="shared" si="7"/>
        <v>0</v>
      </c>
      <c r="AH14" s="4">
        <f t="shared" ref="AH14:AJ23" si="8">AX2</f>
        <v>0</v>
      </c>
      <c r="AI14" s="4">
        <f t="shared" si="8"/>
        <v>0</v>
      </c>
      <c r="AJ14" s="4">
        <f t="shared" si="8"/>
        <v>0</v>
      </c>
      <c r="AK14" s="4">
        <f t="shared" ref="AK14:AM23" si="9">BD2</f>
        <v>0</v>
      </c>
      <c r="AL14" s="4">
        <f t="shared" si="9"/>
        <v>0</v>
      </c>
      <c r="AM14" s="4">
        <f t="shared" si="9"/>
        <v>0</v>
      </c>
      <c r="AN14" s="4">
        <f t="shared" ref="AN14:AP23" si="10">BJ2</f>
        <v>0</v>
      </c>
      <c r="AO14" s="4">
        <f t="shared" si="10"/>
        <v>0</v>
      </c>
      <c r="AP14" s="4">
        <f t="shared" si="10"/>
        <v>0</v>
      </c>
      <c r="AQ14" s="4">
        <f t="shared" ref="AQ14:AR23" si="11">BP2</f>
        <v>0</v>
      </c>
      <c r="AR14" s="4">
        <f t="shared" si="11"/>
        <v>0</v>
      </c>
      <c r="AT14" s="28">
        <v>1</v>
      </c>
      <c r="AU14" s="29">
        <f>IF($P$14="3L",$Q$14,IF($S$14="3L",$T$14,IF($V$14="3L",$W$14,IF($Y$14="3L",$Z$14,IF($AB$14="3L",$AC$14,IF($AE$14="3L",$AF$14,IF($AH$14="3L",$AI$14,IF($AK$14="3L",$AL$14,IF($AN$14="3L",$AO$14,IF($AQ$14="3L",$AR$14,""))))))))))</f>
        <v>3.5</v>
      </c>
      <c r="AV14" s="29" t="str">
        <f>IF($P$14="4L",$Q$14,IF($S$14="4L",$T$14,IF($V$14="4L",$W$14,IF($Y$14="4L",$Z$14,IF($AB$14="4L",$AC$14,IF($AE$14="4L",$AF$14,IF($AH$14="4L",$AI$14,IF($AK$14="4L",$AL$14,IF($AN$14="4L",$AO$14,IF($AQ$14="4L",$AR$14,""))))))))))</f>
        <v/>
      </c>
      <c r="AW14" s="29" t="str">
        <f>IF($P$14="5L",$Q$14,IF($S$14="5L",$T$14,IF($V$14="5L",$W$14,IF($Y$14="5L",$Z$14,IF($AB$14="5L",$AC$14,IF($AE$14="5L",$AF$14,IF($AH$14="5L",$AI$14,IF($AK$14="5L",$AL$14,IF($AN$14="5L",$AO$14,IF($AQ$14="5L",$AR$14,""))))))))))</f>
        <v/>
      </c>
      <c r="AX14" s="29" t="str">
        <f>IF($P$14="6L",$Q$14,IF($S$14="6L",$T$14,IF($V$14="6L",$W$14,IF($Y$14="6L",$Z$14,IF($AB$14="6L",$AC$14,IF($AE$14="6L",$AF$14,IF($AH$14="6L",$AI$14,IF($AK$14="6L",$AL$14,IF($AN$14="6L",$AO$14,IF($AQ$14="6L",$AR$14,""))))))))))</f>
        <v/>
      </c>
      <c r="AY14" s="29" t="str">
        <f>IF($P$14="7L",$Q$14,IF($S$14="7L",$T$14,IF($V$14="7L",$W$14,IF($Y$14="7L",$Z$14,IF($AB$14="7L",$AC$14,IF($AE$14="7L",$AF$14,IF($AH$14="7L",$AI$14,IF($AK$14="7L",$AL$14,IF($AN$14="7L",$AO$14,IF($AQ$14="7L",$AR$14,""))))))))))</f>
        <v/>
      </c>
      <c r="AZ14" s="29" t="str">
        <f t="shared" ref="AZ14:AZ23" si="12">IF($O$14="LOFT",$Q$14,IF($R$14="LOFT",$T$14,IF($U$14="LOFT",$W$14,IF($X$14="LOFT",$Z$14,IF($AA$14="LOFT",$AC$14,IF($AD$14="LOFT",$AF$14,IF($AG$14="LOFT",$AI$14,IF($AJ$14="LOFT",$AL$14,IF($AM$14="LOFT",$AO$14,IF($AP$14="LOFT",$AR$14,""))))))))))</f>
        <v/>
      </c>
      <c r="BA14" s="29" t="str">
        <f t="shared" ref="BA14:BA23" si="13">IF($O$14="UT",$Q$14,IF($R$14="UT",$T$14,IF($U$14="UT",$W$14,IF($X$14="UT",$Z$14,IF($AA$14="UT",$AC$14,IF($AD$14="UT",$AF$14,IF($AG$14="UT",$AI$14,IF($AJ$14="UT",$AL$14,IF($AM$14="UT",$AO$14,IF($AP$14="UT",$AR$14,""))))))))))</f>
        <v/>
      </c>
      <c r="BB14" s="29" t="str">
        <f t="shared" ref="BB14:BB23" si="14">IF($O$14="HT",$Q$14,IF($R$14="HT",$T$14,IF($U$14="HT",$W$14,IF($X$14="HT",$Z$14,IF($AA$14="HT",$AC$14,IF($AD$14="HT",$AF$14,IF($AG$14="HT",$AI$14,IF($AJ$14="HT",$AL$14,IF($AM$14="HT",$AO$14,IF($AP$14="HT",$AR$14,""))))))))))</f>
        <v/>
      </c>
      <c r="BC14" s="29" t="str">
        <f t="shared" ref="BC14:BC23" si="15">IF($O$14="PURE",$Q$14,IF($R$14="PURE",$T$14,IF($U$14="PURE",$W$14,IF($X$14="PURE",$Z$14,IF($AA$14="PURE",$AC$14,IF($AD$14="PURE",$AF$14,IF($AG$14="PURE",$AI$14,IF($AJ$14="PURE",$AL$14,IF($AM$14="PURE",$AO$14,IF($AP$14="PURE",$AR$14,""))))))))))</f>
        <v/>
      </c>
      <c r="BD14" s="29" t="str">
        <f>IF($P$14="FUM",$Q$14,IF($S$14="FUM",$T$14,IF($V$14="FUM",$W$14,IF($Y$14="FUM",$Z$14,IF($AB$14="FUM",$AC$14,IF($AE$14="FUM",$AF$14,IF($AH$14="FUM",$AI$14,IF($AK$14="FUM",$AL$14,IF($AN$14="FUM",$AO$14,IF($AQ$14="FUM",$AR$14,""))))))))))</f>
        <v/>
      </c>
    </row>
    <row r="15" spans="1:77" hidden="1" x14ac:dyDescent="0.25">
      <c r="H15" s="4">
        <f t="shared" si="1"/>
        <v>0</v>
      </c>
      <c r="I15" s="4">
        <f t="shared" si="1"/>
        <v>0</v>
      </c>
      <c r="J15" s="4">
        <f t="shared" si="1"/>
        <v>0</v>
      </c>
      <c r="K15" s="4">
        <f t="shared" si="1"/>
        <v>0</v>
      </c>
      <c r="L15" s="4">
        <f t="shared" si="1"/>
        <v>0</v>
      </c>
      <c r="O15" s="28">
        <f t="shared" ref="O15:O23" si="16">J3</f>
        <v>0</v>
      </c>
      <c r="P15" s="4">
        <f t="shared" si="2"/>
        <v>0</v>
      </c>
      <c r="Q15" s="4">
        <f t="shared" si="2"/>
        <v>0</v>
      </c>
      <c r="R15" s="4">
        <f t="shared" si="2"/>
        <v>0</v>
      </c>
      <c r="S15" s="4">
        <f t="shared" si="3"/>
        <v>0</v>
      </c>
      <c r="T15" s="4">
        <f t="shared" si="3"/>
        <v>0</v>
      </c>
      <c r="U15" s="4">
        <f t="shared" si="3"/>
        <v>0</v>
      </c>
      <c r="V15" s="4">
        <f t="shared" si="4"/>
        <v>0</v>
      </c>
      <c r="W15" s="4">
        <f t="shared" si="4"/>
        <v>0</v>
      </c>
      <c r="X15" s="4">
        <f t="shared" si="4"/>
        <v>0</v>
      </c>
      <c r="Y15" s="4">
        <f t="shared" si="5"/>
        <v>0</v>
      </c>
      <c r="Z15" s="4">
        <f t="shared" si="5"/>
        <v>0</v>
      </c>
      <c r="AA15" s="4">
        <f t="shared" si="5"/>
        <v>0</v>
      </c>
      <c r="AB15" s="4">
        <f t="shared" si="6"/>
        <v>0</v>
      </c>
      <c r="AC15" s="4">
        <f t="shared" si="6"/>
        <v>0</v>
      </c>
      <c r="AD15" s="4">
        <f t="shared" si="6"/>
        <v>0</v>
      </c>
      <c r="AE15" s="4">
        <f t="shared" si="7"/>
        <v>0</v>
      </c>
      <c r="AF15" s="4">
        <f t="shared" si="7"/>
        <v>0</v>
      </c>
      <c r="AG15" s="4">
        <f t="shared" si="7"/>
        <v>0</v>
      </c>
      <c r="AH15" s="4">
        <f t="shared" si="8"/>
        <v>0</v>
      </c>
      <c r="AI15" s="4">
        <f t="shared" si="8"/>
        <v>0</v>
      </c>
      <c r="AJ15" s="4">
        <f t="shared" si="8"/>
        <v>0</v>
      </c>
      <c r="AK15" s="4">
        <f t="shared" si="9"/>
        <v>0</v>
      </c>
      <c r="AL15" s="4">
        <f t="shared" si="9"/>
        <v>0</v>
      </c>
      <c r="AM15" s="4">
        <f t="shared" si="9"/>
        <v>0</v>
      </c>
      <c r="AN15" s="4">
        <f t="shared" si="10"/>
        <v>0</v>
      </c>
      <c r="AO15" s="4">
        <f t="shared" si="10"/>
        <v>0</v>
      </c>
      <c r="AP15" s="4">
        <f t="shared" si="10"/>
        <v>0</v>
      </c>
      <c r="AQ15" s="4">
        <f t="shared" si="11"/>
        <v>0</v>
      </c>
      <c r="AR15" s="4">
        <f t="shared" si="11"/>
        <v>0</v>
      </c>
      <c r="AT15" s="28">
        <v>2</v>
      </c>
      <c r="AU15" s="29" t="str">
        <f>IF($P$15="3L",$Q$15,IF($S$15="3L",$T$15,IF($V$15="3L",$W$15,IF($Y$15="3L",$Z$15,IF($AB$15="3L",$AC$15,IF($AE$15="3L",$AF$15,IF($AH$15="3L",$AI$15,IF($AK$15="3L",$AL$15,IF($AN$15="3L",$AO$15,IF($AQ$15="3L",$AR$15,""))))))))))</f>
        <v/>
      </c>
      <c r="AV15" s="29" t="str">
        <f>IF($P$15="4L",$Q$15,IF($S$15="4L",$T$15,IF($V$15="4L",$W$15,IF($Y$15="4L",$Z$15,IF($AB$15="4L",$AC$15,IF($AE$15="4L",$AF$15,IF($AH$15="4L",$AI$15,IF($AK$15="4L",$AL$15,IF($AN$15="4L",$AO$15,IF($AQ$15="4L",$AR$15,""))))))))))</f>
        <v/>
      </c>
      <c r="AW15" s="29" t="str">
        <f>IF($P$15="5L",$Q$15,IF($S$15="5L",$T$15,IF($V$15="5L",$W$15,IF($Y$15="5L",$Z$15,IF($AB$15="5L",$AC$15,IF($AE$15="5L",$AF$15,IF($AH$15="5L",$AI$15,IF($AK$15="5L",$AL$15,IF($AN$15="5L",$AO$15,IF($AQ$15="5L",$AR$15,""))))))))))</f>
        <v/>
      </c>
      <c r="AX15" s="29" t="str">
        <f>IF($P$15="6L",$Q$15,IF($S$15="6L",$T$15,IF($V$15="6L",$W$15,IF($Y$15="6L",$Z$15,IF($AB$15="6L",$AC$15,IF($AE$15="6L",$AF$15,IF($AH$15="6L",$AI$15,IF($AK$15="6L",$AL$15,IF($AN$15="6L",$AO$15,IF($AQ$15="6L",$AR$15,""))))))))))</f>
        <v/>
      </c>
      <c r="AY15" s="29" t="str">
        <f>IF($P$15="7L",$Q$15,IF($S$15="7L",$T$15,IF($V$15="7L",$W$15,IF($Y$15="7L",$Z$15,IF($AB$15="7L",$AC$15,IF($AE$15="7L",$AF$15,IF($AH$15="7L",$AI$15,IF($AK$15="7L",$AL$15,IF($AN$15="7L",$AO$15,IF($AQ$15="7L",$AR$15,""))))))))))</f>
        <v/>
      </c>
      <c r="AZ15" s="29" t="str">
        <f t="shared" si="12"/>
        <v/>
      </c>
      <c r="BA15" s="29" t="str">
        <f t="shared" si="13"/>
        <v/>
      </c>
      <c r="BB15" s="29" t="str">
        <f t="shared" si="14"/>
        <v/>
      </c>
      <c r="BC15" s="29" t="str">
        <f t="shared" si="15"/>
        <v/>
      </c>
      <c r="BD15" s="29" t="str">
        <f>IF($P$15="FUM",$Q$15,IF($S$15="FUM",$T$15,IF($V$15="FUM",$W$15,IF($Y$15="FUM",$Z$15,IF($AB$15="FUM",$AC$15,IF($AE$15="FUM",$AF$15,IF($AH$15="FUM",$AI$15,IF($AK$15="FUM",$AL$15,IF($AN$15="FUM",$AO$15,IF($AQ$15="FUM",$AR$15,""))))))))))</f>
        <v/>
      </c>
    </row>
    <row r="16" spans="1:77" hidden="1" x14ac:dyDescent="0.25">
      <c r="H16" s="4">
        <f t="shared" si="1"/>
        <v>0</v>
      </c>
      <c r="I16" s="4">
        <f t="shared" si="1"/>
        <v>0</v>
      </c>
      <c r="J16" s="4">
        <f t="shared" si="1"/>
        <v>0</v>
      </c>
      <c r="K16" s="4">
        <f t="shared" si="1"/>
        <v>0</v>
      </c>
      <c r="L16" s="4">
        <f t="shared" si="1"/>
        <v>0</v>
      </c>
      <c r="O16" s="28">
        <f t="shared" si="16"/>
        <v>0</v>
      </c>
      <c r="P16" s="4">
        <f t="shared" si="2"/>
        <v>0</v>
      </c>
      <c r="Q16" s="4">
        <f t="shared" si="2"/>
        <v>0</v>
      </c>
      <c r="R16" s="4">
        <f t="shared" si="2"/>
        <v>0</v>
      </c>
      <c r="S16" s="4">
        <f t="shared" si="3"/>
        <v>0</v>
      </c>
      <c r="T16" s="4">
        <f t="shared" si="3"/>
        <v>0</v>
      </c>
      <c r="U16" s="4">
        <f t="shared" si="3"/>
        <v>0</v>
      </c>
      <c r="V16" s="4">
        <f t="shared" si="4"/>
        <v>0</v>
      </c>
      <c r="W16" s="4">
        <f t="shared" si="4"/>
        <v>0</v>
      </c>
      <c r="X16" s="4">
        <f t="shared" si="4"/>
        <v>0</v>
      </c>
      <c r="Y16" s="4">
        <f t="shared" si="5"/>
        <v>0</v>
      </c>
      <c r="Z16" s="4">
        <f t="shared" si="5"/>
        <v>0</v>
      </c>
      <c r="AA16" s="4">
        <f t="shared" si="5"/>
        <v>0</v>
      </c>
      <c r="AB16" s="4">
        <f t="shared" si="6"/>
        <v>0</v>
      </c>
      <c r="AC16" s="4">
        <f t="shared" si="6"/>
        <v>0</v>
      </c>
      <c r="AD16" s="4">
        <f t="shared" si="6"/>
        <v>0</v>
      </c>
      <c r="AE16" s="4">
        <f t="shared" si="7"/>
        <v>0</v>
      </c>
      <c r="AF16" s="4">
        <f t="shared" si="7"/>
        <v>0</v>
      </c>
      <c r="AG16" s="4">
        <f t="shared" si="7"/>
        <v>0</v>
      </c>
      <c r="AH16" s="4">
        <f t="shared" si="8"/>
        <v>0</v>
      </c>
      <c r="AI16" s="4">
        <f t="shared" si="8"/>
        <v>0</v>
      </c>
      <c r="AJ16" s="4">
        <f t="shared" si="8"/>
        <v>0</v>
      </c>
      <c r="AK16" s="4">
        <f t="shared" si="9"/>
        <v>0</v>
      </c>
      <c r="AL16" s="4">
        <f t="shared" si="9"/>
        <v>0</v>
      </c>
      <c r="AM16" s="4">
        <f t="shared" si="9"/>
        <v>0</v>
      </c>
      <c r="AN16" s="4">
        <f t="shared" si="10"/>
        <v>0</v>
      </c>
      <c r="AO16" s="4">
        <f t="shared" si="10"/>
        <v>0</v>
      </c>
      <c r="AP16" s="4">
        <f t="shared" si="10"/>
        <v>0</v>
      </c>
      <c r="AQ16" s="4">
        <f t="shared" si="11"/>
        <v>0</v>
      </c>
      <c r="AR16" s="4">
        <f t="shared" si="11"/>
        <v>0</v>
      </c>
      <c r="AT16" s="28">
        <v>3</v>
      </c>
      <c r="AU16" s="29" t="str">
        <f>IF($P$16="3L",$Q$16,IF($S$16="3L",$T$16,IF($V$16="3L",$W$16,IF($Y$16="3L",$Z$16,IF($AB$16="3L",$AC$16,IF($AE$16="3L",$AF$16,IF($AH$16="3L",$AI$16,IF($AK$16="3L",$AL$16,IF($AN$16="3L",$AO$16,IF($AQ$16="3L",$AR$16,""))))))))))</f>
        <v/>
      </c>
      <c r="AV16" s="29" t="str">
        <f>IF($P$16="4L",$Q$16,IF($S$16="4L",$T$16,IF($V$16="4L",$W$16,IF($Y$16="4L",$Z$16,IF($AB$16="4L",$AC$16,IF($AE$16="4L",$AF$16,IF($AH$16="4L",$AI$16,IF($AK$16="4L",$AL$16,IF($AN$16="4L",$AO$16,IF($AQ$16="4L",$AR$16,""))))))))))</f>
        <v/>
      </c>
      <c r="AW16" s="29" t="str">
        <f>IF($P$16="5L",$Q$16,IF($S$16="5L",$T$16,IF($V$16="5L",$W$16,IF($Y$16="5L",$Z$16,IF($AB$16="5L",$AC$16,IF($AE$16="5L",$AF$16,IF($AH$16="5L",$AI$16,IF($AK$16="5L",$AL$16,IF($AN$16="5L",$AO$16,IF($AQ$16="5L",$AR$16,""))))))))))</f>
        <v/>
      </c>
      <c r="AX16" s="29" t="str">
        <f>IF($P$16="6L",$Q$16,IF($S$16="6L",$T$16,IF($V$16="6L",$W$16,IF($Y$16="6L",$Z$16,IF($AB$16="6L",$AC$16,IF($AE$16="6L",$AF$16,IF($AH$16="6L",$AI$16,IF($AK$16="6L",$AL$16,IF($AN$16="6L",$AO$16,IF($AQ$16="6L",$AR$16,""))))))))))</f>
        <v/>
      </c>
      <c r="AY16" s="29" t="str">
        <f>IF($P$16="7L",$Q$16,IF($S$16="7L",$T$16,IF($V$16="7L",$W$16,IF($Y$16="7L",$Z$16,IF($AB$16="7L",$AC$16,IF($AE$16="7L",$AF$16,IF($AH$16="7L",$AI$16,IF($AK$16="7L",$AL$16,IF($AN$16="7L",$AO$16,IF($AQ$16="7L",$AR$16,""))))))))))</f>
        <v/>
      </c>
      <c r="AZ16" s="29" t="str">
        <f t="shared" si="12"/>
        <v/>
      </c>
      <c r="BA16" s="29" t="str">
        <f t="shared" si="13"/>
        <v/>
      </c>
      <c r="BB16" s="29" t="str">
        <f t="shared" si="14"/>
        <v/>
      </c>
      <c r="BC16" s="29" t="str">
        <f t="shared" si="15"/>
        <v/>
      </c>
      <c r="BD16" s="29" t="str">
        <f>IF($P$16="FUM",$Q$16,IF($S$16="FUM",$T$16,IF($V$16="FUM",$W$16,IF($Y$16="FUM",$Z$16,IF($AB$16="FUM",$AC$16,IF($AE$16="FUM",$AF$16,IF($AH$16="FUM",$AI$16,IF($AK$16="FUM",$AL$16,IF($AN$16="FUM",$AO$16,IF($AQ$16="FUM",$AR$16,""))))))))))</f>
        <v/>
      </c>
    </row>
    <row r="17" spans="8:56" hidden="1" x14ac:dyDescent="0.25">
      <c r="H17" s="4">
        <f t="shared" si="1"/>
        <v>0</v>
      </c>
      <c r="I17" s="4">
        <f t="shared" si="1"/>
        <v>0</v>
      </c>
      <c r="J17" s="4">
        <f t="shared" si="1"/>
        <v>0</v>
      </c>
      <c r="K17" s="4">
        <f t="shared" si="1"/>
        <v>0</v>
      </c>
      <c r="L17" s="4">
        <f t="shared" si="1"/>
        <v>0</v>
      </c>
      <c r="O17" s="28">
        <f t="shared" si="16"/>
        <v>0</v>
      </c>
      <c r="P17" s="4">
        <f t="shared" si="2"/>
        <v>0</v>
      </c>
      <c r="Q17" s="4">
        <f t="shared" si="2"/>
        <v>0</v>
      </c>
      <c r="R17" s="4">
        <f t="shared" si="2"/>
        <v>0</v>
      </c>
      <c r="S17" s="4">
        <f t="shared" si="3"/>
        <v>0</v>
      </c>
      <c r="T17" s="4">
        <f t="shared" si="3"/>
        <v>0</v>
      </c>
      <c r="U17" s="4">
        <f t="shared" si="3"/>
        <v>0</v>
      </c>
      <c r="V17" s="4">
        <f t="shared" si="4"/>
        <v>0</v>
      </c>
      <c r="W17" s="4">
        <f t="shared" si="4"/>
        <v>0</v>
      </c>
      <c r="X17" s="4">
        <f t="shared" si="4"/>
        <v>0</v>
      </c>
      <c r="Y17" s="4">
        <f t="shared" si="5"/>
        <v>0</v>
      </c>
      <c r="Z17" s="4">
        <f t="shared" si="5"/>
        <v>0</v>
      </c>
      <c r="AA17" s="4">
        <f t="shared" si="5"/>
        <v>0</v>
      </c>
      <c r="AB17" s="4">
        <f t="shared" si="6"/>
        <v>0</v>
      </c>
      <c r="AC17" s="4">
        <f t="shared" si="6"/>
        <v>0</v>
      </c>
      <c r="AD17" s="4">
        <f t="shared" si="6"/>
        <v>0</v>
      </c>
      <c r="AE17" s="4">
        <f t="shared" si="7"/>
        <v>0</v>
      </c>
      <c r="AF17" s="4">
        <f t="shared" si="7"/>
        <v>0</v>
      </c>
      <c r="AG17" s="4">
        <f t="shared" si="7"/>
        <v>0</v>
      </c>
      <c r="AH17" s="4">
        <f t="shared" si="8"/>
        <v>0</v>
      </c>
      <c r="AI17" s="4">
        <f t="shared" si="8"/>
        <v>0</v>
      </c>
      <c r="AJ17" s="4">
        <f t="shared" si="8"/>
        <v>0</v>
      </c>
      <c r="AK17" s="4">
        <f t="shared" si="9"/>
        <v>0</v>
      </c>
      <c r="AL17" s="4">
        <f t="shared" si="9"/>
        <v>0</v>
      </c>
      <c r="AM17" s="4">
        <f t="shared" si="9"/>
        <v>0</v>
      </c>
      <c r="AN17" s="4">
        <f t="shared" si="10"/>
        <v>0</v>
      </c>
      <c r="AO17" s="4">
        <f t="shared" si="10"/>
        <v>0</v>
      </c>
      <c r="AP17" s="4">
        <f t="shared" si="10"/>
        <v>0</v>
      </c>
      <c r="AQ17" s="4">
        <f t="shared" si="11"/>
        <v>0</v>
      </c>
      <c r="AR17" s="4">
        <f t="shared" si="11"/>
        <v>0</v>
      </c>
      <c r="AT17" s="28">
        <v>4</v>
      </c>
      <c r="AU17" s="29" t="str">
        <f>IF($P$17="3L",$Q$17,IF($S$17="3L",$T$17,IF($V$17="3L",$W$17,IF($Y$17="3L",$Z$17,IF($AB$17="3L",$AC$17,IF($AE$17="3L",$AF$17,IF($AH$17="3L",$AI$17,IF($AK$17="3L",$AL$17,IF($AN$17="3L",$AO$17,IF($AQ$17="3L",$AR$17,""))))))))))</f>
        <v/>
      </c>
      <c r="AV17" s="29" t="str">
        <f>IF($P$17="4L",$Q$17,IF($S$17="4L",$T$17,IF($V$17="4L",$W$17,IF($Y$17="4L",$Z$17,IF($AB$17="4L",$AC$17,IF($AE$17="4L",$AF$17,IF($AH$17="4L",$AI$17,IF($AK$17="4L",$AL$17,IF($AN$17="4L",$AO$17,IF($AQ$17="4L",$AR$17,""))))))))))</f>
        <v/>
      </c>
      <c r="AW17" s="29" t="str">
        <f>IF($P$17="5L",$Q$17,IF($S$17="5L",$T$17,IF($V$17="5L",$W$17,IF($Y$17="5L",$Z$17,IF($AB$17="5L",$AC$17,IF($AE$17="5L",$AF$17,IF($AH$17="5L",$AI$17,IF($AK$17="5L",$AL$17,IF($AN$17="5L",$AO$17,IF($AQ$17="5L",$AR$17,""))))))))))</f>
        <v/>
      </c>
      <c r="AX17" s="29" t="str">
        <f>IF($P$17="6L",$Q$17,IF($S$17="6L",$T$17,IF($V$17="6L",$W$17,IF($Y$17="6L",$Z$17,IF($AB$17="6L",$AC$17,IF($AE$17="6L",$AF$17,IF($AH$17="6L",$AI$17,IF($AK$17="6L",$AL$17,IF($AN$17="6L",$AO$17,IF($AQ$17="6L",$AR$17,""))))))))))</f>
        <v/>
      </c>
      <c r="AY17" s="29" t="str">
        <f>IF($P$17="7L",$Q$17,IF($S$17="7L",$T$17,IF($V$17="7L",$W$17,IF($Y$17="7L",$Z$17,IF($AB$17="7L",$AC$17,IF($AE$17="7L",$AF$17,IF($AH$17="7L",$AI$17,IF($AK$17="7L",$AL$17,IF($AN$17="7L",$AO$17,IF($AQ$17="7L",$AR$17,""))))))))))</f>
        <v/>
      </c>
      <c r="AZ17" s="29" t="str">
        <f t="shared" si="12"/>
        <v/>
      </c>
      <c r="BA17" s="29" t="str">
        <f t="shared" si="13"/>
        <v/>
      </c>
      <c r="BB17" s="29" t="str">
        <f t="shared" si="14"/>
        <v/>
      </c>
      <c r="BC17" s="29" t="str">
        <f t="shared" si="15"/>
        <v/>
      </c>
      <c r="BD17" s="29" t="str">
        <f>IF($P$17="FUM",$Q$17,IF($S$17="FUM",$T$17,IF($V$17="FUM",$W$17,IF($Y$17="FUM",$Z$17,IF($AB$17="FUM",$AC$17,IF($AE$17="FUM",$AF$17,IF($AH$17="FUM",$AI$17,IF($AK$17="FUM",$AL$17,IF($AN$17="FUM",$AO$17,IF($AQ$17="FUM",$AR$17,""))))))))))</f>
        <v/>
      </c>
    </row>
    <row r="18" spans="8:56" hidden="1" x14ac:dyDescent="0.25">
      <c r="H18" s="4">
        <f t="shared" si="1"/>
        <v>0</v>
      </c>
      <c r="I18" s="4">
        <f t="shared" si="1"/>
        <v>0</v>
      </c>
      <c r="J18" s="4">
        <f t="shared" si="1"/>
        <v>0</v>
      </c>
      <c r="K18" s="4">
        <f t="shared" si="1"/>
        <v>0</v>
      </c>
      <c r="L18" s="4">
        <f t="shared" si="1"/>
        <v>0</v>
      </c>
      <c r="O18" s="28">
        <f t="shared" si="16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3"/>
        <v>0</v>
      </c>
      <c r="T18" s="4">
        <f t="shared" si="3"/>
        <v>0</v>
      </c>
      <c r="U18" s="4">
        <f t="shared" si="3"/>
        <v>0</v>
      </c>
      <c r="V18" s="4">
        <f t="shared" si="4"/>
        <v>0</v>
      </c>
      <c r="W18" s="4">
        <f t="shared" si="4"/>
        <v>0</v>
      </c>
      <c r="X18" s="4">
        <f t="shared" si="4"/>
        <v>0</v>
      </c>
      <c r="Y18" s="4">
        <f t="shared" si="5"/>
        <v>0</v>
      </c>
      <c r="Z18" s="4">
        <f t="shared" si="5"/>
        <v>0</v>
      </c>
      <c r="AA18" s="4">
        <f t="shared" si="5"/>
        <v>0</v>
      </c>
      <c r="AB18" s="4">
        <f t="shared" si="6"/>
        <v>0</v>
      </c>
      <c r="AC18" s="4">
        <f t="shared" si="6"/>
        <v>0</v>
      </c>
      <c r="AD18" s="4">
        <f t="shared" si="6"/>
        <v>0</v>
      </c>
      <c r="AE18" s="4">
        <f t="shared" si="7"/>
        <v>0</v>
      </c>
      <c r="AF18" s="4">
        <f t="shared" si="7"/>
        <v>0</v>
      </c>
      <c r="AG18" s="4">
        <f t="shared" si="7"/>
        <v>0</v>
      </c>
      <c r="AH18" s="4">
        <f t="shared" si="8"/>
        <v>0</v>
      </c>
      <c r="AI18" s="4">
        <f t="shared" si="8"/>
        <v>0</v>
      </c>
      <c r="AJ18" s="4">
        <f t="shared" si="8"/>
        <v>0</v>
      </c>
      <c r="AK18" s="4">
        <f t="shared" si="9"/>
        <v>0</v>
      </c>
      <c r="AL18" s="4">
        <f t="shared" si="9"/>
        <v>0</v>
      </c>
      <c r="AM18" s="4">
        <f t="shared" si="9"/>
        <v>0</v>
      </c>
      <c r="AN18" s="4">
        <f t="shared" si="10"/>
        <v>0</v>
      </c>
      <c r="AO18" s="4">
        <f t="shared" si="10"/>
        <v>0</v>
      </c>
      <c r="AP18" s="4">
        <f t="shared" si="10"/>
        <v>0</v>
      </c>
      <c r="AQ18" s="4">
        <f t="shared" si="11"/>
        <v>0</v>
      </c>
      <c r="AR18" s="4">
        <f t="shared" si="11"/>
        <v>0</v>
      </c>
      <c r="AT18" s="28">
        <v>5</v>
      </c>
      <c r="AU18" s="29" t="str">
        <f>IF($P$18="3L",$Q$18,IF($S$18="3L",$T$18,IF($V$18="3L",$W$18,IF($Y$18="3L",$Z$18,IF($AB$18="3L",$AC$18,IF($AE$18="3L",$AF$18,IF($AH$18="3L",$AI$18,IF($AK$18="3L",$AL$18,IF($AN$18="3L",$AO$18,IF($AQ$18="3L",$AR$18,""))))))))))</f>
        <v/>
      </c>
      <c r="AV18" s="29" t="str">
        <f>IF($P$18="4L",$Q$18,IF($S$18="4L",$T$18,IF($V$18="4L",$W$18,IF($Y$18="4L",$Z$18,IF($AB$18="4L",$AC$18,IF($AE$18="4L",$AF$18,IF($AH$18="4L",$AI$18,IF($AK$18="4L",$AL$18,IF($AN$18="4L",$AO$18,IF($AQ$18="4L",$AR$18,""))))))))))</f>
        <v/>
      </c>
      <c r="AW18" s="29" t="str">
        <f>IF($P$18="5L",$Q$18,IF($S$18="5L",$T$18,IF($V$18="5L",$W$18,IF($Y$18="5L",$Z$18,IF($AB$18="5L",$AC$18,IF($AE$18="5L",$AF$18,IF($AH$18="5L",$AI$18,IF($AK$18="5L",$AL$18,IF($AN$18="5L",$AO$18,IF($AQ$18="5L",$AR$18,""))))))))))</f>
        <v/>
      </c>
      <c r="AX18" s="29" t="str">
        <f>IF($P$18="6L",$Q$18,IF($S$18="6L",$T$18,IF($V$18="6L",$W$18,IF($Y$18="6L",$Z$18,IF($AB$18="6L",$AC$18,IF($AE$18="6L",$AF$18,IF($AH$18="6L",$AI$18,IF($AK$18="6L",$AL$18,IF($AN$18="6L",$AO$18,IF($AQ$18="6L",$AR$18,""))))))))))</f>
        <v/>
      </c>
      <c r="AY18" s="29" t="str">
        <f>IF($P$18="7L",$Q$18,IF($S$18="7L",$T$18,IF($V$18="7L",$W$18,IF($Y$18="7L",$Z$18,IF($AB$18="7L",$AC$18,IF($AE$18="7L",$AF$18,IF($AH$18="7L",$AI$18,IF($AK$18="7L",$AL$18,IF($AN$18="7L",$AO$18,IF($AQ$18="7L",$AR$18,""))))))))))</f>
        <v/>
      </c>
      <c r="AZ18" s="29" t="str">
        <f t="shared" si="12"/>
        <v/>
      </c>
      <c r="BA18" s="29" t="str">
        <f t="shared" si="13"/>
        <v/>
      </c>
      <c r="BB18" s="29" t="str">
        <f t="shared" si="14"/>
        <v/>
      </c>
      <c r="BC18" s="29" t="str">
        <f t="shared" si="15"/>
        <v/>
      </c>
      <c r="BD18" s="29" t="str">
        <f>IF($P$18="FUM",$Q$18,IF($S$18="FUM",$T$18,IF($V$18="FUM",$W$18,IF($Y$18="FUM",$Z$18,IF($AB$18="FUM",$AC$18,IF($AE$18="FUM",$AF$18,IF($AH$18="FUM",$AI$18,IF($AK$18="FUM",$AL$18,IF($AN$18="FUM",$AO$18,IF($AQ$18="FUM",$AR$18,""))))))))))</f>
        <v/>
      </c>
    </row>
    <row r="19" spans="8:56" hidden="1" x14ac:dyDescent="0.25"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0</v>
      </c>
      <c r="L19" s="4">
        <f t="shared" si="1"/>
        <v>0</v>
      </c>
      <c r="O19" s="28">
        <f t="shared" si="16"/>
        <v>0</v>
      </c>
      <c r="P19" s="4">
        <f t="shared" si="2"/>
        <v>0</v>
      </c>
      <c r="Q19" s="4">
        <f t="shared" si="2"/>
        <v>0</v>
      </c>
      <c r="R19" s="4">
        <f t="shared" si="2"/>
        <v>0</v>
      </c>
      <c r="S19" s="4">
        <f t="shared" si="3"/>
        <v>0</v>
      </c>
      <c r="T19" s="4">
        <f t="shared" si="3"/>
        <v>0</v>
      </c>
      <c r="U19" s="4">
        <f t="shared" si="3"/>
        <v>0</v>
      </c>
      <c r="V19" s="4">
        <f t="shared" si="4"/>
        <v>0</v>
      </c>
      <c r="W19" s="4">
        <f t="shared" si="4"/>
        <v>0</v>
      </c>
      <c r="X19" s="4">
        <f t="shared" si="4"/>
        <v>0</v>
      </c>
      <c r="Y19" s="4">
        <f t="shared" si="5"/>
        <v>0</v>
      </c>
      <c r="Z19" s="4">
        <f t="shared" si="5"/>
        <v>0</v>
      </c>
      <c r="AA19" s="4">
        <f t="shared" si="5"/>
        <v>0</v>
      </c>
      <c r="AB19" s="4">
        <f t="shared" si="6"/>
        <v>0</v>
      </c>
      <c r="AC19" s="4">
        <f t="shared" si="6"/>
        <v>0</v>
      </c>
      <c r="AD19" s="4">
        <f t="shared" si="6"/>
        <v>0</v>
      </c>
      <c r="AE19" s="4">
        <f t="shared" si="7"/>
        <v>0</v>
      </c>
      <c r="AF19" s="4">
        <f t="shared" si="7"/>
        <v>0</v>
      </c>
      <c r="AG19" s="4">
        <f t="shared" si="7"/>
        <v>0</v>
      </c>
      <c r="AH19" s="4">
        <f t="shared" si="8"/>
        <v>0</v>
      </c>
      <c r="AI19" s="4">
        <f t="shared" si="8"/>
        <v>0</v>
      </c>
      <c r="AJ19" s="4">
        <f t="shared" si="8"/>
        <v>0</v>
      </c>
      <c r="AK19" s="4">
        <f t="shared" si="9"/>
        <v>0</v>
      </c>
      <c r="AL19" s="4">
        <f t="shared" si="9"/>
        <v>0</v>
      </c>
      <c r="AM19" s="4">
        <f t="shared" si="9"/>
        <v>0</v>
      </c>
      <c r="AN19" s="4">
        <f t="shared" si="10"/>
        <v>0</v>
      </c>
      <c r="AO19" s="4">
        <f t="shared" si="10"/>
        <v>0</v>
      </c>
      <c r="AP19" s="4">
        <f t="shared" si="10"/>
        <v>0</v>
      </c>
      <c r="AQ19" s="4">
        <f t="shared" si="11"/>
        <v>0</v>
      </c>
      <c r="AR19" s="4">
        <f t="shared" si="11"/>
        <v>0</v>
      </c>
      <c r="AT19" s="28">
        <v>6</v>
      </c>
      <c r="AU19" s="29" t="str">
        <f>IF($P$19="3L",$Q$19,IF($S$19="3L",$T$19,IF($V$19="3L",$W$19,IF($Y$19="3L",$Z$19,IF($AB$19="3L",$AC$19,IF($AE$19="3L",$AF$19,IF($AH$19="3L",$AI$19,IF($AK$19="3L",$AL$19,IF($AN$19="3L",$AO$19,IF($AQ$19="3L",$AR$19,""))))))))))</f>
        <v/>
      </c>
      <c r="AV19" s="29" t="str">
        <f>IF($P$19="4L",$Q$19,IF($S$19="4L",$T$19,IF($V$19="4L",$W$19,IF($Y$19="4L",$Z$19,IF($AB$19="4L",$AC$19,IF($AE$19="4L",$AF$19,IF($AH$19="4L",$AI$19,IF($AK$19="4L",$AL$19,IF($AN$19="4L",$AO$19,IF($AQ$19="4L",$AR$19,""))))))))))</f>
        <v/>
      </c>
      <c r="AW19" s="29" t="str">
        <f>IF($P$19="5L",$Q$19,IF($S$19="5L",$T$19,IF($V$19="5L",$W$19,IF($Y$19="5L",$Z$19,IF($AB$19="5L",$AC$19,IF($AE$19="5L",$AF$19,IF($AH$19="5L",$AI$19,IF($AK$19="5L",$AL$19,IF($AN$19="5L",$AO$19,IF($AQ$19="5L",$AR$19,""))))))))))</f>
        <v/>
      </c>
      <c r="AX19" s="29" t="str">
        <f>IF($P$19="6L",$Q$19,IF($S$19="6L",$T$19,IF($V$19="6L",$W$19,IF($Y$19="6L",$Z$19,IF($AB$19="6L",$AC$19,IF($AE$19="6L",$AF$19,IF($AH$19="6L",$AI$19,IF($AK$19="6L",$AL$19,IF($AN$19="6L",$AO$19,IF($AQ$19="6L",$AR$19,""))))))))))</f>
        <v/>
      </c>
      <c r="AY19" s="29" t="str">
        <f>IF($P$19="7L",$Q$19,IF($S$19="7L",$T$19,IF($V$19="7L",$W$19,IF($Y$19="7L",$Z$19,IF($AB$19="7L",$AC$19,IF($AE$19="7L",$AF$19,IF($AH$19="7L",$AI$19,IF($AK$19="7L",$AL$19,IF($AN$19="7L",$AO$19,IF($AQ$19="7L",$AR$19,""))))))))))</f>
        <v/>
      </c>
      <c r="AZ19" s="29" t="str">
        <f t="shared" si="12"/>
        <v/>
      </c>
      <c r="BA19" s="29" t="str">
        <f t="shared" si="13"/>
        <v/>
      </c>
      <c r="BB19" s="29" t="str">
        <f t="shared" si="14"/>
        <v/>
      </c>
      <c r="BC19" s="29" t="str">
        <f t="shared" si="15"/>
        <v/>
      </c>
      <c r="BD19" s="29" t="str">
        <f>IF($P$19="FUM",$Q$19,IF($S$19="FUM",$T$19,IF($V$19="FUM",$W$19,IF($Y$19="FUM",$Z$19,IF($AB$19="FUM",$AC$19,IF($AE$19="FUM",$AF$19,IF($AH$19="FUM",$AI$19,IF($AK$19="FUM",$AL$19,IF($AN$19="FUM",$AO$19,IF($AQ$19="FUM",$AR$19,""))))))))))</f>
        <v/>
      </c>
    </row>
    <row r="20" spans="8:56" hidden="1" x14ac:dyDescent="0.25"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0</v>
      </c>
      <c r="O20" s="28">
        <f t="shared" si="16"/>
        <v>0</v>
      </c>
      <c r="P20" s="4">
        <f t="shared" si="2"/>
        <v>0</v>
      </c>
      <c r="Q20" s="4">
        <f t="shared" si="2"/>
        <v>0</v>
      </c>
      <c r="R20" s="4">
        <f t="shared" si="2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4"/>
        <v>0</v>
      </c>
      <c r="W20" s="4">
        <f t="shared" si="4"/>
        <v>0</v>
      </c>
      <c r="X20" s="4">
        <f t="shared" si="4"/>
        <v>0</v>
      </c>
      <c r="Y20" s="4">
        <f t="shared" si="5"/>
        <v>0</v>
      </c>
      <c r="Z20" s="4">
        <f t="shared" si="5"/>
        <v>0</v>
      </c>
      <c r="AA20" s="4">
        <f t="shared" si="5"/>
        <v>0</v>
      </c>
      <c r="AB20" s="4">
        <f t="shared" si="6"/>
        <v>0</v>
      </c>
      <c r="AC20" s="4">
        <f t="shared" si="6"/>
        <v>0</v>
      </c>
      <c r="AD20" s="4">
        <f t="shared" si="6"/>
        <v>0</v>
      </c>
      <c r="AE20" s="4">
        <f t="shared" si="7"/>
        <v>0</v>
      </c>
      <c r="AF20" s="4">
        <f t="shared" si="7"/>
        <v>0</v>
      </c>
      <c r="AG20" s="4">
        <f t="shared" si="7"/>
        <v>0</v>
      </c>
      <c r="AH20" s="4">
        <f t="shared" si="8"/>
        <v>0</v>
      </c>
      <c r="AI20" s="4">
        <f t="shared" si="8"/>
        <v>0</v>
      </c>
      <c r="AJ20" s="4">
        <f t="shared" si="8"/>
        <v>0</v>
      </c>
      <c r="AK20" s="4">
        <f t="shared" si="9"/>
        <v>0</v>
      </c>
      <c r="AL20" s="4">
        <f t="shared" si="9"/>
        <v>0</v>
      </c>
      <c r="AM20" s="4">
        <f t="shared" si="9"/>
        <v>0</v>
      </c>
      <c r="AN20" s="4">
        <f t="shared" si="10"/>
        <v>0</v>
      </c>
      <c r="AO20" s="4">
        <f t="shared" si="10"/>
        <v>0</v>
      </c>
      <c r="AP20" s="4">
        <f t="shared" si="10"/>
        <v>0</v>
      </c>
      <c r="AQ20" s="4">
        <f t="shared" si="11"/>
        <v>0</v>
      </c>
      <c r="AR20" s="4">
        <f t="shared" si="11"/>
        <v>0</v>
      </c>
      <c r="AT20" s="28">
        <v>7</v>
      </c>
      <c r="AU20" s="29" t="str">
        <f>IF($P$20="3L",$Q$20,IF($S$20="3L",$T$20,IF($V$20="3L",$W$20,IF($Y$20="3L",$Z$20,IF($AB$20="3L",$AC$20,IF($AE$20="3L",$AF$20,IF($AH$20="3L",$AI$20,IF($AK$20="3L",$AL$20,IF($AN$20="3L",$AO$20,IF($AQ$20="3L",$AR$20,""))))))))))</f>
        <v/>
      </c>
      <c r="AV20" s="29" t="str">
        <f>IF($P$20="4L",$Q$20,IF($S$20="4L",$T$20,IF($V$20="4L",$W$20,IF($Y$20="4L",$Z$20,IF($AB$20="4L",$AC$20,IF($AE$20="4L",$AF$20,IF($AH$20="4L",$AI$20,IF($AK$20="4L",$AL$20,IF($AN$20="4L",$AO$20,IF($AQ$20="4L",$AR$20,""))))))))))</f>
        <v/>
      </c>
      <c r="AW20" s="29" t="str">
        <f>IF($P$20="5L",$Q$20,IF($S$20="5L",$T$20,IF($V$20="5L",$W$20,IF($Y$20="5L",$Z$20,IF($AB$20="5L",$AC$20,IF($AE$20="5L",$AF$20,IF($AH$20="5L",$AI$20,IF($AK$20="5L",$AL$20,IF($AN$20="5L",$AO$20,IF($AQ$20="5L",$AR$20,""))))))))))</f>
        <v/>
      </c>
      <c r="AX20" s="29" t="str">
        <f>IF($P$20="6L",$Q$20,IF($S$20="6L",$T$20,IF($V$20="6L",$W$20,IF($Y$20="6L",$Z$20,IF($AB$20="6L",$AC$20,IF($AE$20="6L",$AF$20,IF($AH$20="6L",$AI$20,IF($AK$20="6L",$AL$20,IF($AN$20="6L",$AO$20,IF($AQ$20="6L",$AR$20,""))))))))))</f>
        <v/>
      </c>
      <c r="AY20" s="29" t="str">
        <f>IF($P$20="7L",$Q$20,IF($S$20="7L",$T$20,IF($V$20="7L",$W$20,IF($Y$20="7L",$Z$20,IF($AB$20="7L",$AC$20,IF($AE$20="7L",$AF$20,IF($AH$20="7L",$AI$20,IF($AK$20="7L",$AL$20,IF($AN$20="7L",$AO$20,IF($AQ$20="7L",$AR$20,""))))))))))</f>
        <v/>
      </c>
      <c r="AZ20" s="29" t="str">
        <f t="shared" si="12"/>
        <v/>
      </c>
      <c r="BA20" s="29" t="str">
        <f t="shared" si="13"/>
        <v/>
      </c>
      <c r="BB20" s="29" t="str">
        <f t="shared" si="14"/>
        <v/>
      </c>
      <c r="BC20" s="29" t="str">
        <f t="shared" si="15"/>
        <v/>
      </c>
      <c r="BD20" s="29" t="str">
        <f>IF($P$20="FUM",$Q$20,IF($S$20="FUM",$T$20,IF($V$20="FUM",$W$20,IF($Y$20="FUM",$Z$20,IF($AB$20="FUM",$AC$20,IF($AE$20="FUM",$AF$20,IF($AH$20="FUM",$AI$20,IF($AK$20="FUM",$AL$20,IF($AN$20="FUM",$AO$20,IF($AQ$20="FUM",$AR$20,""))))))))))</f>
        <v/>
      </c>
    </row>
    <row r="21" spans="8:56" hidden="1" x14ac:dyDescent="0.25">
      <c r="H21" s="4">
        <f t="shared" si="1"/>
        <v>0</v>
      </c>
      <c r="I21" s="4">
        <f t="shared" si="1"/>
        <v>0</v>
      </c>
      <c r="J21" s="4">
        <f t="shared" si="1"/>
        <v>0</v>
      </c>
      <c r="K21" s="4">
        <f t="shared" si="1"/>
        <v>0</v>
      </c>
      <c r="L21" s="4">
        <f t="shared" si="1"/>
        <v>0</v>
      </c>
      <c r="O21" s="28">
        <f t="shared" si="16"/>
        <v>0</v>
      </c>
      <c r="P21" s="4">
        <f t="shared" si="2"/>
        <v>0</v>
      </c>
      <c r="Q21" s="4">
        <f t="shared" si="2"/>
        <v>0</v>
      </c>
      <c r="R21" s="4">
        <f t="shared" si="2"/>
        <v>0</v>
      </c>
      <c r="S21" s="4">
        <f t="shared" si="3"/>
        <v>0</v>
      </c>
      <c r="T21" s="4">
        <f t="shared" si="3"/>
        <v>0</v>
      </c>
      <c r="U21" s="4">
        <f t="shared" si="3"/>
        <v>0</v>
      </c>
      <c r="V21" s="4">
        <f t="shared" si="4"/>
        <v>0</v>
      </c>
      <c r="W21" s="4">
        <f t="shared" si="4"/>
        <v>0</v>
      </c>
      <c r="X21" s="4">
        <f t="shared" si="4"/>
        <v>0</v>
      </c>
      <c r="Y21" s="4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6"/>
        <v>0</v>
      </c>
      <c r="AC21" s="4">
        <f t="shared" si="6"/>
        <v>0</v>
      </c>
      <c r="AD21" s="4">
        <f t="shared" si="6"/>
        <v>0</v>
      </c>
      <c r="AE21" s="4">
        <f t="shared" si="7"/>
        <v>0</v>
      </c>
      <c r="AF21" s="4">
        <f t="shared" si="7"/>
        <v>0</v>
      </c>
      <c r="AG21" s="4">
        <f t="shared" si="7"/>
        <v>0</v>
      </c>
      <c r="AH21" s="4">
        <f t="shared" si="8"/>
        <v>0</v>
      </c>
      <c r="AI21" s="4">
        <f t="shared" si="8"/>
        <v>0</v>
      </c>
      <c r="AJ21" s="4">
        <f t="shared" si="8"/>
        <v>0</v>
      </c>
      <c r="AK21" s="4">
        <f t="shared" si="9"/>
        <v>0</v>
      </c>
      <c r="AL21" s="4">
        <f t="shared" si="9"/>
        <v>0</v>
      </c>
      <c r="AM21" s="4">
        <f t="shared" si="9"/>
        <v>0</v>
      </c>
      <c r="AN21" s="4">
        <f t="shared" si="10"/>
        <v>0</v>
      </c>
      <c r="AO21" s="4">
        <f t="shared" si="10"/>
        <v>0</v>
      </c>
      <c r="AP21" s="4">
        <f t="shared" si="10"/>
        <v>0</v>
      </c>
      <c r="AQ21" s="4">
        <f t="shared" si="11"/>
        <v>0</v>
      </c>
      <c r="AR21" s="4">
        <f t="shared" si="11"/>
        <v>0</v>
      </c>
      <c r="AT21" s="28">
        <v>8</v>
      </c>
      <c r="AU21" s="29" t="str">
        <f>IF($P$21="3L",$Q$21,IF($S$21="3L",$T$21,IF($V$21="3L",$W$21,IF($Y$21="3L",$Z$21,IF($AB$21="3L",$AC$21,IF($AE$21="3L",$AF$21,IF($AH$21="3L",$AI$21,IF($AK$21="3L",$AL$21,IF($AN$21="3L",$AO$21,IF($AQ$21="3L",$AR$21,""))))))))))</f>
        <v/>
      </c>
      <c r="AV21" s="29" t="str">
        <f>IF($P$21="4L",$Q$21,IF($S$21="4L",$T$21,IF($V$21="4L",$W$21,IF($Y$21="4L",$Z$21,IF($AB$21="4L",$AC$21,IF($AE$21="4L",$AF$21,IF($AH$21="4L",$AI$21,IF($AK$21="4L",$AL$21,IF($AN$21="4L",$AO$21,IF($AQ$21="4L",$AR$21,""))))))))))</f>
        <v/>
      </c>
      <c r="AW21" s="29" t="str">
        <f>IF($P$21="5L",$Q$21,IF($S$21="5L",$T$21,IF($V$21="5L",$W$21,IF($Y$21="5L",$Z$21,IF($AB$21="5L",$AC$21,IF($AE$21="5L",$AF$21,IF($AH$21="5L",$AI$21,IF($AK$21="5L",$AL$21,IF($AN$21="5L",$AO$21,IF($AQ$21="5L",$AR$21,""))))))))))</f>
        <v/>
      </c>
      <c r="AX21" s="29" t="str">
        <f>IF($P$21="6L",$Q$21,IF($S$21="6L",$T$21,IF($V$21="6L",$W$21,IF($Y$21="6L",$Z$21,IF($AB$21="6L",$AC$21,IF($AE$21="6L",$AF$21,IF($AH$21="6L",$AI$21,IF($AK$21="6L",$AL$21,IF($AN$21="6L",$AO$21,IF($AQ$21="6L",$AR$21,""))))))))))</f>
        <v/>
      </c>
      <c r="AY21" s="29" t="str">
        <f>IF($P$21="7L",$Q$21,IF($S$21="7L",$T$21,IF($V$21="7L",$W$21,IF($Y$21="7L",$Z$21,IF($AB$21="7L",$AC$21,IF($AE$21="7L",$AF$21,IF($AH$21="7L",$AI$21,IF($AK$21="7L",$AL$21,IF($AN$21="7L",$AO$21,IF($AQ$21="7L",$AR$21,""))))))))))</f>
        <v/>
      </c>
      <c r="AZ21" s="29" t="str">
        <f t="shared" si="12"/>
        <v/>
      </c>
      <c r="BA21" s="29" t="str">
        <f t="shared" si="13"/>
        <v/>
      </c>
      <c r="BB21" s="29" t="str">
        <f t="shared" si="14"/>
        <v/>
      </c>
      <c r="BC21" s="29" t="str">
        <f t="shared" si="15"/>
        <v/>
      </c>
      <c r="BD21" s="29" t="str">
        <f>IF($P$21="FUM",$Q$21,IF($S$21="FUM",$T$21,IF($V$21="FUM",$W$21,IF($Y$21="FUM",$Z$21,IF($AB$21="FUM",$AC$21,IF($AE$21="FUM",$AF$21,IF($AH$21="FUM",$AI$21,IF($AK$21="FUM",$AL$21,IF($AN$21="FUM",$AO$21,IF($AQ$21="FUM",$AR$21,""))))))))))</f>
        <v/>
      </c>
    </row>
    <row r="22" spans="8:56" hidden="1" x14ac:dyDescent="0.25">
      <c r="H22" s="4">
        <f t="shared" si="1"/>
        <v>0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O22" s="28">
        <f t="shared" si="16"/>
        <v>0</v>
      </c>
      <c r="P22" s="4">
        <f t="shared" si="2"/>
        <v>0</v>
      </c>
      <c r="Q22" s="4">
        <f t="shared" si="2"/>
        <v>0</v>
      </c>
      <c r="R22" s="4">
        <f t="shared" si="2"/>
        <v>0</v>
      </c>
      <c r="S22" s="4">
        <f t="shared" si="3"/>
        <v>0</v>
      </c>
      <c r="T22" s="4">
        <f t="shared" si="3"/>
        <v>0</v>
      </c>
      <c r="U22" s="4">
        <f t="shared" si="3"/>
        <v>0</v>
      </c>
      <c r="V22" s="4">
        <f t="shared" si="4"/>
        <v>0</v>
      </c>
      <c r="W22" s="4">
        <f t="shared" si="4"/>
        <v>0</v>
      </c>
      <c r="X22" s="4">
        <f t="shared" si="4"/>
        <v>0</v>
      </c>
      <c r="Y22" s="4">
        <f t="shared" si="5"/>
        <v>0</v>
      </c>
      <c r="Z22" s="4">
        <f t="shared" si="5"/>
        <v>0</v>
      </c>
      <c r="AA22" s="4">
        <f t="shared" si="5"/>
        <v>0</v>
      </c>
      <c r="AB22" s="4">
        <f t="shared" si="6"/>
        <v>0</v>
      </c>
      <c r="AC22" s="4">
        <f t="shared" si="6"/>
        <v>0</v>
      </c>
      <c r="AD22" s="4">
        <f t="shared" si="6"/>
        <v>0</v>
      </c>
      <c r="AE22" s="4">
        <f t="shared" si="7"/>
        <v>0</v>
      </c>
      <c r="AF22" s="4">
        <f t="shared" si="7"/>
        <v>0</v>
      </c>
      <c r="AG22" s="4">
        <f t="shared" si="7"/>
        <v>0</v>
      </c>
      <c r="AH22" s="4">
        <f t="shared" si="8"/>
        <v>0</v>
      </c>
      <c r="AI22" s="4">
        <f t="shared" si="8"/>
        <v>0</v>
      </c>
      <c r="AJ22" s="4">
        <f t="shared" si="8"/>
        <v>0</v>
      </c>
      <c r="AK22" s="4">
        <f t="shared" si="9"/>
        <v>0</v>
      </c>
      <c r="AL22" s="4">
        <f t="shared" si="9"/>
        <v>0</v>
      </c>
      <c r="AM22" s="4">
        <f t="shared" si="9"/>
        <v>0</v>
      </c>
      <c r="AN22" s="4">
        <f t="shared" si="10"/>
        <v>0</v>
      </c>
      <c r="AO22" s="4">
        <f t="shared" si="10"/>
        <v>0</v>
      </c>
      <c r="AP22" s="4">
        <f t="shared" si="10"/>
        <v>0</v>
      </c>
      <c r="AQ22" s="4">
        <f t="shared" si="11"/>
        <v>0</v>
      </c>
      <c r="AR22" s="4">
        <f t="shared" si="11"/>
        <v>0</v>
      </c>
      <c r="AT22" s="28">
        <v>9</v>
      </c>
      <c r="AU22" s="29" t="str">
        <f>IF($P$22="3L",$Q$22,IF($S$22="3L",$T$22,IF($V$22="3L",$W$22,IF($Y$22="3L",$Z$22,IF($AB$22="3L",$AC$22,IF($AE$22="3L",$AF$22,IF($AH$22="3L",$AI$22,IF($AK$22="3L",$AL$22,IF($AN$22="3L",$AO$22,IF($AQ$22="3L",$AR$22,""))))))))))</f>
        <v/>
      </c>
      <c r="AV22" s="29" t="str">
        <f>IF($P$22="4L",$Q$22,IF($S$22="4L",$T$22,IF($V$22="4L",$W$22,IF($Y$22="4L",$Z$22,IF($AB$22="4L",$AC$22,IF($AE$22="4L",$AF$22,IF($AH$22="4L",$AI$22,IF($AK$22="4L",$AL$22,IF($AN$22="4L",$AO$22,IF($AQ$22="4L",$AR$22,""))))))))))</f>
        <v/>
      </c>
      <c r="AW22" s="29" t="str">
        <f>IF($P$22="5L",$Q$22,IF($S$22="5L",$T$22,IF($V$22="5L",$W$22,IF($Y$22="5L",$Z$22,IF($AB$22="5L",$AC$22,IF($AE$22="5L",$AF$22,IF($AH$22="5L",$AI$22,IF($AK$22="5L",$AL$22,IF($AN$22="5L",$AO$22,IF($AQ$22="5L",$AR$22,""))))))))))</f>
        <v/>
      </c>
      <c r="AX22" s="29" t="str">
        <f>IF($P$22="6L",$Q$22,IF($S$22="6L",$T$22,IF($V$22="6L",$W$22,IF($Y$22="6L",$Z$22,IF($AB$22="6L",$AC$22,IF($AE$22="6L",$AF$22,IF($AH$22="6L",$AI$22,IF($AK$22="6L",$AL$22,IF($AN$22="6L",$AO$22,IF($AQ$22="6L",$AR$22,""))))))))))</f>
        <v/>
      </c>
      <c r="AY22" s="29" t="str">
        <f>IF($P$22="7L",$Q$22,IF($S$22="7L",$T$22,IF($V$22="7L",$W$22,IF($Y$22="7L",$Z$22,IF($AB$22="7L",$AC$22,IF($AE$22="7L",$AF$22,IF($AH$22="7L",$AI$22,IF($AK$22="7L",$AL$22,IF($AN$22="7L",$AO$22,IF($AQ$22="7L",$AR$22,""))))))))))</f>
        <v/>
      </c>
      <c r="AZ22" s="29" t="str">
        <f t="shared" si="12"/>
        <v/>
      </c>
      <c r="BA22" s="29" t="str">
        <f t="shared" si="13"/>
        <v/>
      </c>
      <c r="BB22" s="29" t="str">
        <f t="shared" si="14"/>
        <v/>
      </c>
      <c r="BC22" s="29" t="str">
        <f t="shared" si="15"/>
        <v/>
      </c>
      <c r="BD22" s="29" t="str">
        <f>IF($P$22="FUM",$Q$22,IF($S$22="FUM",$T$22,IF($V$22="FUM",$W$22,IF($Y$22="FUM",$Z$22,IF($AB$22="FUM",$AC$22,IF($AE$22="FUM",$AF$22,IF($AH$22="FUM",$AI$22,IF($AK$22="FUM",$AL$22,IF($AN$22="FUM",$AO$22,IF($AQ$22="FUM",$AR$22,""))))))))))</f>
        <v/>
      </c>
    </row>
    <row r="23" spans="8:56" hidden="1" x14ac:dyDescent="0.25">
      <c r="H23" s="4">
        <f t="shared" si="1"/>
        <v>0</v>
      </c>
      <c r="I23" s="4">
        <f t="shared" si="1"/>
        <v>0</v>
      </c>
      <c r="J23" s="4">
        <f t="shared" si="1"/>
        <v>0</v>
      </c>
      <c r="K23" s="4">
        <f t="shared" si="1"/>
        <v>0</v>
      </c>
      <c r="L23" s="4">
        <f t="shared" si="1"/>
        <v>0</v>
      </c>
      <c r="O23" s="28">
        <f t="shared" si="16"/>
        <v>0</v>
      </c>
      <c r="P23" s="4">
        <f t="shared" si="2"/>
        <v>0</v>
      </c>
      <c r="Q23" s="4">
        <f t="shared" si="2"/>
        <v>0</v>
      </c>
      <c r="R23" s="4">
        <f t="shared" si="2"/>
        <v>0</v>
      </c>
      <c r="S23" s="4">
        <f t="shared" si="3"/>
        <v>0</v>
      </c>
      <c r="T23" s="4">
        <f t="shared" si="3"/>
        <v>0</v>
      </c>
      <c r="U23" s="4">
        <f t="shared" si="3"/>
        <v>0</v>
      </c>
      <c r="V23" s="4">
        <f t="shared" si="4"/>
        <v>0</v>
      </c>
      <c r="W23" s="4">
        <f t="shared" si="4"/>
        <v>0</v>
      </c>
      <c r="X23" s="4">
        <f t="shared" si="4"/>
        <v>0</v>
      </c>
      <c r="Y23" s="4">
        <f t="shared" si="5"/>
        <v>0</v>
      </c>
      <c r="Z23" s="4">
        <f t="shared" si="5"/>
        <v>0</v>
      </c>
      <c r="AA23" s="4">
        <f t="shared" si="5"/>
        <v>0</v>
      </c>
      <c r="AB23" s="4">
        <f t="shared" si="6"/>
        <v>0</v>
      </c>
      <c r="AC23" s="4">
        <f t="shared" si="6"/>
        <v>0</v>
      </c>
      <c r="AD23" s="4">
        <f t="shared" si="6"/>
        <v>0</v>
      </c>
      <c r="AE23" s="4">
        <f t="shared" si="7"/>
        <v>0</v>
      </c>
      <c r="AF23" s="4">
        <f t="shared" si="7"/>
        <v>0</v>
      </c>
      <c r="AG23" s="4">
        <f t="shared" si="7"/>
        <v>0</v>
      </c>
      <c r="AH23" s="4">
        <f t="shared" si="8"/>
        <v>0</v>
      </c>
      <c r="AI23" s="4">
        <f t="shared" si="8"/>
        <v>0</v>
      </c>
      <c r="AJ23" s="4">
        <f t="shared" si="8"/>
        <v>0</v>
      </c>
      <c r="AK23" s="4">
        <f t="shared" si="9"/>
        <v>0</v>
      </c>
      <c r="AL23" s="4">
        <f t="shared" si="9"/>
        <v>0</v>
      </c>
      <c r="AM23" s="4">
        <f t="shared" si="9"/>
        <v>0</v>
      </c>
      <c r="AN23" s="4">
        <f t="shared" si="10"/>
        <v>0</v>
      </c>
      <c r="AO23" s="4">
        <f t="shared" si="10"/>
        <v>0</v>
      </c>
      <c r="AP23" s="4">
        <f t="shared" si="10"/>
        <v>0</v>
      </c>
      <c r="AQ23" s="4">
        <f t="shared" si="11"/>
        <v>0</v>
      </c>
      <c r="AR23" s="4">
        <f t="shared" si="11"/>
        <v>0</v>
      </c>
      <c r="AT23" s="28">
        <v>10</v>
      </c>
      <c r="AU23" s="29" t="str">
        <f>IF($P$23="3L",$Q$23,IF($S$23="3L",$T$23,IF($V$23="3L",$W$23,IF($Y$23="3L",$Z$23,IF($AB$23="3L",$AC$23,IF($AE$23="3L",$AF$23,IF($AH$23="3L",$AI$23,IF($AK$23="3L",$AL$23,IF($AN$23="3L",$AO$23,IF($AQ$23="3L",$AR$23,""))))))))))</f>
        <v/>
      </c>
      <c r="AV23" s="29" t="str">
        <f>IF($P$23="4L",$Q$23,IF($S$23="4L",$T$23,IF($V$23="4L",$W$23,IF($Y$23="4L",$Z$23,IF($AB$23="4L",$AC$23,IF($AE$23="4L",$AF$23,IF($AH$23="4L",$AI$23,IF($AK$23="4L",$AL$23,IF($AN$23="4L",$AO$23,IF($AQ$23="4L",$AR$23,""))))))))))</f>
        <v/>
      </c>
      <c r="AW23" s="29" t="str">
        <f>IF($P$23="5L",$Q$23,IF($S$23="5L",$T$23,IF($V$23="5L",$W$23,IF($Y$23="5L",$Z$23,IF($AB$23="5L",$AC$23,IF($AE$23="5L",$AF$23,IF($AH$23="5L",$AI$23,IF($AK$23="5L",$AL$23,IF($AN$23="5L",$AO$23,IF($AQ$23="5L",$AR$23,""))))))))))</f>
        <v/>
      </c>
      <c r="AX23" s="29" t="str">
        <f>IF($P$23="6L",$Q$23,IF($S$23="6L",$T$23,IF($V$23="6L",$W$23,IF($Y$23="6L",$Z$23,IF($AB$23="6L",$AC$23,IF($AE$23="6L",$AF$23,IF($AH$23="6L",$AI$23,IF($AK$23="6L",$AL$23,IF($AN$23="6L",$AO$23,IF($AQ$23="6L",$AR$23,""))))))))))</f>
        <v/>
      </c>
      <c r="AY23" s="29" t="str">
        <f>IF($P$23="7L",$Q$23,IF($S$23="7L",$T$23,IF($V$23="7L",$W$23,IF($Y$23="7L",$Z$23,IF($AB$23="7L",$AC$23,IF($AE$23="7L",$AF$23,IF($AH$23="7L",$AI$23,IF($AK$23="7L",$AL$23,IF($AN$23="7L",$AO$23,IF($AQ$23="7L",$AR$23,""))))))))))</f>
        <v/>
      </c>
      <c r="AZ23" s="29" t="str">
        <f t="shared" si="12"/>
        <v/>
      </c>
      <c r="BA23" s="29" t="str">
        <f t="shared" si="13"/>
        <v/>
      </c>
      <c r="BB23" s="29" t="str">
        <f t="shared" si="14"/>
        <v/>
      </c>
      <c r="BC23" s="29" t="str">
        <f t="shared" si="15"/>
        <v/>
      </c>
      <c r="BD23" s="29" t="str">
        <f>IF($P$23="FUM",$Q$23,IF($S$23="FUM",$T$23,IF($V$23="FUM",$W$23,IF($Y$23="FUM",$Z$23,IF($AB$23="FUM",$AC$23,IF($AE$23="FUM",$AF$23,IF($AH$23="FUM",$AI$23,IF($AK$23="FUM",$AL$23,IF($AN$23="FUM",$AO$23,IF($AQ$23="FUM",$AR$23,""))))))))))</f>
        <v/>
      </c>
    </row>
    <row r="24" spans="8:56" hidden="1" x14ac:dyDescent="0.25">
      <c r="H24" s="4" t="str">
        <f t="shared" ref="H24:L33" si="17">P2</f>
        <v>AG</v>
      </c>
      <c r="I24" s="4">
        <f t="shared" si="17"/>
        <v>1000</v>
      </c>
      <c r="J24" s="4">
        <f t="shared" si="17"/>
        <v>10</v>
      </c>
      <c r="K24" s="4" t="str">
        <f t="shared" si="17"/>
        <v>Y</v>
      </c>
      <c r="L24" s="4" t="str">
        <f t="shared" si="17"/>
        <v>3L</v>
      </c>
    </row>
    <row r="25" spans="8:56" hidden="1" x14ac:dyDescent="0.25">
      <c r="H25" s="4">
        <f t="shared" si="17"/>
        <v>0</v>
      </c>
      <c r="I25" s="4">
        <f t="shared" si="17"/>
        <v>0</v>
      </c>
      <c r="J25" s="4">
        <f t="shared" si="17"/>
        <v>0</v>
      </c>
      <c r="K25" s="4">
        <f t="shared" si="17"/>
        <v>0</v>
      </c>
      <c r="L25" s="4">
        <f t="shared" si="17"/>
        <v>0</v>
      </c>
    </row>
    <row r="26" spans="8:56" hidden="1" x14ac:dyDescent="0.25">
      <c r="H26" s="4">
        <f t="shared" si="17"/>
        <v>0</v>
      </c>
      <c r="I26" s="4">
        <f t="shared" si="17"/>
        <v>0</v>
      </c>
      <c r="J26" s="4">
        <f t="shared" si="17"/>
        <v>0</v>
      </c>
      <c r="K26" s="4">
        <f t="shared" si="17"/>
        <v>0</v>
      </c>
      <c r="L26" s="4">
        <f t="shared" si="17"/>
        <v>0</v>
      </c>
    </row>
    <row r="27" spans="8:56" hidden="1" x14ac:dyDescent="0.25">
      <c r="H27" s="4">
        <f t="shared" si="17"/>
        <v>0</v>
      </c>
      <c r="I27" s="4">
        <f t="shared" si="17"/>
        <v>0</v>
      </c>
      <c r="J27" s="4">
        <f t="shared" si="17"/>
        <v>0</v>
      </c>
      <c r="K27" s="4">
        <f t="shared" si="17"/>
        <v>0</v>
      </c>
      <c r="L27" s="4">
        <f t="shared" si="17"/>
        <v>0</v>
      </c>
    </row>
    <row r="28" spans="8:56" hidden="1" x14ac:dyDescent="0.25">
      <c r="H28" s="4">
        <f t="shared" si="17"/>
        <v>0</v>
      </c>
      <c r="I28" s="4">
        <f t="shared" si="17"/>
        <v>0</v>
      </c>
      <c r="J28" s="4">
        <f t="shared" si="17"/>
        <v>0</v>
      </c>
      <c r="K28" s="4">
        <f t="shared" si="17"/>
        <v>0</v>
      </c>
      <c r="L28" s="4">
        <f t="shared" si="17"/>
        <v>0</v>
      </c>
    </row>
    <row r="29" spans="8:56" hidden="1" x14ac:dyDescent="0.25"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</row>
    <row r="30" spans="8:56" hidden="1" x14ac:dyDescent="0.25">
      <c r="H30" s="4">
        <f t="shared" si="17"/>
        <v>0</v>
      </c>
      <c r="I30" s="4">
        <f t="shared" si="17"/>
        <v>0</v>
      </c>
      <c r="J30" s="4">
        <f t="shared" si="17"/>
        <v>0</v>
      </c>
      <c r="K30" s="4">
        <f t="shared" si="17"/>
        <v>0</v>
      </c>
      <c r="L30" s="4">
        <f t="shared" si="17"/>
        <v>0</v>
      </c>
    </row>
    <row r="31" spans="8:56" hidden="1" x14ac:dyDescent="0.25">
      <c r="H31" s="4">
        <f t="shared" si="17"/>
        <v>0</v>
      </c>
      <c r="I31" s="4">
        <f t="shared" si="17"/>
        <v>0</v>
      </c>
      <c r="J31" s="4">
        <f t="shared" si="17"/>
        <v>0</v>
      </c>
      <c r="K31" s="4">
        <f t="shared" si="17"/>
        <v>0</v>
      </c>
      <c r="L31" s="4">
        <f t="shared" si="17"/>
        <v>0</v>
      </c>
    </row>
    <row r="32" spans="8:56" hidden="1" x14ac:dyDescent="0.25">
      <c r="H32" s="4">
        <f t="shared" si="17"/>
        <v>0</v>
      </c>
      <c r="I32" s="4">
        <f t="shared" si="17"/>
        <v>0</v>
      </c>
      <c r="J32" s="4">
        <f t="shared" si="17"/>
        <v>0</v>
      </c>
      <c r="K32" s="4">
        <f t="shared" si="17"/>
        <v>0</v>
      </c>
      <c r="L32" s="4">
        <f t="shared" si="17"/>
        <v>0</v>
      </c>
    </row>
    <row r="33" spans="8:12" hidden="1" x14ac:dyDescent="0.25">
      <c r="H33" s="4">
        <f t="shared" si="17"/>
        <v>0</v>
      </c>
      <c r="I33" s="4">
        <f t="shared" si="17"/>
        <v>0</v>
      </c>
      <c r="J33" s="4">
        <f t="shared" si="17"/>
        <v>0</v>
      </c>
      <c r="K33" s="4">
        <f t="shared" si="17"/>
        <v>0</v>
      </c>
      <c r="L33" s="4">
        <f t="shared" si="17"/>
        <v>0</v>
      </c>
    </row>
    <row r="34" spans="8:12" hidden="1" x14ac:dyDescent="0.25">
      <c r="H34" s="4" t="str">
        <f t="shared" ref="H34:L43" si="18">V2</f>
        <v>AG</v>
      </c>
      <c r="I34" s="4">
        <f t="shared" si="18"/>
        <v>750</v>
      </c>
      <c r="J34" s="4">
        <f t="shared" si="18"/>
        <v>10</v>
      </c>
      <c r="K34" s="4" t="str">
        <f t="shared" si="18"/>
        <v>Y</v>
      </c>
      <c r="L34" s="4" t="str">
        <f t="shared" si="18"/>
        <v>3L</v>
      </c>
    </row>
    <row r="35" spans="8:12" hidden="1" x14ac:dyDescent="0.25">
      <c r="H35" s="4">
        <f t="shared" si="18"/>
        <v>0</v>
      </c>
      <c r="I35" s="4">
        <f t="shared" si="18"/>
        <v>0</v>
      </c>
      <c r="J35" s="4">
        <f t="shared" si="18"/>
        <v>0</v>
      </c>
      <c r="K35" s="4">
        <f t="shared" si="18"/>
        <v>0</v>
      </c>
      <c r="L35" s="4">
        <f t="shared" si="18"/>
        <v>0</v>
      </c>
    </row>
    <row r="36" spans="8:12" hidden="1" x14ac:dyDescent="0.25">
      <c r="H36" s="4">
        <f t="shared" si="18"/>
        <v>0</v>
      </c>
      <c r="I36" s="4">
        <f t="shared" si="18"/>
        <v>0</v>
      </c>
      <c r="J36" s="4">
        <f t="shared" si="18"/>
        <v>0</v>
      </c>
      <c r="K36" s="4">
        <f t="shared" si="18"/>
        <v>0</v>
      </c>
      <c r="L36" s="4">
        <f t="shared" si="18"/>
        <v>0</v>
      </c>
    </row>
    <row r="37" spans="8:12" hidden="1" x14ac:dyDescent="0.25">
      <c r="H37" s="4">
        <f t="shared" si="18"/>
        <v>0</v>
      </c>
      <c r="I37" s="4">
        <f t="shared" si="18"/>
        <v>0</v>
      </c>
      <c r="J37" s="4">
        <f t="shared" si="18"/>
        <v>0</v>
      </c>
      <c r="K37" s="4">
        <f t="shared" si="18"/>
        <v>0</v>
      </c>
      <c r="L37" s="4">
        <f t="shared" si="18"/>
        <v>0</v>
      </c>
    </row>
    <row r="38" spans="8:12" hidden="1" x14ac:dyDescent="0.25">
      <c r="H38" s="4">
        <f t="shared" si="18"/>
        <v>0</v>
      </c>
      <c r="I38" s="4">
        <f t="shared" si="18"/>
        <v>0</v>
      </c>
      <c r="J38" s="4">
        <f t="shared" si="18"/>
        <v>0</v>
      </c>
      <c r="K38" s="4">
        <f t="shared" si="18"/>
        <v>0</v>
      </c>
      <c r="L38" s="4">
        <f t="shared" si="18"/>
        <v>0</v>
      </c>
    </row>
    <row r="39" spans="8:12" hidden="1" x14ac:dyDescent="0.25">
      <c r="H39" s="4">
        <f t="shared" si="18"/>
        <v>0</v>
      </c>
      <c r="I39" s="4">
        <f t="shared" si="18"/>
        <v>0</v>
      </c>
      <c r="J39" s="4">
        <f t="shared" si="18"/>
        <v>0</v>
      </c>
      <c r="K39" s="4">
        <f t="shared" si="18"/>
        <v>0</v>
      </c>
      <c r="L39" s="4">
        <f t="shared" si="18"/>
        <v>0</v>
      </c>
    </row>
    <row r="40" spans="8:12" hidden="1" x14ac:dyDescent="0.25">
      <c r="H40" s="4">
        <f t="shared" si="18"/>
        <v>0</v>
      </c>
      <c r="I40" s="4">
        <f t="shared" si="18"/>
        <v>0</v>
      </c>
      <c r="J40" s="4">
        <f t="shared" si="18"/>
        <v>0</v>
      </c>
      <c r="K40" s="4">
        <f t="shared" si="18"/>
        <v>0</v>
      </c>
      <c r="L40" s="4">
        <f t="shared" si="18"/>
        <v>0</v>
      </c>
    </row>
    <row r="41" spans="8:12" hidden="1" x14ac:dyDescent="0.25">
      <c r="H41" s="4">
        <f t="shared" si="18"/>
        <v>0</v>
      </c>
      <c r="I41" s="4">
        <f t="shared" si="18"/>
        <v>0</v>
      </c>
      <c r="J41" s="4">
        <f t="shared" si="18"/>
        <v>0</v>
      </c>
      <c r="K41" s="4">
        <f t="shared" si="18"/>
        <v>0</v>
      </c>
      <c r="L41" s="4">
        <f t="shared" si="18"/>
        <v>0</v>
      </c>
    </row>
    <row r="42" spans="8:12" hidden="1" x14ac:dyDescent="0.25">
      <c r="H42" s="4">
        <f t="shared" si="18"/>
        <v>0</v>
      </c>
      <c r="I42" s="4">
        <f t="shared" si="18"/>
        <v>0</v>
      </c>
      <c r="J42" s="4">
        <f t="shared" si="18"/>
        <v>0</v>
      </c>
      <c r="K42" s="4">
        <f t="shared" si="18"/>
        <v>0</v>
      </c>
      <c r="L42" s="4">
        <f t="shared" si="18"/>
        <v>0</v>
      </c>
    </row>
    <row r="43" spans="8:12" hidden="1" x14ac:dyDescent="0.25">
      <c r="H43" s="4">
        <f t="shared" si="18"/>
        <v>0</v>
      </c>
      <c r="I43" s="4">
        <f t="shared" si="18"/>
        <v>0</v>
      </c>
      <c r="J43" s="4">
        <f t="shared" si="18"/>
        <v>0</v>
      </c>
      <c r="K43" s="4">
        <f t="shared" si="18"/>
        <v>0</v>
      </c>
      <c r="L43" s="4">
        <f t="shared" si="18"/>
        <v>0</v>
      </c>
    </row>
    <row r="44" spans="8:12" hidden="1" x14ac:dyDescent="0.25">
      <c r="H44" s="4" t="str">
        <f t="shared" ref="H44:L53" si="19">AB2</f>
        <v>AG</v>
      </c>
      <c r="I44" s="4">
        <f t="shared" si="19"/>
        <v>500</v>
      </c>
      <c r="J44" s="4">
        <f t="shared" si="19"/>
        <v>20</v>
      </c>
      <c r="K44" s="4" t="str">
        <f t="shared" si="19"/>
        <v>Y</v>
      </c>
      <c r="L44" s="4" t="str">
        <f t="shared" si="19"/>
        <v>3L</v>
      </c>
    </row>
    <row r="45" spans="8:12" hidden="1" x14ac:dyDescent="0.25">
      <c r="H45" s="4">
        <f t="shared" si="19"/>
        <v>0</v>
      </c>
      <c r="I45" s="4">
        <f t="shared" si="19"/>
        <v>0</v>
      </c>
      <c r="J45" s="4">
        <f t="shared" si="19"/>
        <v>0</v>
      </c>
      <c r="K45" s="4">
        <f t="shared" si="19"/>
        <v>0</v>
      </c>
      <c r="L45" s="4">
        <f t="shared" si="19"/>
        <v>0</v>
      </c>
    </row>
    <row r="46" spans="8:12" hidden="1" x14ac:dyDescent="0.25">
      <c r="H46" s="4">
        <f t="shared" si="19"/>
        <v>0</v>
      </c>
      <c r="I46" s="4">
        <f t="shared" si="19"/>
        <v>0</v>
      </c>
      <c r="J46" s="4">
        <f t="shared" si="19"/>
        <v>0</v>
      </c>
      <c r="K46" s="4">
        <f t="shared" si="19"/>
        <v>0</v>
      </c>
      <c r="L46" s="4">
        <f t="shared" si="19"/>
        <v>0</v>
      </c>
    </row>
    <row r="47" spans="8:12" hidden="1" x14ac:dyDescent="0.25">
      <c r="H47" s="4">
        <f t="shared" si="19"/>
        <v>0</v>
      </c>
      <c r="I47" s="4">
        <f t="shared" si="19"/>
        <v>0</v>
      </c>
      <c r="J47" s="4">
        <f t="shared" si="19"/>
        <v>0</v>
      </c>
      <c r="K47" s="4">
        <f t="shared" si="19"/>
        <v>0</v>
      </c>
      <c r="L47" s="4">
        <f t="shared" si="19"/>
        <v>0</v>
      </c>
    </row>
    <row r="48" spans="8:12" hidden="1" x14ac:dyDescent="0.25">
      <c r="H48" s="4">
        <f t="shared" si="19"/>
        <v>0</v>
      </c>
      <c r="I48" s="4">
        <f t="shared" si="19"/>
        <v>0</v>
      </c>
      <c r="J48" s="4">
        <f t="shared" si="19"/>
        <v>0</v>
      </c>
      <c r="K48" s="4">
        <f t="shared" si="19"/>
        <v>0</v>
      </c>
      <c r="L48" s="4">
        <f t="shared" si="19"/>
        <v>0</v>
      </c>
    </row>
    <row r="49" spans="8:12" hidden="1" x14ac:dyDescent="0.25">
      <c r="H49" s="4">
        <f t="shared" si="19"/>
        <v>0</v>
      </c>
      <c r="I49" s="4">
        <f t="shared" si="19"/>
        <v>0</v>
      </c>
      <c r="J49" s="4">
        <f t="shared" si="19"/>
        <v>0</v>
      </c>
      <c r="K49" s="4">
        <f t="shared" si="19"/>
        <v>0</v>
      </c>
      <c r="L49" s="4">
        <f t="shared" si="19"/>
        <v>0</v>
      </c>
    </row>
    <row r="50" spans="8:12" hidden="1" x14ac:dyDescent="0.25">
      <c r="H50" s="4">
        <f t="shared" si="19"/>
        <v>0</v>
      </c>
      <c r="I50" s="4">
        <f t="shared" si="19"/>
        <v>0</v>
      </c>
      <c r="J50" s="4">
        <f t="shared" si="19"/>
        <v>0</v>
      </c>
      <c r="K50" s="4">
        <f t="shared" si="19"/>
        <v>0</v>
      </c>
      <c r="L50" s="4">
        <f t="shared" si="19"/>
        <v>0</v>
      </c>
    </row>
    <row r="51" spans="8:12" hidden="1" x14ac:dyDescent="0.25">
      <c r="H51" s="4">
        <f t="shared" si="19"/>
        <v>0</v>
      </c>
      <c r="I51" s="4">
        <f t="shared" si="19"/>
        <v>0</v>
      </c>
      <c r="J51" s="4">
        <f t="shared" si="19"/>
        <v>0</v>
      </c>
      <c r="K51" s="4">
        <f t="shared" si="19"/>
        <v>0</v>
      </c>
      <c r="L51" s="4">
        <f t="shared" si="19"/>
        <v>0</v>
      </c>
    </row>
    <row r="52" spans="8:12" hidden="1" x14ac:dyDescent="0.25">
      <c r="H52" s="4">
        <f t="shared" si="19"/>
        <v>0</v>
      </c>
      <c r="I52" s="4">
        <f t="shared" si="19"/>
        <v>0</v>
      </c>
      <c r="J52" s="4">
        <f t="shared" si="19"/>
        <v>0</v>
      </c>
      <c r="K52" s="4">
        <f t="shared" si="19"/>
        <v>0</v>
      </c>
      <c r="L52" s="4">
        <f t="shared" si="19"/>
        <v>0</v>
      </c>
    </row>
    <row r="53" spans="8:12" hidden="1" x14ac:dyDescent="0.25">
      <c r="H53" s="4">
        <f t="shared" si="19"/>
        <v>0</v>
      </c>
      <c r="I53" s="4">
        <f t="shared" si="19"/>
        <v>0</v>
      </c>
      <c r="J53" s="4">
        <f t="shared" si="19"/>
        <v>0</v>
      </c>
      <c r="K53" s="4">
        <f t="shared" si="19"/>
        <v>0</v>
      </c>
      <c r="L53" s="4">
        <f t="shared" si="19"/>
        <v>0</v>
      </c>
    </row>
    <row r="54" spans="8:12" hidden="1" x14ac:dyDescent="0.25">
      <c r="H54" s="4">
        <f t="shared" ref="H54:L63" si="20">AH2</f>
        <v>0</v>
      </c>
      <c r="I54" s="4">
        <f t="shared" si="20"/>
        <v>0</v>
      </c>
      <c r="J54" s="4">
        <f t="shared" si="20"/>
        <v>0</v>
      </c>
      <c r="K54" s="4">
        <f t="shared" si="20"/>
        <v>0</v>
      </c>
      <c r="L54" s="4">
        <f t="shared" si="20"/>
        <v>0</v>
      </c>
    </row>
    <row r="55" spans="8:12" hidden="1" x14ac:dyDescent="0.25">
      <c r="H55" s="4">
        <f t="shared" si="20"/>
        <v>0</v>
      </c>
      <c r="I55" s="4">
        <f t="shared" si="20"/>
        <v>0</v>
      </c>
      <c r="J55" s="4">
        <f t="shared" si="20"/>
        <v>0</v>
      </c>
      <c r="K55" s="4">
        <f t="shared" si="20"/>
        <v>0</v>
      </c>
      <c r="L55" s="4">
        <f t="shared" si="20"/>
        <v>0</v>
      </c>
    </row>
    <row r="56" spans="8:12" hidden="1" x14ac:dyDescent="0.25">
      <c r="H56" s="4">
        <f t="shared" si="20"/>
        <v>0</v>
      </c>
      <c r="I56" s="4">
        <f t="shared" si="20"/>
        <v>0</v>
      </c>
      <c r="J56" s="4">
        <f t="shared" si="20"/>
        <v>0</v>
      </c>
      <c r="K56" s="4">
        <f t="shared" si="20"/>
        <v>0</v>
      </c>
      <c r="L56" s="4">
        <f t="shared" si="20"/>
        <v>0</v>
      </c>
    </row>
    <row r="57" spans="8:12" hidden="1" x14ac:dyDescent="0.25">
      <c r="H57" s="4">
        <f t="shared" si="20"/>
        <v>0</v>
      </c>
      <c r="I57" s="4">
        <f t="shared" si="20"/>
        <v>0</v>
      </c>
      <c r="J57" s="4">
        <f t="shared" si="20"/>
        <v>0</v>
      </c>
      <c r="K57" s="4">
        <f t="shared" si="20"/>
        <v>0</v>
      </c>
      <c r="L57" s="4">
        <f t="shared" si="20"/>
        <v>0</v>
      </c>
    </row>
    <row r="58" spans="8:12" hidden="1" x14ac:dyDescent="0.25">
      <c r="H58" s="4">
        <f t="shared" si="20"/>
        <v>0</v>
      </c>
      <c r="I58" s="4">
        <f t="shared" si="20"/>
        <v>0</v>
      </c>
      <c r="J58" s="4">
        <f t="shared" si="20"/>
        <v>0</v>
      </c>
      <c r="K58" s="4">
        <f t="shared" si="20"/>
        <v>0</v>
      </c>
      <c r="L58" s="4">
        <f t="shared" si="20"/>
        <v>0</v>
      </c>
    </row>
    <row r="59" spans="8:12" hidden="1" x14ac:dyDescent="0.25">
      <c r="H59" s="4">
        <f t="shared" si="20"/>
        <v>0</v>
      </c>
      <c r="I59" s="4">
        <f t="shared" si="20"/>
        <v>0</v>
      </c>
      <c r="J59" s="4">
        <f t="shared" si="20"/>
        <v>0</v>
      </c>
      <c r="K59" s="4">
        <f t="shared" si="20"/>
        <v>0</v>
      </c>
      <c r="L59" s="4">
        <f t="shared" si="20"/>
        <v>0</v>
      </c>
    </row>
    <row r="60" spans="8:12" hidden="1" x14ac:dyDescent="0.25">
      <c r="H60" s="4">
        <f t="shared" si="20"/>
        <v>0</v>
      </c>
      <c r="I60" s="4">
        <f t="shared" si="20"/>
        <v>0</v>
      </c>
      <c r="J60" s="4">
        <f t="shared" si="20"/>
        <v>0</v>
      </c>
      <c r="K60" s="4">
        <f t="shared" si="20"/>
        <v>0</v>
      </c>
      <c r="L60" s="4">
        <f t="shared" si="20"/>
        <v>0</v>
      </c>
    </row>
    <row r="61" spans="8:12" hidden="1" x14ac:dyDescent="0.25">
      <c r="H61" s="4">
        <f t="shared" si="20"/>
        <v>0</v>
      </c>
      <c r="I61" s="4">
        <f t="shared" si="20"/>
        <v>0</v>
      </c>
      <c r="J61" s="4">
        <f t="shared" si="20"/>
        <v>0</v>
      </c>
      <c r="K61" s="4">
        <f t="shared" si="20"/>
        <v>0</v>
      </c>
      <c r="L61" s="4">
        <f t="shared" si="20"/>
        <v>0</v>
      </c>
    </row>
    <row r="62" spans="8:12" hidden="1" x14ac:dyDescent="0.25">
      <c r="H62" s="4">
        <f t="shared" si="20"/>
        <v>0</v>
      </c>
      <c r="I62" s="4">
        <f t="shared" si="20"/>
        <v>0</v>
      </c>
      <c r="J62" s="4">
        <f t="shared" si="20"/>
        <v>0</v>
      </c>
      <c r="K62" s="4">
        <f t="shared" si="20"/>
        <v>0</v>
      </c>
      <c r="L62" s="4">
        <f t="shared" si="20"/>
        <v>0</v>
      </c>
    </row>
    <row r="63" spans="8:12" hidden="1" x14ac:dyDescent="0.25">
      <c r="H63" s="4">
        <f t="shared" si="20"/>
        <v>0</v>
      </c>
      <c r="I63" s="4">
        <f t="shared" si="20"/>
        <v>0</v>
      </c>
      <c r="J63" s="4">
        <f t="shared" si="20"/>
        <v>0</v>
      </c>
      <c r="K63" s="4">
        <f t="shared" si="20"/>
        <v>0</v>
      </c>
      <c r="L63" s="4">
        <f t="shared" si="20"/>
        <v>0</v>
      </c>
    </row>
    <row r="64" spans="8:12" hidden="1" x14ac:dyDescent="0.25">
      <c r="H64" s="4">
        <f t="shared" ref="H64:L73" si="21">AN2</f>
        <v>0</v>
      </c>
      <c r="I64" s="4">
        <f t="shared" si="21"/>
        <v>0</v>
      </c>
      <c r="J64" s="4">
        <f t="shared" si="21"/>
        <v>0</v>
      </c>
      <c r="K64" s="4">
        <f t="shared" si="21"/>
        <v>0</v>
      </c>
      <c r="L64" s="4">
        <f t="shared" si="21"/>
        <v>0</v>
      </c>
    </row>
    <row r="65" spans="8:12" hidden="1" x14ac:dyDescent="0.25">
      <c r="H65" s="4">
        <f t="shared" si="21"/>
        <v>0</v>
      </c>
      <c r="I65" s="4">
        <f t="shared" si="21"/>
        <v>0</v>
      </c>
      <c r="J65" s="4">
        <f t="shared" si="21"/>
        <v>0</v>
      </c>
      <c r="K65" s="4">
        <f t="shared" si="21"/>
        <v>0</v>
      </c>
      <c r="L65" s="4">
        <f t="shared" si="21"/>
        <v>0</v>
      </c>
    </row>
    <row r="66" spans="8:12" hidden="1" x14ac:dyDescent="0.25">
      <c r="H66" s="4">
        <f t="shared" si="21"/>
        <v>0</v>
      </c>
      <c r="I66" s="4">
        <f t="shared" si="21"/>
        <v>0</v>
      </c>
      <c r="J66" s="4">
        <f t="shared" si="21"/>
        <v>0</v>
      </c>
      <c r="K66" s="4">
        <f t="shared" si="21"/>
        <v>0</v>
      </c>
      <c r="L66" s="4">
        <f t="shared" si="21"/>
        <v>0</v>
      </c>
    </row>
    <row r="67" spans="8:12" hidden="1" x14ac:dyDescent="0.25">
      <c r="H67" s="4">
        <f t="shared" si="21"/>
        <v>0</v>
      </c>
      <c r="I67" s="4">
        <f t="shared" si="21"/>
        <v>0</v>
      </c>
      <c r="J67" s="4">
        <f t="shared" si="21"/>
        <v>0</v>
      </c>
      <c r="K67" s="4">
        <f t="shared" si="21"/>
        <v>0</v>
      </c>
      <c r="L67" s="4">
        <f t="shared" si="21"/>
        <v>0</v>
      </c>
    </row>
    <row r="68" spans="8:12" hidden="1" x14ac:dyDescent="0.25">
      <c r="H68" s="4">
        <f t="shared" si="21"/>
        <v>0</v>
      </c>
      <c r="I68" s="4">
        <f t="shared" si="21"/>
        <v>0</v>
      </c>
      <c r="J68" s="4">
        <f t="shared" si="21"/>
        <v>0</v>
      </c>
      <c r="K68" s="4">
        <f t="shared" si="21"/>
        <v>0</v>
      </c>
      <c r="L68" s="4">
        <f t="shared" si="21"/>
        <v>0</v>
      </c>
    </row>
    <row r="69" spans="8:12" hidden="1" x14ac:dyDescent="0.25">
      <c r="H69" s="4">
        <f t="shared" si="21"/>
        <v>0</v>
      </c>
      <c r="I69" s="4">
        <f t="shared" si="21"/>
        <v>0</v>
      </c>
      <c r="J69" s="4">
        <f t="shared" si="21"/>
        <v>0</v>
      </c>
      <c r="K69" s="4">
        <f t="shared" si="21"/>
        <v>0</v>
      </c>
      <c r="L69" s="4">
        <f t="shared" si="21"/>
        <v>0</v>
      </c>
    </row>
    <row r="70" spans="8:12" hidden="1" x14ac:dyDescent="0.25">
      <c r="H70" s="4">
        <f t="shared" si="21"/>
        <v>0</v>
      </c>
      <c r="I70" s="4">
        <f t="shared" si="21"/>
        <v>0</v>
      </c>
      <c r="J70" s="4">
        <f t="shared" si="21"/>
        <v>0</v>
      </c>
      <c r="K70" s="4">
        <f t="shared" si="21"/>
        <v>0</v>
      </c>
      <c r="L70" s="4">
        <f t="shared" si="21"/>
        <v>0</v>
      </c>
    </row>
    <row r="71" spans="8:12" hidden="1" x14ac:dyDescent="0.25">
      <c r="H71" s="4">
        <f t="shared" si="21"/>
        <v>0</v>
      </c>
      <c r="I71" s="4">
        <f t="shared" si="21"/>
        <v>0</v>
      </c>
      <c r="J71" s="4">
        <f t="shared" si="21"/>
        <v>0</v>
      </c>
      <c r="K71" s="4">
        <f t="shared" si="21"/>
        <v>0</v>
      </c>
      <c r="L71" s="4">
        <f t="shared" si="21"/>
        <v>0</v>
      </c>
    </row>
    <row r="72" spans="8:12" hidden="1" x14ac:dyDescent="0.25">
      <c r="H72" s="4">
        <f t="shared" si="21"/>
        <v>0</v>
      </c>
      <c r="I72" s="4">
        <f t="shared" si="21"/>
        <v>0</v>
      </c>
      <c r="J72" s="4">
        <f t="shared" si="21"/>
        <v>0</v>
      </c>
      <c r="K72" s="4">
        <f t="shared" si="21"/>
        <v>0</v>
      </c>
      <c r="L72" s="4">
        <f t="shared" si="21"/>
        <v>0</v>
      </c>
    </row>
    <row r="73" spans="8:12" hidden="1" x14ac:dyDescent="0.25">
      <c r="H73" s="4">
        <f t="shared" si="21"/>
        <v>0</v>
      </c>
      <c r="I73" s="4">
        <f t="shared" si="21"/>
        <v>0</v>
      </c>
      <c r="J73" s="4">
        <f t="shared" si="21"/>
        <v>0</v>
      </c>
      <c r="K73" s="4">
        <f t="shared" si="21"/>
        <v>0</v>
      </c>
      <c r="L73" s="4">
        <f t="shared" si="21"/>
        <v>0</v>
      </c>
    </row>
    <row r="74" spans="8:12" hidden="1" x14ac:dyDescent="0.25">
      <c r="H74" s="4">
        <f t="shared" ref="H74:L83" si="22">AT2</f>
        <v>0</v>
      </c>
      <c r="I74" s="4">
        <f t="shared" si="22"/>
        <v>0</v>
      </c>
      <c r="J74" s="4">
        <f t="shared" si="22"/>
        <v>0</v>
      </c>
      <c r="K74" s="4">
        <f t="shared" si="22"/>
        <v>0</v>
      </c>
      <c r="L74" s="4">
        <f t="shared" si="22"/>
        <v>0</v>
      </c>
    </row>
    <row r="75" spans="8:12" hidden="1" x14ac:dyDescent="0.25">
      <c r="H75" s="4">
        <f t="shared" si="22"/>
        <v>0</v>
      </c>
      <c r="I75" s="4">
        <f t="shared" si="22"/>
        <v>0</v>
      </c>
      <c r="J75" s="4">
        <f t="shared" si="22"/>
        <v>0</v>
      </c>
      <c r="K75" s="4">
        <f t="shared" si="22"/>
        <v>0</v>
      </c>
      <c r="L75" s="4">
        <f t="shared" si="22"/>
        <v>0</v>
      </c>
    </row>
    <row r="76" spans="8:12" hidden="1" x14ac:dyDescent="0.25"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0</v>
      </c>
    </row>
    <row r="77" spans="8:12" hidden="1" x14ac:dyDescent="0.25">
      <c r="H77" s="4">
        <f t="shared" si="22"/>
        <v>0</v>
      </c>
      <c r="I77" s="4">
        <f t="shared" si="22"/>
        <v>0</v>
      </c>
      <c r="J77" s="4">
        <f t="shared" si="22"/>
        <v>0</v>
      </c>
      <c r="K77" s="4">
        <f t="shared" si="22"/>
        <v>0</v>
      </c>
      <c r="L77" s="4">
        <f t="shared" si="22"/>
        <v>0</v>
      </c>
    </row>
    <row r="78" spans="8:12" hidden="1" x14ac:dyDescent="0.25">
      <c r="H78" s="4">
        <f t="shared" si="22"/>
        <v>0</v>
      </c>
      <c r="I78" s="4">
        <f t="shared" si="22"/>
        <v>0</v>
      </c>
      <c r="J78" s="4">
        <f t="shared" si="22"/>
        <v>0</v>
      </c>
      <c r="K78" s="4">
        <f t="shared" si="22"/>
        <v>0</v>
      </c>
      <c r="L78" s="4">
        <f t="shared" si="22"/>
        <v>0</v>
      </c>
    </row>
    <row r="79" spans="8:12" hidden="1" x14ac:dyDescent="0.25">
      <c r="H79" s="4">
        <f t="shared" si="22"/>
        <v>0</v>
      </c>
      <c r="I79" s="4">
        <f t="shared" si="22"/>
        <v>0</v>
      </c>
      <c r="J79" s="4">
        <f t="shared" si="22"/>
        <v>0</v>
      </c>
      <c r="K79" s="4">
        <f t="shared" si="22"/>
        <v>0</v>
      </c>
      <c r="L79" s="4">
        <f t="shared" si="22"/>
        <v>0</v>
      </c>
    </row>
    <row r="80" spans="8:12" hidden="1" x14ac:dyDescent="0.25">
      <c r="H80" s="4">
        <f t="shared" si="22"/>
        <v>0</v>
      </c>
      <c r="I80" s="4">
        <f t="shared" si="22"/>
        <v>0</v>
      </c>
      <c r="J80" s="4">
        <f t="shared" si="22"/>
        <v>0</v>
      </c>
      <c r="K80" s="4">
        <f t="shared" si="22"/>
        <v>0</v>
      </c>
      <c r="L80" s="4">
        <f t="shared" si="22"/>
        <v>0</v>
      </c>
    </row>
    <row r="81" spans="8:12" hidden="1" x14ac:dyDescent="0.25">
      <c r="H81" s="4">
        <f t="shared" si="22"/>
        <v>0</v>
      </c>
      <c r="I81" s="4">
        <f t="shared" si="22"/>
        <v>0</v>
      </c>
      <c r="J81" s="4">
        <f t="shared" si="22"/>
        <v>0</v>
      </c>
      <c r="K81" s="4">
        <f t="shared" si="22"/>
        <v>0</v>
      </c>
      <c r="L81" s="4">
        <f t="shared" si="22"/>
        <v>0</v>
      </c>
    </row>
    <row r="82" spans="8:12" hidden="1" x14ac:dyDescent="0.25"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</row>
    <row r="83" spans="8:12" hidden="1" x14ac:dyDescent="0.25">
      <c r="H83" s="4">
        <f t="shared" si="22"/>
        <v>0</v>
      </c>
      <c r="I83" s="4">
        <f t="shared" si="22"/>
        <v>0</v>
      </c>
      <c r="J83" s="4">
        <f t="shared" si="22"/>
        <v>0</v>
      </c>
      <c r="K83" s="4">
        <f t="shared" si="22"/>
        <v>0</v>
      </c>
      <c r="L83" s="4">
        <f t="shared" si="22"/>
        <v>0</v>
      </c>
    </row>
    <row r="84" spans="8:12" hidden="1" x14ac:dyDescent="0.25">
      <c r="H84" s="4">
        <f t="shared" ref="H84:L93" si="23">AZ2</f>
        <v>0</v>
      </c>
      <c r="I84" s="4">
        <f t="shared" si="23"/>
        <v>0</v>
      </c>
      <c r="J84" s="4">
        <f t="shared" si="23"/>
        <v>0</v>
      </c>
      <c r="K84" s="4">
        <f t="shared" si="23"/>
        <v>0</v>
      </c>
      <c r="L84" s="4">
        <f t="shared" si="23"/>
        <v>0</v>
      </c>
    </row>
    <row r="85" spans="8:12" hidden="1" x14ac:dyDescent="0.25">
      <c r="H85" s="4">
        <f t="shared" si="23"/>
        <v>0</v>
      </c>
      <c r="I85" s="4">
        <f t="shared" si="23"/>
        <v>0</v>
      </c>
      <c r="J85" s="4">
        <f t="shared" si="23"/>
        <v>0</v>
      </c>
      <c r="K85" s="4">
        <f t="shared" si="23"/>
        <v>0</v>
      </c>
      <c r="L85" s="4">
        <f t="shared" si="23"/>
        <v>0</v>
      </c>
    </row>
    <row r="86" spans="8:12" hidden="1" x14ac:dyDescent="0.25">
      <c r="H86" s="4">
        <f t="shared" si="23"/>
        <v>0</v>
      </c>
      <c r="I86" s="4">
        <f t="shared" si="23"/>
        <v>0</v>
      </c>
      <c r="J86" s="4">
        <f t="shared" si="23"/>
        <v>0</v>
      </c>
      <c r="K86" s="4">
        <f t="shared" si="23"/>
        <v>0</v>
      </c>
      <c r="L86" s="4">
        <f t="shared" si="23"/>
        <v>0</v>
      </c>
    </row>
    <row r="87" spans="8:12" hidden="1" x14ac:dyDescent="0.25">
      <c r="H87" s="4">
        <f t="shared" si="23"/>
        <v>0</v>
      </c>
      <c r="I87" s="4">
        <f t="shared" si="23"/>
        <v>0</v>
      </c>
      <c r="J87" s="4">
        <f t="shared" si="23"/>
        <v>0</v>
      </c>
      <c r="K87" s="4">
        <f t="shared" si="23"/>
        <v>0</v>
      </c>
      <c r="L87" s="4">
        <f t="shared" si="23"/>
        <v>0</v>
      </c>
    </row>
    <row r="88" spans="8:12" hidden="1" x14ac:dyDescent="0.25">
      <c r="H88" s="4">
        <f t="shared" si="23"/>
        <v>0</v>
      </c>
      <c r="I88" s="4">
        <f t="shared" si="23"/>
        <v>0</v>
      </c>
      <c r="J88" s="4">
        <f t="shared" si="23"/>
        <v>0</v>
      </c>
      <c r="K88" s="4">
        <f t="shared" si="23"/>
        <v>0</v>
      </c>
      <c r="L88" s="4">
        <f t="shared" si="23"/>
        <v>0</v>
      </c>
    </row>
    <row r="89" spans="8:12" hidden="1" x14ac:dyDescent="0.25">
      <c r="H89" s="4">
        <f t="shared" si="23"/>
        <v>0</v>
      </c>
      <c r="I89" s="4">
        <f t="shared" si="23"/>
        <v>0</v>
      </c>
      <c r="J89" s="4">
        <f t="shared" si="23"/>
        <v>0</v>
      </c>
      <c r="K89" s="4">
        <f t="shared" si="23"/>
        <v>0</v>
      </c>
      <c r="L89" s="4">
        <f t="shared" si="23"/>
        <v>0</v>
      </c>
    </row>
    <row r="90" spans="8:12" hidden="1" x14ac:dyDescent="0.25">
      <c r="H90" s="4">
        <f t="shared" si="23"/>
        <v>0</v>
      </c>
      <c r="I90" s="4">
        <f t="shared" si="23"/>
        <v>0</v>
      </c>
      <c r="J90" s="4">
        <f t="shared" si="23"/>
        <v>0</v>
      </c>
      <c r="K90" s="4">
        <f t="shared" si="23"/>
        <v>0</v>
      </c>
      <c r="L90" s="4">
        <f t="shared" si="23"/>
        <v>0</v>
      </c>
    </row>
    <row r="91" spans="8:12" hidden="1" x14ac:dyDescent="0.25">
      <c r="H91" s="4">
        <f t="shared" si="23"/>
        <v>0</v>
      </c>
      <c r="I91" s="4">
        <f t="shared" si="23"/>
        <v>0</v>
      </c>
      <c r="J91" s="4">
        <f t="shared" si="23"/>
        <v>0</v>
      </c>
      <c r="K91" s="4">
        <f t="shared" si="23"/>
        <v>0</v>
      </c>
      <c r="L91" s="4">
        <f t="shared" si="23"/>
        <v>0</v>
      </c>
    </row>
    <row r="92" spans="8:12" hidden="1" x14ac:dyDescent="0.25">
      <c r="H92" s="4">
        <f t="shared" si="23"/>
        <v>0</v>
      </c>
      <c r="I92" s="4">
        <f t="shared" si="23"/>
        <v>0</v>
      </c>
      <c r="J92" s="4">
        <f t="shared" si="23"/>
        <v>0</v>
      </c>
      <c r="K92" s="4">
        <f t="shared" si="23"/>
        <v>0</v>
      </c>
      <c r="L92" s="4">
        <f t="shared" si="23"/>
        <v>0</v>
      </c>
    </row>
    <row r="93" spans="8:12" hidden="1" x14ac:dyDescent="0.25">
      <c r="H93" s="4">
        <f t="shared" si="23"/>
        <v>0</v>
      </c>
      <c r="I93" s="4">
        <f t="shared" si="23"/>
        <v>0</v>
      </c>
      <c r="J93" s="4">
        <f t="shared" si="23"/>
        <v>0</v>
      </c>
      <c r="K93" s="4">
        <f t="shared" si="23"/>
        <v>0</v>
      </c>
      <c r="L93" s="4">
        <f t="shared" si="23"/>
        <v>0</v>
      </c>
    </row>
    <row r="94" spans="8:12" hidden="1" x14ac:dyDescent="0.25">
      <c r="H94" s="4">
        <f t="shared" ref="H94:L103" si="24">BF2</f>
        <v>0</v>
      </c>
      <c r="I94" s="4">
        <f t="shared" si="24"/>
        <v>0</v>
      </c>
      <c r="J94" s="4">
        <f t="shared" si="24"/>
        <v>0</v>
      </c>
      <c r="K94" s="4">
        <f t="shared" si="24"/>
        <v>0</v>
      </c>
      <c r="L94" s="4">
        <f t="shared" si="24"/>
        <v>0</v>
      </c>
    </row>
    <row r="95" spans="8:12" hidden="1" x14ac:dyDescent="0.25">
      <c r="H95" s="4">
        <f t="shared" si="24"/>
        <v>0</v>
      </c>
      <c r="I95" s="4">
        <f t="shared" si="24"/>
        <v>0</v>
      </c>
      <c r="J95" s="4">
        <f t="shared" si="24"/>
        <v>0</v>
      </c>
      <c r="K95" s="4">
        <f t="shared" si="24"/>
        <v>0</v>
      </c>
      <c r="L95" s="4">
        <f t="shared" si="24"/>
        <v>0</v>
      </c>
    </row>
    <row r="96" spans="8:12" hidden="1" x14ac:dyDescent="0.25">
      <c r="H96" s="4">
        <f t="shared" si="24"/>
        <v>0</v>
      </c>
      <c r="I96" s="4">
        <f t="shared" si="24"/>
        <v>0</v>
      </c>
      <c r="J96" s="4">
        <f t="shared" si="24"/>
        <v>0</v>
      </c>
      <c r="K96" s="4">
        <f t="shared" si="24"/>
        <v>0</v>
      </c>
      <c r="L96" s="4">
        <f t="shared" si="24"/>
        <v>0</v>
      </c>
    </row>
    <row r="97" spans="8:12" hidden="1" x14ac:dyDescent="0.25">
      <c r="H97" s="4">
        <f t="shared" si="24"/>
        <v>0</v>
      </c>
      <c r="I97" s="4">
        <f t="shared" si="24"/>
        <v>0</v>
      </c>
      <c r="J97" s="4">
        <f t="shared" si="24"/>
        <v>0</v>
      </c>
      <c r="K97" s="4">
        <f t="shared" si="24"/>
        <v>0</v>
      </c>
      <c r="L97" s="4">
        <f t="shared" si="24"/>
        <v>0</v>
      </c>
    </row>
    <row r="98" spans="8:12" hidden="1" x14ac:dyDescent="0.25">
      <c r="H98" s="4">
        <f t="shared" si="24"/>
        <v>0</v>
      </c>
      <c r="I98" s="4">
        <f t="shared" si="24"/>
        <v>0</v>
      </c>
      <c r="J98" s="4">
        <f t="shared" si="24"/>
        <v>0</v>
      </c>
      <c r="K98" s="4">
        <f t="shared" si="24"/>
        <v>0</v>
      </c>
      <c r="L98" s="4">
        <f t="shared" si="24"/>
        <v>0</v>
      </c>
    </row>
    <row r="99" spans="8:12" hidden="1" x14ac:dyDescent="0.25">
      <c r="H99" s="4">
        <f t="shared" si="24"/>
        <v>0</v>
      </c>
      <c r="I99" s="4">
        <f t="shared" si="24"/>
        <v>0</v>
      </c>
      <c r="J99" s="4">
        <f t="shared" si="24"/>
        <v>0</v>
      </c>
      <c r="K99" s="4">
        <f t="shared" si="24"/>
        <v>0</v>
      </c>
      <c r="L99" s="4">
        <f t="shared" si="24"/>
        <v>0</v>
      </c>
    </row>
    <row r="100" spans="8:12" hidden="1" x14ac:dyDescent="0.25">
      <c r="H100" s="4">
        <f t="shared" si="24"/>
        <v>0</v>
      </c>
      <c r="I100" s="4">
        <f t="shared" si="24"/>
        <v>0</v>
      </c>
      <c r="J100" s="4">
        <f t="shared" si="24"/>
        <v>0</v>
      </c>
      <c r="K100" s="4">
        <f t="shared" si="24"/>
        <v>0</v>
      </c>
      <c r="L100" s="4">
        <f t="shared" si="24"/>
        <v>0</v>
      </c>
    </row>
    <row r="101" spans="8:12" hidden="1" x14ac:dyDescent="0.25">
      <c r="H101" s="4">
        <f t="shared" si="24"/>
        <v>0</v>
      </c>
      <c r="I101" s="4">
        <f t="shared" si="24"/>
        <v>0</v>
      </c>
      <c r="J101" s="4">
        <f t="shared" si="24"/>
        <v>0</v>
      </c>
      <c r="K101" s="4">
        <f t="shared" si="24"/>
        <v>0</v>
      </c>
      <c r="L101" s="4">
        <f t="shared" si="24"/>
        <v>0</v>
      </c>
    </row>
    <row r="102" spans="8:12" hidden="1" x14ac:dyDescent="0.25">
      <c r="H102" s="4">
        <f t="shared" si="24"/>
        <v>0</v>
      </c>
      <c r="I102" s="4">
        <f t="shared" si="24"/>
        <v>0</v>
      </c>
      <c r="J102" s="4">
        <f t="shared" si="24"/>
        <v>0</v>
      </c>
      <c r="K102" s="4">
        <f t="shared" si="24"/>
        <v>0</v>
      </c>
      <c r="L102" s="4">
        <f t="shared" si="24"/>
        <v>0</v>
      </c>
    </row>
    <row r="103" spans="8:12" hidden="1" x14ac:dyDescent="0.25">
      <c r="H103" s="4">
        <f t="shared" si="24"/>
        <v>0</v>
      </c>
      <c r="I103" s="4">
        <f t="shared" si="24"/>
        <v>0</v>
      </c>
      <c r="J103" s="4">
        <f t="shared" si="24"/>
        <v>0</v>
      </c>
      <c r="K103" s="4">
        <f t="shared" si="24"/>
        <v>0</v>
      </c>
      <c r="L103" s="4">
        <f t="shared" si="24"/>
        <v>0</v>
      </c>
    </row>
    <row r="104" spans="8:12" hidden="1" x14ac:dyDescent="0.25">
      <c r="H104" s="4">
        <f t="shared" ref="H104:L113" si="25">BL2</f>
        <v>0</v>
      </c>
      <c r="I104" s="4">
        <f t="shared" si="25"/>
        <v>0</v>
      </c>
      <c r="J104" s="4">
        <f t="shared" si="25"/>
        <v>0</v>
      </c>
      <c r="K104" s="4">
        <f t="shared" si="25"/>
        <v>0</v>
      </c>
      <c r="L104" s="4">
        <f t="shared" si="25"/>
        <v>0</v>
      </c>
    </row>
    <row r="105" spans="8:12" hidden="1" x14ac:dyDescent="0.25">
      <c r="H105" s="4">
        <f t="shared" si="25"/>
        <v>0</v>
      </c>
      <c r="I105" s="4">
        <f t="shared" si="25"/>
        <v>0</v>
      </c>
      <c r="J105" s="4">
        <f t="shared" si="25"/>
        <v>0</v>
      </c>
      <c r="K105" s="4">
        <f t="shared" si="25"/>
        <v>0</v>
      </c>
      <c r="L105" s="4">
        <f t="shared" si="25"/>
        <v>0</v>
      </c>
    </row>
    <row r="106" spans="8:12" hidden="1" x14ac:dyDescent="0.25">
      <c r="H106" s="4">
        <f t="shared" si="25"/>
        <v>0</v>
      </c>
      <c r="I106" s="4">
        <f t="shared" si="25"/>
        <v>0</v>
      </c>
      <c r="J106" s="4">
        <f t="shared" si="25"/>
        <v>0</v>
      </c>
      <c r="K106" s="4">
        <f t="shared" si="25"/>
        <v>0</v>
      </c>
      <c r="L106" s="4">
        <f t="shared" si="25"/>
        <v>0</v>
      </c>
    </row>
    <row r="107" spans="8:12" hidden="1" x14ac:dyDescent="0.25">
      <c r="H107" s="4">
        <f t="shared" si="25"/>
        <v>0</v>
      </c>
      <c r="I107" s="4">
        <f t="shared" si="25"/>
        <v>0</v>
      </c>
      <c r="J107" s="4">
        <f t="shared" si="25"/>
        <v>0</v>
      </c>
      <c r="K107" s="4">
        <f t="shared" si="25"/>
        <v>0</v>
      </c>
      <c r="L107" s="4">
        <f t="shared" si="25"/>
        <v>0</v>
      </c>
    </row>
    <row r="108" spans="8:12" hidden="1" x14ac:dyDescent="0.25">
      <c r="H108" s="4">
        <f t="shared" si="25"/>
        <v>0</v>
      </c>
      <c r="I108" s="4">
        <f t="shared" si="25"/>
        <v>0</v>
      </c>
      <c r="J108" s="4">
        <f t="shared" si="25"/>
        <v>0</v>
      </c>
      <c r="K108" s="4">
        <f t="shared" si="25"/>
        <v>0</v>
      </c>
      <c r="L108" s="4">
        <f t="shared" si="25"/>
        <v>0</v>
      </c>
    </row>
    <row r="109" spans="8:12" hidden="1" x14ac:dyDescent="0.25">
      <c r="H109" s="4">
        <f t="shared" si="25"/>
        <v>0</v>
      </c>
      <c r="I109" s="4">
        <f t="shared" si="25"/>
        <v>0</v>
      </c>
      <c r="J109" s="4">
        <f t="shared" si="25"/>
        <v>0</v>
      </c>
      <c r="K109" s="4">
        <f t="shared" si="25"/>
        <v>0</v>
      </c>
      <c r="L109" s="4">
        <f t="shared" si="25"/>
        <v>0</v>
      </c>
    </row>
    <row r="110" spans="8:12" hidden="1" x14ac:dyDescent="0.25">
      <c r="H110" s="4">
        <f t="shared" si="25"/>
        <v>0</v>
      </c>
      <c r="I110" s="4">
        <f t="shared" si="25"/>
        <v>0</v>
      </c>
      <c r="J110" s="4">
        <f t="shared" si="25"/>
        <v>0</v>
      </c>
      <c r="K110" s="4">
        <f t="shared" si="25"/>
        <v>0</v>
      </c>
      <c r="L110" s="4">
        <f t="shared" si="25"/>
        <v>0</v>
      </c>
    </row>
    <row r="111" spans="8:12" hidden="1" x14ac:dyDescent="0.25">
      <c r="H111" s="4">
        <f t="shared" si="25"/>
        <v>0</v>
      </c>
      <c r="I111" s="4">
        <f t="shared" si="25"/>
        <v>0</v>
      </c>
      <c r="J111" s="4">
        <f t="shared" si="25"/>
        <v>0</v>
      </c>
      <c r="K111" s="4">
        <f t="shared" si="25"/>
        <v>0</v>
      </c>
      <c r="L111" s="4">
        <f t="shared" si="25"/>
        <v>0</v>
      </c>
    </row>
    <row r="112" spans="8:12" hidden="1" x14ac:dyDescent="0.25">
      <c r="H112" s="4">
        <f t="shared" si="25"/>
        <v>0</v>
      </c>
      <c r="I112" s="4">
        <f t="shared" si="25"/>
        <v>0</v>
      </c>
      <c r="J112" s="4">
        <f t="shared" si="25"/>
        <v>0</v>
      </c>
      <c r="K112" s="4">
        <f t="shared" si="25"/>
        <v>0</v>
      </c>
      <c r="L112" s="4">
        <f t="shared" si="25"/>
        <v>0</v>
      </c>
    </row>
    <row r="113" spans="1:62" hidden="1" x14ac:dyDescent="0.25">
      <c r="H113" s="45">
        <f t="shared" si="25"/>
        <v>0</v>
      </c>
      <c r="I113" s="45">
        <f t="shared" si="25"/>
        <v>0</v>
      </c>
      <c r="J113" s="4">
        <f t="shared" si="25"/>
        <v>0</v>
      </c>
      <c r="K113" s="4">
        <f t="shared" si="25"/>
        <v>0</v>
      </c>
      <c r="L113" s="4">
        <f t="shared" si="25"/>
        <v>0</v>
      </c>
    </row>
    <row r="114" spans="1:62" x14ac:dyDescent="0.25">
      <c r="A114" s="168" t="s">
        <v>85</v>
      </c>
      <c r="B114" s="169"/>
      <c r="C114" s="170"/>
      <c r="D114" s="171">
        <v>46008</v>
      </c>
      <c r="E114" s="172"/>
      <c r="F114" s="172"/>
      <c r="G114" s="172"/>
      <c r="H114" s="46"/>
      <c r="I114" s="54"/>
    </row>
    <row r="115" spans="1:62" ht="15.75" thickBot="1" x14ac:dyDescent="0.3">
      <c r="A115" s="110"/>
      <c r="B115" s="110"/>
      <c r="C115" s="110"/>
      <c r="D115" s="110"/>
      <c r="E115" s="110"/>
      <c r="F115" s="110"/>
      <c r="G115" s="110"/>
      <c r="H115" s="54"/>
      <c r="I115" s="54"/>
    </row>
    <row r="116" spans="1:62" ht="16.5" thickBot="1" x14ac:dyDescent="0.3">
      <c r="A116" s="173" t="s">
        <v>248</v>
      </c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5"/>
      <c r="AH116" s="118" t="s">
        <v>35</v>
      </c>
      <c r="AI116" s="118"/>
      <c r="AJ116" s="118" t="str">
        <f>F2</f>
        <v>AP08</v>
      </c>
      <c r="AK116" s="118"/>
      <c r="AL116" s="118"/>
      <c r="AN116" s="118" t="s">
        <v>35</v>
      </c>
      <c r="AO116" s="118"/>
      <c r="AP116" s="118">
        <f>F3</f>
        <v>0</v>
      </c>
      <c r="AQ116" s="118"/>
      <c r="AR116" s="118"/>
      <c r="AT116" s="118" t="s">
        <v>35</v>
      </c>
      <c r="AU116" s="118"/>
      <c r="AV116" s="118">
        <f>F4</f>
        <v>0</v>
      </c>
      <c r="AW116" s="118"/>
      <c r="AX116" s="118"/>
      <c r="AZ116" s="118" t="s">
        <v>35</v>
      </c>
      <c r="BA116" s="118"/>
      <c r="BB116" s="118">
        <f>F5</f>
        <v>0</v>
      </c>
      <c r="BC116" s="118"/>
      <c r="BD116" s="118"/>
      <c r="BF116" s="118" t="s">
        <v>35</v>
      </c>
      <c r="BG116" s="118"/>
      <c r="BH116" s="118">
        <f>F6</f>
        <v>0</v>
      </c>
      <c r="BI116" s="118"/>
      <c r="BJ116" s="118"/>
    </row>
    <row r="117" spans="1:62" x14ac:dyDescent="0.25">
      <c r="A117" s="123" t="s">
        <v>31</v>
      </c>
      <c r="B117" s="113" t="s">
        <v>22</v>
      </c>
      <c r="C117" s="114"/>
      <c r="D117" s="114"/>
      <c r="E117" s="114"/>
      <c r="F117" s="115"/>
      <c r="G117" s="113" t="s">
        <v>20</v>
      </c>
      <c r="H117" s="114"/>
      <c r="I117" s="114"/>
      <c r="J117" s="114"/>
      <c r="K117" s="115"/>
      <c r="L117" s="113" t="s">
        <v>34</v>
      </c>
      <c r="M117" s="114"/>
      <c r="N117" s="114"/>
      <c r="O117" s="114"/>
      <c r="P117" s="115"/>
      <c r="Q117" s="113" t="s">
        <v>127</v>
      </c>
      <c r="R117" s="114"/>
      <c r="S117" s="114"/>
      <c r="T117" s="114"/>
      <c r="U117" s="115"/>
      <c r="V117" s="113" t="s">
        <v>129</v>
      </c>
      <c r="W117" s="114"/>
      <c r="X117" s="114"/>
      <c r="Y117" s="114"/>
      <c r="Z117" s="115"/>
      <c r="AA117" s="113" t="s">
        <v>26</v>
      </c>
      <c r="AB117" s="114"/>
      <c r="AC117" s="114"/>
      <c r="AD117" s="114"/>
      <c r="AE117" s="115"/>
      <c r="AF117" s="116" t="s">
        <v>24</v>
      </c>
      <c r="AG117" s="116" t="s">
        <v>86</v>
      </c>
      <c r="AH117" s="118" t="str">
        <f>G2</f>
        <v>PAWAN PUTRA AGENCY</v>
      </c>
      <c r="AI117" s="118"/>
      <c r="AJ117" s="118"/>
      <c r="AK117" s="118"/>
      <c r="AL117" s="118"/>
      <c r="AN117" s="118">
        <f>G3</f>
        <v>0</v>
      </c>
      <c r="AO117" s="118"/>
      <c r="AP117" s="118"/>
      <c r="AQ117" s="118"/>
      <c r="AR117" s="118"/>
      <c r="AT117" s="118">
        <f>G4</f>
        <v>0</v>
      </c>
      <c r="AU117" s="118"/>
      <c r="AV117" s="118"/>
      <c r="AW117" s="118"/>
      <c r="AX117" s="118"/>
      <c r="AZ117" s="118">
        <f>G5</f>
        <v>0</v>
      </c>
      <c r="BA117" s="118"/>
      <c r="BB117" s="118"/>
      <c r="BC117" s="118"/>
      <c r="BD117" s="118"/>
      <c r="BF117" s="118">
        <f>G6</f>
        <v>0</v>
      </c>
      <c r="BG117" s="118"/>
      <c r="BH117" s="118"/>
      <c r="BI117" s="118"/>
      <c r="BJ117" s="118"/>
    </row>
    <row r="118" spans="1:62" ht="15.75" thickBot="1" x14ac:dyDescent="0.3">
      <c r="A118" s="124"/>
      <c r="B118" s="9" t="s">
        <v>32</v>
      </c>
      <c r="C118" s="12" t="s">
        <v>17</v>
      </c>
      <c r="D118" s="12" t="s">
        <v>19</v>
      </c>
      <c r="E118" s="12" t="s">
        <v>33</v>
      </c>
      <c r="F118" s="14" t="s">
        <v>80</v>
      </c>
      <c r="G118" s="9" t="s">
        <v>32</v>
      </c>
      <c r="H118" s="12" t="s">
        <v>17</v>
      </c>
      <c r="I118" s="12" t="s">
        <v>19</v>
      </c>
      <c r="J118" s="12" t="s">
        <v>33</v>
      </c>
      <c r="K118" s="14" t="s">
        <v>80</v>
      </c>
      <c r="L118" s="9" t="s">
        <v>32</v>
      </c>
      <c r="M118" s="12" t="s">
        <v>17</v>
      </c>
      <c r="N118" s="12" t="s">
        <v>19</v>
      </c>
      <c r="O118" s="12" t="s">
        <v>33</v>
      </c>
      <c r="P118" s="14" t="s">
        <v>80</v>
      </c>
      <c r="Q118" s="9" t="s">
        <v>32</v>
      </c>
      <c r="R118" s="12" t="s">
        <v>17</v>
      </c>
      <c r="S118" s="12" t="s">
        <v>19</v>
      </c>
      <c r="T118" s="12" t="s">
        <v>33</v>
      </c>
      <c r="U118" s="14" t="s">
        <v>80</v>
      </c>
      <c r="V118" s="9" t="s">
        <v>32</v>
      </c>
      <c r="W118" s="12" t="s">
        <v>17</v>
      </c>
      <c r="X118" s="12" t="s">
        <v>19</v>
      </c>
      <c r="Y118" s="12" t="s">
        <v>33</v>
      </c>
      <c r="Z118" s="14" t="s">
        <v>80</v>
      </c>
      <c r="AA118" s="9" t="s">
        <v>32</v>
      </c>
      <c r="AB118" s="12" t="s">
        <v>17</v>
      </c>
      <c r="AC118" s="12" t="s">
        <v>19</v>
      </c>
      <c r="AD118" s="12" t="s">
        <v>33</v>
      </c>
      <c r="AE118" s="14" t="s">
        <v>80</v>
      </c>
      <c r="AF118" s="117"/>
      <c r="AG118" s="117"/>
      <c r="AH118" s="118" t="str">
        <f>H2</f>
        <v>TIRUPATHI</v>
      </c>
      <c r="AI118" s="118"/>
      <c r="AJ118" s="118"/>
      <c r="AK118" s="118"/>
      <c r="AL118" s="118"/>
      <c r="AN118" s="118">
        <f>H3</f>
        <v>0</v>
      </c>
      <c r="AO118" s="118"/>
      <c r="AP118" s="118"/>
      <c r="AQ118" s="118"/>
      <c r="AR118" s="118"/>
      <c r="AT118" s="118">
        <f>H4</f>
        <v>0</v>
      </c>
      <c r="AU118" s="118"/>
      <c r="AV118" s="118"/>
      <c r="AW118" s="118"/>
      <c r="AX118" s="118"/>
      <c r="AZ118" s="118">
        <f>H5</f>
        <v>0</v>
      </c>
      <c r="BA118" s="118"/>
      <c r="BB118" s="118"/>
      <c r="BC118" s="118"/>
      <c r="BD118" s="118"/>
      <c r="BF118" s="118">
        <f>H6</f>
        <v>0</v>
      </c>
      <c r="BG118" s="118"/>
      <c r="BH118" s="118"/>
      <c r="BI118" s="118"/>
      <c r="BJ118" s="118"/>
    </row>
    <row r="119" spans="1:62" ht="15.75" thickBot="1" x14ac:dyDescent="0.3">
      <c r="A119" s="16">
        <v>300</v>
      </c>
      <c r="B119" s="10">
        <f t="shared" ref="B119:F127" si="26">SUMIFS($J$14:$J$113,$I$14:$I$113,$A119,$K$14:$K$113,B$118,$L$14:$L$113,$B$117,$H$14:$H$113,"AG")</f>
        <v>0</v>
      </c>
      <c r="C119" s="11">
        <f t="shared" si="26"/>
        <v>0</v>
      </c>
      <c r="D119" s="11">
        <f t="shared" si="26"/>
        <v>0</v>
      </c>
      <c r="E119" s="11">
        <f t="shared" si="26"/>
        <v>0</v>
      </c>
      <c r="F119" s="17">
        <f t="shared" si="26"/>
        <v>0</v>
      </c>
      <c r="G119" s="10">
        <f t="shared" ref="G119:K127" si="27">SUMIFS($J$14:$J$113,$I$14:$I$113,$A119,$K$14:$K$113,G$118,$L$14:$L$113,$G$117,$H$14:$H$113,"AG")</f>
        <v>0</v>
      </c>
      <c r="H119" s="11">
        <f t="shared" si="27"/>
        <v>0</v>
      </c>
      <c r="I119" s="11">
        <f t="shared" si="27"/>
        <v>0</v>
      </c>
      <c r="J119" s="11">
        <f t="shared" si="27"/>
        <v>0</v>
      </c>
      <c r="K119" s="17">
        <f t="shared" si="27"/>
        <v>0</v>
      </c>
      <c r="L119" s="10">
        <f t="shared" ref="L119:P127" si="28">SUMIFS($J$14:$J$113,$I$14:$I$113,$A119,$K$14:$K$113,L$118,$L$14:$L$113,$L$117,$H$14:$H$113,"AG")</f>
        <v>0</v>
      </c>
      <c r="M119" s="11">
        <f t="shared" si="28"/>
        <v>0</v>
      </c>
      <c r="N119" s="11">
        <f t="shared" si="28"/>
        <v>0</v>
      </c>
      <c r="O119" s="11">
        <f t="shared" si="28"/>
        <v>0</v>
      </c>
      <c r="P119" s="17">
        <f t="shared" si="28"/>
        <v>0</v>
      </c>
      <c r="Q119" s="10">
        <f t="shared" ref="Q119:U127" si="29">SUMIFS($J$14:$J$113,$I$14:$I$113,$A119,$K$14:$K$113,Q$118,$L$14:$L$113,$Q$117,$H$14:$H$113,"AG")</f>
        <v>0</v>
      </c>
      <c r="R119" s="11">
        <f t="shared" si="29"/>
        <v>0</v>
      </c>
      <c r="S119" s="11">
        <f t="shared" si="29"/>
        <v>0</v>
      </c>
      <c r="T119" s="11">
        <f t="shared" si="29"/>
        <v>0</v>
      </c>
      <c r="U119" s="17">
        <f t="shared" si="29"/>
        <v>0</v>
      </c>
      <c r="V119" s="10">
        <f t="shared" ref="V119:AE127" si="30">SUMIFS($J$14:$J$113,$I$14:$I$113,$A119,$K$14:$K$113,V$118,$L$14:$L$113,$L$117,$H$14:$H$113,"AG")</f>
        <v>0</v>
      </c>
      <c r="W119" s="11">
        <f t="shared" si="30"/>
        <v>0</v>
      </c>
      <c r="X119" s="11">
        <f t="shared" si="30"/>
        <v>0</v>
      </c>
      <c r="Y119" s="11">
        <f t="shared" si="30"/>
        <v>0</v>
      </c>
      <c r="Z119" s="17">
        <f t="shared" si="30"/>
        <v>0</v>
      </c>
      <c r="AA119" s="10">
        <f t="shared" si="30"/>
        <v>0</v>
      </c>
      <c r="AB119" s="11">
        <f t="shared" si="30"/>
        <v>0</v>
      </c>
      <c r="AC119" s="11">
        <f t="shared" si="30"/>
        <v>0</v>
      </c>
      <c r="AD119" s="11">
        <f t="shared" si="30"/>
        <v>0</v>
      </c>
      <c r="AE119" s="17">
        <f t="shared" si="30"/>
        <v>0</v>
      </c>
      <c r="AF119" s="16">
        <f>SUM(B119:AE119)*A119</f>
        <v>0</v>
      </c>
      <c r="AG119" s="16">
        <f>SUM(B119:AE119)</f>
        <v>0</v>
      </c>
      <c r="AH119" s="30" t="s">
        <v>136</v>
      </c>
      <c r="AI119" s="30" t="s">
        <v>27</v>
      </c>
      <c r="AJ119" s="30" t="s">
        <v>28</v>
      </c>
      <c r="AK119" s="30" t="s">
        <v>29</v>
      </c>
      <c r="AL119" s="30" t="s">
        <v>30</v>
      </c>
      <c r="AN119" s="30" t="s">
        <v>136</v>
      </c>
      <c r="AO119" s="30" t="s">
        <v>27</v>
      </c>
      <c r="AP119" s="30" t="s">
        <v>28</v>
      </c>
      <c r="AQ119" s="30" t="s">
        <v>29</v>
      </c>
      <c r="AR119" s="30" t="s">
        <v>30</v>
      </c>
      <c r="AT119" s="30" t="s">
        <v>136</v>
      </c>
      <c r="AU119" s="30" t="s">
        <v>27</v>
      </c>
      <c r="AV119" s="30" t="s">
        <v>28</v>
      </c>
      <c r="AW119" s="30" t="s">
        <v>29</v>
      </c>
      <c r="AX119" s="30" t="s">
        <v>30</v>
      </c>
      <c r="AZ119" s="30" t="s">
        <v>136</v>
      </c>
      <c r="BA119" s="30" t="s">
        <v>27</v>
      </c>
      <c r="BB119" s="30" t="s">
        <v>28</v>
      </c>
      <c r="BC119" s="30" t="s">
        <v>29</v>
      </c>
      <c r="BD119" s="30" t="s">
        <v>30</v>
      </c>
      <c r="BF119" s="30" t="s">
        <v>136</v>
      </c>
      <c r="BG119" s="30" t="s">
        <v>27</v>
      </c>
      <c r="BH119" s="30" t="s">
        <v>28</v>
      </c>
      <c r="BI119" s="30" t="s">
        <v>29</v>
      </c>
      <c r="BJ119" s="30" t="s">
        <v>30</v>
      </c>
    </row>
    <row r="120" spans="1:62" x14ac:dyDescent="0.25">
      <c r="A120" s="16">
        <v>500</v>
      </c>
      <c r="B120" s="10">
        <f t="shared" si="26"/>
        <v>0</v>
      </c>
      <c r="C120" s="11">
        <f t="shared" si="26"/>
        <v>20</v>
      </c>
      <c r="D120" s="11">
        <f t="shared" si="26"/>
        <v>0</v>
      </c>
      <c r="E120" s="11">
        <f t="shared" si="26"/>
        <v>0</v>
      </c>
      <c r="F120" s="17">
        <f t="shared" si="26"/>
        <v>0</v>
      </c>
      <c r="G120" s="10">
        <f t="shared" si="27"/>
        <v>0</v>
      </c>
      <c r="H120" s="11">
        <f t="shared" si="27"/>
        <v>0</v>
      </c>
      <c r="I120" s="11">
        <f t="shared" si="27"/>
        <v>0</v>
      </c>
      <c r="J120" s="11">
        <f t="shared" si="27"/>
        <v>0</v>
      </c>
      <c r="K120" s="17">
        <f t="shared" si="27"/>
        <v>0</v>
      </c>
      <c r="L120" s="10">
        <f t="shared" si="28"/>
        <v>0</v>
      </c>
      <c r="M120" s="11">
        <f t="shared" si="28"/>
        <v>0</v>
      </c>
      <c r="N120" s="11">
        <f t="shared" si="28"/>
        <v>0</v>
      </c>
      <c r="O120" s="11">
        <f t="shared" si="28"/>
        <v>0</v>
      </c>
      <c r="P120" s="17">
        <f t="shared" si="28"/>
        <v>0</v>
      </c>
      <c r="Q120" s="10">
        <f t="shared" si="29"/>
        <v>0</v>
      </c>
      <c r="R120" s="11">
        <f t="shared" si="29"/>
        <v>0</v>
      </c>
      <c r="S120" s="11">
        <f t="shared" si="29"/>
        <v>0</v>
      </c>
      <c r="T120" s="11">
        <f t="shared" si="29"/>
        <v>0</v>
      </c>
      <c r="U120" s="17">
        <f t="shared" si="29"/>
        <v>0</v>
      </c>
      <c r="V120" s="10">
        <f t="shared" si="30"/>
        <v>0</v>
      </c>
      <c r="W120" s="11">
        <f t="shared" si="30"/>
        <v>0</v>
      </c>
      <c r="X120" s="11">
        <f t="shared" si="30"/>
        <v>0</v>
      </c>
      <c r="Y120" s="11">
        <f t="shared" si="30"/>
        <v>0</v>
      </c>
      <c r="Z120" s="17">
        <f t="shared" si="30"/>
        <v>0</v>
      </c>
      <c r="AA120" s="10">
        <f t="shared" si="30"/>
        <v>0</v>
      </c>
      <c r="AB120" s="11">
        <f t="shared" si="30"/>
        <v>0</v>
      </c>
      <c r="AC120" s="11">
        <f t="shared" si="30"/>
        <v>0</v>
      </c>
      <c r="AD120" s="11">
        <f t="shared" si="30"/>
        <v>0</v>
      </c>
      <c r="AE120" s="17">
        <f t="shared" si="30"/>
        <v>0</v>
      </c>
      <c r="AF120" s="16">
        <f t="shared" ref="AF120:AF128" si="31">SUM(B120:AE120)*A120</f>
        <v>10000</v>
      </c>
      <c r="AG120" s="16">
        <f t="shared" ref="AG120:AG128" si="32">SUM(B120:AE120)</f>
        <v>20</v>
      </c>
      <c r="AH120" s="16" t="str">
        <f>J2</f>
        <v>AG</v>
      </c>
      <c r="AI120" s="10">
        <f>K2</f>
        <v>1500</v>
      </c>
      <c r="AJ120" s="11">
        <f>L2</f>
        <v>8</v>
      </c>
      <c r="AK120" s="11" t="str">
        <f>M2</f>
        <v>Y</v>
      </c>
      <c r="AL120" s="17" t="str">
        <f>N2</f>
        <v>3L</v>
      </c>
      <c r="AN120" s="16">
        <f>J3</f>
        <v>0</v>
      </c>
      <c r="AO120" s="10">
        <f>K3</f>
        <v>0</v>
      </c>
      <c r="AP120" s="11">
        <f>L3</f>
        <v>0</v>
      </c>
      <c r="AQ120" s="11">
        <f>M3</f>
        <v>0</v>
      </c>
      <c r="AR120" s="17">
        <f>N3</f>
        <v>0</v>
      </c>
      <c r="AT120" s="16">
        <f>J4</f>
        <v>0</v>
      </c>
      <c r="AU120" s="10">
        <f>K4</f>
        <v>0</v>
      </c>
      <c r="AV120" s="11">
        <f>L4</f>
        <v>0</v>
      </c>
      <c r="AW120" s="11">
        <f>M4</f>
        <v>0</v>
      </c>
      <c r="AX120" s="17">
        <f>N4</f>
        <v>0</v>
      </c>
      <c r="AZ120" s="16">
        <f>J5</f>
        <v>0</v>
      </c>
      <c r="BA120" s="10">
        <f>K5</f>
        <v>0</v>
      </c>
      <c r="BB120" s="11">
        <f>L5</f>
        <v>0</v>
      </c>
      <c r="BC120" s="11">
        <f>M5</f>
        <v>0</v>
      </c>
      <c r="BD120" s="17">
        <f>N5</f>
        <v>0</v>
      </c>
      <c r="BF120" s="16">
        <f>J6</f>
        <v>0</v>
      </c>
      <c r="BG120" s="10">
        <f>K6</f>
        <v>0</v>
      </c>
      <c r="BH120" s="11">
        <f>L6</f>
        <v>0</v>
      </c>
      <c r="BI120" s="11">
        <f>M6</f>
        <v>0</v>
      </c>
      <c r="BJ120" s="17">
        <f>N6</f>
        <v>0</v>
      </c>
    </row>
    <row r="121" spans="1:62" x14ac:dyDescent="0.25">
      <c r="A121" s="15">
        <v>750</v>
      </c>
      <c r="B121" s="8">
        <f t="shared" si="26"/>
        <v>0</v>
      </c>
      <c r="C121" s="6">
        <f t="shared" si="26"/>
        <v>10</v>
      </c>
      <c r="D121" s="6">
        <f t="shared" si="26"/>
        <v>0</v>
      </c>
      <c r="E121" s="6">
        <f t="shared" si="26"/>
        <v>0</v>
      </c>
      <c r="F121" s="13">
        <f t="shared" si="26"/>
        <v>0</v>
      </c>
      <c r="G121" s="8">
        <f t="shared" si="27"/>
        <v>0</v>
      </c>
      <c r="H121" s="6">
        <f t="shared" si="27"/>
        <v>0</v>
      </c>
      <c r="I121" s="6">
        <f t="shared" si="27"/>
        <v>0</v>
      </c>
      <c r="J121" s="6">
        <f t="shared" si="27"/>
        <v>0</v>
      </c>
      <c r="K121" s="13">
        <f t="shared" si="27"/>
        <v>0</v>
      </c>
      <c r="L121" s="8">
        <f t="shared" si="28"/>
        <v>0</v>
      </c>
      <c r="M121" s="6">
        <f t="shared" si="28"/>
        <v>0</v>
      </c>
      <c r="N121" s="6">
        <f t="shared" si="28"/>
        <v>0</v>
      </c>
      <c r="O121" s="6">
        <f t="shared" si="28"/>
        <v>0</v>
      </c>
      <c r="P121" s="13">
        <f t="shared" si="28"/>
        <v>0</v>
      </c>
      <c r="Q121" s="8">
        <f t="shared" si="29"/>
        <v>0</v>
      </c>
      <c r="R121" s="6">
        <f t="shared" si="29"/>
        <v>0</v>
      </c>
      <c r="S121" s="6">
        <f t="shared" si="29"/>
        <v>0</v>
      </c>
      <c r="T121" s="6">
        <f t="shared" si="29"/>
        <v>0</v>
      </c>
      <c r="U121" s="13">
        <f t="shared" si="29"/>
        <v>0</v>
      </c>
      <c r="V121" s="8">
        <f t="shared" si="30"/>
        <v>0</v>
      </c>
      <c r="W121" s="6">
        <f t="shared" si="30"/>
        <v>0</v>
      </c>
      <c r="X121" s="6">
        <f t="shared" si="30"/>
        <v>0</v>
      </c>
      <c r="Y121" s="6">
        <f t="shared" si="30"/>
        <v>0</v>
      </c>
      <c r="Z121" s="13">
        <f t="shared" si="30"/>
        <v>0</v>
      </c>
      <c r="AA121" s="8">
        <f t="shared" si="30"/>
        <v>0</v>
      </c>
      <c r="AB121" s="6">
        <f t="shared" si="30"/>
        <v>0</v>
      </c>
      <c r="AC121" s="6">
        <f t="shared" si="30"/>
        <v>0</v>
      </c>
      <c r="AD121" s="6">
        <f t="shared" si="30"/>
        <v>0</v>
      </c>
      <c r="AE121" s="13">
        <f t="shared" si="30"/>
        <v>0</v>
      </c>
      <c r="AF121" s="16">
        <f t="shared" si="31"/>
        <v>7500</v>
      </c>
      <c r="AG121" s="16">
        <f t="shared" si="32"/>
        <v>10</v>
      </c>
      <c r="AH121" s="15" t="str">
        <f>P2</f>
        <v>AG</v>
      </c>
      <c r="AI121" s="8">
        <f>Q2</f>
        <v>1000</v>
      </c>
      <c r="AJ121" s="6">
        <f>R2</f>
        <v>10</v>
      </c>
      <c r="AK121" s="6" t="str">
        <f>S2</f>
        <v>Y</v>
      </c>
      <c r="AL121" s="13" t="str">
        <f>T2</f>
        <v>3L</v>
      </c>
      <c r="AN121" s="15">
        <f>P3</f>
        <v>0</v>
      </c>
      <c r="AO121" s="8">
        <f>Q3</f>
        <v>0</v>
      </c>
      <c r="AP121" s="6">
        <f>R3</f>
        <v>0</v>
      </c>
      <c r="AQ121" s="6">
        <f>S3</f>
        <v>0</v>
      </c>
      <c r="AR121" s="13">
        <f>T3</f>
        <v>0</v>
      </c>
      <c r="AT121" s="15">
        <f>P4</f>
        <v>0</v>
      </c>
      <c r="AU121" s="8">
        <f>Q4</f>
        <v>0</v>
      </c>
      <c r="AV121" s="6">
        <f>R4</f>
        <v>0</v>
      </c>
      <c r="AW121" s="6">
        <f>S4</f>
        <v>0</v>
      </c>
      <c r="AX121" s="13">
        <f>T4</f>
        <v>0</v>
      </c>
      <c r="AZ121" s="15">
        <f>P5</f>
        <v>0</v>
      </c>
      <c r="BA121" s="8">
        <f>Q5</f>
        <v>0</v>
      </c>
      <c r="BB121" s="6">
        <f>R5</f>
        <v>0</v>
      </c>
      <c r="BC121" s="6">
        <f>S5</f>
        <v>0</v>
      </c>
      <c r="BD121" s="13">
        <f>T5</f>
        <v>0</v>
      </c>
      <c r="BF121" s="15">
        <f>P6</f>
        <v>0</v>
      </c>
      <c r="BG121" s="8">
        <f>Q6</f>
        <v>0</v>
      </c>
      <c r="BH121" s="6">
        <f>R6</f>
        <v>0</v>
      </c>
      <c r="BI121" s="6">
        <f>S6</f>
        <v>0</v>
      </c>
      <c r="BJ121" s="13">
        <f>T6</f>
        <v>0</v>
      </c>
    </row>
    <row r="122" spans="1:62" x14ac:dyDescent="0.25">
      <c r="A122" s="15">
        <v>1000</v>
      </c>
      <c r="B122" s="8">
        <f t="shared" si="26"/>
        <v>0</v>
      </c>
      <c r="C122" s="6">
        <f t="shared" si="26"/>
        <v>10</v>
      </c>
      <c r="D122" s="6">
        <f t="shared" si="26"/>
        <v>0</v>
      </c>
      <c r="E122" s="6">
        <f t="shared" si="26"/>
        <v>0</v>
      </c>
      <c r="F122" s="13">
        <f t="shared" si="26"/>
        <v>0</v>
      </c>
      <c r="G122" s="8">
        <f t="shared" si="27"/>
        <v>0</v>
      </c>
      <c r="H122" s="6">
        <f t="shared" si="27"/>
        <v>0</v>
      </c>
      <c r="I122" s="6">
        <f t="shared" si="27"/>
        <v>0</v>
      </c>
      <c r="J122" s="6">
        <f t="shared" si="27"/>
        <v>0</v>
      </c>
      <c r="K122" s="13">
        <f t="shared" si="27"/>
        <v>0</v>
      </c>
      <c r="L122" s="8">
        <f t="shared" si="28"/>
        <v>0</v>
      </c>
      <c r="M122" s="6">
        <f t="shared" si="28"/>
        <v>0</v>
      </c>
      <c r="N122" s="6">
        <f t="shared" si="28"/>
        <v>0</v>
      </c>
      <c r="O122" s="6">
        <f t="shared" si="28"/>
        <v>0</v>
      </c>
      <c r="P122" s="13">
        <f t="shared" si="28"/>
        <v>0</v>
      </c>
      <c r="Q122" s="8">
        <f t="shared" si="29"/>
        <v>0</v>
      </c>
      <c r="R122" s="6">
        <f t="shared" si="29"/>
        <v>0</v>
      </c>
      <c r="S122" s="6">
        <f t="shared" si="29"/>
        <v>0</v>
      </c>
      <c r="T122" s="6">
        <f t="shared" si="29"/>
        <v>0</v>
      </c>
      <c r="U122" s="13">
        <f t="shared" si="29"/>
        <v>0</v>
      </c>
      <c r="V122" s="8">
        <f t="shared" si="30"/>
        <v>0</v>
      </c>
      <c r="W122" s="6">
        <f t="shared" si="30"/>
        <v>0</v>
      </c>
      <c r="X122" s="6">
        <f t="shared" si="30"/>
        <v>0</v>
      </c>
      <c r="Y122" s="6">
        <f t="shared" si="30"/>
        <v>0</v>
      </c>
      <c r="Z122" s="13">
        <f t="shared" si="30"/>
        <v>0</v>
      </c>
      <c r="AA122" s="8">
        <f t="shared" si="30"/>
        <v>0</v>
      </c>
      <c r="AB122" s="6">
        <f t="shared" si="30"/>
        <v>0</v>
      </c>
      <c r="AC122" s="6">
        <f t="shared" si="30"/>
        <v>0</v>
      </c>
      <c r="AD122" s="6">
        <f t="shared" si="30"/>
        <v>0</v>
      </c>
      <c r="AE122" s="13">
        <f t="shared" si="30"/>
        <v>0</v>
      </c>
      <c r="AF122" s="16">
        <f t="shared" si="31"/>
        <v>10000</v>
      </c>
      <c r="AG122" s="16">
        <f t="shared" si="32"/>
        <v>10</v>
      </c>
      <c r="AH122" s="15" t="str">
        <f>V2</f>
        <v>AG</v>
      </c>
      <c r="AI122" s="8">
        <f>W2</f>
        <v>750</v>
      </c>
      <c r="AJ122" s="6">
        <f>X2</f>
        <v>10</v>
      </c>
      <c r="AK122" s="6" t="str">
        <f>Y2</f>
        <v>Y</v>
      </c>
      <c r="AL122" s="13" t="str">
        <f>Z2</f>
        <v>3L</v>
      </c>
      <c r="AN122" s="15">
        <f>V3</f>
        <v>0</v>
      </c>
      <c r="AO122" s="8">
        <f>W3</f>
        <v>0</v>
      </c>
      <c r="AP122" s="6">
        <f>X3</f>
        <v>0</v>
      </c>
      <c r="AQ122" s="6">
        <f>Y3</f>
        <v>0</v>
      </c>
      <c r="AR122" s="13">
        <f>Z3</f>
        <v>0</v>
      </c>
      <c r="AT122" s="15">
        <f>V4</f>
        <v>0</v>
      </c>
      <c r="AU122" s="8">
        <f>W4</f>
        <v>0</v>
      </c>
      <c r="AV122" s="6">
        <f>X4</f>
        <v>0</v>
      </c>
      <c r="AW122" s="6">
        <f>Y4</f>
        <v>0</v>
      </c>
      <c r="AX122" s="13">
        <f>Z4</f>
        <v>0</v>
      </c>
      <c r="AZ122" s="15">
        <f>V5</f>
        <v>0</v>
      </c>
      <c r="BA122" s="8">
        <f>W5</f>
        <v>0</v>
      </c>
      <c r="BB122" s="6">
        <f>X5</f>
        <v>0</v>
      </c>
      <c r="BC122" s="6">
        <f>Y5</f>
        <v>0</v>
      </c>
      <c r="BD122" s="13">
        <f>Z5</f>
        <v>0</v>
      </c>
      <c r="BF122" s="15">
        <f>V6</f>
        <v>0</v>
      </c>
      <c r="BG122" s="8">
        <f>W6</f>
        <v>0</v>
      </c>
      <c r="BH122" s="6">
        <f>X6</f>
        <v>0</v>
      </c>
      <c r="BI122" s="6">
        <f>Y6</f>
        <v>0</v>
      </c>
      <c r="BJ122" s="13">
        <f>Z6</f>
        <v>0</v>
      </c>
    </row>
    <row r="123" spans="1:62" x14ac:dyDescent="0.25">
      <c r="A123" s="15">
        <v>1500</v>
      </c>
      <c r="B123" s="8">
        <f t="shared" si="26"/>
        <v>0</v>
      </c>
      <c r="C123" s="6">
        <f t="shared" si="26"/>
        <v>8</v>
      </c>
      <c r="D123" s="6">
        <f t="shared" si="26"/>
        <v>0</v>
      </c>
      <c r="E123" s="6">
        <f t="shared" si="26"/>
        <v>0</v>
      </c>
      <c r="F123" s="13">
        <f t="shared" si="26"/>
        <v>0</v>
      </c>
      <c r="G123" s="8">
        <f t="shared" si="27"/>
        <v>0</v>
      </c>
      <c r="H123" s="6">
        <f t="shared" si="27"/>
        <v>0</v>
      </c>
      <c r="I123" s="6">
        <f t="shared" si="27"/>
        <v>0</v>
      </c>
      <c r="J123" s="6">
        <f t="shared" si="27"/>
        <v>0</v>
      </c>
      <c r="K123" s="13">
        <f t="shared" si="27"/>
        <v>0</v>
      </c>
      <c r="L123" s="8">
        <f t="shared" si="28"/>
        <v>0</v>
      </c>
      <c r="M123" s="6">
        <f t="shared" si="28"/>
        <v>0</v>
      </c>
      <c r="N123" s="6">
        <f t="shared" si="28"/>
        <v>0</v>
      </c>
      <c r="O123" s="6">
        <f t="shared" si="28"/>
        <v>0</v>
      </c>
      <c r="P123" s="13">
        <f t="shared" si="28"/>
        <v>0</v>
      </c>
      <c r="Q123" s="8">
        <f t="shared" si="29"/>
        <v>0</v>
      </c>
      <c r="R123" s="6">
        <f t="shared" si="29"/>
        <v>0</v>
      </c>
      <c r="S123" s="6">
        <f t="shared" si="29"/>
        <v>0</v>
      </c>
      <c r="T123" s="6">
        <f t="shared" si="29"/>
        <v>0</v>
      </c>
      <c r="U123" s="13">
        <f t="shared" si="29"/>
        <v>0</v>
      </c>
      <c r="V123" s="8">
        <f t="shared" si="30"/>
        <v>0</v>
      </c>
      <c r="W123" s="6">
        <f t="shared" si="30"/>
        <v>0</v>
      </c>
      <c r="X123" s="6">
        <f t="shared" si="30"/>
        <v>0</v>
      </c>
      <c r="Y123" s="6">
        <f t="shared" si="30"/>
        <v>0</v>
      </c>
      <c r="Z123" s="13">
        <f t="shared" si="30"/>
        <v>0</v>
      </c>
      <c r="AA123" s="8">
        <f t="shared" si="30"/>
        <v>0</v>
      </c>
      <c r="AB123" s="6">
        <f t="shared" si="30"/>
        <v>0</v>
      </c>
      <c r="AC123" s="6">
        <f t="shared" si="30"/>
        <v>0</v>
      </c>
      <c r="AD123" s="6">
        <f t="shared" si="30"/>
        <v>0</v>
      </c>
      <c r="AE123" s="13">
        <f t="shared" si="30"/>
        <v>0</v>
      </c>
      <c r="AF123" s="16">
        <f t="shared" si="31"/>
        <v>12000</v>
      </c>
      <c r="AG123" s="16">
        <f t="shared" si="32"/>
        <v>8</v>
      </c>
      <c r="AH123" s="15" t="str">
        <f>AB2</f>
        <v>AG</v>
      </c>
      <c r="AI123" s="8">
        <f>AC2</f>
        <v>500</v>
      </c>
      <c r="AJ123" s="6">
        <f>AD2</f>
        <v>20</v>
      </c>
      <c r="AK123" s="6" t="str">
        <f>AE2</f>
        <v>Y</v>
      </c>
      <c r="AL123" s="13" t="str">
        <f>AF2</f>
        <v>3L</v>
      </c>
      <c r="AN123" s="15">
        <f>AB3</f>
        <v>0</v>
      </c>
      <c r="AO123" s="8">
        <f>AC3</f>
        <v>0</v>
      </c>
      <c r="AP123" s="6">
        <f>AD3</f>
        <v>0</v>
      </c>
      <c r="AQ123" s="6">
        <f>AE3</f>
        <v>0</v>
      </c>
      <c r="AR123" s="13">
        <f>AF3</f>
        <v>0</v>
      </c>
      <c r="AT123" s="15">
        <f>AB4</f>
        <v>0</v>
      </c>
      <c r="AU123" s="8">
        <f>AC4</f>
        <v>0</v>
      </c>
      <c r="AV123" s="6">
        <f>AD4</f>
        <v>0</v>
      </c>
      <c r="AW123" s="6">
        <f>AE4</f>
        <v>0</v>
      </c>
      <c r="AX123" s="13">
        <f>AF4</f>
        <v>0</v>
      </c>
      <c r="AZ123" s="15">
        <f>AB5</f>
        <v>0</v>
      </c>
      <c r="BA123" s="8">
        <f>AC5</f>
        <v>0</v>
      </c>
      <c r="BB123" s="6">
        <f>AD5</f>
        <v>0</v>
      </c>
      <c r="BC123" s="6">
        <f>AE5</f>
        <v>0</v>
      </c>
      <c r="BD123" s="13">
        <f>AF5</f>
        <v>0</v>
      </c>
      <c r="BF123" s="15">
        <f>AB6</f>
        <v>0</v>
      </c>
      <c r="BG123" s="8">
        <f>AC6</f>
        <v>0</v>
      </c>
      <c r="BH123" s="6">
        <f>AD6</f>
        <v>0</v>
      </c>
      <c r="BI123" s="6">
        <f>AE6</f>
        <v>0</v>
      </c>
      <c r="BJ123" s="13">
        <f>AF6</f>
        <v>0</v>
      </c>
    </row>
    <row r="124" spans="1:62" x14ac:dyDescent="0.25">
      <c r="A124" s="15">
        <v>2000</v>
      </c>
      <c r="B124" s="8">
        <f t="shared" si="26"/>
        <v>0</v>
      </c>
      <c r="C124" s="6">
        <f t="shared" si="26"/>
        <v>0</v>
      </c>
      <c r="D124" s="6">
        <f t="shared" si="26"/>
        <v>0</v>
      </c>
      <c r="E124" s="6">
        <f t="shared" si="26"/>
        <v>0</v>
      </c>
      <c r="F124" s="13">
        <f t="shared" si="26"/>
        <v>0</v>
      </c>
      <c r="G124" s="8">
        <f t="shared" si="27"/>
        <v>0</v>
      </c>
      <c r="H124" s="6">
        <f t="shared" si="27"/>
        <v>0</v>
      </c>
      <c r="I124" s="6">
        <f t="shared" si="27"/>
        <v>0</v>
      </c>
      <c r="J124" s="6">
        <f t="shared" si="27"/>
        <v>0</v>
      </c>
      <c r="K124" s="13">
        <f t="shared" si="27"/>
        <v>0</v>
      </c>
      <c r="L124" s="8">
        <f t="shared" si="28"/>
        <v>0</v>
      </c>
      <c r="M124" s="6">
        <f t="shared" si="28"/>
        <v>0</v>
      </c>
      <c r="N124" s="6">
        <f t="shared" si="28"/>
        <v>0</v>
      </c>
      <c r="O124" s="6">
        <f t="shared" si="28"/>
        <v>0</v>
      </c>
      <c r="P124" s="13">
        <f t="shared" si="28"/>
        <v>0</v>
      </c>
      <c r="Q124" s="8">
        <f t="shared" si="29"/>
        <v>0</v>
      </c>
      <c r="R124" s="6">
        <f t="shared" si="29"/>
        <v>0</v>
      </c>
      <c r="S124" s="6">
        <f t="shared" si="29"/>
        <v>0</v>
      </c>
      <c r="T124" s="6">
        <f t="shared" si="29"/>
        <v>0</v>
      </c>
      <c r="U124" s="13">
        <f t="shared" si="29"/>
        <v>0</v>
      </c>
      <c r="V124" s="8">
        <f t="shared" si="30"/>
        <v>0</v>
      </c>
      <c r="W124" s="6">
        <f t="shared" si="30"/>
        <v>0</v>
      </c>
      <c r="X124" s="6">
        <f t="shared" si="30"/>
        <v>0</v>
      </c>
      <c r="Y124" s="6">
        <f t="shared" si="30"/>
        <v>0</v>
      </c>
      <c r="Z124" s="13">
        <f t="shared" si="30"/>
        <v>0</v>
      </c>
      <c r="AA124" s="8">
        <f t="shared" si="30"/>
        <v>0</v>
      </c>
      <c r="AB124" s="6">
        <f t="shared" si="30"/>
        <v>0</v>
      </c>
      <c r="AC124" s="6">
        <f t="shared" si="30"/>
        <v>0</v>
      </c>
      <c r="AD124" s="6">
        <f t="shared" si="30"/>
        <v>0</v>
      </c>
      <c r="AE124" s="13">
        <f t="shared" si="30"/>
        <v>0</v>
      </c>
      <c r="AF124" s="16">
        <f t="shared" si="31"/>
        <v>0</v>
      </c>
      <c r="AG124" s="16">
        <f t="shared" si="32"/>
        <v>0</v>
      </c>
      <c r="AH124" s="15">
        <f>AH2</f>
        <v>0</v>
      </c>
      <c r="AI124" s="8">
        <f>AI2</f>
        <v>0</v>
      </c>
      <c r="AJ124" s="6">
        <f>AJ2</f>
        <v>0</v>
      </c>
      <c r="AK124" s="6">
        <f>AK2</f>
        <v>0</v>
      </c>
      <c r="AL124" s="13">
        <f>AL2</f>
        <v>0</v>
      </c>
      <c r="AN124" s="15">
        <f>AH3</f>
        <v>0</v>
      </c>
      <c r="AO124" s="8">
        <f>AI3</f>
        <v>0</v>
      </c>
      <c r="AP124" s="6">
        <f>AJ3</f>
        <v>0</v>
      </c>
      <c r="AQ124" s="6">
        <f>AK3</f>
        <v>0</v>
      </c>
      <c r="AR124" s="13">
        <f>AL3</f>
        <v>0</v>
      </c>
      <c r="AT124" s="15">
        <f>AH4</f>
        <v>0</v>
      </c>
      <c r="AU124" s="8">
        <f>AI4</f>
        <v>0</v>
      </c>
      <c r="AV124" s="6">
        <f>AJ4</f>
        <v>0</v>
      </c>
      <c r="AW124" s="6">
        <f>AK4</f>
        <v>0</v>
      </c>
      <c r="AX124" s="13">
        <f>AL4</f>
        <v>0</v>
      </c>
      <c r="AZ124" s="15">
        <f>AH5</f>
        <v>0</v>
      </c>
      <c r="BA124" s="8">
        <f>AI5</f>
        <v>0</v>
      </c>
      <c r="BB124" s="6">
        <f>AJ5</f>
        <v>0</v>
      </c>
      <c r="BC124" s="6">
        <f>AK5</f>
        <v>0</v>
      </c>
      <c r="BD124" s="13">
        <f>AL5</f>
        <v>0</v>
      </c>
      <c r="BF124" s="15">
        <f>AH6</f>
        <v>0</v>
      </c>
      <c r="BG124" s="8">
        <f>AI6</f>
        <v>0</v>
      </c>
      <c r="BH124" s="6">
        <f>AJ6</f>
        <v>0</v>
      </c>
      <c r="BI124" s="6">
        <f>AK6</f>
        <v>0</v>
      </c>
      <c r="BJ124" s="13">
        <f>AL6</f>
        <v>0</v>
      </c>
    </row>
    <row r="125" spans="1:62" x14ac:dyDescent="0.25">
      <c r="A125" s="15">
        <v>3000</v>
      </c>
      <c r="B125" s="8">
        <f t="shared" si="26"/>
        <v>0</v>
      </c>
      <c r="C125" s="6">
        <f t="shared" si="26"/>
        <v>0</v>
      </c>
      <c r="D125" s="6">
        <f t="shared" si="26"/>
        <v>0</v>
      </c>
      <c r="E125" s="6">
        <f t="shared" si="26"/>
        <v>0</v>
      </c>
      <c r="F125" s="13">
        <f t="shared" si="26"/>
        <v>0</v>
      </c>
      <c r="G125" s="8">
        <f t="shared" si="27"/>
        <v>0</v>
      </c>
      <c r="H125" s="6">
        <f t="shared" si="27"/>
        <v>0</v>
      </c>
      <c r="I125" s="6">
        <f t="shared" si="27"/>
        <v>0</v>
      </c>
      <c r="J125" s="6">
        <f t="shared" si="27"/>
        <v>0</v>
      </c>
      <c r="K125" s="13">
        <f t="shared" si="27"/>
        <v>0</v>
      </c>
      <c r="L125" s="8">
        <f t="shared" si="28"/>
        <v>0</v>
      </c>
      <c r="M125" s="6">
        <f t="shared" si="28"/>
        <v>0</v>
      </c>
      <c r="N125" s="6">
        <f t="shared" si="28"/>
        <v>0</v>
      </c>
      <c r="O125" s="6">
        <f t="shared" si="28"/>
        <v>0</v>
      </c>
      <c r="P125" s="13">
        <f t="shared" si="28"/>
        <v>0</v>
      </c>
      <c r="Q125" s="8">
        <f t="shared" si="29"/>
        <v>0</v>
      </c>
      <c r="R125" s="6">
        <f t="shared" si="29"/>
        <v>0</v>
      </c>
      <c r="S125" s="6">
        <f t="shared" si="29"/>
        <v>0</v>
      </c>
      <c r="T125" s="6">
        <f t="shared" si="29"/>
        <v>0</v>
      </c>
      <c r="U125" s="13">
        <f t="shared" si="29"/>
        <v>0</v>
      </c>
      <c r="V125" s="8">
        <f t="shared" si="30"/>
        <v>0</v>
      </c>
      <c r="W125" s="6">
        <f t="shared" si="30"/>
        <v>0</v>
      </c>
      <c r="X125" s="6">
        <f t="shared" si="30"/>
        <v>0</v>
      </c>
      <c r="Y125" s="6">
        <f t="shared" si="30"/>
        <v>0</v>
      </c>
      <c r="Z125" s="13">
        <f t="shared" si="30"/>
        <v>0</v>
      </c>
      <c r="AA125" s="8">
        <f t="shared" si="30"/>
        <v>0</v>
      </c>
      <c r="AB125" s="6">
        <f t="shared" si="30"/>
        <v>0</v>
      </c>
      <c r="AC125" s="6">
        <f t="shared" si="30"/>
        <v>0</v>
      </c>
      <c r="AD125" s="6">
        <f t="shared" si="30"/>
        <v>0</v>
      </c>
      <c r="AE125" s="13">
        <f t="shared" si="30"/>
        <v>0</v>
      </c>
      <c r="AF125" s="16">
        <f t="shared" si="31"/>
        <v>0</v>
      </c>
      <c r="AG125" s="16">
        <f t="shared" si="32"/>
        <v>0</v>
      </c>
      <c r="AH125" s="15">
        <f>AN2</f>
        <v>0</v>
      </c>
      <c r="AI125" s="8">
        <f>AO2</f>
        <v>0</v>
      </c>
      <c r="AJ125" s="6">
        <f>AP2</f>
        <v>0</v>
      </c>
      <c r="AK125" s="6">
        <f>AQ2</f>
        <v>0</v>
      </c>
      <c r="AL125" s="13">
        <f>AR2</f>
        <v>0</v>
      </c>
      <c r="AN125" s="15">
        <f>AN3</f>
        <v>0</v>
      </c>
      <c r="AO125" s="8">
        <f>AO3</f>
        <v>0</v>
      </c>
      <c r="AP125" s="6">
        <f>AP3</f>
        <v>0</v>
      </c>
      <c r="AQ125" s="6">
        <f>AQ3</f>
        <v>0</v>
      </c>
      <c r="AR125" s="13">
        <f>AR3</f>
        <v>0</v>
      </c>
      <c r="AT125" s="15">
        <f>AN4</f>
        <v>0</v>
      </c>
      <c r="AU125" s="8">
        <f>AO4</f>
        <v>0</v>
      </c>
      <c r="AV125" s="6">
        <f>AP4</f>
        <v>0</v>
      </c>
      <c r="AW125" s="6">
        <f>AQ4</f>
        <v>0</v>
      </c>
      <c r="AX125" s="13">
        <f>AR4</f>
        <v>0</v>
      </c>
      <c r="AZ125" s="15">
        <f>AN5</f>
        <v>0</v>
      </c>
      <c r="BA125" s="8">
        <f>AO5</f>
        <v>0</v>
      </c>
      <c r="BB125" s="6">
        <f>AP5</f>
        <v>0</v>
      </c>
      <c r="BC125" s="6">
        <f>AQ5</f>
        <v>0</v>
      </c>
      <c r="BD125" s="13">
        <f>AR5</f>
        <v>0</v>
      </c>
      <c r="BF125" s="15">
        <f>AN6</f>
        <v>0</v>
      </c>
      <c r="BG125" s="8">
        <f>AO6</f>
        <v>0</v>
      </c>
      <c r="BH125" s="6">
        <f>AP6</f>
        <v>0</v>
      </c>
      <c r="BI125" s="6">
        <f>AQ6</f>
        <v>0</v>
      </c>
      <c r="BJ125" s="13">
        <f>AR6</f>
        <v>0</v>
      </c>
    </row>
    <row r="126" spans="1:62" x14ac:dyDescent="0.25">
      <c r="A126" s="15">
        <v>5000</v>
      </c>
      <c r="B126" s="8">
        <f t="shared" si="26"/>
        <v>0</v>
      </c>
      <c r="C126" s="6">
        <f t="shared" si="26"/>
        <v>0</v>
      </c>
      <c r="D126" s="6">
        <f t="shared" si="26"/>
        <v>0</v>
      </c>
      <c r="E126" s="6">
        <f t="shared" si="26"/>
        <v>0</v>
      </c>
      <c r="F126" s="13">
        <f t="shared" si="26"/>
        <v>0</v>
      </c>
      <c r="G126" s="8">
        <f t="shared" si="27"/>
        <v>0</v>
      </c>
      <c r="H126" s="6">
        <f t="shared" si="27"/>
        <v>0</v>
      </c>
      <c r="I126" s="6">
        <f t="shared" si="27"/>
        <v>0</v>
      </c>
      <c r="J126" s="6">
        <f t="shared" si="27"/>
        <v>0</v>
      </c>
      <c r="K126" s="13">
        <f t="shared" si="27"/>
        <v>0</v>
      </c>
      <c r="L126" s="8">
        <f t="shared" si="28"/>
        <v>0</v>
      </c>
      <c r="M126" s="6">
        <f t="shared" si="28"/>
        <v>0</v>
      </c>
      <c r="N126" s="6">
        <f t="shared" si="28"/>
        <v>0</v>
      </c>
      <c r="O126" s="6">
        <f t="shared" si="28"/>
        <v>0</v>
      </c>
      <c r="P126" s="13">
        <f t="shared" si="28"/>
        <v>0</v>
      </c>
      <c r="Q126" s="8">
        <f t="shared" si="29"/>
        <v>0</v>
      </c>
      <c r="R126" s="6">
        <f t="shared" si="29"/>
        <v>0</v>
      </c>
      <c r="S126" s="6">
        <f t="shared" si="29"/>
        <v>0</v>
      </c>
      <c r="T126" s="6">
        <f t="shared" si="29"/>
        <v>0</v>
      </c>
      <c r="U126" s="13">
        <f t="shared" si="29"/>
        <v>0</v>
      </c>
      <c r="V126" s="8">
        <f t="shared" si="30"/>
        <v>0</v>
      </c>
      <c r="W126" s="6">
        <f t="shared" si="30"/>
        <v>0</v>
      </c>
      <c r="X126" s="6">
        <f t="shared" si="30"/>
        <v>0</v>
      </c>
      <c r="Y126" s="6">
        <f t="shared" si="30"/>
        <v>0</v>
      </c>
      <c r="Z126" s="13">
        <f t="shared" si="30"/>
        <v>0</v>
      </c>
      <c r="AA126" s="8">
        <f t="shared" si="30"/>
        <v>0</v>
      </c>
      <c r="AB126" s="6">
        <f t="shared" si="30"/>
        <v>0</v>
      </c>
      <c r="AC126" s="6">
        <f t="shared" si="30"/>
        <v>0</v>
      </c>
      <c r="AD126" s="6">
        <f t="shared" si="30"/>
        <v>0</v>
      </c>
      <c r="AE126" s="13">
        <f t="shared" si="30"/>
        <v>0</v>
      </c>
      <c r="AF126" s="16">
        <f t="shared" si="31"/>
        <v>0</v>
      </c>
      <c r="AG126" s="16">
        <f t="shared" si="32"/>
        <v>0</v>
      </c>
      <c r="AH126" s="15">
        <f>AT2</f>
        <v>0</v>
      </c>
      <c r="AI126" s="8">
        <f>AU2</f>
        <v>0</v>
      </c>
      <c r="AJ126" s="6">
        <f>AV2</f>
        <v>0</v>
      </c>
      <c r="AK126" s="6">
        <f>AW2</f>
        <v>0</v>
      </c>
      <c r="AL126" s="13">
        <f>AX2</f>
        <v>0</v>
      </c>
      <c r="AN126" s="15">
        <f>AT3</f>
        <v>0</v>
      </c>
      <c r="AO126" s="8">
        <f>AU3</f>
        <v>0</v>
      </c>
      <c r="AP126" s="6">
        <f>AV3</f>
        <v>0</v>
      </c>
      <c r="AQ126" s="6">
        <f>AW3</f>
        <v>0</v>
      </c>
      <c r="AR126" s="13">
        <f>AX3</f>
        <v>0</v>
      </c>
      <c r="AT126" s="15">
        <f>AT4</f>
        <v>0</v>
      </c>
      <c r="AU126" s="8">
        <f>AU4</f>
        <v>0</v>
      </c>
      <c r="AV126" s="6">
        <f>AV4</f>
        <v>0</v>
      </c>
      <c r="AW126" s="6">
        <f>AW4</f>
        <v>0</v>
      </c>
      <c r="AX126" s="13">
        <f>AX4</f>
        <v>0</v>
      </c>
      <c r="AZ126" s="15">
        <f>AT5</f>
        <v>0</v>
      </c>
      <c r="BA126" s="8">
        <f>AU5</f>
        <v>0</v>
      </c>
      <c r="BB126" s="6">
        <f>AV5</f>
        <v>0</v>
      </c>
      <c r="BC126" s="6">
        <f>AW5</f>
        <v>0</v>
      </c>
      <c r="BD126" s="13">
        <f>AX5</f>
        <v>0</v>
      </c>
      <c r="BF126" s="15">
        <f>AT6</f>
        <v>0</v>
      </c>
      <c r="BG126" s="8">
        <f>AU6</f>
        <v>0</v>
      </c>
      <c r="BH126" s="6">
        <f>AV6</f>
        <v>0</v>
      </c>
      <c r="BI126" s="6">
        <f>AW6</f>
        <v>0</v>
      </c>
      <c r="BJ126" s="13">
        <f>AX6</f>
        <v>0</v>
      </c>
    </row>
    <row r="127" spans="1:62" ht="15.75" thickBot="1" x14ac:dyDescent="0.3">
      <c r="A127" s="59">
        <v>10000</v>
      </c>
      <c r="B127" s="31">
        <f t="shared" si="26"/>
        <v>0</v>
      </c>
      <c r="C127" s="32">
        <f t="shared" si="26"/>
        <v>0</v>
      </c>
      <c r="D127" s="32">
        <f t="shared" si="26"/>
        <v>0</v>
      </c>
      <c r="E127" s="32">
        <f t="shared" si="26"/>
        <v>0</v>
      </c>
      <c r="F127" s="33">
        <f t="shared" si="26"/>
        <v>0</v>
      </c>
      <c r="G127" s="31">
        <f t="shared" si="27"/>
        <v>0</v>
      </c>
      <c r="H127" s="32">
        <f t="shared" si="27"/>
        <v>0</v>
      </c>
      <c r="I127" s="32">
        <f t="shared" si="27"/>
        <v>0</v>
      </c>
      <c r="J127" s="32">
        <f t="shared" si="27"/>
        <v>0</v>
      </c>
      <c r="K127" s="33">
        <f t="shared" si="27"/>
        <v>0</v>
      </c>
      <c r="L127" s="31">
        <f t="shared" si="28"/>
        <v>0</v>
      </c>
      <c r="M127" s="32">
        <f t="shared" si="28"/>
        <v>0</v>
      </c>
      <c r="N127" s="32">
        <f t="shared" si="28"/>
        <v>0</v>
      </c>
      <c r="O127" s="32">
        <f t="shared" si="28"/>
        <v>0</v>
      </c>
      <c r="P127" s="33">
        <f t="shared" si="28"/>
        <v>0</v>
      </c>
      <c r="Q127" s="31">
        <f t="shared" si="29"/>
        <v>0</v>
      </c>
      <c r="R127" s="32">
        <f t="shared" si="29"/>
        <v>0</v>
      </c>
      <c r="S127" s="32">
        <f t="shared" si="29"/>
        <v>0</v>
      </c>
      <c r="T127" s="32">
        <f t="shared" si="29"/>
        <v>0</v>
      </c>
      <c r="U127" s="33">
        <f t="shared" si="29"/>
        <v>0</v>
      </c>
      <c r="V127" s="31">
        <f t="shared" si="30"/>
        <v>0</v>
      </c>
      <c r="W127" s="32">
        <f t="shared" si="30"/>
        <v>0</v>
      </c>
      <c r="X127" s="32">
        <f t="shared" si="30"/>
        <v>0</v>
      </c>
      <c r="Y127" s="32">
        <f t="shared" si="30"/>
        <v>0</v>
      </c>
      <c r="Z127" s="33">
        <f t="shared" si="30"/>
        <v>0</v>
      </c>
      <c r="AA127" s="31">
        <f t="shared" si="30"/>
        <v>0</v>
      </c>
      <c r="AB127" s="32">
        <f t="shared" si="30"/>
        <v>0</v>
      </c>
      <c r="AC127" s="32">
        <f t="shared" si="30"/>
        <v>0</v>
      </c>
      <c r="AD127" s="32">
        <f t="shared" si="30"/>
        <v>0</v>
      </c>
      <c r="AE127" s="33">
        <f t="shared" si="30"/>
        <v>0</v>
      </c>
      <c r="AF127" s="16">
        <f t="shared" si="31"/>
        <v>0</v>
      </c>
      <c r="AG127" s="43">
        <f t="shared" si="32"/>
        <v>0</v>
      </c>
      <c r="AH127" s="15">
        <f>AZ2</f>
        <v>0</v>
      </c>
      <c r="AI127" s="8">
        <f>BA2</f>
        <v>0</v>
      </c>
      <c r="AJ127" s="6">
        <f>BB2</f>
        <v>0</v>
      </c>
      <c r="AK127" s="6">
        <f>BC2</f>
        <v>0</v>
      </c>
      <c r="AL127" s="13">
        <f>BD2</f>
        <v>0</v>
      </c>
      <c r="AN127" s="15">
        <f>AZ3</f>
        <v>0</v>
      </c>
      <c r="AO127" s="8">
        <f>BA3</f>
        <v>0</v>
      </c>
      <c r="AP127" s="6">
        <f>BB3</f>
        <v>0</v>
      </c>
      <c r="AQ127" s="6">
        <f>BC3</f>
        <v>0</v>
      </c>
      <c r="AR127" s="13">
        <f>BD3</f>
        <v>0</v>
      </c>
      <c r="AT127" s="15">
        <f>AZ4</f>
        <v>0</v>
      </c>
      <c r="AU127" s="8">
        <f>BA4</f>
        <v>0</v>
      </c>
      <c r="AV127" s="6">
        <f>BB4</f>
        <v>0</v>
      </c>
      <c r="AW127" s="6">
        <f>BC4</f>
        <v>0</v>
      </c>
      <c r="AX127" s="13">
        <f>BD4</f>
        <v>0</v>
      </c>
      <c r="AZ127" s="15">
        <f>AZ5</f>
        <v>0</v>
      </c>
      <c r="BA127" s="8">
        <f>BA5</f>
        <v>0</v>
      </c>
      <c r="BB127" s="6">
        <f>BB5</f>
        <v>0</v>
      </c>
      <c r="BC127" s="6">
        <f>BC5</f>
        <v>0</v>
      </c>
      <c r="BD127" s="13">
        <f>BD5</f>
        <v>0</v>
      </c>
      <c r="BF127" s="15">
        <f>AZ6</f>
        <v>0</v>
      </c>
      <c r="BG127" s="8">
        <f>BA6</f>
        <v>0</v>
      </c>
      <c r="BH127" s="6">
        <f>BB6</f>
        <v>0</v>
      </c>
      <c r="BI127" s="6">
        <f>BC6</f>
        <v>0</v>
      </c>
      <c r="BJ127" s="13">
        <f>BD6</f>
        <v>0</v>
      </c>
    </row>
    <row r="128" spans="1:62" ht="15.75" thickBot="1" x14ac:dyDescent="0.3">
      <c r="A128" s="35"/>
      <c r="B128" s="60">
        <f t="shared" ref="B128:AG128" si="33">SUM(B119:B127)</f>
        <v>0</v>
      </c>
      <c r="C128" s="61">
        <f t="shared" si="33"/>
        <v>48</v>
      </c>
      <c r="D128" s="61">
        <f t="shared" si="33"/>
        <v>0</v>
      </c>
      <c r="E128" s="61">
        <f t="shared" si="33"/>
        <v>0</v>
      </c>
      <c r="F128" s="62">
        <f t="shared" si="33"/>
        <v>0</v>
      </c>
      <c r="G128" s="60">
        <f t="shared" si="33"/>
        <v>0</v>
      </c>
      <c r="H128" s="61">
        <f t="shared" si="33"/>
        <v>0</v>
      </c>
      <c r="I128" s="61">
        <f t="shared" si="33"/>
        <v>0</v>
      </c>
      <c r="J128" s="61">
        <f t="shared" si="33"/>
        <v>0</v>
      </c>
      <c r="K128" s="62">
        <f t="shared" si="33"/>
        <v>0</v>
      </c>
      <c r="L128" s="60">
        <f t="shared" si="33"/>
        <v>0</v>
      </c>
      <c r="M128" s="61">
        <f t="shared" si="33"/>
        <v>0</v>
      </c>
      <c r="N128" s="61">
        <f t="shared" si="33"/>
        <v>0</v>
      </c>
      <c r="O128" s="61">
        <f t="shared" si="33"/>
        <v>0</v>
      </c>
      <c r="P128" s="62">
        <f t="shared" si="33"/>
        <v>0</v>
      </c>
      <c r="Q128" s="60">
        <f t="shared" si="33"/>
        <v>0</v>
      </c>
      <c r="R128" s="61">
        <f t="shared" si="33"/>
        <v>0</v>
      </c>
      <c r="S128" s="61">
        <f t="shared" si="33"/>
        <v>0</v>
      </c>
      <c r="T128" s="61">
        <f t="shared" si="33"/>
        <v>0</v>
      </c>
      <c r="U128" s="62">
        <f t="shared" si="33"/>
        <v>0</v>
      </c>
      <c r="V128" s="60">
        <f t="shared" si="33"/>
        <v>0</v>
      </c>
      <c r="W128" s="61">
        <f t="shared" si="33"/>
        <v>0</v>
      </c>
      <c r="X128" s="61">
        <f t="shared" si="33"/>
        <v>0</v>
      </c>
      <c r="Y128" s="61">
        <f t="shared" si="33"/>
        <v>0</v>
      </c>
      <c r="Z128" s="62">
        <f t="shared" si="33"/>
        <v>0</v>
      </c>
      <c r="AA128" s="60">
        <f t="shared" si="33"/>
        <v>0</v>
      </c>
      <c r="AB128" s="61">
        <f t="shared" si="33"/>
        <v>0</v>
      </c>
      <c r="AC128" s="61">
        <f t="shared" si="33"/>
        <v>0</v>
      </c>
      <c r="AD128" s="61">
        <f t="shared" si="33"/>
        <v>0</v>
      </c>
      <c r="AE128" s="62">
        <f t="shared" si="33"/>
        <v>0</v>
      </c>
      <c r="AF128" s="35">
        <f>SUM(AF119:AF127)</f>
        <v>39500</v>
      </c>
      <c r="AG128" s="35">
        <f t="shared" si="32"/>
        <v>48</v>
      </c>
      <c r="AH128" s="15">
        <f>BF2</f>
        <v>0</v>
      </c>
      <c r="AI128" s="8">
        <f>BG2</f>
        <v>0</v>
      </c>
      <c r="AJ128" s="6">
        <f>BH2</f>
        <v>0</v>
      </c>
      <c r="AK128" s="6">
        <f>BI2</f>
        <v>0</v>
      </c>
      <c r="AL128" s="13">
        <f>BJ2</f>
        <v>0</v>
      </c>
      <c r="AN128" s="15">
        <f>BF3</f>
        <v>0</v>
      </c>
      <c r="AO128" s="8">
        <f>BG3</f>
        <v>0</v>
      </c>
      <c r="AP128" s="6">
        <f>BH3</f>
        <v>0</v>
      </c>
      <c r="AQ128" s="6">
        <f>BI3</f>
        <v>0</v>
      </c>
      <c r="AR128" s="13">
        <f>BJ3</f>
        <v>0</v>
      </c>
      <c r="AT128" s="15">
        <f>BF4</f>
        <v>0</v>
      </c>
      <c r="AU128" s="8">
        <f>BG4</f>
        <v>0</v>
      </c>
      <c r="AV128" s="6">
        <f>BH4</f>
        <v>0</v>
      </c>
      <c r="AW128" s="6">
        <f>BI4</f>
        <v>0</v>
      </c>
      <c r="AX128" s="13">
        <f>BJ4</f>
        <v>0</v>
      </c>
      <c r="AZ128" s="15">
        <f>BF5</f>
        <v>0</v>
      </c>
      <c r="BA128" s="8">
        <f>BG5</f>
        <v>0</v>
      </c>
      <c r="BB128" s="6">
        <f>BH5</f>
        <v>0</v>
      </c>
      <c r="BC128" s="6">
        <f>BI5</f>
        <v>0</v>
      </c>
      <c r="BD128" s="13">
        <f>BJ5</f>
        <v>0</v>
      </c>
      <c r="BF128" s="15">
        <f>BF6</f>
        <v>0</v>
      </c>
      <c r="BG128" s="8">
        <f>BG6</f>
        <v>0</v>
      </c>
      <c r="BH128" s="6">
        <f>BH6</f>
        <v>0</v>
      </c>
      <c r="BI128" s="6">
        <f>BI6</f>
        <v>0</v>
      </c>
      <c r="BJ128" s="13">
        <f>BJ6</f>
        <v>0</v>
      </c>
    </row>
    <row r="129" spans="1:62" ht="15.75" thickBo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9">
        <f>BL2</f>
        <v>0</v>
      </c>
      <c r="AI129" s="31">
        <f>BM2</f>
        <v>0</v>
      </c>
      <c r="AJ129" s="32">
        <f>BN2</f>
        <v>0</v>
      </c>
      <c r="AK129" s="32">
        <f>BO2</f>
        <v>0</v>
      </c>
      <c r="AL129" s="33">
        <f>BP2</f>
        <v>0</v>
      </c>
      <c r="AN129" s="59">
        <f>BL3</f>
        <v>0</v>
      </c>
      <c r="AO129" s="31">
        <f>BM3</f>
        <v>0</v>
      </c>
      <c r="AP129" s="32">
        <f>BN3</f>
        <v>0</v>
      </c>
      <c r="AQ129" s="32">
        <f>BO3</f>
        <v>0</v>
      </c>
      <c r="AR129" s="33">
        <f>BP3</f>
        <v>0</v>
      </c>
      <c r="AT129" s="59">
        <f>BL4</f>
        <v>0</v>
      </c>
      <c r="AU129" s="31">
        <f>BM4</f>
        <v>0</v>
      </c>
      <c r="AV129" s="32">
        <f>BN4</f>
        <v>0</v>
      </c>
      <c r="AW129" s="32">
        <f>BO4</f>
        <v>0</v>
      </c>
      <c r="AX129" s="33">
        <f>BP4</f>
        <v>0</v>
      </c>
      <c r="AZ129" s="59">
        <f>BL5</f>
        <v>0</v>
      </c>
      <c r="BA129" s="31">
        <f>BM5</f>
        <v>0</v>
      </c>
      <c r="BB129" s="32">
        <f>BN5</f>
        <v>0</v>
      </c>
      <c r="BC129" s="32">
        <f>BO5</f>
        <v>0</v>
      </c>
      <c r="BD129" s="33">
        <f>BP5</f>
        <v>0</v>
      </c>
      <c r="BF129" s="59">
        <f>BL6</f>
        <v>0</v>
      </c>
      <c r="BG129" s="31">
        <f>BM6</f>
        <v>0</v>
      </c>
      <c r="BH129" s="32">
        <f>BN6</f>
        <v>0</v>
      </c>
      <c r="BI129" s="32">
        <f>BO6</f>
        <v>0</v>
      </c>
      <c r="BJ129" s="33">
        <f>BP6</f>
        <v>0</v>
      </c>
    </row>
    <row r="130" spans="1:62" ht="16.5" thickBot="1" x14ac:dyDescent="0.3">
      <c r="A130" s="173" t="s">
        <v>249</v>
      </c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5"/>
      <c r="AH130" s="35" t="str">
        <f>C2</f>
        <v>A/C</v>
      </c>
      <c r="AI130" s="158">
        <f>SUM(AJ120:AJ129)</f>
        <v>48</v>
      </c>
      <c r="AJ130" s="159"/>
      <c r="AK130" s="158">
        <f>BT2</f>
        <v>39500</v>
      </c>
      <c r="AL130" s="159"/>
      <c r="AN130" s="35">
        <f>C3</f>
        <v>0</v>
      </c>
      <c r="AO130" s="158">
        <f>SUM(AP120:AP129)</f>
        <v>0</v>
      </c>
      <c r="AP130" s="159"/>
      <c r="AQ130" s="158">
        <f>BT3</f>
        <v>0</v>
      </c>
      <c r="AR130" s="159"/>
      <c r="AT130" s="35">
        <f>C4</f>
        <v>0</v>
      </c>
      <c r="AU130" s="158">
        <f>SUM(AV120:AV129)</f>
        <v>0</v>
      </c>
      <c r="AV130" s="159"/>
      <c r="AW130" s="158">
        <f>BT4</f>
        <v>0</v>
      </c>
      <c r="AX130" s="159"/>
      <c r="AZ130" s="35">
        <f>C5</f>
        <v>0</v>
      </c>
      <c r="BA130" s="158">
        <f>SUM(BB120:BB129)</f>
        <v>0</v>
      </c>
      <c r="BB130" s="159"/>
      <c r="BC130" s="158">
        <f>BT5</f>
        <v>0</v>
      </c>
      <c r="BD130" s="159"/>
      <c r="BF130" s="35">
        <f>C6</f>
        <v>0</v>
      </c>
      <c r="BG130" s="158">
        <f>SUM(BG120:BG129)</f>
        <v>0</v>
      </c>
      <c r="BH130" s="159"/>
      <c r="BI130" s="158">
        <f>BT6</f>
        <v>0</v>
      </c>
      <c r="BJ130" s="159"/>
    </row>
    <row r="131" spans="1:62" ht="15.75" thickBot="1" x14ac:dyDescent="0.3">
      <c r="A131" s="123" t="s">
        <v>31</v>
      </c>
      <c r="B131" s="113" t="s">
        <v>22</v>
      </c>
      <c r="C131" s="114"/>
      <c r="D131" s="114"/>
      <c r="E131" s="114"/>
      <c r="F131" s="115"/>
      <c r="G131" s="113" t="s">
        <v>20</v>
      </c>
      <c r="H131" s="114"/>
      <c r="I131" s="114"/>
      <c r="J131" s="114"/>
      <c r="K131" s="115"/>
      <c r="L131" s="113" t="s">
        <v>34</v>
      </c>
      <c r="M131" s="114"/>
      <c r="N131" s="114"/>
      <c r="O131" s="114"/>
      <c r="P131" s="115"/>
      <c r="Q131" s="113" t="s">
        <v>127</v>
      </c>
      <c r="R131" s="114"/>
      <c r="S131" s="114"/>
      <c r="T131" s="114"/>
      <c r="U131" s="115"/>
      <c r="V131" s="113" t="s">
        <v>129</v>
      </c>
      <c r="W131" s="114"/>
      <c r="X131" s="114"/>
      <c r="Y131" s="114"/>
      <c r="Z131" s="115"/>
      <c r="AA131" s="113" t="s">
        <v>26</v>
      </c>
      <c r="AB131" s="114"/>
      <c r="AC131" s="114"/>
      <c r="AD131" s="114"/>
      <c r="AE131" s="115"/>
      <c r="AF131" s="116" t="s">
        <v>24</v>
      </c>
      <c r="AG131" s="116" t="s">
        <v>86</v>
      </c>
      <c r="AH131" s="35" t="s">
        <v>25</v>
      </c>
      <c r="AI131" s="158">
        <f>A2</f>
        <v>21420</v>
      </c>
      <c r="AJ131" s="160"/>
      <c r="AK131" s="158" t="str">
        <f>BR2</f>
        <v>COD</v>
      </c>
      <c r="AL131" s="159"/>
      <c r="AN131" s="35" t="s">
        <v>25</v>
      </c>
      <c r="AO131" s="158">
        <f>A3</f>
        <v>0</v>
      </c>
      <c r="AP131" s="160"/>
      <c r="AQ131" s="158">
        <f>BR3</f>
        <v>0</v>
      </c>
      <c r="AR131" s="159"/>
      <c r="AT131" s="35" t="s">
        <v>25</v>
      </c>
      <c r="AU131" s="158">
        <f>A4</f>
        <v>0</v>
      </c>
      <c r="AV131" s="160"/>
      <c r="AW131" s="158">
        <f>BR4</f>
        <v>0</v>
      </c>
      <c r="AX131" s="159"/>
      <c r="AZ131" s="35" t="s">
        <v>25</v>
      </c>
      <c r="BA131" s="158">
        <f>A5</f>
        <v>0</v>
      </c>
      <c r="BB131" s="160"/>
      <c r="BC131" s="158">
        <f>BR5</f>
        <v>0</v>
      </c>
      <c r="BD131" s="159"/>
      <c r="BF131" s="35" t="s">
        <v>25</v>
      </c>
      <c r="BG131" s="158">
        <f>A6</f>
        <v>0</v>
      </c>
      <c r="BH131" s="160"/>
      <c r="BI131" s="158">
        <f>BR6</f>
        <v>0</v>
      </c>
      <c r="BJ131" s="159"/>
    </row>
    <row r="132" spans="1:62" ht="15.75" thickBot="1" x14ac:dyDescent="0.3">
      <c r="A132" s="124"/>
      <c r="B132" s="9" t="s">
        <v>32</v>
      </c>
      <c r="C132" s="12" t="s">
        <v>17</v>
      </c>
      <c r="D132" s="12" t="s">
        <v>19</v>
      </c>
      <c r="E132" s="12" t="s">
        <v>33</v>
      </c>
      <c r="F132" s="14" t="s">
        <v>80</v>
      </c>
      <c r="G132" s="9" t="s">
        <v>32</v>
      </c>
      <c r="H132" s="12" t="s">
        <v>17</v>
      </c>
      <c r="I132" s="12" t="s">
        <v>19</v>
      </c>
      <c r="J132" s="12" t="s">
        <v>33</v>
      </c>
      <c r="K132" s="14" t="s">
        <v>80</v>
      </c>
      <c r="L132" s="9" t="s">
        <v>32</v>
      </c>
      <c r="M132" s="12" t="s">
        <v>17</v>
      </c>
      <c r="N132" s="12" t="s">
        <v>19</v>
      </c>
      <c r="O132" s="12" t="s">
        <v>33</v>
      </c>
      <c r="P132" s="14" t="s">
        <v>80</v>
      </c>
      <c r="Q132" s="9" t="s">
        <v>32</v>
      </c>
      <c r="R132" s="12" t="s">
        <v>17</v>
      </c>
      <c r="S132" s="12" t="s">
        <v>19</v>
      </c>
      <c r="T132" s="12" t="s">
        <v>33</v>
      </c>
      <c r="U132" s="14" t="s">
        <v>80</v>
      </c>
      <c r="V132" s="9" t="s">
        <v>32</v>
      </c>
      <c r="W132" s="12" t="s">
        <v>17</v>
      </c>
      <c r="X132" s="12" t="s">
        <v>19</v>
      </c>
      <c r="Y132" s="12" t="s">
        <v>33</v>
      </c>
      <c r="Z132" s="14" t="s">
        <v>80</v>
      </c>
      <c r="AA132" s="9" t="s">
        <v>32</v>
      </c>
      <c r="AB132" s="12" t="s">
        <v>17</v>
      </c>
      <c r="AC132" s="12" t="s">
        <v>19</v>
      </c>
      <c r="AD132" s="12" t="s">
        <v>33</v>
      </c>
      <c r="AE132" s="14" t="s">
        <v>80</v>
      </c>
      <c r="AF132" s="117"/>
      <c r="AG132" s="117"/>
      <c r="AH132" s="58" t="s">
        <v>130</v>
      </c>
      <c r="AI132" s="58" t="s">
        <v>131</v>
      </c>
      <c r="AJ132" s="58" t="s">
        <v>132</v>
      </c>
      <c r="AK132" s="58" t="s">
        <v>166</v>
      </c>
      <c r="AL132" s="58" t="s">
        <v>33</v>
      </c>
      <c r="AN132" s="58" t="s">
        <v>130</v>
      </c>
      <c r="AO132" s="58" t="s">
        <v>131</v>
      </c>
      <c r="AP132" s="58" t="s">
        <v>132</v>
      </c>
      <c r="AQ132" s="58" t="s">
        <v>166</v>
      </c>
      <c r="AR132" s="58" t="s">
        <v>33</v>
      </c>
      <c r="AT132" s="58" t="s">
        <v>130</v>
      </c>
      <c r="AU132" s="58" t="s">
        <v>131</v>
      </c>
      <c r="AV132" s="58" t="s">
        <v>132</v>
      </c>
      <c r="AW132" s="58" t="s">
        <v>166</v>
      </c>
      <c r="AX132" s="58" t="s">
        <v>33</v>
      </c>
      <c r="AZ132" s="58" t="s">
        <v>130</v>
      </c>
      <c r="BA132" s="58" t="s">
        <v>131</v>
      </c>
      <c r="BB132" s="58" t="s">
        <v>132</v>
      </c>
      <c r="BC132" s="58" t="s">
        <v>166</v>
      </c>
      <c r="BD132" s="58" t="s">
        <v>33</v>
      </c>
      <c r="BF132" s="58" t="s">
        <v>130</v>
      </c>
      <c r="BG132" s="58" t="s">
        <v>131</v>
      </c>
      <c r="BH132" s="58" t="s">
        <v>132</v>
      </c>
      <c r="BI132" s="58" t="s">
        <v>166</v>
      </c>
      <c r="BJ132" s="58" t="s">
        <v>33</v>
      </c>
    </row>
    <row r="133" spans="1:62" ht="15.75" thickBot="1" x14ac:dyDescent="0.3">
      <c r="A133" s="16">
        <v>300</v>
      </c>
      <c r="B133" s="10">
        <f t="shared" ref="B133:F141" si="34">SUMIFS($J$14:$J$113,$I$14:$I$113,$A133,$K$14:$K$113,B$118,$L$14:$L$113,$B$117,$H$14:$H$113,"NG")</f>
        <v>0</v>
      </c>
      <c r="C133" s="11">
        <f t="shared" si="34"/>
        <v>0</v>
      </c>
      <c r="D133" s="11">
        <f t="shared" si="34"/>
        <v>0</v>
      </c>
      <c r="E133" s="11">
        <f t="shared" si="34"/>
        <v>0</v>
      </c>
      <c r="F133" s="17">
        <f t="shared" si="34"/>
        <v>0</v>
      </c>
      <c r="G133" s="10">
        <f t="shared" ref="G133:K141" si="35">SUMIFS($J$14:$J$113,$I$14:$I$113,$A133,$K$14:$K$113,G$118,$L$14:$L$113,$G$117,$H$14:$H$113,"NG")</f>
        <v>0</v>
      </c>
      <c r="H133" s="11">
        <f t="shared" si="35"/>
        <v>0</v>
      </c>
      <c r="I133" s="11">
        <f t="shared" si="35"/>
        <v>0</v>
      </c>
      <c r="J133" s="11">
        <f t="shared" si="35"/>
        <v>0</v>
      </c>
      <c r="K133" s="17">
        <f t="shared" si="35"/>
        <v>0</v>
      </c>
      <c r="L133" s="10">
        <f t="shared" ref="L133:P141" si="36">SUMIFS($J$14:$J$113,$I$14:$I$113,$A133,$K$14:$K$113,L$118,$L$14:$L$113,$L$117,$H$14:$H$113,"NG")</f>
        <v>0</v>
      </c>
      <c r="M133" s="11">
        <f t="shared" si="36"/>
        <v>0</v>
      </c>
      <c r="N133" s="11">
        <f t="shared" si="36"/>
        <v>0</v>
      </c>
      <c r="O133" s="11">
        <f t="shared" si="36"/>
        <v>0</v>
      </c>
      <c r="P133" s="17">
        <f t="shared" si="36"/>
        <v>0</v>
      </c>
      <c r="Q133" s="10">
        <f t="shared" ref="Q133:U141" si="37">SUMIFS($J$14:$J$113,$I$14:$I$113,$A133,$K$14:$K$113,Q$118,$L$14:$L$113,$Q$117,$H$14:$H$113,"NG")</f>
        <v>0</v>
      </c>
      <c r="R133" s="11">
        <f t="shared" si="37"/>
        <v>0</v>
      </c>
      <c r="S133" s="11">
        <f t="shared" si="37"/>
        <v>0</v>
      </c>
      <c r="T133" s="11">
        <f t="shared" si="37"/>
        <v>0</v>
      </c>
      <c r="U133" s="17">
        <f t="shared" si="37"/>
        <v>0</v>
      </c>
      <c r="V133" s="10">
        <f t="shared" ref="V133:AE141" si="38">SUMIFS($J$14:$J$113,$I$14:$I$113,$A133,$K$14:$K$113,V$118,$L$14:$L$113,$L$117,$H$14:$H$113,"NG")</f>
        <v>0</v>
      </c>
      <c r="W133" s="11">
        <f t="shared" si="38"/>
        <v>0</v>
      </c>
      <c r="X133" s="11">
        <f t="shared" si="38"/>
        <v>0</v>
      </c>
      <c r="Y133" s="11">
        <f t="shared" si="38"/>
        <v>0</v>
      </c>
      <c r="Z133" s="17">
        <f t="shared" si="38"/>
        <v>0</v>
      </c>
      <c r="AA133" s="10">
        <f t="shared" si="38"/>
        <v>0</v>
      </c>
      <c r="AB133" s="11">
        <f t="shared" si="38"/>
        <v>0</v>
      </c>
      <c r="AC133" s="11">
        <f t="shared" si="38"/>
        <v>0</v>
      </c>
      <c r="AD133" s="11">
        <f t="shared" si="38"/>
        <v>0</v>
      </c>
      <c r="AE133" s="17">
        <f t="shared" si="38"/>
        <v>0</v>
      </c>
      <c r="AF133" s="16">
        <f>SUM(B133:AE133)*A133</f>
        <v>0</v>
      </c>
      <c r="AG133" s="16">
        <f>SUM(B133:AE133)</f>
        <v>0</v>
      </c>
      <c r="AH133" s="34" t="str">
        <f>AZ14</f>
        <v/>
      </c>
      <c r="AI133" s="34" t="str">
        <f>BA14</f>
        <v/>
      </c>
      <c r="AJ133" s="34" t="str">
        <f>BB14</f>
        <v/>
      </c>
      <c r="AK133" s="35" t="str">
        <f>BC14</f>
        <v/>
      </c>
      <c r="AL133" s="35" t="str">
        <f>BD14</f>
        <v/>
      </c>
      <c r="AN133" s="34" t="str">
        <f>AZ15</f>
        <v/>
      </c>
      <c r="AO133" s="34" t="str">
        <f>BA15</f>
        <v/>
      </c>
      <c r="AP133" s="34" t="str">
        <f>BB15</f>
        <v/>
      </c>
      <c r="AQ133" s="35" t="str">
        <f>BC15</f>
        <v/>
      </c>
      <c r="AR133" s="35" t="str">
        <f>BD15</f>
        <v/>
      </c>
      <c r="AT133" s="34" t="str">
        <f>AZ16</f>
        <v/>
      </c>
      <c r="AU133" s="34" t="str">
        <f>BA16</f>
        <v/>
      </c>
      <c r="AV133" s="34" t="str">
        <f>BB16</f>
        <v/>
      </c>
      <c r="AW133" s="35" t="str">
        <f>BC16</f>
        <v/>
      </c>
      <c r="AX133" s="35" t="str">
        <f>BD16</f>
        <v/>
      </c>
      <c r="AZ133" s="34" t="str">
        <f>AZ17</f>
        <v/>
      </c>
      <c r="BA133" s="34" t="str">
        <f>BA17</f>
        <v/>
      </c>
      <c r="BB133" s="34" t="str">
        <f>BB17</f>
        <v/>
      </c>
      <c r="BC133" s="35" t="str">
        <f>BC17</f>
        <v/>
      </c>
      <c r="BD133" s="35" t="str">
        <f>BD17</f>
        <v/>
      </c>
      <c r="BF133" s="34" t="str">
        <f>AZ18</f>
        <v/>
      </c>
      <c r="BG133" s="34" t="str">
        <f>BA18</f>
        <v/>
      </c>
      <c r="BH133" s="34" t="str">
        <f>BB18</f>
        <v/>
      </c>
      <c r="BI133" s="35" t="str">
        <f>BC18</f>
        <v/>
      </c>
      <c r="BJ133" s="35" t="str">
        <f>BD18</f>
        <v/>
      </c>
    </row>
    <row r="134" spans="1:62" ht="15.75" thickBot="1" x14ac:dyDescent="0.3">
      <c r="A134" s="16">
        <v>500</v>
      </c>
      <c r="B134" s="10">
        <f t="shared" si="34"/>
        <v>0</v>
      </c>
      <c r="C134" s="11">
        <f t="shared" si="34"/>
        <v>0</v>
      </c>
      <c r="D134" s="11">
        <f t="shared" si="34"/>
        <v>0</v>
      </c>
      <c r="E134" s="11">
        <f t="shared" si="34"/>
        <v>0</v>
      </c>
      <c r="F134" s="17">
        <f t="shared" si="34"/>
        <v>0</v>
      </c>
      <c r="G134" s="10">
        <f t="shared" si="35"/>
        <v>0</v>
      </c>
      <c r="H134" s="11">
        <f t="shared" si="35"/>
        <v>0</v>
      </c>
      <c r="I134" s="11">
        <f t="shared" si="35"/>
        <v>0</v>
      </c>
      <c r="J134" s="11">
        <f t="shared" si="35"/>
        <v>0</v>
      </c>
      <c r="K134" s="17">
        <f t="shared" si="35"/>
        <v>0</v>
      </c>
      <c r="L134" s="10">
        <f t="shared" si="36"/>
        <v>0</v>
      </c>
      <c r="M134" s="11">
        <f t="shared" si="36"/>
        <v>0</v>
      </c>
      <c r="N134" s="11">
        <f t="shared" si="36"/>
        <v>0</v>
      </c>
      <c r="O134" s="11">
        <f t="shared" si="36"/>
        <v>0</v>
      </c>
      <c r="P134" s="17">
        <f t="shared" si="36"/>
        <v>0</v>
      </c>
      <c r="Q134" s="10">
        <f t="shared" si="37"/>
        <v>0</v>
      </c>
      <c r="R134" s="11">
        <f t="shared" si="37"/>
        <v>0</v>
      </c>
      <c r="S134" s="11">
        <f t="shared" si="37"/>
        <v>0</v>
      </c>
      <c r="T134" s="11">
        <f t="shared" si="37"/>
        <v>0</v>
      </c>
      <c r="U134" s="17">
        <f t="shared" si="37"/>
        <v>0</v>
      </c>
      <c r="V134" s="10">
        <f t="shared" si="38"/>
        <v>0</v>
      </c>
      <c r="W134" s="11">
        <f t="shared" si="38"/>
        <v>0</v>
      </c>
      <c r="X134" s="11">
        <f t="shared" si="38"/>
        <v>0</v>
      </c>
      <c r="Y134" s="11">
        <f t="shared" si="38"/>
        <v>0</v>
      </c>
      <c r="Z134" s="17">
        <f t="shared" si="38"/>
        <v>0</v>
      </c>
      <c r="AA134" s="10">
        <f t="shared" si="38"/>
        <v>0</v>
      </c>
      <c r="AB134" s="11">
        <f t="shared" si="38"/>
        <v>0</v>
      </c>
      <c r="AC134" s="11">
        <f t="shared" si="38"/>
        <v>0</v>
      </c>
      <c r="AD134" s="11">
        <f t="shared" si="38"/>
        <v>0</v>
      </c>
      <c r="AE134" s="17">
        <f t="shared" si="38"/>
        <v>0</v>
      </c>
      <c r="AF134" s="16">
        <f t="shared" ref="AF134:AF141" si="39">SUM(B134:AE134)*A134</f>
        <v>0</v>
      </c>
      <c r="AG134" s="16">
        <f t="shared" ref="AG134:AG142" si="40">SUM(B134:AE134)</f>
        <v>0</v>
      </c>
      <c r="AH134" s="58" t="s">
        <v>22</v>
      </c>
      <c r="AI134" s="58" t="s">
        <v>20</v>
      </c>
      <c r="AJ134" s="58" t="s">
        <v>34</v>
      </c>
      <c r="AK134" s="58" t="s">
        <v>127</v>
      </c>
      <c r="AL134" s="58" t="s">
        <v>129</v>
      </c>
      <c r="AN134" s="58" t="s">
        <v>22</v>
      </c>
      <c r="AO134" s="58" t="s">
        <v>20</v>
      </c>
      <c r="AP134" s="58" t="s">
        <v>34</v>
      </c>
      <c r="AQ134" s="58" t="s">
        <v>127</v>
      </c>
      <c r="AR134" s="58" t="s">
        <v>129</v>
      </c>
      <c r="AT134" s="58" t="s">
        <v>22</v>
      </c>
      <c r="AU134" s="58" t="s">
        <v>20</v>
      </c>
      <c r="AV134" s="58" t="s">
        <v>34</v>
      </c>
      <c r="AW134" s="58" t="s">
        <v>127</v>
      </c>
      <c r="AX134" s="58" t="s">
        <v>129</v>
      </c>
      <c r="AZ134" s="58" t="s">
        <v>22</v>
      </c>
      <c r="BA134" s="58" t="s">
        <v>20</v>
      </c>
      <c r="BB134" s="58" t="s">
        <v>34</v>
      </c>
      <c r="BC134" s="58" t="s">
        <v>127</v>
      </c>
      <c r="BD134" s="58" t="s">
        <v>129</v>
      </c>
      <c r="BF134" s="58" t="s">
        <v>22</v>
      </c>
      <c r="BG134" s="58" t="s">
        <v>20</v>
      </c>
      <c r="BH134" s="58" t="s">
        <v>34</v>
      </c>
      <c r="BI134" s="58" t="s">
        <v>127</v>
      </c>
      <c r="BJ134" s="58" t="s">
        <v>129</v>
      </c>
    </row>
    <row r="135" spans="1:62" ht="15.75" thickBot="1" x14ac:dyDescent="0.3">
      <c r="A135" s="15">
        <v>750</v>
      </c>
      <c r="B135" s="8">
        <f t="shared" si="34"/>
        <v>0</v>
      </c>
      <c r="C135" s="6">
        <f t="shared" si="34"/>
        <v>0</v>
      </c>
      <c r="D135" s="6">
        <f t="shared" si="34"/>
        <v>0</v>
      </c>
      <c r="E135" s="6">
        <f t="shared" si="34"/>
        <v>0</v>
      </c>
      <c r="F135" s="13">
        <f t="shared" si="34"/>
        <v>0</v>
      </c>
      <c r="G135" s="8">
        <f t="shared" si="35"/>
        <v>0</v>
      </c>
      <c r="H135" s="6">
        <f t="shared" si="35"/>
        <v>0</v>
      </c>
      <c r="I135" s="6">
        <f t="shared" si="35"/>
        <v>0</v>
      </c>
      <c r="J135" s="6">
        <f t="shared" si="35"/>
        <v>0</v>
      </c>
      <c r="K135" s="13">
        <f t="shared" si="35"/>
        <v>0</v>
      </c>
      <c r="L135" s="8">
        <f t="shared" si="36"/>
        <v>0</v>
      </c>
      <c r="M135" s="6">
        <f t="shared" si="36"/>
        <v>0</v>
      </c>
      <c r="N135" s="6">
        <f t="shared" si="36"/>
        <v>0</v>
      </c>
      <c r="O135" s="6">
        <f t="shared" si="36"/>
        <v>0</v>
      </c>
      <c r="P135" s="13">
        <f t="shared" si="36"/>
        <v>0</v>
      </c>
      <c r="Q135" s="8">
        <f t="shared" si="37"/>
        <v>0</v>
      </c>
      <c r="R135" s="6">
        <f t="shared" si="37"/>
        <v>0</v>
      </c>
      <c r="S135" s="6">
        <f t="shared" si="37"/>
        <v>0</v>
      </c>
      <c r="T135" s="6">
        <f t="shared" si="37"/>
        <v>0</v>
      </c>
      <c r="U135" s="13">
        <f t="shared" si="37"/>
        <v>0</v>
      </c>
      <c r="V135" s="8">
        <f t="shared" si="38"/>
        <v>0</v>
      </c>
      <c r="W135" s="6">
        <f t="shared" si="38"/>
        <v>0</v>
      </c>
      <c r="X135" s="6">
        <f t="shared" si="38"/>
        <v>0</v>
      </c>
      <c r="Y135" s="6">
        <f t="shared" si="38"/>
        <v>0</v>
      </c>
      <c r="Z135" s="13">
        <f t="shared" si="38"/>
        <v>0</v>
      </c>
      <c r="AA135" s="8">
        <f t="shared" si="38"/>
        <v>0</v>
      </c>
      <c r="AB135" s="6">
        <f t="shared" si="38"/>
        <v>0</v>
      </c>
      <c r="AC135" s="6">
        <f t="shared" si="38"/>
        <v>0</v>
      </c>
      <c r="AD135" s="6">
        <f t="shared" si="38"/>
        <v>0</v>
      </c>
      <c r="AE135" s="13">
        <f t="shared" si="38"/>
        <v>0</v>
      </c>
      <c r="AF135" s="16">
        <f t="shared" si="39"/>
        <v>0</v>
      </c>
      <c r="AG135" s="16">
        <f t="shared" si="40"/>
        <v>0</v>
      </c>
      <c r="AH135" s="34">
        <f>AU14</f>
        <v>3.5</v>
      </c>
      <c r="AI135" s="34" t="str">
        <f>AV14</f>
        <v/>
      </c>
      <c r="AJ135" s="34" t="str">
        <f>AW14</f>
        <v/>
      </c>
      <c r="AK135" s="35" t="str">
        <f>AX14</f>
        <v/>
      </c>
      <c r="AL135" s="35" t="str">
        <f>AY14</f>
        <v/>
      </c>
      <c r="AN135" s="34" t="str">
        <f>AU15</f>
        <v/>
      </c>
      <c r="AO135" s="34" t="str">
        <f>AV15</f>
        <v/>
      </c>
      <c r="AP135" s="34" t="str">
        <f>AW15</f>
        <v/>
      </c>
      <c r="AQ135" s="35" t="str">
        <f>AX15</f>
        <v/>
      </c>
      <c r="AR135" s="35" t="str">
        <f>AY15</f>
        <v/>
      </c>
      <c r="AT135" s="34" t="str">
        <f>AU16</f>
        <v/>
      </c>
      <c r="AU135" s="34" t="str">
        <f>AV16</f>
        <v/>
      </c>
      <c r="AV135" s="34" t="str">
        <f>AW16</f>
        <v/>
      </c>
      <c r="AW135" s="35" t="str">
        <f>AX16</f>
        <v/>
      </c>
      <c r="AX135" s="35" t="str">
        <f>AY16</f>
        <v/>
      </c>
      <c r="AZ135" s="34" t="str">
        <f>AU17</f>
        <v/>
      </c>
      <c r="BA135" s="34" t="str">
        <f>AV17</f>
        <v/>
      </c>
      <c r="BB135" s="34" t="str">
        <f>AW17</f>
        <v/>
      </c>
      <c r="BC135" s="35" t="str">
        <f>AX17</f>
        <v/>
      </c>
      <c r="BD135" s="35" t="str">
        <f>AY17</f>
        <v/>
      </c>
      <c r="BF135" s="34" t="str">
        <f>AU18</f>
        <v/>
      </c>
      <c r="BG135" s="34" t="str">
        <f>AV18</f>
        <v/>
      </c>
      <c r="BH135" s="34" t="str">
        <f>AW18</f>
        <v/>
      </c>
      <c r="BI135" s="35" t="str">
        <f>AX18</f>
        <v/>
      </c>
      <c r="BJ135" s="35" t="str">
        <f>AY18</f>
        <v/>
      </c>
    </row>
    <row r="136" spans="1:62" x14ac:dyDescent="0.25">
      <c r="A136" s="15">
        <v>1000</v>
      </c>
      <c r="B136" s="8">
        <f t="shared" si="34"/>
        <v>0</v>
      </c>
      <c r="C136" s="6">
        <f t="shared" si="34"/>
        <v>0</v>
      </c>
      <c r="D136" s="6">
        <f t="shared" si="34"/>
        <v>0</v>
      </c>
      <c r="E136" s="6">
        <f t="shared" si="34"/>
        <v>0</v>
      </c>
      <c r="F136" s="13">
        <f t="shared" si="34"/>
        <v>0</v>
      </c>
      <c r="G136" s="8">
        <f t="shared" si="35"/>
        <v>0</v>
      </c>
      <c r="H136" s="6">
        <f t="shared" si="35"/>
        <v>0</v>
      </c>
      <c r="I136" s="6">
        <f t="shared" si="35"/>
        <v>0</v>
      </c>
      <c r="J136" s="6">
        <f t="shared" si="35"/>
        <v>0</v>
      </c>
      <c r="K136" s="13">
        <f t="shared" si="35"/>
        <v>0</v>
      </c>
      <c r="L136" s="8">
        <f t="shared" si="36"/>
        <v>0</v>
      </c>
      <c r="M136" s="6">
        <f t="shared" si="36"/>
        <v>0</v>
      </c>
      <c r="N136" s="6">
        <f t="shared" si="36"/>
        <v>0</v>
      </c>
      <c r="O136" s="6">
        <f t="shared" si="36"/>
        <v>0</v>
      </c>
      <c r="P136" s="13">
        <f t="shared" si="36"/>
        <v>0</v>
      </c>
      <c r="Q136" s="8">
        <f t="shared" si="37"/>
        <v>0</v>
      </c>
      <c r="R136" s="6">
        <f t="shared" si="37"/>
        <v>0</v>
      </c>
      <c r="S136" s="6">
        <f t="shared" si="37"/>
        <v>0</v>
      </c>
      <c r="T136" s="6">
        <f t="shared" si="37"/>
        <v>0</v>
      </c>
      <c r="U136" s="13">
        <f t="shared" si="37"/>
        <v>0</v>
      </c>
      <c r="V136" s="8">
        <f t="shared" si="38"/>
        <v>0</v>
      </c>
      <c r="W136" s="6">
        <f t="shared" si="38"/>
        <v>0</v>
      </c>
      <c r="X136" s="6">
        <f t="shared" si="38"/>
        <v>0</v>
      </c>
      <c r="Y136" s="6">
        <f t="shared" si="38"/>
        <v>0</v>
      </c>
      <c r="Z136" s="13">
        <f t="shared" si="38"/>
        <v>0</v>
      </c>
      <c r="AA136" s="8">
        <f t="shared" si="38"/>
        <v>0</v>
      </c>
      <c r="AB136" s="6">
        <f t="shared" si="38"/>
        <v>0</v>
      </c>
      <c r="AC136" s="6">
        <f t="shared" si="38"/>
        <v>0</v>
      </c>
      <c r="AD136" s="6">
        <f t="shared" si="38"/>
        <v>0</v>
      </c>
      <c r="AE136" s="13">
        <f t="shared" si="38"/>
        <v>0</v>
      </c>
      <c r="AF136" s="16">
        <f t="shared" si="39"/>
        <v>0</v>
      </c>
      <c r="AG136" s="16">
        <f t="shared" si="40"/>
        <v>0</v>
      </c>
    </row>
    <row r="137" spans="1:62" x14ac:dyDescent="0.25">
      <c r="A137" s="15">
        <v>1500</v>
      </c>
      <c r="B137" s="8">
        <f t="shared" si="34"/>
        <v>0</v>
      </c>
      <c r="C137" s="6">
        <f t="shared" si="34"/>
        <v>0</v>
      </c>
      <c r="D137" s="6">
        <f t="shared" si="34"/>
        <v>0</v>
      </c>
      <c r="E137" s="6">
        <f t="shared" si="34"/>
        <v>0</v>
      </c>
      <c r="F137" s="13">
        <f t="shared" si="34"/>
        <v>0</v>
      </c>
      <c r="G137" s="8">
        <f t="shared" si="35"/>
        <v>0</v>
      </c>
      <c r="H137" s="6">
        <f t="shared" si="35"/>
        <v>0</v>
      </c>
      <c r="I137" s="6">
        <f t="shared" si="35"/>
        <v>0</v>
      </c>
      <c r="J137" s="6">
        <f t="shared" si="35"/>
        <v>0</v>
      </c>
      <c r="K137" s="13">
        <f t="shared" si="35"/>
        <v>0</v>
      </c>
      <c r="L137" s="8">
        <f t="shared" si="36"/>
        <v>0</v>
      </c>
      <c r="M137" s="6">
        <f t="shared" si="36"/>
        <v>0</v>
      </c>
      <c r="N137" s="6">
        <f t="shared" si="36"/>
        <v>0</v>
      </c>
      <c r="O137" s="6">
        <f t="shared" si="36"/>
        <v>0</v>
      </c>
      <c r="P137" s="13">
        <f t="shared" si="36"/>
        <v>0</v>
      </c>
      <c r="Q137" s="8">
        <f t="shared" si="37"/>
        <v>0</v>
      </c>
      <c r="R137" s="6">
        <f t="shared" si="37"/>
        <v>0</v>
      </c>
      <c r="S137" s="6">
        <f t="shared" si="37"/>
        <v>0</v>
      </c>
      <c r="T137" s="6">
        <f t="shared" si="37"/>
        <v>0</v>
      </c>
      <c r="U137" s="13">
        <f t="shared" si="37"/>
        <v>0</v>
      </c>
      <c r="V137" s="8">
        <f t="shared" si="38"/>
        <v>0</v>
      </c>
      <c r="W137" s="6">
        <f t="shared" si="38"/>
        <v>0</v>
      </c>
      <c r="X137" s="6">
        <f t="shared" si="38"/>
        <v>0</v>
      </c>
      <c r="Y137" s="6">
        <f t="shared" si="38"/>
        <v>0</v>
      </c>
      <c r="Z137" s="13">
        <f t="shared" si="38"/>
        <v>0</v>
      </c>
      <c r="AA137" s="8">
        <f t="shared" si="38"/>
        <v>0</v>
      </c>
      <c r="AB137" s="6">
        <f t="shared" si="38"/>
        <v>0</v>
      </c>
      <c r="AC137" s="6">
        <f t="shared" si="38"/>
        <v>0</v>
      </c>
      <c r="AD137" s="6">
        <f t="shared" si="38"/>
        <v>0</v>
      </c>
      <c r="AE137" s="13">
        <f t="shared" si="38"/>
        <v>0</v>
      </c>
      <c r="AF137" s="16">
        <f t="shared" si="39"/>
        <v>0</v>
      </c>
      <c r="AG137" s="16">
        <f t="shared" si="40"/>
        <v>0</v>
      </c>
      <c r="AH137" s="118" t="s">
        <v>35</v>
      </c>
      <c r="AI137" s="118"/>
      <c r="AJ137" s="118">
        <f>F7</f>
        <v>0</v>
      </c>
      <c r="AK137" s="118"/>
      <c r="AL137" s="118"/>
      <c r="AN137" s="118" t="s">
        <v>35</v>
      </c>
      <c r="AO137" s="118"/>
      <c r="AP137" s="118">
        <f>F8</f>
        <v>0</v>
      </c>
      <c r="AQ137" s="118"/>
      <c r="AR137" s="118"/>
      <c r="AT137" s="118" t="s">
        <v>35</v>
      </c>
      <c r="AU137" s="118"/>
      <c r="AV137" s="118">
        <f>F9</f>
        <v>0</v>
      </c>
      <c r="AW137" s="118"/>
      <c r="AX137" s="118"/>
      <c r="AZ137" s="118" t="s">
        <v>35</v>
      </c>
      <c r="BA137" s="118"/>
      <c r="BB137" s="118">
        <f>F10</f>
        <v>0</v>
      </c>
      <c r="BC137" s="118"/>
      <c r="BD137" s="118"/>
      <c r="BF137" s="118" t="s">
        <v>35</v>
      </c>
      <c r="BG137" s="118"/>
      <c r="BH137" s="118">
        <f>F11</f>
        <v>0</v>
      </c>
      <c r="BI137" s="118"/>
      <c r="BJ137" s="118"/>
    </row>
    <row r="138" spans="1:62" x14ac:dyDescent="0.25">
      <c r="A138" s="15">
        <v>2000</v>
      </c>
      <c r="B138" s="8">
        <f t="shared" si="34"/>
        <v>0</v>
      </c>
      <c r="C138" s="6">
        <f t="shared" si="34"/>
        <v>0</v>
      </c>
      <c r="D138" s="6">
        <f t="shared" si="34"/>
        <v>0</v>
      </c>
      <c r="E138" s="6">
        <f t="shared" si="34"/>
        <v>0</v>
      </c>
      <c r="F138" s="13">
        <f t="shared" si="34"/>
        <v>0</v>
      </c>
      <c r="G138" s="8">
        <f t="shared" si="35"/>
        <v>0</v>
      </c>
      <c r="H138" s="6">
        <f t="shared" si="35"/>
        <v>0</v>
      </c>
      <c r="I138" s="6">
        <f t="shared" si="35"/>
        <v>0</v>
      </c>
      <c r="J138" s="6">
        <f t="shared" si="35"/>
        <v>0</v>
      </c>
      <c r="K138" s="13">
        <f t="shared" si="35"/>
        <v>0</v>
      </c>
      <c r="L138" s="8">
        <f t="shared" si="36"/>
        <v>0</v>
      </c>
      <c r="M138" s="6">
        <f t="shared" si="36"/>
        <v>0</v>
      </c>
      <c r="N138" s="6">
        <f t="shared" si="36"/>
        <v>0</v>
      </c>
      <c r="O138" s="6">
        <f t="shared" si="36"/>
        <v>0</v>
      </c>
      <c r="P138" s="13">
        <f t="shared" si="36"/>
        <v>0</v>
      </c>
      <c r="Q138" s="8">
        <f t="shared" si="37"/>
        <v>0</v>
      </c>
      <c r="R138" s="6">
        <f t="shared" si="37"/>
        <v>0</v>
      </c>
      <c r="S138" s="6">
        <f t="shared" si="37"/>
        <v>0</v>
      </c>
      <c r="T138" s="6">
        <f t="shared" si="37"/>
        <v>0</v>
      </c>
      <c r="U138" s="13">
        <f t="shared" si="37"/>
        <v>0</v>
      </c>
      <c r="V138" s="8">
        <f t="shared" si="38"/>
        <v>0</v>
      </c>
      <c r="W138" s="6">
        <f t="shared" si="38"/>
        <v>0</v>
      </c>
      <c r="X138" s="6">
        <f t="shared" si="38"/>
        <v>0</v>
      </c>
      <c r="Y138" s="6">
        <f t="shared" si="38"/>
        <v>0</v>
      </c>
      <c r="Z138" s="13">
        <f t="shared" si="38"/>
        <v>0</v>
      </c>
      <c r="AA138" s="8">
        <f t="shared" si="38"/>
        <v>0</v>
      </c>
      <c r="AB138" s="6">
        <f t="shared" si="38"/>
        <v>0</v>
      </c>
      <c r="AC138" s="6">
        <f t="shared" si="38"/>
        <v>0</v>
      </c>
      <c r="AD138" s="6">
        <f t="shared" si="38"/>
        <v>0</v>
      </c>
      <c r="AE138" s="13">
        <f t="shared" si="38"/>
        <v>0</v>
      </c>
      <c r="AF138" s="16">
        <f t="shared" si="39"/>
        <v>0</v>
      </c>
      <c r="AG138" s="16">
        <f t="shared" si="40"/>
        <v>0</v>
      </c>
      <c r="AH138" s="118">
        <f>G7</f>
        <v>0</v>
      </c>
      <c r="AI138" s="118"/>
      <c r="AJ138" s="118"/>
      <c r="AK138" s="118"/>
      <c r="AL138" s="118"/>
      <c r="AN138" s="118">
        <f>G8</f>
        <v>0</v>
      </c>
      <c r="AO138" s="118">
        <f>G8</f>
        <v>0</v>
      </c>
      <c r="AP138" s="118"/>
      <c r="AQ138" s="118"/>
      <c r="AR138" s="118"/>
      <c r="AT138" s="118">
        <f>G9</f>
        <v>0</v>
      </c>
      <c r="AU138" s="118"/>
      <c r="AV138" s="118"/>
      <c r="AW138" s="118"/>
      <c r="AX138" s="118"/>
      <c r="AZ138" s="118">
        <f>G10</f>
        <v>0</v>
      </c>
      <c r="BA138" s="118"/>
      <c r="BB138" s="118"/>
      <c r="BC138" s="118"/>
      <c r="BD138" s="118"/>
      <c r="BF138" s="118">
        <f>G11</f>
        <v>0</v>
      </c>
      <c r="BG138" s="118"/>
      <c r="BH138" s="118"/>
      <c r="BI138" s="118"/>
      <c r="BJ138" s="118"/>
    </row>
    <row r="139" spans="1:62" ht="15.75" thickBot="1" x14ac:dyDescent="0.3">
      <c r="A139" s="15">
        <v>3000</v>
      </c>
      <c r="B139" s="8">
        <f t="shared" si="34"/>
        <v>0</v>
      </c>
      <c r="C139" s="6">
        <f t="shared" si="34"/>
        <v>0</v>
      </c>
      <c r="D139" s="6">
        <f t="shared" si="34"/>
        <v>0</v>
      </c>
      <c r="E139" s="6">
        <f t="shared" si="34"/>
        <v>0</v>
      </c>
      <c r="F139" s="13">
        <f t="shared" si="34"/>
        <v>0</v>
      </c>
      <c r="G139" s="8">
        <f t="shared" si="35"/>
        <v>0</v>
      </c>
      <c r="H139" s="6">
        <f t="shared" si="35"/>
        <v>0</v>
      </c>
      <c r="I139" s="6">
        <f t="shared" si="35"/>
        <v>0</v>
      </c>
      <c r="J139" s="6">
        <f t="shared" si="35"/>
        <v>0</v>
      </c>
      <c r="K139" s="13">
        <f t="shared" si="35"/>
        <v>0</v>
      </c>
      <c r="L139" s="8">
        <f t="shared" si="36"/>
        <v>0</v>
      </c>
      <c r="M139" s="6">
        <f t="shared" si="36"/>
        <v>0</v>
      </c>
      <c r="N139" s="6">
        <f t="shared" si="36"/>
        <v>0</v>
      </c>
      <c r="O139" s="6">
        <f t="shared" si="36"/>
        <v>0</v>
      </c>
      <c r="P139" s="13">
        <f t="shared" si="36"/>
        <v>0</v>
      </c>
      <c r="Q139" s="8">
        <f t="shared" si="37"/>
        <v>0</v>
      </c>
      <c r="R139" s="6">
        <f t="shared" si="37"/>
        <v>0</v>
      </c>
      <c r="S139" s="6">
        <f t="shared" si="37"/>
        <v>0</v>
      </c>
      <c r="T139" s="6">
        <f t="shared" si="37"/>
        <v>0</v>
      </c>
      <c r="U139" s="13">
        <f t="shared" si="37"/>
        <v>0</v>
      </c>
      <c r="V139" s="8">
        <f t="shared" si="38"/>
        <v>0</v>
      </c>
      <c r="W139" s="6">
        <f t="shared" si="38"/>
        <v>0</v>
      </c>
      <c r="X139" s="6">
        <f t="shared" si="38"/>
        <v>0</v>
      </c>
      <c r="Y139" s="6">
        <f t="shared" si="38"/>
        <v>0</v>
      </c>
      <c r="Z139" s="13">
        <f t="shared" si="38"/>
        <v>0</v>
      </c>
      <c r="AA139" s="8">
        <f t="shared" si="38"/>
        <v>0</v>
      </c>
      <c r="AB139" s="6">
        <f t="shared" si="38"/>
        <v>0</v>
      </c>
      <c r="AC139" s="6">
        <f t="shared" si="38"/>
        <v>0</v>
      </c>
      <c r="AD139" s="6">
        <f t="shared" si="38"/>
        <v>0</v>
      </c>
      <c r="AE139" s="13">
        <f t="shared" si="38"/>
        <v>0</v>
      </c>
      <c r="AF139" s="16">
        <f t="shared" si="39"/>
        <v>0</v>
      </c>
      <c r="AG139" s="16">
        <f t="shared" si="40"/>
        <v>0</v>
      </c>
      <c r="AH139" s="118">
        <f>H7</f>
        <v>0</v>
      </c>
      <c r="AI139" s="118"/>
      <c r="AJ139" s="118"/>
      <c r="AK139" s="118"/>
      <c r="AL139" s="118"/>
      <c r="AN139" s="118">
        <f>H8</f>
        <v>0</v>
      </c>
      <c r="AO139" s="118">
        <f>H8</f>
        <v>0</v>
      </c>
      <c r="AP139" s="118"/>
      <c r="AQ139" s="118"/>
      <c r="AR139" s="118"/>
      <c r="AT139" s="118">
        <f>H9</f>
        <v>0</v>
      </c>
      <c r="AU139" s="118"/>
      <c r="AV139" s="118"/>
      <c r="AW139" s="118"/>
      <c r="AX139" s="118"/>
      <c r="AZ139" s="118">
        <f>H10</f>
        <v>0</v>
      </c>
      <c r="BA139" s="118"/>
      <c r="BB139" s="118"/>
      <c r="BC139" s="118"/>
      <c r="BD139" s="118"/>
      <c r="BF139" s="118">
        <f>H11</f>
        <v>0</v>
      </c>
      <c r="BG139" s="118"/>
      <c r="BH139" s="118"/>
      <c r="BI139" s="118"/>
      <c r="BJ139" s="118"/>
    </row>
    <row r="140" spans="1:62" ht="15.75" thickBot="1" x14ac:dyDescent="0.3">
      <c r="A140" s="15">
        <v>5000</v>
      </c>
      <c r="B140" s="8">
        <f t="shared" si="34"/>
        <v>0</v>
      </c>
      <c r="C140" s="6">
        <f t="shared" si="34"/>
        <v>0</v>
      </c>
      <c r="D140" s="6">
        <f t="shared" si="34"/>
        <v>0</v>
      </c>
      <c r="E140" s="6">
        <f t="shared" si="34"/>
        <v>0</v>
      </c>
      <c r="F140" s="13">
        <f t="shared" si="34"/>
        <v>0</v>
      </c>
      <c r="G140" s="8">
        <f t="shared" si="35"/>
        <v>0</v>
      </c>
      <c r="H140" s="6">
        <f t="shared" si="35"/>
        <v>0</v>
      </c>
      <c r="I140" s="6">
        <f t="shared" si="35"/>
        <v>0</v>
      </c>
      <c r="J140" s="6">
        <f t="shared" si="35"/>
        <v>0</v>
      </c>
      <c r="K140" s="13">
        <f t="shared" si="35"/>
        <v>0</v>
      </c>
      <c r="L140" s="8">
        <f t="shared" si="36"/>
        <v>0</v>
      </c>
      <c r="M140" s="6">
        <f t="shared" si="36"/>
        <v>0</v>
      </c>
      <c r="N140" s="6">
        <f t="shared" si="36"/>
        <v>0</v>
      </c>
      <c r="O140" s="6">
        <f t="shared" si="36"/>
        <v>0</v>
      </c>
      <c r="P140" s="13">
        <f t="shared" si="36"/>
        <v>0</v>
      </c>
      <c r="Q140" s="8">
        <f t="shared" si="37"/>
        <v>0</v>
      </c>
      <c r="R140" s="6">
        <f t="shared" si="37"/>
        <v>0</v>
      </c>
      <c r="S140" s="6">
        <f t="shared" si="37"/>
        <v>0</v>
      </c>
      <c r="T140" s="6">
        <f t="shared" si="37"/>
        <v>0</v>
      </c>
      <c r="U140" s="13">
        <f t="shared" si="37"/>
        <v>0</v>
      </c>
      <c r="V140" s="8">
        <f t="shared" si="38"/>
        <v>0</v>
      </c>
      <c r="W140" s="6">
        <f t="shared" si="38"/>
        <v>0</v>
      </c>
      <c r="X140" s="6">
        <f t="shared" si="38"/>
        <v>0</v>
      </c>
      <c r="Y140" s="6">
        <f t="shared" si="38"/>
        <v>0</v>
      </c>
      <c r="Z140" s="13">
        <f t="shared" si="38"/>
        <v>0</v>
      </c>
      <c r="AA140" s="8">
        <f t="shared" si="38"/>
        <v>0</v>
      </c>
      <c r="AB140" s="6">
        <f t="shared" si="38"/>
        <v>0</v>
      </c>
      <c r="AC140" s="6">
        <f t="shared" si="38"/>
        <v>0</v>
      </c>
      <c r="AD140" s="6">
        <f t="shared" si="38"/>
        <v>0</v>
      </c>
      <c r="AE140" s="13">
        <f t="shared" si="38"/>
        <v>0</v>
      </c>
      <c r="AF140" s="16">
        <f t="shared" si="39"/>
        <v>0</v>
      </c>
      <c r="AG140" s="16">
        <f t="shared" si="40"/>
        <v>0</v>
      </c>
      <c r="AH140" s="30" t="s">
        <v>136</v>
      </c>
      <c r="AI140" s="30" t="s">
        <v>27</v>
      </c>
      <c r="AJ140" s="30" t="s">
        <v>28</v>
      </c>
      <c r="AK140" s="30" t="s">
        <v>29</v>
      </c>
      <c r="AL140" s="30" t="s">
        <v>30</v>
      </c>
      <c r="AN140" s="30" t="s">
        <v>136</v>
      </c>
      <c r="AO140" s="30" t="s">
        <v>27</v>
      </c>
      <c r="AP140" s="30" t="s">
        <v>28</v>
      </c>
      <c r="AQ140" s="30" t="s">
        <v>29</v>
      </c>
      <c r="AR140" s="30" t="s">
        <v>30</v>
      </c>
      <c r="AT140" s="30" t="s">
        <v>136</v>
      </c>
      <c r="AU140" s="30" t="s">
        <v>27</v>
      </c>
      <c r="AV140" s="30" t="s">
        <v>28</v>
      </c>
      <c r="AW140" s="30" t="s">
        <v>29</v>
      </c>
      <c r="AX140" s="30" t="s">
        <v>30</v>
      </c>
      <c r="AZ140" s="30" t="s">
        <v>136</v>
      </c>
      <c r="BA140" s="30" t="s">
        <v>27</v>
      </c>
      <c r="BB140" s="30" t="s">
        <v>28</v>
      </c>
      <c r="BC140" s="30" t="s">
        <v>29</v>
      </c>
      <c r="BD140" s="30" t="s">
        <v>30</v>
      </c>
      <c r="BF140" s="30" t="s">
        <v>136</v>
      </c>
      <c r="BG140" s="30" t="s">
        <v>27</v>
      </c>
      <c r="BH140" s="30" t="s">
        <v>28</v>
      </c>
      <c r="BI140" s="30" t="s">
        <v>29</v>
      </c>
      <c r="BJ140" s="30" t="s">
        <v>30</v>
      </c>
    </row>
    <row r="141" spans="1:62" ht="15.75" thickBot="1" x14ac:dyDescent="0.3">
      <c r="A141" s="59">
        <v>10000</v>
      </c>
      <c r="B141" s="31">
        <f t="shared" si="34"/>
        <v>0</v>
      </c>
      <c r="C141" s="32">
        <f t="shared" si="34"/>
        <v>0</v>
      </c>
      <c r="D141" s="32">
        <f t="shared" si="34"/>
        <v>0</v>
      </c>
      <c r="E141" s="32">
        <f t="shared" si="34"/>
        <v>0</v>
      </c>
      <c r="F141" s="33">
        <f t="shared" si="34"/>
        <v>0</v>
      </c>
      <c r="G141" s="31">
        <f t="shared" si="35"/>
        <v>0</v>
      </c>
      <c r="H141" s="32">
        <f t="shared" si="35"/>
        <v>0</v>
      </c>
      <c r="I141" s="32">
        <f t="shared" si="35"/>
        <v>0</v>
      </c>
      <c r="J141" s="32">
        <f t="shared" si="35"/>
        <v>0</v>
      </c>
      <c r="K141" s="33">
        <f t="shared" si="35"/>
        <v>0</v>
      </c>
      <c r="L141" s="31">
        <f t="shared" si="36"/>
        <v>0</v>
      </c>
      <c r="M141" s="32">
        <f t="shared" si="36"/>
        <v>0</v>
      </c>
      <c r="N141" s="32">
        <f t="shared" si="36"/>
        <v>0</v>
      </c>
      <c r="O141" s="32">
        <f t="shared" si="36"/>
        <v>0</v>
      </c>
      <c r="P141" s="33">
        <f t="shared" si="36"/>
        <v>0</v>
      </c>
      <c r="Q141" s="31">
        <f t="shared" si="37"/>
        <v>0</v>
      </c>
      <c r="R141" s="32">
        <f t="shared" si="37"/>
        <v>0</v>
      </c>
      <c r="S141" s="32">
        <f t="shared" si="37"/>
        <v>0</v>
      </c>
      <c r="T141" s="32">
        <f t="shared" si="37"/>
        <v>0</v>
      </c>
      <c r="U141" s="33">
        <f t="shared" si="37"/>
        <v>0</v>
      </c>
      <c r="V141" s="31">
        <f t="shared" si="38"/>
        <v>0</v>
      </c>
      <c r="W141" s="32">
        <f t="shared" si="38"/>
        <v>0</v>
      </c>
      <c r="X141" s="32">
        <f t="shared" si="38"/>
        <v>0</v>
      </c>
      <c r="Y141" s="32">
        <f t="shared" si="38"/>
        <v>0</v>
      </c>
      <c r="Z141" s="33">
        <f t="shared" si="38"/>
        <v>0</v>
      </c>
      <c r="AA141" s="31">
        <f t="shared" si="38"/>
        <v>0</v>
      </c>
      <c r="AB141" s="32">
        <f t="shared" si="38"/>
        <v>0</v>
      </c>
      <c r="AC141" s="32">
        <f t="shared" si="38"/>
        <v>0</v>
      </c>
      <c r="AD141" s="32">
        <f t="shared" si="38"/>
        <v>0</v>
      </c>
      <c r="AE141" s="33">
        <f t="shared" si="38"/>
        <v>0</v>
      </c>
      <c r="AF141" s="16">
        <f t="shared" si="39"/>
        <v>0</v>
      </c>
      <c r="AG141" s="43">
        <f t="shared" si="40"/>
        <v>0</v>
      </c>
      <c r="AH141" s="16">
        <f>J7</f>
        <v>0</v>
      </c>
      <c r="AI141" s="10">
        <f>K7</f>
        <v>0</v>
      </c>
      <c r="AJ141" s="11">
        <f>L7</f>
        <v>0</v>
      </c>
      <c r="AK141" s="11">
        <f>M7</f>
        <v>0</v>
      </c>
      <c r="AL141" s="17">
        <f>N7</f>
        <v>0</v>
      </c>
      <c r="AN141" s="16">
        <f>J8</f>
        <v>0</v>
      </c>
      <c r="AO141" s="10">
        <f>K8</f>
        <v>0</v>
      </c>
      <c r="AP141" s="11">
        <f>L8</f>
        <v>0</v>
      </c>
      <c r="AQ141" s="11">
        <f>M8</f>
        <v>0</v>
      </c>
      <c r="AR141" s="17">
        <f>N8</f>
        <v>0</v>
      </c>
      <c r="AT141" s="16">
        <f>J9</f>
        <v>0</v>
      </c>
      <c r="AU141" s="10">
        <f>K9</f>
        <v>0</v>
      </c>
      <c r="AV141" s="11">
        <f>L9</f>
        <v>0</v>
      </c>
      <c r="AW141" s="11">
        <f>M9</f>
        <v>0</v>
      </c>
      <c r="AX141" s="17">
        <f>N9</f>
        <v>0</v>
      </c>
      <c r="AZ141" s="16">
        <f>J10</f>
        <v>0</v>
      </c>
      <c r="BA141" s="10">
        <f>K10</f>
        <v>0</v>
      </c>
      <c r="BB141" s="11">
        <f>L10</f>
        <v>0</v>
      </c>
      <c r="BC141" s="11">
        <f>M10</f>
        <v>0</v>
      </c>
      <c r="BD141" s="17">
        <f>N10</f>
        <v>0</v>
      </c>
      <c r="BF141" s="16">
        <f>J11</f>
        <v>0</v>
      </c>
      <c r="BG141" s="10">
        <f>K11</f>
        <v>0</v>
      </c>
      <c r="BH141" s="11">
        <f>L11</f>
        <v>0</v>
      </c>
      <c r="BI141" s="11">
        <f>M11</f>
        <v>0</v>
      </c>
      <c r="BJ141" s="17">
        <f>N11</f>
        <v>0</v>
      </c>
    </row>
    <row r="142" spans="1:62" ht="15.75" thickBot="1" x14ac:dyDescent="0.3">
      <c r="A142" s="35"/>
      <c r="B142" s="60">
        <f t="shared" ref="B142:AG142" si="41">SUM(B133:B141)</f>
        <v>0</v>
      </c>
      <c r="C142" s="61">
        <f t="shared" si="41"/>
        <v>0</v>
      </c>
      <c r="D142" s="61">
        <f t="shared" si="41"/>
        <v>0</v>
      </c>
      <c r="E142" s="61">
        <f t="shared" si="41"/>
        <v>0</v>
      </c>
      <c r="F142" s="62">
        <f t="shared" si="41"/>
        <v>0</v>
      </c>
      <c r="G142" s="60">
        <f t="shared" si="41"/>
        <v>0</v>
      </c>
      <c r="H142" s="61">
        <f t="shared" si="41"/>
        <v>0</v>
      </c>
      <c r="I142" s="61">
        <f t="shared" si="41"/>
        <v>0</v>
      </c>
      <c r="J142" s="61">
        <f t="shared" si="41"/>
        <v>0</v>
      </c>
      <c r="K142" s="62">
        <f t="shared" si="41"/>
        <v>0</v>
      </c>
      <c r="L142" s="60">
        <f t="shared" si="41"/>
        <v>0</v>
      </c>
      <c r="M142" s="61">
        <f t="shared" si="41"/>
        <v>0</v>
      </c>
      <c r="N142" s="61">
        <f t="shared" si="41"/>
        <v>0</v>
      </c>
      <c r="O142" s="61">
        <f t="shared" si="41"/>
        <v>0</v>
      </c>
      <c r="P142" s="62">
        <f t="shared" si="41"/>
        <v>0</v>
      </c>
      <c r="Q142" s="60">
        <f t="shared" si="41"/>
        <v>0</v>
      </c>
      <c r="R142" s="61">
        <f t="shared" si="41"/>
        <v>0</v>
      </c>
      <c r="S142" s="61">
        <f t="shared" si="41"/>
        <v>0</v>
      </c>
      <c r="T142" s="61">
        <f t="shared" si="41"/>
        <v>0</v>
      </c>
      <c r="U142" s="62">
        <f t="shared" si="41"/>
        <v>0</v>
      </c>
      <c r="V142" s="60">
        <f t="shared" si="41"/>
        <v>0</v>
      </c>
      <c r="W142" s="61">
        <f t="shared" si="41"/>
        <v>0</v>
      </c>
      <c r="X142" s="61">
        <f t="shared" si="41"/>
        <v>0</v>
      </c>
      <c r="Y142" s="61">
        <f t="shared" si="41"/>
        <v>0</v>
      </c>
      <c r="Z142" s="62">
        <f t="shared" si="41"/>
        <v>0</v>
      </c>
      <c r="AA142" s="60">
        <f t="shared" si="41"/>
        <v>0</v>
      </c>
      <c r="AB142" s="61">
        <f t="shared" si="41"/>
        <v>0</v>
      </c>
      <c r="AC142" s="61">
        <f t="shared" si="41"/>
        <v>0</v>
      </c>
      <c r="AD142" s="61">
        <f t="shared" si="41"/>
        <v>0</v>
      </c>
      <c r="AE142" s="62">
        <f t="shared" si="41"/>
        <v>0</v>
      </c>
      <c r="AF142" s="35">
        <f t="shared" si="41"/>
        <v>0</v>
      </c>
      <c r="AG142" s="35">
        <f t="shared" si="40"/>
        <v>0</v>
      </c>
      <c r="AH142" s="15">
        <f>P7</f>
        <v>0</v>
      </c>
      <c r="AI142" s="8">
        <f>Q7</f>
        <v>0</v>
      </c>
      <c r="AJ142" s="6">
        <f>R7</f>
        <v>0</v>
      </c>
      <c r="AK142" s="6">
        <f>S7</f>
        <v>0</v>
      </c>
      <c r="AL142" s="13">
        <f>T7</f>
        <v>0</v>
      </c>
      <c r="AN142" s="15">
        <f>P8</f>
        <v>0</v>
      </c>
      <c r="AO142" s="8">
        <f>Q8</f>
        <v>0</v>
      </c>
      <c r="AP142" s="6">
        <f>R8</f>
        <v>0</v>
      </c>
      <c r="AQ142" s="6">
        <f>S8</f>
        <v>0</v>
      </c>
      <c r="AR142" s="13">
        <f>T8</f>
        <v>0</v>
      </c>
      <c r="AT142" s="15">
        <f>P9</f>
        <v>0</v>
      </c>
      <c r="AU142" s="8">
        <f>Q9</f>
        <v>0</v>
      </c>
      <c r="AV142" s="6">
        <f>R9</f>
        <v>0</v>
      </c>
      <c r="AW142" s="6">
        <f>S9</f>
        <v>0</v>
      </c>
      <c r="AX142" s="13">
        <f>T9</f>
        <v>0</v>
      </c>
      <c r="AZ142" s="15">
        <f>P10</f>
        <v>0</v>
      </c>
      <c r="BA142" s="8">
        <f>Q10</f>
        <v>0</v>
      </c>
      <c r="BB142" s="6">
        <f>R10</f>
        <v>0</v>
      </c>
      <c r="BC142" s="6">
        <f>S10</f>
        <v>0</v>
      </c>
      <c r="BD142" s="13">
        <f>T10</f>
        <v>0</v>
      </c>
      <c r="BF142" s="15">
        <f>P11</f>
        <v>0</v>
      </c>
      <c r="BG142" s="8">
        <f>Q11</f>
        <v>0</v>
      </c>
      <c r="BH142" s="6">
        <f>R11</f>
        <v>0</v>
      </c>
      <c r="BI142" s="6">
        <f>S11</f>
        <v>0</v>
      </c>
      <c r="BJ142" s="13">
        <f>T11</f>
        <v>0</v>
      </c>
    </row>
    <row r="143" spans="1:62" ht="15.75" thickBot="1" x14ac:dyDescent="0.3">
      <c r="AH143" s="15">
        <f>V7</f>
        <v>0</v>
      </c>
      <c r="AI143" s="8">
        <f>W7</f>
        <v>0</v>
      </c>
      <c r="AJ143" s="6">
        <f>X7</f>
        <v>0</v>
      </c>
      <c r="AK143" s="6">
        <f>Y7</f>
        <v>0</v>
      </c>
      <c r="AL143" s="13">
        <f>Z7</f>
        <v>0</v>
      </c>
      <c r="AN143" s="15">
        <f>V8</f>
        <v>0</v>
      </c>
      <c r="AO143" s="8">
        <f>W8</f>
        <v>0</v>
      </c>
      <c r="AP143" s="6">
        <f>X8</f>
        <v>0</v>
      </c>
      <c r="AQ143" s="6">
        <f>Y8</f>
        <v>0</v>
      </c>
      <c r="AR143" s="13">
        <f>Z8</f>
        <v>0</v>
      </c>
      <c r="AT143" s="15">
        <f>V9</f>
        <v>0</v>
      </c>
      <c r="AU143" s="8">
        <f>W9</f>
        <v>0</v>
      </c>
      <c r="AV143" s="6">
        <f>X9</f>
        <v>0</v>
      </c>
      <c r="AW143" s="6">
        <f>Y9</f>
        <v>0</v>
      </c>
      <c r="AX143" s="13">
        <f>Z9</f>
        <v>0</v>
      </c>
      <c r="AZ143" s="15">
        <f>V10</f>
        <v>0</v>
      </c>
      <c r="BA143" s="8">
        <f>W10</f>
        <v>0</v>
      </c>
      <c r="BB143" s="6">
        <f>X10</f>
        <v>0</v>
      </c>
      <c r="BC143" s="6">
        <f>Y10</f>
        <v>0</v>
      </c>
      <c r="BD143" s="13">
        <f>Z10</f>
        <v>0</v>
      </c>
      <c r="BF143" s="15">
        <f>V11</f>
        <v>0</v>
      </c>
      <c r="BG143" s="8">
        <f>W11</f>
        <v>0</v>
      </c>
      <c r="BH143" s="6">
        <f>X11</f>
        <v>0</v>
      </c>
      <c r="BI143" s="6">
        <f>Y11</f>
        <v>0</v>
      </c>
      <c r="BJ143" s="13">
        <f>Z11</f>
        <v>0</v>
      </c>
    </row>
    <row r="144" spans="1:62" ht="15.75" customHeight="1" thickBot="1" x14ac:dyDescent="0.3">
      <c r="A144" s="111" t="s">
        <v>130</v>
      </c>
      <c r="B144" s="112"/>
      <c r="D144" s="111" t="s">
        <v>131</v>
      </c>
      <c r="E144" s="112"/>
      <c r="G144" s="111" t="s">
        <v>132</v>
      </c>
      <c r="H144" s="112"/>
      <c r="J144" s="161" t="s">
        <v>250</v>
      </c>
      <c r="K144" s="162"/>
      <c r="M144" s="161" t="s">
        <v>251</v>
      </c>
      <c r="N144" s="162"/>
      <c r="P144" s="161" t="s">
        <v>252</v>
      </c>
      <c r="Q144" s="162"/>
      <c r="S144" s="123" t="s">
        <v>31</v>
      </c>
      <c r="T144" s="113" t="s">
        <v>84</v>
      </c>
      <c r="U144" s="115"/>
      <c r="V144" s="116" t="s">
        <v>24</v>
      </c>
      <c r="W144" s="116" t="s">
        <v>86</v>
      </c>
      <c r="AH144" s="15">
        <f>AB7</f>
        <v>0</v>
      </c>
      <c r="AI144" s="8">
        <f>AC7</f>
        <v>0</v>
      </c>
      <c r="AJ144" s="6">
        <f>AD7</f>
        <v>0</v>
      </c>
      <c r="AK144" s="6">
        <f>AE7</f>
        <v>0</v>
      </c>
      <c r="AL144" s="13">
        <f>AF7</f>
        <v>0</v>
      </c>
      <c r="AN144" s="15">
        <f>AB8</f>
        <v>0</v>
      </c>
      <c r="AO144" s="8">
        <f>AC8</f>
        <v>0</v>
      </c>
      <c r="AP144" s="6">
        <f>AD8</f>
        <v>0</v>
      </c>
      <c r="AQ144" s="6">
        <f>AE8</f>
        <v>0</v>
      </c>
      <c r="AR144" s="13">
        <f>AF8</f>
        <v>0</v>
      </c>
      <c r="AT144" s="15">
        <f>AB9</f>
        <v>0</v>
      </c>
      <c r="AU144" s="8">
        <f>AC9</f>
        <v>0</v>
      </c>
      <c r="AV144" s="6">
        <f>AD9</f>
        <v>0</v>
      </c>
      <c r="AW144" s="6">
        <f>AE9</f>
        <v>0</v>
      </c>
      <c r="AX144" s="13">
        <f>AF9</f>
        <v>0</v>
      </c>
      <c r="AZ144" s="15">
        <f>AB10</f>
        <v>0</v>
      </c>
      <c r="BA144" s="8">
        <f>AC10</f>
        <v>0</v>
      </c>
      <c r="BB144" s="6">
        <f>AD10</f>
        <v>0</v>
      </c>
      <c r="BC144" s="6">
        <f>AE10</f>
        <v>0</v>
      </c>
      <c r="BD144" s="13">
        <f>AF10</f>
        <v>0</v>
      </c>
      <c r="BF144" s="15">
        <f>AB11</f>
        <v>0</v>
      </c>
      <c r="BG144" s="8">
        <f>AC11</f>
        <v>0</v>
      </c>
      <c r="BH144" s="6">
        <f>AD11</f>
        <v>0</v>
      </c>
      <c r="BI144" s="6">
        <f>AE11</f>
        <v>0</v>
      </c>
      <c r="BJ144" s="13">
        <f>AF11</f>
        <v>0</v>
      </c>
    </row>
    <row r="145" spans="1:62" ht="15.75" thickBot="1" x14ac:dyDescent="0.3">
      <c r="A145" s="60" t="s">
        <v>27</v>
      </c>
      <c r="B145" s="62" t="s">
        <v>102</v>
      </c>
      <c r="D145" s="34" t="s">
        <v>27</v>
      </c>
      <c r="E145" s="79" t="s">
        <v>102</v>
      </c>
      <c r="G145" s="34" t="s">
        <v>27</v>
      </c>
      <c r="H145" s="79" t="s">
        <v>102</v>
      </c>
      <c r="J145" s="163"/>
      <c r="K145" s="164"/>
      <c r="M145" s="163"/>
      <c r="N145" s="164"/>
      <c r="P145" s="163"/>
      <c r="Q145" s="164"/>
      <c r="S145" s="124"/>
      <c r="T145" s="12" t="s">
        <v>17</v>
      </c>
      <c r="U145" s="12" t="s">
        <v>19</v>
      </c>
      <c r="V145" s="117"/>
      <c r="W145" s="117"/>
      <c r="AH145" s="15">
        <f>AH7</f>
        <v>0</v>
      </c>
      <c r="AI145" s="8">
        <f>AI7</f>
        <v>0</v>
      </c>
      <c r="AJ145" s="6">
        <f>AJ7</f>
        <v>0</v>
      </c>
      <c r="AK145" s="6">
        <f>AK7</f>
        <v>0</v>
      </c>
      <c r="AL145" s="13">
        <f>AL7</f>
        <v>0</v>
      </c>
      <c r="AN145" s="15">
        <f>AH8</f>
        <v>0</v>
      </c>
      <c r="AO145" s="8">
        <f>AI8</f>
        <v>0</v>
      </c>
      <c r="AP145" s="6">
        <f>AJ8</f>
        <v>0</v>
      </c>
      <c r="AQ145" s="6">
        <f>AK8</f>
        <v>0</v>
      </c>
      <c r="AR145" s="13">
        <f>AL8</f>
        <v>0</v>
      </c>
      <c r="AT145" s="15">
        <f>AH9</f>
        <v>0</v>
      </c>
      <c r="AU145" s="8">
        <f>AI9</f>
        <v>0</v>
      </c>
      <c r="AV145" s="6">
        <f>AJ9</f>
        <v>0</v>
      </c>
      <c r="AW145" s="6">
        <f>AK9</f>
        <v>0</v>
      </c>
      <c r="AX145" s="13">
        <f>AL9</f>
        <v>0</v>
      </c>
      <c r="AZ145" s="15">
        <f>AH10</f>
        <v>0</v>
      </c>
      <c r="BA145" s="8">
        <f>AI10</f>
        <v>0</v>
      </c>
      <c r="BB145" s="6">
        <f>AJ10</f>
        <v>0</v>
      </c>
      <c r="BC145" s="6">
        <f>AK10</f>
        <v>0</v>
      </c>
      <c r="BD145" s="13">
        <f>AL10</f>
        <v>0</v>
      </c>
      <c r="BF145" s="15">
        <f>AH11</f>
        <v>0</v>
      </c>
      <c r="BG145" s="8">
        <f>AI11</f>
        <v>0</v>
      </c>
      <c r="BH145" s="6">
        <f>AJ11</f>
        <v>0</v>
      </c>
      <c r="BI145" s="6">
        <f>AK11</f>
        <v>0</v>
      </c>
      <c r="BJ145" s="13">
        <f>AL11</f>
        <v>0</v>
      </c>
    </row>
    <row r="146" spans="1:62" x14ac:dyDescent="0.25">
      <c r="A146" s="10">
        <v>225</v>
      </c>
      <c r="B146" s="17">
        <f t="shared" ref="B146:B151" si="42">SUMIFS($J$14:$J$113,$H$14:$H$113,$A$144,$I$14:$I$113,A146)</f>
        <v>0</v>
      </c>
      <c r="D146" s="10">
        <v>1000</v>
      </c>
      <c r="E146" s="17">
        <f>SUMIFS($J$14:$J$113,$H$14:$H$113,$D$144,$I$14:$I$113,D146)</f>
        <v>0</v>
      </c>
      <c r="G146" s="10">
        <v>1000</v>
      </c>
      <c r="H146" s="17">
        <f>SUMIFS($J$14:$J$113,$H$14:$H$113,$G$144,$I$14:$I$113,G146)</f>
        <v>0</v>
      </c>
      <c r="J146" s="163"/>
      <c r="K146" s="164"/>
      <c r="M146" s="163"/>
      <c r="N146" s="164"/>
      <c r="P146" s="163"/>
      <c r="Q146" s="164"/>
      <c r="S146" s="16">
        <v>300</v>
      </c>
      <c r="T146" s="11">
        <f>SUMIFS($J$14:$J$113,$I$14:$I$113,$S146,$K$14:$K$113,T$145,$H$14:$H$113,$T$144)</f>
        <v>0</v>
      </c>
      <c r="U146" s="11">
        <f>SUMIFS($J$14:$J$113,$I$14:$I$113,$S146,$K$14:$K$113,U$145,$H$14:$H$113,$T$144)</f>
        <v>0</v>
      </c>
      <c r="V146" s="16">
        <f>SUM(T146:U146)*S146</f>
        <v>0</v>
      </c>
      <c r="W146" s="16">
        <f>T146+U146</f>
        <v>0</v>
      </c>
      <c r="AH146" s="15">
        <f>AN7</f>
        <v>0</v>
      </c>
      <c r="AI146" s="8">
        <f>AO7</f>
        <v>0</v>
      </c>
      <c r="AJ146" s="6">
        <f>AP7</f>
        <v>0</v>
      </c>
      <c r="AK146" s="6">
        <f>AQ7</f>
        <v>0</v>
      </c>
      <c r="AL146" s="13">
        <f>AR7</f>
        <v>0</v>
      </c>
      <c r="AN146" s="15">
        <f>AN8</f>
        <v>0</v>
      </c>
      <c r="AO146" s="8">
        <f>AO8</f>
        <v>0</v>
      </c>
      <c r="AP146" s="6">
        <f>AP8</f>
        <v>0</v>
      </c>
      <c r="AQ146" s="6">
        <f>AQ8</f>
        <v>0</v>
      </c>
      <c r="AR146" s="13">
        <f>AR8</f>
        <v>0</v>
      </c>
      <c r="AT146" s="15">
        <f>AN9</f>
        <v>0</v>
      </c>
      <c r="AU146" s="8">
        <f>AO9</f>
        <v>0</v>
      </c>
      <c r="AV146" s="6">
        <f>AP9</f>
        <v>0</v>
      </c>
      <c r="AW146" s="6">
        <f>AQ9</f>
        <v>0</v>
      </c>
      <c r="AX146" s="13">
        <f>AR9</f>
        <v>0</v>
      </c>
      <c r="AZ146" s="15">
        <f>AN10</f>
        <v>0</v>
      </c>
      <c r="BA146" s="8">
        <f>AO10</f>
        <v>0</v>
      </c>
      <c r="BB146" s="6">
        <f>AP10</f>
        <v>0</v>
      </c>
      <c r="BC146" s="6">
        <f>AQ10</f>
        <v>0</v>
      </c>
      <c r="BD146" s="13">
        <f>AR10</f>
        <v>0</v>
      </c>
      <c r="BF146" s="15">
        <f>AN11</f>
        <v>0</v>
      </c>
      <c r="BG146" s="8">
        <f>AO11</f>
        <v>0</v>
      </c>
      <c r="BH146" s="6">
        <f>AP11</f>
        <v>0</v>
      </c>
      <c r="BI146" s="6">
        <f>AQ11</f>
        <v>0</v>
      </c>
      <c r="BJ146" s="13">
        <f>AR11</f>
        <v>0</v>
      </c>
    </row>
    <row r="147" spans="1:62" ht="15.75" thickBot="1" x14ac:dyDescent="0.3">
      <c r="A147" s="8">
        <v>325</v>
      </c>
      <c r="B147" s="17">
        <f t="shared" si="42"/>
        <v>0</v>
      </c>
      <c r="D147" s="9">
        <v>3000</v>
      </c>
      <c r="E147" s="17">
        <f>SUMIFS($J$14:$J$113,$H$14:$H$113,$D$144,$I$14:$I$113,D147)</f>
        <v>0</v>
      </c>
      <c r="G147" s="31">
        <v>2000</v>
      </c>
      <c r="H147" s="17">
        <f>SUMIFS($J$14:$J$113,$H$14:$H$113,$G$144,$I$14:$I$113,G147)</f>
        <v>0</v>
      </c>
      <c r="J147" s="165"/>
      <c r="K147" s="166"/>
      <c r="M147" s="165"/>
      <c r="N147" s="166"/>
      <c r="P147" s="165"/>
      <c r="Q147" s="166"/>
      <c r="S147" s="16">
        <v>500</v>
      </c>
      <c r="T147" s="11">
        <f t="shared" ref="T147:U154" si="43">SUMIFS($J$14:$J$113,$I$14:$I$113,$S147,$K$14:$K$113,T$145,$H$14:$H$113,$T$144)</f>
        <v>0</v>
      </c>
      <c r="U147" s="11">
        <f t="shared" si="43"/>
        <v>0</v>
      </c>
      <c r="V147" s="16">
        <f t="shared" ref="V147:V154" si="44">SUM(T147:U147)*S147</f>
        <v>0</v>
      </c>
      <c r="W147" s="16">
        <f t="shared" ref="W147:W154" si="45">T147+U147</f>
        <v>0</v>
      </c>
      <c r="AA147" s="167" t="s">
        <v>37</v>
      </c>
      <c r="AB147" s="167"/>
      <c r="AC147" s="167"/>
      <c r="AD147" s="167" t="s">
        <v>113</v>
      </c>
      <c r="AE147" s="167"/>
      <c r="AF147" s="167"/>
      <c r="AH147" s="15">
        <f>AT7</f>
        <v>0</v>
      </c>
      <c r="AI147" s="8">
        <f>AU7</f>
        <v>0</v>
      </c>
      <c r="AJ147" s="6">
        <f>AV7</f>
        <v>0</v>
      </c>
      <c r="AK147" s="6">
        <f>AW7</f>
        <v>0</v>
      </c>
      <c r="AL147" s="13">
        <f>AX7</f>
        <v>0</v>
      </c>
      <c r="AN147" s="15">
        <f>AT8</f>
        <v>0</v>
      </c>
      <c r="AO147" s="8">
        <f>AU8</f>
        <v>0</v>
      </c>
      <c r="AP147" s="6">
        <f>AV8</f>
        <v>0</v>
      </c>
      <c r="AQ147" s="6">
        <f>AW8</f>
        <v>0</v>
      </c>
      <c r="AR147" s="13">
        <f>AX8</f>
        <v>0</v>
      </c>
      <c r="AT147" s="15">
        <f>AT9</f>
        <v>0</v>
      </c>
      <c r="AU147" s="8">
        <f>AU9</f>
        <v>0</v>
      </c>
      <c r="AV147" s="6">
        <f>AV9</f>
        <v>0</v>
      </c>
      <c r="AW147" s="6">
        <f>AW9</f>
        <v>0</v>
      </c>
      <c r="AX147" s="13">
        <f>AX9</f>
        <v>0</v>
      </c>
      <c r="AZ147" s="15">
        <f>AT10</f>
        <v>0</v>
      </c>
      <c r="BA147" s="8">
        <f>AU10</f>
        <v>0</v>
      </c>
      <c r="BB147" s="6">
        <f>AV10</f>
        <v>0</v>
      </c>
      <c r="BC147" s="6">
        <f>AW10</f>
        <v>0</v>
      </c>
      <c r="BD147" s="13">
        <f>AX10</f>
        <v>0</v>
      </c>
      <c r="BF147" s="15">
        <f>AT11</f>
        <v>0</v>
      </c>
      <c r="BG147" s="8">
        <f>AU11</f>
        <v>0</v>
      </c>
      <c r="BH147" s="6">
        <f>AV11</f>
        <v>0</v>
      </c>
      <c r="BI147" s="6">
        <f>AW11</f>
        <v>0</v>
      </c>
      <c r="BJ147" s="13">
        <f>AX11</f>
        <v>0</v>
      </c>
    </row>
    <row r="148" spans="1:62" ht="15.75" thickBot="1" x14ac:dyDescent="0.3">
      <c r="A148" s="8">
        <v>400</v>
      </c>
      <c r="B148" s="17">
        <f t="shared" si="42"/>
        <v>0</v>
      </c>
      <c r="D148" s="60" t="s">
        <v>24</v>
      </c>
      <c r="E148" s="62">
        <f>SUMPRODUCT(D146:D147,E146:E147)</f>
        <v>0</v>
      </c>
      <c r="G148" s="60" t="s">
        <v>24</v>
      </c>
      <c r="H148" s="62">
        <f>SUMPRODUCT(G146:G147,H146:H147)</f>
        <v>0</v>
      </c>
      <c r="J148" s="60" t="s">
        <v>29</v>
      </c>
      <c r="K148" s="62" t="s">
        <v>102</v>
      </c>
      <c r="M148" s="60" t="s">
        <v>29</v>
      </c>
      <c r="N148" s="62" t="s">
        <v>102</v>
      </c>
      <c r="P148" s="60" t="s">
        <v>29</v>
      </c>
      <c r="Q148" s="62" t="s">
        <v>102</v>
      </c>
      <c r="S148" s="15">
        <v>750</v>
      </c>
      <c r="T148" s="11">
        <f t="shared" si="43"/>
        <v>0</v>
      </c>
      <c r="U148" s="11">
        <f t="shared" si="43"/>
        <v>0</v>
      </c>
      <c r="V148" s="16">
        <f t="shared" si="44"/>
        <v>0</v>
      </c>
      <c r="W148" s="16">
        <f t="shared" si="45"/>
        <v>0</v>
      </c>
      <c r="AA148" s="167" t="str">
        <f>"TANKS: " &amp; SUM(B128:AE128,B146:B151,E146:E147,H146:H147,B142:AE142,W155)</f>
        <v>TANKS: 48</v>
      </c>
      <c r="AB148" s="167"/>
      <c r="AC148" s="167"/>
      <c r="AD148" s="167" t="str">
        <f>"LTRS: " &amp;SUM(AF128,B152,E148,H148,AF142,V155)</f>
        <v>LTRS: 39500</v>
      </c>
      <c r="AE148" s="167"/>
      <c r="AF148" s="167"/>
      <c r="AH148" s="15">
        <f>AZ7</f>
        <v>0</v>
      </c>
      <c r="AI148" s="8">
        <f>BA7</f>
        <v>0</v>
      </c>
      <c r="AJ148" s="6">
        <f>BB7</f>
        <v>0</v>
      </c>
      <c r="AK148" s="6">
        <f>BC7</f>
        <v>0</v>
      </c>
      <c r="AL148" s="13">
        <f>BD7</f>
        <v>0</v>
      </c>
      <c r="AN148" s="15">
        <f>AZ8</f>
        <v>0</v>
      </c>
      <c r="AO148" s="8">
        <f>BA8</f>
        <v>0</v>
      </c>
      <c r="AP148" s="6">
        <f>BB8</f>
        <v>0</v>
      </c>
      <c r="AQ148" s="6">
        <f>BC8</f>
        <v>0</v>
      </c>
      <c r="AR148" s="13">
        <f>BD8</f>
        <v>0</v>
      </c>
      <c r="AT148" s="15">
        <f>AZ9</f>
        <v>0</v>
      </c>
      <c r="AU148" s="8">
        <f>BA9</f>
        <v>0</v>
      </c>
      <c r="AV148" s="6">
        <f>BB9</f>
        <v>0</v>
      </c>
      <c r="AW148" s="6">
        <f>BC9</f>
        <v>0</v>
      </c>
      <c r="AX148" s="13">
        <f>BD9</f>
        <v>0</v>
      </c>
      <c r="AZ148" s="15">
        <f>AZ10</f>
        <v>0</v>
      </c>
      <c r="BA148" s="8">
        <f>BA10</f>
        <v>0</v>
      </c>
      <c r="BB148" s="6">
        <f>BB10</f>
        <v>0</v>
      </c>
      <c r="BC148" s="6">
        <f>BC10</f>
        <v>0</v>
      </c>
      <c r="BD148" s="13">
        <f>BD10</f>
        <v>0</v>
      </c>
      <c r="BF148" s="15">
        <f>AZ11</f>
        <v>0</v>
      </c>
      <c r="BG148" s="8">
        <f>BA11</f>
        <v>0</v>
      </c>
      <c r="BH148" s="6">
        <f>BB11</f>
        <v>0</v>
      </c>
      <c r="BI148" s="6">
        <f>BC11</f>
        <v>0</v>
      </c>
      <c r="BJ148" s="13">
        <f>BD11</f>
        <v>0</v>
      </c>
    </row>
    <row r="149" spans="1:62" x14ac:dyDescent="0.25">
      <c r="A149" s="8">
        <v>500</v>
      </c>
      <c r="B149" s="17">
        <f t="shared" si="42"/>
        <v>0</v>
      </c>
      <c r="J149" s="10" t="s">
        <v>17</v>
      </c>
      <c r="K149" s="17">
        <f>SUMIFS($J$14:$J$113,$H$14:$H$113,"CAP16_1",$K$14:$K$113,J149)</f>
        <v>0</v>
      </c>
      <c r="M149" s="10" t="s">
        <v>17</v>
      </c>
      <c r="N149" s="17">
        <f>SUMIFS($J$14:$J$113,$H$14:$H$113,"CAP16_2",$K$14:$K$113,M149)</f>
        <v>0</v>
      </c>
      <c r="P149" s="10" t="s">
        <v>17</v>
      </c>
      <c r="Q149" s="17">
        <f>SUMIFS($J$14:$J$113,$H$14:$H$113,"CAP19",$K$14:$K$113,P149)</f>
        <v>0</v>
      </c>
      <c r="S149" s="15">
        <v>1000</v>
      </c>
      <c r="T149" s="11">
        <f t="shared" si="43"/>
        <v>0</v>
      </c>
      <c r="U149" s="11">
        <f t="shared" si="43"/>
        <v>0</v>
      </c>
      <c r="V149" s="16">
        <f t="shared" si="44"/>
        <v>0</v>
      </c>
      <c r="W149" s="16">
        <f t="shared" si="45"/>
        <v>0</v>
      </c>
      <c r="AA149" s="167" t="s">
        <v>76</v>
      </c>
      <c r="AB149" s="167"/>
      <c r="AC149" s="167"/>
      <c r="AD149" s="176">
        <f>D114</f>
        <v>46008</v>
      </c>
      <c r="AE149" s="176"/>
      <c r="AF149" s="176"/>
      <c r="AH149" s="15">
        <f>BF7</f>
        <v>0</v>
      </c>
      <c r="AI149" s="8">
        <f>BG7</f>
        <v>0</v>
      </c>
      <c r="AJ149" s="6">
        <f>BH7</f>
        <v>0</v>
      </c>
      <c r="AK149" s="6">
        <f>BI7</f>
        <v>0</v>
      </c>
      <c r="AL149" s="13">
        <f>BJ7</f>
        <v>0</v>
      </c>
      <c r="AN149" s="15">
        <f>BF8</f>
        <v>0</v>
      </c>
      <c r="AO149" s="8">
        <f>BG8</f>
        <v>0</v>
      </c>
      <c r="AP149" s="6">
        <f>BH8</f>
        <v>0</v>
      </c>
      <c r="AQ149" s="6">
        <f>BI8</f>
        <v>0</v>
      </c>
      <c r="AR149" s="13">
        <f>BJ8</f>
        <v>0</v>
      </c>
      <c r="AT149" s="15">
        <f>BF9</f>
        <v>0</v>
      </c>
      <c r="AU149" s="8">
        <f>BG9</f>
        <v>0</v>
      </c>
      <c r="AV149" s="6">
        <f>BH9</f>
        <v>0</v>
      </c>
      <c r="AW149" s="6">
        <f>BI9</f>
        <v>0</v>
      </c>
      <c r="AX149" s="13">
        <f>BJ9</f>
        <v>0</v>
      </c>
      <c r="AZ149" s="15">
        <f>BF10</f>
        <v>0</v>
      </c>
      <c r="BA149" s="8">
        <f>BG10</f>
        <v>0</v>
      </c>
      <c r="BB149" s="6">
        <f>BH10</f>
        <v>0</v>
      </c>
      <c r="BC149" s="6">
        <f>BI10</f>
        <v>0</v>
      </c>
      <c r="BD149" s="13">
        <f>BJ10</f>
        <v>0</v>
      </c>
      <c r="BF149" s="15">
        <f>BF11</f>
        <v>0</v>
      </c>
      <c r="BG149" s="8">
        <f>BG11</f>
        <v>0</v>
      </c>
      <c r="BH149" s="6">
        <f>BH11</f>
        <v>0</v>
      </c>
      <c r="BI149" s="6">
        <f>BI11</f>
        <v>0</v>
      </c>
      <c r="BJ149" s="13">
        <f>BJ11</f>
        <v>0</v>
      </c>
    </row>
    <row r="150" spans="1:62" ht="15.75" thickBot="1" x14ac:dyDescent="0.3">
      <c r="A150" s="8">
        <v>750</v>
      </c>
      <c r="B150" s="17">
        <f t="shared" si="42"/>
        <v>0</v>
      </c>
      <c r="J150" s="8" t="s">
        <v>19</v>
      </c>
      <c r="K150" s="17">
        <f t="shared" ref="K150:K153" si="46">SUMIFS($J$14:$J$113,$H$14:$H$113,"CAP16_1",$K$14:$K$113,J150)</f>
        <v>0</v>
      </c>
      <c r="M150" s="8" t="s">
        <v>19</v>
      </c>
      <c r="N150" s="17">
        <f t="shared" ref="N150:N153" si="47">SUMIFS($J$14:$J$113,$H$14:$H$113,"CAP16_2",$K$14:$K$113,M150)</f>
        <v>0</v>
      </c>
      <c r="P150" s="8" t="s">
        <v>19</v>
      </c>
      <c r="Q150" s="17">
        <f t="shared" ref="Q150:Q153" si="48">SUMIFS($J$14:$J$113,$H$14:$H$113,"CAP19",$K$14:$K$113,P150)</f>
        <v>0</v>
      </c>
      <c r="S150" s="15">
        <v>1500</v>
      </c>
      <c r="T150" s="11">
        <f t="shared" si="43"/>
        <v>0</v>
      </c>
      <c r="U150" s="11">
        <f t="shared" si="43"/>
        <v>0</v>
      </c>
      <c r="V150" s="16">
        <f t="shared" si="44"/>
        <v>0</v>
      </c>
      <c r="W150" s="16">
        <f t="shared" si="45"/>
        <v>0</v>
      </c>
      <c r="AH150" s="59">
        <f>BL7</f>
        <v>0</v>
      </c>
      <c r="AI150" s="31">
        <f>BM7</f>
        <v>0</v>
      </c>
      <c r="AJ150" s="32">
        <f>BN7</f>
        <v>0</v>
      </c>
      <c r="AK150" s="32">
        <f>BO7</f>
        <v>0</v>
      </c>
      <c r="AL150" s="33">
        <f>BP7</f>
        <v>0</v>
      </c>
      <c r="AN150" s="59">
        <f>BL8</f>
        <v>0</v>
      </c>
      <c r="AO150" s="31">
        <f>BM8</f>
        <v>0</v>
      </c>
      <c r="AP150" s="32">
        <f>BN8</f>
        <v>0</v>
      </c>
      <c r="AQ150" s="32">
        <f>BO8</f>
        <v>0</v>
      </c>
      <c r="AR150" s="33">
        <f>BP8</f>
        <v>0</v>
      </c>
      <c r="AT150" s="59">
        <f>BL9</f>
        <v>0</v>
      </c>
      <c r="AU150" s="31">
        <f>BM9</f>
        <v>0</v>
      </c>
      <c r="AV150" s="32">
        <f>BN9</f>
        <v>0</v>
      </c>
      <c r="AW150" s="32">
        <f>BO9</f>
        <v>0</v>
      </c>
      <c r="AX150" s="33">
        <f>BP9</f>
        <v>0</v>
      </c>
      <c r="AZ150" s="59">
        <f>BL10</f>
        <v>0</v>
      </c>
      <c r="BA150" s="31">
        <f>BM10</f>
        <v>0</v>
      </c>
      <c r="BB150" s="32">
        <f>BN10</f>
        <v>0</v>
      </c>
      <c r="BC150" s="32">
        <f>BO10</f>
        <v>0</v>
      </c>
      <c r="BD150" s="33">
        <f>BP10</f>
        <v>0</v>
      </c>
      <c r="BF150" s="59">
        <f>BL11</f>
        <v>0</v>
      </c>
      <c r="BG150" s="31">
        <f>BM11</f>
        <v>0</v>
      </c>
      <c r="BH150" s="32">
        <f>BN11</f>
        <v>0</v>
      </c>
      <c r="BI150" s="32">
        <f>BO11</f>
        <v>0</v>
      </c>
      <c r="BJ150" s="33">
        <f>BP11</f>
        <v>0</v>
      </c>
    </row>
    <row r="151" spans="1:62" ht="15.75" thickBot="1" x14ac:dyDescent="0.3">
      <c r="A151" s="9">
        <v>1000</v>
      </c>
      <c r="B151" s="17">
        <f t="shared" si="42"/>
        <v>0</v>
      </c>
      <c r="J151" s="8" t="s">
        <v>32</v>
      </c>
      <c r="K151" s="17">
        <f t="shared" si="46"/>
        <v>0</v>
      </c>
      <c r="M151" s="8" t="s">
        <v>32</v>
      </c>
      <c r="N151" s="17">
        <f t="shared" si="47"/>
        <v>0</v>
      </c>
      <c r="P151" s="8" t="s">
        <v>32</v>
      </c>
      <c r="Q151" s="17">
        <f t="shared" si="48"/>
        <v>0</v>
      </c>
      <c r="S151" s="15">
        <v>2000</v>
      </c>
      <c r="T151" s="11">
        <f t="shared" si="43"/>
        <v>0</v>
      </c>
      <c r="U151" s="11">
        <f t="shared" si="43"/>
        <v>0</v>
      </c>
      <c r="V151" s="16">
        <f t="shared" si="44"/>
        <v>0</v>
      </c>
      <c r="W151" s="16">
        <f t="shared" si="45"/>
        <v>0</v>
      </c>
      <c r="AH151" s="35">
        <f>C7</f>
        <v>0</v>
      </c>
      <c r="AI151" s="158">
        <f>SUM(AI141:AI150)</f>
        <v>0</v>
      </c>
      <c r="AJ151" s="159"/>
      <c r="AK151" s="158">
        <f>BT7</f>
        <v>0</v>
      </c>
      <c r="AL151" s="159"/>
      <c r="AN151" s="35">
        <f>C8</f>
        <v>0</v>
      </c>
      <c r="AO151" s="158">
        <f>SUM(AO141:AO150)</f>
        <v>0</v>
      </c>
      <c r="AP151" s="159"/>
      <c r="AQ151" s="158">
        <f>BT8</f>
        <v>0</v>
      </c>
      <c r="AR151" s="159"/>
      <c r="AT151" s="35">
        <f>C9</f>
        <v>0</v>
      </c>
      <c r="AU151" s="158">
        <f>SUM(AU141:AU150)</f>
        <v>0</v>
      </c>
      <c r="AV151" s="159"/>
      <c r="AW151" s="158">
        <f>BT9</f>
        <v>0</v>
      </c>
      <c r="AX151" s="159"/>
      <c r="AZ151" s="35">
        <f>C10</f>
        <v>0</v>
      </c>
      <c r="BA151" s="158">
        <f>SUM(BA141:BA150)</f>
        <v>0</v>
      </c>
      <c r="BB151" s="159"/>
      <c r="BC151" s="158">
        <f>BT10</f>
        <v>0</v>
      </c>
      <c r="BD151" s="159"/>
      <c r="BF151" s="35">
        <f>C11</f>
        <v>0</v>
      </c>
      <c r="BG151" s="158">
        <f>SUM(BG141:BG150)</f>
        <v>0</v>
      </c>
      <c r="BH151" s="159"/>
      <c r="BI151" s="158">
        <f>BT11</f>
        <v>0</v>
      </c>
      <c r="BJ151" s="159"/>
    </row>
    <row r="152" spans="1:62" ht="15.75" thickBot="1" x14ac:dyDescent="0.3">
      <c r="A152" s="60" t="s">
        <v>24</v>
      </c>
      <c r="B152" s="62">
        <f>SUMPRODUCT(A146:A151,B146:B151)</f>
        <v>0</v>
      </c>
      <c r="J152" s="8" t="s">
        <v>33</v>
      </c>
      <c r="K152" s="17">
        <f t="shared" si="46"/>
        <v>0</v>
      </c>
      <c r="M152" s="8" t="s">
        <v>33</v>
      </c>
      <c r="N152" s="17">
        <f t="shared" si="47"/>
        <v>0</v>
      </c>
      <c r="P152" s="8" t="s">
        <v>33</v>
      </c>
      <c r="Q152" s="17">
        <f t="shared" si="48"/>
        <v>0</v>
      </c>
      <c r="S152" s="15">
        <v>3000</v>
      </c>
      <c r="T152" s="11">
        <f t="shared" si="43"/>
        <v>0</v>
      </c>
      <c r="U152" s="11">
        <f t="shared" si="43"/>
        <v>0</v>
      </c>
      <c r="V152" s="16">
        <f t="shared" si="44"/>
        <v>0</v>
      </c>
      <c r="W152" s="16">
        <f t="shared" si="45"/>
        <v>0</v>
      </c>
      <c r="AH152" s="35" t="s">
        <v>25</v>
      </c>
      <c r="AI152" s="158">
        <f>A7</f>
        <v>0</v>
      </c>
      <c r="AJ152" s="160"/>
      <c r="AK152" s="158">
        <f>BR7</f>
        <v>0</v>
      </c>
      <c r="AL152" s="159"/>
      <c r="AN152" s="35" t="s">
        <v>25</v>
      </c>
      <c r="AO152" s="158">
        <f>A8</f>
        <v>0</v>
      </c>
      <c r="AP152" s="160"/>
      <c r="AQ152" s="158">
        <f>BR8</f>
        <v>0</v>
      </c>
      <c r="AR152" s="159"/>
      <c r="AT152" s="35" t="s">
        <v>25</v>
      </c>
      <c r="AU152" s="158">
        <f>A9</f>
        <v>0</v>
      </c>
      <c r="AV152" s="160"/>
      <c r="AW152" s="158">
        <f>BR9</f>
        <v>0</v>
      </c>
      <c r="AX152" s="159"/>
      <c r="AZ152" s="35" t="s">
        <v>25</v>
      </c>
      <c r="BA152" s="158">
        <f>A10</f>
        <v>0</v>
      </c>
      <c r="BB152" s="160"/>
      <c r="BC152" s="158">
        <f>BR10</f>
        <v>0</v>
      </c>
      <c r="BD152" s="159"/>
      <c r="BF152" s="35" t="s">
        <v>25</v>
      </c>
      <c r="BG152" s="158">
        <f>A11</f>
        <v>0</v>
      </c>
      <c r="BH152" s="160"/>
      <c r="BI152" s="158">
        <f>BR11</f>
        <v>0</v>
      </c>
      <c r="BJ152" s="159"/>
    </row>
    <row r="153" spans="1:62" ht="15.75" thickBot="1" x14ac:dyDescent="0.3">
      <c r="J153" s="9" t="s">
        <v>80</v>
      </c>
      <c r="K153" s="17">
        <f t="shared" si="46"/>
        <v>0</v>
      </c>
      <c r="M153" s="9" t="s">
        <v>80</v>
      </c>
      <c r="N153" s="17">
        <f t="shared" si="47"/>
        <v>0</v>
      </c>
      <c r="P153" s="9" t="s">
        <v>80</v>
      </c>
      <c r="Q153" s="17">
        <f t="shared" si="48"/>
        <v>0</v>
      </c>
      <c r="S153" s="15">
        <v>5000</v>
      </c>
      <c r="T153" s="11">
        <f t="shared" si="43"/>
        <v>0</v>
      </c>
      <c r="U153" s="11">
        <f t="shared" si="43"/>
        <v>0</v>
      </c>
      <c r="V153" s="16">
        <f t="shared" si="44"/>
        <v>0</v>
      </c>
      <c r="W153" s="16">
        <f t="shared" si="45"/>
        <v>0</v>
      </c>
      <c r="AH153" s="58" t="s">
        <v>130</v>
      </c>
      <c r="AI153" s="58" t="s">
        <v>131</v>
      </c>
      <c r="AJ153" s="58" t="s">
        <v>132</v>
      </c>
      <c r="AK153" s="58" t="s">
        <v>166</v>
      </c>
      <c r="AL153" s="58" t="s">
        <v>33</v>
      </c>
      <c r="AN153" s="58" t="s">
        <v>130</v>
      </c>
      <c r="AO153" s="58" t="s">
        <v>131</v>
      </c>
      <c r="AP153" s="58" t="s">
        <v>132</v>
      </c>
      <c r="AQ153" s="58" t="s">
        <v>166</v>
      </c>
      <c r="AR153" s="58" t="s">
        <v>33</v>
      </c>
      <c r="AT153" s="58" t="s">
        <v>130</v>
      </c>
      <c r="AU153" s="58" t="s">
        <v>131</v>
      </c>
      <c r="AV153" s="58" t="s">
        <v>132</v>
      </c>
      <c r="AW153" s="58" t="s">
        <v>166</v>
      </c>
      <c r="AX153" s="58" t="s">
        <v>33</v>
      </c>
      <c r="AZ153" s="58" t="s">
        <v>130</v>
      </c>
      <c r="BA153" s="58" t="s">
        <v>131</v>
      </c>
      <c r="BB153" s="58" t="s">
        <v>132</v>
      </c>
      <c r="BC153" s="58" t="s">
        <v>166</v>
      </c>
      <c r="BD153" s="58" t="s">
        <v>33</v>
      </c>
      <c r="BF153" s="58" t="s">
        <v>130</v>
      </c>
      <c r="BG153" s="58" t="s">
        <v>131</v>
      </c>
      <c r="BH153" s="58" t="s">
        <v>132</v>
      </c>
      <c r="BI153" s="58" t="s">
        <v>166</v>
      </c>
      <c r="BJ153" s="58" t="s">
        <v>33</v>
      </c>
    </row>
    <row r="154" spans="1:62" ht="15.75" thickBot="1" x14ac:dyDescent="0.3">
      <c r="J154" s="60" t="s">
        <v>24</v>
      </c>
      <c r="K154" s="62">
        <f>SUM(K149:K153)</f>
        <v>0</v>
      </c>
      <c r="M154" s="60" t="s">
        <v>24</v>
      </c>
      <c r="N154" s="62">
        <f>SUM(N149:N153)</f>
        <v>0</v>
      </c>
      <c r="P154" s="60" t="s">
        <v>24</v>
      </c>
      <c r="Q154" s="62">
        <f>SUM(Q149:Q153)</f>
        <v>0</v>
      </c>
      <c r="S154" s="59">
        <v>10000</v>
      </c>
      <c r="T154" s="11">
        <f t="shared" si="43"/>
        <v>0</v>
      </c>
      <c r="U154" s="11">
        <f t="shared" si="43"/>
        <v>0</v>
      </c>
      <c r="V154" s="16">
        <f t="shared" si="44"/>
        <v>0</v>
      </c>
      <c r="W154" s="16">
        <f t="shared" si="45"/>
        <v>0</v>
      </c>
      <c r="AH154" s="34" t="str">
        <f>AZ19</f>
        <v/>
      </c>
      <c r="AI154" s="34" t="str">
        <f>BA19</f>
        <v/>
      </c>
      <c r="AJ154" s="34" t="str">
        <f>BB19</f>
        <v/>
      </c>
      <c r="AK154" s="35" t="str">
        <f>BC19</f>
        <v/>
      </c>
      <c r="AL154" s="35" t="str">
        <f>BD19</f>
        <v/>
      </c>
      <c r="AN154" s="34" t="str">
        <f>AZ20</f>
        <v/>
      </c>
      <c r="AO154" s="34" t="str">
        <f>BA20</f>
        <v/>
      </c>
      <c r="AP154" s="34" t="str">
        <f>BB20</f>
        <v/>
      </c>
      <c r="AQ154" s="35" t="str">
        <f>BC20</f>
        <v/>
      </c>
      <c r="AR154" s="35" t="str">
        <f>BD20</f>
        <v/>
      </c>
      <c r="AT154" s="34" t="str">
        <f>AZ21</f>
        <v/>
      </c>
      <c r="AU154" s="34" t="str">
        <f>BA21</f>
        <v/>
      </c>
      <c r="AV154" s="34" t="str">
        <f>BB21</f>
        <v/>
      </c>
      <c r="AW154" s="35" t="str">
        <f>BC21</f>
        <v/>
      </c>
      <c r="AX154" s="35" t="str">
        <f>BD21</f>
        <v/>
      </c>
      <c r="AZ154" s="34" t="str">
        <f>AZ22</f>
        <v/>
      </c>
      <c r="BA154" s="34" t="str">
        <f>BA22</f>
        <v/>
      </c>
      <c r="BB154" s="34" t="str">
        <f>BB22</f>
        <v/>
      </c>
      <c r="BC154" s="35" t="str">
        <f>BC22</f>
        <v/>
      </c>
      <c r="BD154" s="35" t="str">
        <f>BD22</f>
        <v/>
      </c>
      <c r="BF154" s="34" t="str">
        <f>AZ23</f>
        <v/>
      </c>
      <c r="BG154" s="34" t="str">
        <f>BA23</f>
        <v/>
      </c>
      <c r="BH154" s="34" t="str">
        <f>BB23</f>
        <v/>
      </c>
      <c r="BI154" s="35" t="str">
        <f>BC23</f>
        <v/>
      </c>
      <c r="BJ154" s="35" t="str">
        <f>BD23</f>
        <v/>
      </c>
    </row>
    <row r="155" spans="1:62" ht="15.75" thickBot="1" x14ac:dyDescent="0.3">
      <c r="S155" s="35"/>
      <c r="T155" s="61">
        <f>SUM(T146:T154)</f>
        <v>0</v>
      </c>
      <c r="U155" s="61">
        <f t="shared" ref="U155:W155" si="49">SUM(U146:U154)</f>
        <v>0</v>
      </c>
      <c r="V155" s="35">
        <f t="shared" si="49"/>
        <v>0</v>
      </c>
      <c r="W155" s="35">
        <f t="shared" si="49"/>
        <v>0</v>
      </c>
      <c r="AH155" s="58" t="s">
        <v>22</v>
      </c>
      <c r="AI155" s="58" t="s">
        <v>20</v>
      </c>
      <c r="AJ155" s="58" t="s">
        <v>34</v>
      </c>
      <c r="AK155" s="58" t="s">
        <v>127</v>
      </c>
      <c r="AL155" s="58" t="s">
        <v>129</v>
      </c>
      <c r="AN155" s="58" t="s">
        <v>22</v>
      </c>
      <c r="AO155" s="58" t="s">
        <v>20</v>
      </c>
      <c r="AP155" s="58" t="s">
        <v>34</v>
      </c>
      <c r="AQ155" s="58" t="s">
        <v>127</v>
      </c>
      <c r="AR155" s="58" t="s">
        <v>129</v>
      </c>
      <c r="AT155" s="58" t="s">
        <v>22</v>
      </c>
      <c r="AU155" s="58" t="s">
        <v>20</v>
      </c>
      <c r="AV155" s="58" t="s">
        <v>34</v>
      </c>
      <c r="AW155" s="58" t="s">
        <v>127</v>
      </c>
      <c r="AX155" s="58" t="s">
        <v>129</v>
      </c>
      <c r="AZ155" s="58" t="s">
        <v>22</v>
      </c>
      <c r="BA155" s="58" t="s">
        <v>20</v>
      </c>
      <c r="BB155" s="58" t="s">
        <v>34</v>
      </c>
      <c r="BC155" s="58" t="s">
        <v>127</v>
      </c>
      <c r="BD155" s="58" t="s">
        <v>129</v>
      </c>
      <c r="BF155" s="58" t="s">
        <v>22</v>
      </c>
      <c r="BG155" s="58" t="s">
        <v>20</v>
      </c>
      <c r="BH155" s="58" t="s">
        <v>34</v>
      </c>
      <c r="BI155" s="58" t="s">
        <v>127</v>
      </c>
      <c r="BJ155" s="58" t="s">
        <v>129</v>
      </c>
    </row>
    <row r="156" spans="1:62" ht="15.75" thickBot="1" x14ac:dyDescent="0.3">
      <c r="AH156" s="34" t="str">
        <f>AU19</f>
        <v/>
      </c>
      <c r="AI156" s="34" t="str">
        <f>AV19</f>
        <v/>
      </c>
      <c r="AJ156" s="34" t="str">
        <f>AW19</f>
        <v/>
      </c>
      <c r="AK156" s="35" t="str">
        <f>AX19</f>
        <v/>
      </c>
      <c r="AL156" s="35" t="str">
        <f>AY19</f>
        <v/>
      </c>
      <c r="AN156" s="34" t="str">
        <f>AU20</f>
        <v/>
      </c>
      <c r="AO156" s="34" t="str">
        <f>AV20</f>
        <v/>
      </c>
      <c r="AP156" s="34" t="str">
        <f>AW20</f>
        <v/>
      </c>
      <c r="AQ156" s="35" t="str">
        <f>AX20</f>
        <v/>
      </c>
      <c r="AR156" s="35" t="str">
        <f>AY20</f>
        <v/>
      </c>
      <c r="AT156" s="34" t="str">
        <f>AU21</f>
        <v/>
      </c>
      <c r="AU156" s="34" t="str">
        <f>AV21</f>
        <v/>
      </c>
      <c r="AV156" s="34" t="str">
        <f>AW21</f>
        <v/>
      </c>
      <c r="AW156" s="35" t="str">
        <f>AX21</f>
        <v/>
      </c>
      <c r="AX156" s="35" t="str">
        <f>AY21</f>
        <v/>
      </c>
      <c r="AZ156" s="34" t="str">
        <f>AU22</f>
        <v/>
      </c>
      <c r="BA156" s="34" t="str">
        <f>AV22</f>
        <v/>
      </c>
      <c r="BB156" s="34" t="str">
        <f>AW22</f>
        <v/>
      </c>
      <c r="BC156" s="35" t="str">
        <f>AX22</f>
        <v/>
      </c>
      <c r="BD156" s="35" t="str">
        <f>AY22</f>
        <v/>
      </c>
      <c r="BF156" s="34" t="str">
        <f>AU23</f>
        <v/>
      </c>
      <c r="BG156" s="34" t="str">
        <f>AV23</f>
        <v/>
      </c>
      <c r="BH156" s="34" t="str">
        <f>AW23</f>
        <v/>
      </c>
      <c r="BI156" s="35" t="str">
        <f>AX23</f>
        <v/>
      </c>
      <c r="BJ156" s="35" t="str">
        <f>AY23</f>
        <v/>
      </c>
    </row>
    <row r="157" spans="1:62" ht="13.7" customHeight="1" thickBot="1" x14ac:dyDescent="0.3"/>
    <row r="158" spans="1:62" ht="15.75" thickBot="1" x14ac:dyDescent="0.3">
      <c r="AH158" s="149" t="s">
        <v>37</v>
      </c>
      <c r="AI158" s="150"/>
      <c r="AJ158" s="150"/>
      <c r="AK158" s="151" t="str">
        <f>AD147</f>
        <v>KA41C4059</v>
      </c>
      <c r="AL158" s="151"/>
      <c r="AM158" s="152"/>
      <c r="AN158" s="157" t="str">
        <f>AA148</f>
        <v>TANKS: 48</v>
      </c>
      <c r="AO158" s="153"/>
      <c r="AP158" s="153" t="str">
        <f>AD148</f>
        <v>LTRS: 39500</v>
      </c>
      <c r="AQ158" s="153"/>
      <c r="AR158" s="154"/>
      <c r="AS158" s="150" t="s">
        <v>76</v>
      </c>
      <c r="AT158" s="150"/>
      <c r="AU158" s="155">
        <f>AD149</f>
        <v>46008</v>
      </c>
      <c r="AV158" s="155"/>
      <c r="AW158" s="156"/>
    </row>
    <row r="159" spans="1:62" ht="13.7" customHeight="1" x14ac:dyDescent="0.25"/>
    <row r="160" spans="1:62" ht="13.7" customHeight="1" thickBot="1" x14ac:dyDescent="0.3"/>
    <row r="161" spans="1:52" ht="13.7" customHeight="1" x14ac:dyDescent="0.25">
      <c r="A161" s="123" t="s">
        <v>31</v>
      </c>
      <c r="B161" s="113" t="s">
        <v>84</v>
      </c>
      <c r="C161" s="115"/>
      <c r="D161" s="113" t="s">
        <v>22</v>
      </c>
      <c r="E161" s="114"/>
      <c r="F161" s="114"/>
      <c r="G161" s="114"/>
      <c r="H161" s="115"/>
      <c r="I161" s="113" t="s">
        <v>20</v>
      </c>
      <c r="J161" s="114"/>
      <c r="K161" s="114"/>
      <c r="L161" s="114"/>
      <c r="M161" s="115"/>
      <c r="N161" s="113" t="s">
        <v>34</v>
      </c>
      <c r="O161" s="114"/>
      <c r="P161" s="114"/>
      <c r="Q161" s="114"/>
      <c r="R161" s="115"/>
      <c r="S161" s="113" t="s">
        <v>127</v>
      </c>
      <c r="T161" s="114"/>
      <c r="U161" s="114"/>
      <c r="V161" s="114"/>
      <c r="W161" s="115"/>
      <c r="X161" s="113" t="s">
        <v>129</v>
      </c>
      <c r="Y161" s="114"/>
      <c r="Z161" s="114"/>
      <c r="AA161" s="114"/>
      <c r="AB161" s="115"/>
      <c r="AC161" s="113" t="s">
        <v>26</v>
      </c>
      <c r="AD161" s="114"/>
      <c r="AE161" s="114"/>
      <c r="AF161" s="114"/>
      <c r="AG161" s="115"/>
      <c r="AH161" s="116" t="s">
        <v>24</v>
      </c>
      <c r="AI161" s="116" t="s">
        <v>86</v>
      </c>
      <c r="AJ161" s="81"/>
    </row>
    <row r="162" spans="1:52" ht="13.7" customHeight="1" thickBot="1" x14ac:dyDescent="0.3">
      <c r="A162" s="124"/>
      <c r="B162" s="12" t="s">
        <v>17</v>
      </c>
      <c r="C162" s="12" t="s">
        <v>19</v>
      </c>
      <c r="D162" s="9" t="s">
        <v>32</v>
      </c>
      <c r="E162" s="12" t="s">
        <v>17</v>
      </c>
      <c r="F162" s="12" t="s">
        <v>19</v>
      </c>
      <c r="G162" s="12" t="s">
        <v>33</v>
      </c>
      <c r="H162" s="14" t="s">
        <v>80</v>
      </c>
      <c r="I162" s="9" t="s">
        <v>32</v>
      </c>
      <c r="J162" s="12" t="s">
        <v>17</v>
      </c>
      <c r="K162" s="12" t="s">
        <v>19</v>
      </c>
      <c r="L162" s="12" t="s">
        <v>33</v>
      </c>
      <c r="M162" s="14" t="s">
        <v>80</v>
      </c>
      <c r="N162" s="9" t="s">
        <v>32</v>
      </c>
      <c r="O162" s="12" t="s">
        <v>17</v>
      </c>
      <c r="P162" s="12" t="s">
        <v>19</v>
      </c>
      <c r="Q162" s="12" t="s">
        <v>33</v>
      </c>
      <c r="R162" s="14" t="s">
        <v>80</v>
      </c>
      <c r="S162" s="9" t="s">
        <v>32</v>
      </c>
      <c r="T162" s="12" t="s">
        <v>17</v>
      </c>
      <c r="U162" s="12" t="s">
        <v>19</v>
      </c>
      <c r="V162" s="12" t="s">
        <v>33</v>
      </c>
      <c r="W162" s="14" t="s">
        <v>80</v>
      </c>
      <c r="X162" s="9" t="s">
        <v>32</v>
      </c>
      <c r="Y162" s="12" t="s">
        <v>17</v>
      </c>
      <c r="Z162" s="12" t="s">
        <v>19</v>
      </c>
      <c r="AA162" s="12" t="s">
        <v>33</v>
      </c>
      <c r="AB162" s="14" t="s">
        <v>80</v>
      </c>
      <c r="AC162" s="9" t="s">
        <v>32</v>
      </c>
      <c r="AD162" s="12" t="s">
        <v>17</v>
      </c>
      <c r="AE162" s="12" t="s">
        <v>19</v>
      </c>
      <c r="AF162" s="12" t="s">
        <v>33</v>
      </c>
      <c r="AG162" s="14" t="s">
        <v>80</v>
      </c>
      <c r="AH162" s="117"/>
      <c r="AI162" s="117"/>
      <c r="AJ162" s="81"/>
    </row>
    <row r="163" spans="1:52" ht="13.7" customHeight="1" x14ac:dyDescent="0.25">
      <c r="A163" s="16">
        <v>300</v>
      </c>
      <c r="B163" s="11">
        <f>T146</f>
        <v>0</v>
      </c>
      <c r="C163" s="11">
        <f>U146</f>
        <v>0</v>
      </c>
      <c r="D163" s="10">
        <f>B119+B133</f>
        <v>0</v>
      </c>
      <c r="E163" s="11">
        <f t="shared" ref="E163:AG163" si="50">C119+C133</f>
        <v>0</v>
      </c>
      <c r="F163" s="11">
        <f t="shared" si="50"/>
        <v>0</v>
      </c>
      <c r="G163" s="11">
        <f t="shared" si="50"/>
        <v>0</v>
      </c>
      <c r="H163" s="17">
        <f t="shared" si="50"/>
        <v>0</v>
      </c>
      <c r="I163" s="10">
        <f t="shared" si="50"/>
        <v>0</v>
      </c>
      <c r="J163" s="11">
        <f t="shared" si="50"/>
        <v>0</v>
      </c>
      <c r="K163" s="11">
        <f t="shared" si="50"/>
        <v>0</v>
      </c>
      <c r="L163" s="11">
        <f t="shared" si="50"/>
        <v>0</v>
      </c>
      <c r="M163" s="17">
        <f t="shared" si="50"/>
        <v>0</v>
      </c>
      <c r="N163" s="10">
        <f t="shared" si="50"/>
        <v>0</v>
      </c>
      <c r="O163" s="11">
        <f t="shared" si="50"/>
        <v>0</v>
      </c>
      <c r="P163" s="11">
        <f t="shared" si="50"/>
        <v>0</v>
      </c>
      <c r="Q163" s="11">
        <f t="shared" si="50"/>
        <v>0</v>
      </c>
      <c r="R163" s="17">
        <f t="shared" si="50"/>
        <v>0</v>
      </c>
      <c r="S163" s="10">
        <f t="shared" si="50"/>
        <v>0</v>
      </c>
      <c r="T163" s="11">
        <f t="shared" si="50"/>
        <v>0</v>
      </c>
      <c r="U163" s="11">
        <f t="shared" si="50"/>
        <v>0</v>
      </c>
      <c r="V163" s="11">
        <f t="shared" si="50"/>
        <v>0</v>
      </c>
      <c r="W163" s="17">
        <f t="shared" si="50"/>
        <v>0</v>
      </c>
      <c r="X163" s="10">
        <f t="shared" si="50"/>
        <v>0</v>
      </c>
      <c r="Y163" s="11">
        <f t="shared" si="50"/>
        <v>0</v>
      </c>
      <c r="Z163" s="11">
        <f t="shared" si="50"/>
        <v>0</v>
      </c>
      <c r="AA163" s="11">
        <f t="shared" si="50"/>
        <v>0</v>
      </c>
      <c r="AB163" s="17">
        <f t="shared" si="50"/>
        <v>0</v>
      </c>
      <c r="AC163" s="10">
        <f t="shared" si="50"/>
        <v>0</v>
      </c>
      <c r="AD163" s="11">
        <f t="shared" si="50"/>
        <v>0</v>
      </c>
      <c r="AE163" s="11">
        <f t="shared" si="50"/>
        <v>0</v>
      </c>
      <c r="AF163" s="11">
        <f t="shared" si="50"/>
        <v>0</v>
      </c>
      <c r="AG163" s="17">
        <f t="shared" si="50"/>
        <v>0</v>
      </c>
      <c r="AH163" s="16">
        <f>SUM(D163:AG163)*A163</f>
        <v>0</v>
      </c>
      <c r="AI163" s="16">
        <f>SUM(D163:AG163)</f>
        <v>0</v>
      </c>
      <c r="AJ163" s="82"/>
    </row>
    <row r="164" spans="1:52" ht="13.7" customHeight="1" x14ac:dyDescent="0.25">
      <c r="A164" s="16">
        <v>500</v>
      </c>
      <c r="B164" s="11">
        <f t="shared" ref="B164:C164" si="51">T147</f>
        <v>0</v>
      </c>
      <c r="C164" s="11">
        <f t="shared" si="51"/>
        <v>0</v>
      </c>
      <c r="D164" s="10">
        <f t="shared" ref="D164:D171" si="52">B120+B134</f>
        <v>0</v>
      </c>
      <c r="E164" s="11">
        <f t="shared" ref="E164:E171" si="53">C120+C134</f>
        <v>20</v>
      </c>
      <c r="F164" s="11">
        <f t="shared" ref="F164:F171" si="54">D120+D134</f>
        <v>0</v>
      </c>
      <c r="G164" s="11">
        <f t="shared" ref="G164:G171" si="55">E120+E134</f>
        <v>0</v>
      </c>
      <c r="H164" s="17">
        <f t="shared" ref="H164:H171" si="56">F120+F134</f>
        <v>0</v>
      </c>
      <c r="I164" s="10">
        <f t="shared" ref="I164:I171" si="57">G120+G134</f>
        <v>0</v>
      </c>
      <c r="J164" s="11">
        <f t="shared" ref="J164:J171" si="58">H120+H134</f>
        <v>0</v>
      </c>
      <c r="K164" s="11">
        <f t="shared" ref="K164:K171" si="59">I120+I134</f>
        <v>0</v>
      </c>
      <c r="L164" s="11">
        <f t="shared" ref="L164:L171" si="60">J120+J134</f>
        <v>0</v>
      </c>
      <c r="M164" s="17">
        <f t="shared" ref="M164:M171" si="61">K120+K134</f>
        <v>0</v>
      </c>
      <c r="N164" s="10">
        <f t="shared" ref="N164:N171" si="62">L120+L134</f>
        <v>0</v>
      </c>
      <c r="O164" s="11">
        <f t="shared" ref="O164:O171" si="63">M120+M134</f>
        <v>0</v>
      </c>
      <c r="P164" s="11">
        <f t="shared" ref="P164:P171" si="64">N120+N134</f>
        <v>0</v>
      </c>
      <c r="Q164" s="11">
        <f t="shared" ref="Q164:Q171" si="65">O120+O134</f>
        <v>0</v>
      </c>
      <c r="R164" s="17">
        <f t="shared" ref="R164:R171" si="66">P120+P134</f>
        <v>0</v>
      </c>
      <c r="S164" s="10">
        <f t="shared" ref="S164:S171" si="67">Q120+Q134</f>
        <v>0</v>
      </c>
      <c r="T164" s="11">
        <f t="shared" ref="T164:T171" si="68">R120+R134</f>
        <v>0</v>
      </c>
      <c r="U164" s="11">
        <f t="shared" ref="U164:U171" si="69">S120+S134</f>
        <v>0</v>
      </c>
      <c r="V164" s="11">
        <f t="shared" ref="V164:V171" si="70">T120+T134</f>
        <v>0</v>
      </c>
      <c r="W164" s="17">
        <f t="shared" ref="W164:W171" si="71">U120+U134</f>
        <v>0</v>
      </c>
      <c r="X164" s="10">
        <f t="shared" ref="X164:X171" si="72">V120+V134</f>
        <v>0</v>
      </c>
      <c r="Y164" s="11">
        <f t="shared" ref="Y164:Y171" si="73">W120+W134</f>
        <v>0</v>
      </c>
      <c r="Z164" s="11">
        <f t="shared" ref="Z164:Z171" si="74">X120+X134</f>
        <v>0</v>
      </c>
      <c r="AA164" s="11">
        <f t="shared" ref="AA164:AA171" si="75">Y120+Y134</f>
        <v>0</v>
      </c>
      <c r="AB164" s="17">
        <f t="shared" ref="AB164:AB171" si="76">Z120+Z134</f>
        <v>0</v>
      </c>
      <c r="AC164" s="10">
        <f t="shared" ref="AC164:AC171" si="77">AA120+AA134</f>
        <v>0</v>
      </c>
      <c r="AD164" s="11">
        <f t="shared" ref="AD164:AD171" si="78">AB120+AB134</f>
        <v>0</v>
      </c>
      <c r="AE164" s="11">
        <f t="shared" ref="AE164:AE171" si="79">AC120+AC134</f>
        <v>0</v>
      </c>
      <c r="AF164" s="11">
        <f t="shared" ref="AF164:AF171" si="80">AD120+AD134</f>
        <v>0</v>
      </c>
      <c r="AG164" s="17">
        <f t="shared" ref="AG164:AG171" si="81">AE120+AE134</f>
        <v>0</v>
      </c>
      <c r="AH164" s="16">
        <f>SUM(D164:AG164)*A164</f>
        <v>10000</v>
      </c>
      <c r="AI164" s="16">
        <f t="shared" ref="AI164:AI172" si="82">SUM(D164:AG164)</f>
        <v>20</v>
      </c>
    </row>
    <row r="165" spans="1:52" ht="13.7" customHeight="1" x14ac:dyDescent="0.25">
      <c r="A165" s="15">
        <v>750</v>
      </c>
      <c r="B165" s="11">
        <f t="shared" ref="B165:C165" si="83">T148</f>
        <v>0</v>
      </c>
      <c r="C165" s="11">
        <f t="shared" si="83"/>
        <v>0</v>
      </c>
      <c r="D165" s="8">
        <f t="shared" si="52"/>
        <v>0</v>
      </c>
      <c r="E165" s="6">
        <f t="shared" si="53"/>
        <v>10</v>
      </c>
      <c r="F165" s="6">
        <f t="shared" si="54"/>
        <v>0</v>
      </c>
      <c r="G165" s="6">
        <f t="shared" si="55"/>
        <v>0</v>
      </c>
      <c r="H165" s="13">
        <f t="shared" si="56"/>
        <v>0</v>
      </c>
      <c r="I165" s="8">
        <f t="shared" si="57"/>
        <v>0</v>
      </c>
      <c r="J165" s="6">
        <f t="shared" si="58"/>
        <v>0</v>
      </c>
      <c r="K165" s="6">
        <f t="shared" si="59"/>
        <v>0</v>
      </c>
      <c r="L165" s="6">
        <f t="shared" si="60"/>
        <v>0</v>
      </c>
      <c r="M165" s="13">
        <f t="shared" si="61"/>
        <v>0</v>
      </c>
      <c r="N165" s="8">
        <f t="shared" si="62"/>
        <v>0</v>
      </c>
      <c r="O165" s="6">
        <f t="shared" si="63"/>
        <v>0</v>
      </c>
      <c r="P165" s="6">
        <f t="shared" si="64"/>
        <v>0</v>
      </c>
      <c r="Q165" s="6">
        <f t="shared" si="65"/>
        <v>0</v>
      </c>
      <c r="R165" s="13">
        <f t="shared" si="66"/>
        <v>0</v>
      </c>
      <c r="S165" s="8">
        <f t="shared" si="67"/>
        <v>0</v>
      </c>
      <c r="T165" s="6">
        <f t="shared" si="68"/>
        <v>0</v>
      </c>
      <c r="U165" s="6">
        <f t="shared" si="69"/>
        <v>0</v>
      </c>
      <c r="V165" s="6">
        <f t="shared" si="70"/>
        <v>0</v>
      </c>
      <c r="W165" s="13">
        <f t="shared" si="71"/>
        <v>0</v>
      </c>
      <c r="X165" s="8">
        <f t="shared" si="72"/>
        <v>0</v>
      </c>
      <c r="Y165" s="6">
        <f t="shared" si="73"/>
        <v>0</v>
      </c>
      <c r="Z165" s="6">
        <f t="shared" si="74"/>
        <v>0</v>
      </c>
      <c r="AA165" s="6">
        <f t="shared" si="75"/>
        <v>0</v>
      </c>
      <c r="AB165" s="13">
        <f t="shared" si="76"/>
        <v>0</v>
      </c>
      <c r="AC165" s="8">
        <f t="shared" si="77"/>
        <v>0</v>
      </c>
      <c r="AD165" s="6">
        <f t="shared" si="78"/>
        <v>0</v>
      </c>
      <c r="AE165" s="6">
        <f t="shared" si="79"/>
        <v>0</v>
      </c>
      <c r="AF165" s="6">
        <f t="shared" si="80"/>
        <v>0</v>
      </c>
      <c r="AG165" s="13">
        <f t="shared" si="81"/>
        <v>0</v>
      </c>
      <c r="AH165" s="16">
        <f>SUM(D165:AG165)*A165</f>
        <v>7500</v>
      </c>
      <c r="AI165" s="16">
        <f t="shared" si="82"/>
        <v>10</v>
      </c>
    </row>
    <row r="166" spans="1:52" ht="13.7" customHeight="1" x14ac:dyDescent="0.25">
      <c r="A166" s="15">
        <v>1000</v>
      </c>
      <c r="B166" s="11">
        <f t="shared" ref="B166:C166" si="84">T149</f>
        <v>0</v>
      </c>
      <c r="C166" s="11">
        <f t="shared" si="84"/>
        <v>0</v>
      </c>
      <c r="D166" s="8">
        <f t="shared" si="52"/>
        <v>0</v>
      </c>
      <c r="E166" s="6">
        <f t="shared" si="53"/>
        <v>10</v>
      </c>
      <c r="F166" s="6">
        <f t="shared" si="54"/>
        <v>0</v>
      </c>
      <c r="G166" s="6">
        <f t="shared" si="55"/>
        <v>0</v>
      </c>
      <c r="H166" s="13">
        <f t="shared" si="56"/>
        <v>0</v>
      </c>
      <c r="I166" s="8">
        <f t="shared" si="57"/>
        <v>0</v>
      </c>
      <c r="J166" s="6">
        <f t="shared" si="58"/>
        <v>0</v>
      </c>
      <c r="K166" s="6">
        <f t="shared" si="59"/>
        <v>0</v>
      </c>
      <c r="L166" s="6">
        <f t="shared" si="60"/>
        <v>0</v>
      </c>
      <c r="M166" s="13">
        <f t="shared" si="61"/>
        <v>0</v>
      </c>
      <c r="N166" s="8">
        <f t="shared" si="62"/>
        <v>0</v>
      </c>
      <c r="O166" s="6">
        <f t="shared" si="63"/>
        <v>0</v>
      </c>
      <c r="P166" s="6">
        <f t="shared" si="64"/>
        <v>0</v>
      </c>
      <c r="Q166" s="6">
        <f t="shared" si="65"/>
        <v>0</v>
      </c>
      <c r="R166" s="13">
        <f t="shared" si="66"/>
        <v>0</v>
      </c>
      <c r="S166" s="8">
        <f t="shared" si="67"/>
        <v>0</v>
      </c>
      <c r="T166" s="6">
        <f t="shared" si="68"/>
        <v>0</v>
      </c>
      <c r="U166" s="6">
        <f t="shared" si="69"/>
        <v>0</v>
      </c>
      <c r="V166" s="6">
        <f t="shared" si="70"/>
        <v>0</v>
      </c>
      <c r="W166" s="13">
        <f t="shared" si="71"/>
        <v>0</v>
      </c>
      <c r="X166" s="8">
        <f t="shared" si="72"/>
        <v>0</v>
      </c>
      <c r="Y166" s="6">
        <f t="shared" si="73"/>
        <v>0</v>
      </c>
      <c r="Z166" s="6">
        <f t="shared" si="74"/>
        <v>0</v>
      </c>
      <c r="AA166" s="6">
        <f t="shared" si="75"/>
        <v>0</v>
      </c>
      <c r="AB166" s="13">
        <f t="shared" si="76"/>
        <v>0</v>
      </c>
      <c r="AC166" s="8">
        <f t="shared" si="77"/>
        <v>0</v>
      </c>
      <c r="AD166" s="6">
        <f t="shared" si="78"/>
        <v>0</v>
      </c>
      <c r="AE166" s="6">
        <f t="shared" si="79"/>
        <v>0</v>
      </c>
      <c r="AF166" s="6">
        <f t="shared" si="80"/>
        <v>0</v>
      </c>
      <c r="AG166" s="13">
        <f t="shared" si="81"/>
        <v>0</v>
      </c>
      <c r="AH166" s="16">
        <f>SUM(D166:AG166)*A166</f>
        <v>10000</v>
      </c>
      <c r="AI166" s="16">
        <f t="shared" si="82"/>
        <v>10</v>
      </c>
    </row>
    <row r="167" spans="1:52" ht="13.7" customHeight="1" x14ac:dyDescent="0.25">
      <c r="A167" s="15">
        <v>1500</v>
      </c>
      <c r="B167" s="11">
        <f t="shared" ref="B167:C167" si="85">T150</f>
        <v>0</v>
      </c>
      <c r="C167" s="11">
        <f t="shared" si="85"/>
        <v>0</v>
      </c>
      <c r="D167" s="8">
        <f t="shared" si="52"/>
        <v>0</v>
      </c>
      <c r="E167" s="6">
        <f t="shared" si="53"/>
        <v>8</v>
      </c>
      <c r="F167" s="6">
        <f t="shared" si="54"/>
        <v>0</v>
      </c>
      <c r="G167" s="6">
        <f t="shared" si="55"/>
        <v>0</v>
      </c>
      <c r="H167" s="13">
        <f t="shared" si="56"/>
        <v>0</v>
      </c>
      <c r="I167" s="8">
        <f t="shared" si="57"/>
        <v>0</v>
      </c>
      <c r="J167" s="6">
        <f t="shared" si="58"/>
        <v>0</v>
      </c>
      <c r="K167" s="6">
        <f t="shared" si="59"/>
        <v>0</v>
      </c>
      <c r="L167" s="6">
        <f t="shared" si="60"/>
        <v>0</v>
      </c>
      <c r="M167" s="13">
        <f t="shared" si="61"/>
        <v>0</v>
      </c>
      <c r="N167" s="8">
        <f t="shared" si="62"/>
        <v>0</v>
      </c>
      <c r="O167" s="6">
        <f t="shared" si="63"/>
        <v>0</v>
      </c>
      <c r="P167" s="6">
        <f t="shared" si="64"/>
        <v>0</v>
      </c>
      <c r="Q167" s="6">
        <f t="shared" si="65"/>
        <v>0</v>
      </c>
      <c r="R167" s="13">
        <f t="shared" si="66"/>
        <v>0</v>
      </c>
      <c r="S167" s="8">
        <f t="shared" si="67"/>
        <v>0</v>
      </c>
      <c r="T167" s="6">
        <f t="shared" si="68"/>
        <v>0</v>
      </c>
      <c r="U167" s="6">
        <f t="shared" si="69"/>
        <v>0</v>
      </c>
      <c r="V167" s="6">
        <f t="shared" si="70"/>
        <v>0</v>
      </c>
      <c r="W167" s="13">
        <f t="shared" si="71"/>
        <v>0</v>
      </c>
      <c r="X167" s="8">
        <f t="shared" si="72"/>
        <v>0</v>
      </c>
      <c r="Y167" s="6">
        <f t="shared" si="73"/>
        <v>0</v>
      </c>
      <c r="Z167" s="6">
        <f t="shared" si="74"/>
        <v>0</v>
      </c>
      <c r="AA167" s="6">
        <f t="shared" si="75"/>
        <v>0</v>
      </c>
      <c r="AB167" s="13">
        <f t="shared" si="76"/>
        <v>0</v>
      </c>
      <c r="AC167" s="8">
        <f t="shared" si="77"/>
        <v>0</v>
      </c>
      <c r="AD167" s="6">
        <f t="shared" si="78"/>
        <v>0</v>
      </c>
      <c r="AE167" s="6">
        <f t="shared" si="79"/>
        <v>0</v>
      </c>
      <c r="AF167" s="6">
        <f t="shared" si="80"/>
        <v>0</v>
      </c>
      <c r="AG167" s="13">
        <f t="shared" si="81"/>
        <v>0</v>
      </c>
      <c r="AH167" s="16">
        <f>SUM(D167:AG167)*A167</f>
        <v>12000</v>
      </c>
      <c r="AI167" s="16">
        <f t="shared" si="82"/>
        <v>8</v>
      </c>
    </row>
    <row r="168" spans="1:52" ht="13.7" customHeight="1" x14ac:dyDescent="0.25">
      <c r="A168" s="15">
        <v>2000</v>
      </c>
      <c r="B168" s="11">
        <f t="shared" ref="B168:C168" si="86">T151</f>
        <v>0</v>
      </c>
      <c r="C168" s="11">
        <f t="shared" si="86"/>
        <v>0</v>
      </c>
      <c r="D168" s="8">
        <f t="shared" si="52"/>
        <v>0</v>
      </c>
      <c r="E168" s="6">
        <f t="shared" si="53"/>
        <v>0</v>
      </c>
      <c r="F168" s="6">
        <f t="shared" si="54"/>
        <v>0</v>
      </c>
      <c r="G168" s="6">
        <f t="shared" si="55"/>
        <v>0</v>
      </c>
      <c r="H168" s="13">
        <f t="shared" si="56"/>
        <v>0</v>
      </c>
      <c r="I168" s="8">
        <f t="shared" si="57"/>
        <v>0</v>
      </c>
      <c r="J168" s="6">
        <f t="shared" si="58"/>
        <v>0</v>
      </c>
      <c r="K168" s="6">
        <f t="shared" si="59"/>
        <v>0</v>
      </c>
      <c r="L168" s="6">
        <f t="shared" si="60"/>
        <v>0</v>
      </c>
      <c r="M168" s="13">
        <f t="shared" si="61"/>
        <v>0</v>
      </c>
      <c r="N168" s="8">
        <f t="shared" si="62"/>
        <v>0</v>
      </c>
      <c r="O168" s="6">
        <f t="shared" si="63"/>
        <v>0</v>
      </c>
      <c r="P168" s="6">
        <f t="shared" si="64"/>
        <v>0</v>
      </c>
      <c r="Q168" s="6">
        <f t="shared" si="65"/>
        <v>0</v>
      </c>
      <c r="R168" s="13">
        <f t="shared" si="66"/>
        <v>0</v>
      </c>
      <c r="S168" s="8">
        <f t="shared" si="67"/>
        <v>0</v>
      </c>
      <c r="T168" s="6">
        <f t="shared" si="68"/>
        <v>0</v>
      </c>
      <c r="U168" s="6">
        <f t="shared" si="69"/>
        <v>0</v>
      </c>
      <c r="V168" s="6">
        <f t="shared" si="70"/>
        <v>0</v>
      </c>
      <c r="W168" s="13">
        <f t="shared" si="71"/>
        <v>0</v>
      </c>
      <c r="X168" s="8">
        <f t="shared" si="72"/>
        <v>0</v>
      </c>
      <c r="Y168" s="6">
        <f t="shared" si="73"/>
        <v>0</v>
      </c>
      <c r="Z168" s="6">
        <f t="shared" si="74"/>
        <v>0</v>
      </c>
      <c r="AA168" s="6">
        <f t="shared" si="75"/>
        <v>0</v>
      </c>
      <c r="AB168" s="13">
        <f t="shared" si="76"/>
        <v>0</v>
      </c>
      <c r="AC168" s="8">
        <f t="shared" si="77"/>
        <v>0</v>
      </c>
      <c r="AD168" s="6">
        <f t="shared" si="78"/>
        <v>0</v>
      </c>
      <c r="AE168" s="6">
        <f t="shared" si="79"/>
        <v>0</v>
      </c>
      <c r="AF168" s="6">
        <f t="shared" si="80"/>
        <v>0</v>
      </c>
      <c r="AG168" s="13">
        <f t="shared" si="81"/>
        <v>0</v>
      </c>
      <c r="AH168" s="16">
        <f>SUM(D168:AG168)*A168</f>
        <v>0</v>
      </c>
      <c r="AI168" s="16">
        <f t="shared" si="82"/>
        <v>0</v>
      </c>
    </row>
    <row r="169" spans="1:52" ht="13.7" customHeight="1" x14ac:dyDescent="0.25">
      <c r="A169" s="15">
        <v>3000</v>
      </c>
      <c r="B169" s="11">
        <f t="shared" ref="B169:C169" si="87">T152</f>
        <v>0</v>
      </c>
      <c r="C169" s="11">
        <f t="shared" si="87"/>
        <v>0</v>
      </c>
      <c r="D169" s="8">
        <f t="shared" si="52"/>
        <v>0</v>
      </c>
      <c r="E169" s="6">
        <f t="shared" si="53"/>
        <v>0</v>
      </c>
      <c r="F169" s="6">
        <f t="shared" si="54"/>
        <v>0</v>
      </c>
      <c r="G169" s="6">
        <f t="shared" si="55"/>
        <v>0</v>
      </c>
      <c r="H169" s="13">
        <f t="shared" si="56"/>
        <v>0</v>
      </c>
      <c r="I169" s="8">
        <f t="shared" si="57"/>
        <v>0</v>
      </c>
      <c r="J169" s="6">
        <f t="shared" si="58"/>
        <v>0</v>
      </c>
      <c r="K169" s="6">
        <f t="shared" si="59"/>
        <v>0</v>
      </c>
      <c r="L169" s="6">
        <f t="shared" si="60"/>
        <v>0</v>
      </c>
      <c r="M169" s="13">
        <f t="shared" si="61"/>
        <v>0</v>
      </c>
      <c r="N169" s="8">
        <f t="shared" si="62"/>
        <v>0</v>
      </c>
      <c r="O169" s="6">
        <f t="shared" si="63"/>
        <v>0</v>
      </c>
      <c r="P169" s="6">
        <f t="shared" si="64"/>
        <v>0</v>
      </c>
      <c r="Q169" s="6">
        <f t="shared" si="65"/>
        <v>0</v>
      </c>
      <c r="R169" s="13">
        <f t="shared" si="66"/>
        <v>0</v>
      </c>
      <c r="S169" s="8">
        <f t="shared" si="67"/>
        <v>0</v>
      </c>
      <c r="T169" s="6">
        <f t="shared" si="68"/>
        <v>0</v>
      </c>
      <c r="U169" s="6">
        <f t="shared" si="69"/>
        <v>0</v>
      </c>
      <c r="V169" s="6">
        <f t="shared" si="70"/>
        <v>0</v>
      </c>
      <c r="W169" s="13">
        <f t="shared" si="71"/>
        <v>0</v>
      </c>
      <c r="X169" s="8">
        <f t="shared" si="72"/>
        <v>0</v>
      </c>
      <c r="Y169" s="6">
        <f t="shared" si="73"/>
        <v>0</v>
      </c>
      <c r="Z169" s="6">
        <f t="shared" si="74"/>
        <v>0</v>
      </c>
      <c r="AA169" s="6">
        <f t="shared" si="75"/>
        <v>0</v>
      </c>
      <c r="AB169" s="13">
        <f t="shared" si="76"/>
        <v>0</v>
      </c>
      <c r="AC169" s="8">
        <f t="shared" si="77"/>
        <v>0</v>
      </c>
      <c r="AD169" s="6">
        <f t="shared" si="78"/>
        <v>0</v>
      </c>
      <c r="AE169" s="6">
        <f t="shared" si="79"/>
        <v>0</v>
      </c>
      <c r="AF169" s="6">
        <f t="shared" si="80"/>
        <v>0</v>
      </c>
      <c r="AG169" s="13">
        <f t="shared" si="81"/>
        <v>0</v>
      </c>
      <c r="AH169" s="16">
        <f>SUM(D169:AG169)*A169</f>
        <v>0</v>
      </c>
      <c r="AI169" s="16">
        <f t="shared" si="82"/>
        <v>0</v>
      </c>
    </row>
    <row r="170" spans="1:52" ht="13.7" customHeight="1" x14ac:dyDescent="0.25">
      <c r="A170" s="15">
        <v>5000</v>
      </c>
      <c r="B170" s="11">
        <f t="shared" ref="B170:C170" si="88">T153</f>
        <v>0</v>
      </c>
      <c r="C170" s="11">
        <f t="shared" si="88"/>
        <v>0</v>
      </c>
      <c r="D170" s="8">
        <f t="shared" si="52"/>
        <v>0</v>
      </c>
      <c r="E170" s="6">
        <f t="shared" si="53"/>
        <v>0</v>
      </c>
      <c r="F170" s="6">
        <f t="shared" si="54"/>
        <v>0</v>
      </c>
      <c r="G170" s="6">
        <f t="shared" si="55"/>
        <v>0</v>
      </c>
      <c r="H170" s="13">
        <f t="shared" si="56"/>
        <v>0</v>
      </c>
      <c r="I170" s="8">
        <f t="shared" si="57"/>
        <v>0</v>
      </c>
      <c r="J170" s="6">
        <f t="shared" si="58"/>
        <v>0</v>
      </c>
      <c r="K170" s="6">
        <f t="shared" si="59"/>
        <v>0</v>
      </c>
      <c r="L170" s="6">
        <f t="shared" si="60"/>
        <v>0</v>
      </c>
      <c r="M170" s="13">
        <f t="shared" si="61"/>
        <v>0</v>
      </c>
      <c r="N170" s="8">
        <f t="shared" si="62"/>
        <v>0</v>
      </c>
      <c r="O170" s="6">
        <f t="shared" si="63"/>
        <v>0</v>
      </c>
      <c r="P170" s="6">
        <f t="shared" si="64"/>
        <v>0</v>
      </c>
      <c r="Q170" s="6">
        <f t="shared" si="65"/>
        <v>0</v>
      </c>
      <c r="R170" s="13">
        <f t="shared" si="66"/>
        <v>0</v>
      </c>
      <c r="S170" s="8">
        <f t="shared" si="67"/>
        <v>0</v>
      </c>
      <c r="T170" s="6">
        <f t="shared" si="68"/>
        <v>0</v>
      </c>
      <c r="U170" s="6">
        <f t="shared" si="69"/>
        <v>0</v>
      </c>
      <c r="V170" s="6">
        <f t="shared" si="70"/>
        <v>0</v>
      </c>
      <c r="W170" s="13">
        <f t="shared" si="71"/>
        <v>0</v>
      </c>
      <c r="X170" s="8">
        <f t="shared" si="72"/>
        <v>0</v>
      </c>
      <c r="Y170" s="6">
        <f t="shared" si="73"/>
        <v>0</v>
      </c>
      <c r="Z170" s="6">
        <f t="shared" si="74"/>
        <v>0</v>
      </c>
      <c r="AA170" s="6">
        <f t="shared" si="75"/>
        <v>0</v>
      </c>
      <c r="AB170" s="13">
        <f t="shared" si="76"/>
        <v>0</v>
      </c>
      <c r="AC170" s="8">
        <f t="shared" si="77"/>
        <v>0</v>
      </c>
      <c r="AD170" s="6">
        <f t="shared" si="78"/>
        <v>0</v>
      </c>
      <c r="AE170" s="6">
        <f t="shared" si="79"/>
        <v>0</v>
      </c>
      <c r="AF170" s="6">
        <f t="shared" si="80"/>
        <v>0</v>
      </c>
      <c r="AG170" s="13">
        <f t="shared" si="81"/>
        <v>0</v>
      </c>
      <c r="AH170" s="16">
        <f>SUM(D170:AG170)*A170</f>
        <v>0</v>
      </c>
      <c r="AI170" s="16">
        <f t="shared" si="82"/>
        <v>0</v>
      </c>
    </row>
    <row r="171" spans="1:52" ht="15" customHeight="1" thickBot="1" x14ac:dyDescent="0.3">
      <c r="A171" s="59">
        <v>10000</v>
      </c>
      <c r="B171" s="11">
        <f t="shared" ref="B171:C171" si="89">T154</f>
        <v>0</v>
      </c>
      <c r="C171" s="11">
        <f t="shared" si="89"/>
        <v>0</v>
      </c>
      <c r="D171" s="31">
        <f t="shared" si="52"/>
        <v>0</v>
      </c>
      <c r="E171" s="32">
        <f t="shared" si="53"/>
        <v>0</v>
      </c>
      <c r="F171" s="32">
        <f t="shared" si="54"/>
        <v>0</v>
      </c>
      <c r="G171" s="32">
        <f t="shared" si="55"/>
        <v>0</v>
      </c>
      <c r="H171" s="33">
        <f t="shared" si="56"/>
        <v>0</v>
      </c>
      <c r="I171" s="31">
        <f t="shared" si="57"/>
        <v>0</v>
      </c>
      <c r="J171" s="32">
        <f t="shared" si="58"/>
        <v>0</v>
      </c>
      <c r="K171" s="32">
        <f t="shared" si="59"/>
        <v>0</v>
      </c>
      <c r="L171" s="32">
        <f t="shared" si="60"/>
        <v>0</v>
      </c>
      <c r="M171" s="33">
        <f t="shared" si="61"/>
        <v>0</v>
      </c>
      <c r="N171" s="31">
        <f t="shared" si="62"/>
        <v>0</v>
      </c>
      <c r="O171" s="32">
        <f t="shared" si="63"/>
        <v>0</v>
      </c>
      <c r="P171" s="32">
        <f t="shared" si="64"/>
        <v>0</v>
      </c>
      <c r="Q171" s="32">
        <f t="shared" si="65"/>
        <v>0</v>
      </c>
      <c r="R171" s="33">
        <f t="shared" si="66"/>
        <v>0</v>
      </c>
      <c r="S171" s="31">
        <f t="shared" si="67"/>
        <v>0</v>
      </c>
      <c r="T171" s="32">
        <f t="shared" si="68"/>
        <v>0</v>
      </c>
      <c r="U171" s="32">
        <f t="shared" si="69"/>
        <v>0</v>
      </c>
      <c r="V171" s="32">
        <f t="shared" si="70"/>
        <v>0</v>
      </c>
      <c r="W171" s="33">
        <f t="shared" si="71"/>
        <v>0</v>
      </c>
      <c r="X171" s="31">
        <f t="shared" si="72"/>
        <v>0</v>
      </c>
      <c r="Y171" s="32">
        <f t="shared" si="73"/>
        <v>0</v>
      </c>
      <c r="Z171" s="32">
        <f t="shared" si="74"/>
        <v>0</v>
      </c>
      <c r="AA171" s="32">
        <f t="shared" si="75"/>
        <v>0</v>
      </c>
      <c r="AB171" s="33">
        <f t="shared" si="76"/>
        <v>0</v>
      </c>
      <c r="AC171" s="31">
        <f t="shared" si="77"/>
        <v>0</v>
      </c>
      <c r="AD171" s="32">
        <f t="shared" si="78"/>
        <v>0</v>
      </c>
      <c r="AE171" s="32">
        <f t="shared" si="79"/>
        <v>0</v>
      </c>
      <c r="AF171" s="32">
        <f t="shared" si="80"/>
        <v>0</v>
      </c>
      <c r="AG171" s="33">
        <f t="shared" si="81"/>
        <v>0</v>
      </c>
      <c r="AH171" s="16">
        <f>SUM(D171:AG171)*A171</f>
        <v>0</v>
      </c>
      <c r="AI171" s="43">
        <f t="shared" si="82"/>
        <v>0</v>
      </c>
    </row>
    <row r="172" spans="1:52" ht="15" customHeight="1" thickBot="1" x14ac:dyDescent="0.3">
      <c r="A172" s="35"/>
      <c r="B172" s="61">
        <f>SUM(B163:B171)</f>
        <v>0</v>
      </c>
      <c r="C172" s="61">
        <f t="shared" ref="C172" si="90">SUM(C163:C171)</f>
        <v>0</v>
      </c>
      <c r="D172" s="60">
        <f t="shared" ref="D172:AI172" si="91">SUM(D163:D171)</f>
        <v>0</v>
      </c>
      <c r="E172" s="61">
        <f t="shared" si="91"/>
        <v>48</v>
      </c>
      <c r="F172" s="61">
        <f t="shared" si="91"/>
        <v>0</v>
      </c>
      <c r="G172" s="61">
        <f t="shared" si="91"/>
        <v>0</v>
      </c>
      <c r="H172" s="62">
        <f t="shared" si="91"/>
        <v>0</v>
      </c>
      <c r="I172" s="60">
        <f t="shared" si="91"/>
        <v>0</v>
      </c>
      <c r="J172" s="61">
        <f t="shared" si="91"/>
        <v>0</v>
      </c>
      <c r="K172" s="61">
        <f t="shared" si="91"/>
        <v>0</v>
      </c>
      <c r="L172" s="61">
        <f t="shared" si="91"/>
        <v>0</v>
      </c>
      <c r="M172" s="62">
        <f t="shared" si="91"/>
        <v>0</v>
      </c>
      <c r="N172" s="60">
        <f t="shared" si="91"/>
        <v>0</v>
      </c>
      <c r="O172" s="61">
        <f t="shared" si="91"/>
        <v>0</v>
      </c>
      <c r="P172" s="61">
        <f t="shared" si="91"/>
        <v>0</v>
      </c>
      <c r="Q172" s="61">
        <f t="shared" si="91"/>
        <v>0</v>
      </c>
      <c r="R172" s="62">
        <f t="shared" si="91"/>
        <v>0</v>
      </c>
      <c r="S172" s="60">
        <f t="shared" si="91"/>
        <v>0</v>
      </c>
      <c r="T172" s="61">
        <f t="shared" si="91"/>
        <v>0</v>
      </c>
      <c r="U172" s="61">
        <f t="shared" si="91"/>
        <v>0</v>
      </c>
      <c r="V172" s="61">
        <f t="shared" si="91"/>
        <v>0</v>
      </c>
      <c r="W172" s="62">
        <f t="shared" si="91"/>
        <v>0</v>
      </c>
      <c r="X172" s="60">
        <f t="shared" si="91"/>
        <v>0</v>
      </c>
      <c r="Y172" s="61">
        <f t="shared" si="91"/>
        <v>0</v>
      </c>
      <c r="Z172" s="61">
        <f t="shared" si="91"/>
        <v>0</v>
      </c>
      <c r="AA172" s="61">
        <f t="shared" si="91"/>
        <v>0</v>
      </c>
      <c r="AB172" s="62">
        <f t="shared" si="91"/>
        <v>0</v>
      </c>
      <c r="AC172" s="60">
        <f t="shared" si="91"/>
        <v>0</v>
      </c>
      <c r="AD172" s="61">
        <f t="shared" si="91"/>
        <v>0</v>
      </c>
      <c r="AE172" s="61">
        <f t="shared" si="91"/>
        <v>0</v>
      </c>
      <c r="AF172" s="61">
        <f t="shared" si="91"/>
        <v>0</v>
      </c>
      <c r="AG172" s="62">
        <f t="shared" si="91"/>
        <v>0</v>
      </c>
      <c r="AH172" s="35">
        <f>SUM(AH163:AH171)</f>
        <v>39500</v>
      </c>
      <c r="AI172" s="35">
        <f t="shared" si="82"/>
        <v>48</v>
      </c>
    </row>
    <row r="173" spans="1:52" ht="15.75" customHeight="1" x14ac:dyDescent="0.25"/>
    <row r="174" spans="1:52" ht="15.75" customHeight="1" x14ac:dyDescent="0.25"/>
    <row r="175" spans="1:52" ht="15" customHeight="1" x14ac:dyDescent="0.25">
      <c r="AX175" s="44"/>
      <c r="AY175" s="44"/>
      <c r="AZ175" s="44"/>
    </row>
    <row r="176" spans="1:52" ht="15" customHeight="1" x14ac:dyDescent="0.25">
      <c r="AX176" s="44"/>
      <c r="AY176" s="44"/>
      <c r="AZ176" s="44"/>
    </row>
    <row r="177" spans="50:54" ht="15" customHeight="1" x14ac:dyDescent="0.25">
      <c r="AX177" s="44"/>
      <c r="AY177" s="44"/>
      <c r="AZ177" s="44"/>
    </row>
    <row r="178" spans="50:54" ht="15" customHeight="1" x14ac:dyDescent="0.25">
      <c r="AX178" s="44"/>
      <c r="AY178" s="44"/>
      <c r="AZ178" s="44"/>
    </row>
    <row r="179" spans="50:54" ht="15" customHeight="1" x14ac:dyDescent="0.25">
      <c r="AX179" s="44"/>
      <c r="AY179" s="44"/>
      <c r="AZ179" s="44"/>
    </row>
    <row r="180" spans="50:54" ht="15" customHeight="1" x14ac:dyDescent="0.25">
      <c r="AX180" s="44"/>
      <c r="AY180" s="44"/>
      <c r="AZ180" s="44"/>
    </row>
    <row r="181" spans="50:54" ht="15" customHeight="1" x14ac:dyDescent="0.25">
      <c r="AX181" s="44"/>
    </row>
    <row r="182" spans="50:54" ht="15" customHeight="1" x14ac:dyDescent="0.25">
      <c r="AX182" s="44"/>
    </row>
    <row r="183" spans="50:54" ht="15" customHeight="1" x14ac:dyDescent="0.25">
      <c r="AX183" s="44"/>
    </row>
    <row r="184" spans="50:54" ht="15.75" customHeight="1" x14ac:dyDescent="0.25"/>
    <row r="186" spans="50:54" x14ac:dyDescent="0.25">
      <c r="BB186" s="44"/>
    </row>
    <row r="187" spans="50:54" ht="15" customHeight="1" x14ac:dyDescent="0.25"/>
    <row r="188" spans="50:54" ht="15" customHeight="1" x14ac:dyDescent="0.25"/>
    <row r="189" spans="50:54" ht="15" customHeight="1" x14ac:dyDescent="0.25"/>
  </sheetData>
  <mergeCells count="134">
    <mergeCell ref="BI151:BJ151"/>
    <mergeCell ref="AA149:AC149"/>
    <mergeCell ref="AI151:AJ151"/>
    <mergeCell ref="AA147:AC147"/>
    <mergeCell ref="AD148:AF148"/>
    <mergeCell ref="AD149:AF149"/>
    <mergeCell ref="A161:A162"/>
    <mergeCell ref="D161:H161"/>
    <mergeCell ref="I161:M161"/>
    <mergeCell ref="N161:R161"/>
    <mergeCell ref="S161:W161"/>
    <mergeCell ref="X161:AB161"/>
    <mergeCell ref="AC161:AG161"/>
    <mergeCell ref="AH161:AH162"/>
    <mergeCell ref="AI161:AI162"/>
    <mergeCell ref="B161:C161"/>
    <mergeCell ref="AA148:AC148"/>
    <mergeCell ref="AK151:AL151"/>
    <mergeCell ref="AO151:AP151"/>
    <mergeCell ref="AQ151:AR151"/>
    <mergeCell ref="AU151:AV151"/>
    <mergeCell ref="AW151:AX151"/>
    <mergeCell ref="BA151:BB151"/>
    <mergeCell ref="BC151:BD151"/>
    <mergeCell ref="BG151:BH151"/>
    <mergeCell ref="A144:B144"/>
    <mergeCell ref="A131:A132"/>
    <mergeCell ref="B131:F131"/>
    <mergeCell ref="G131:K131"/>
    <mergeCell ref="A114:C114"/>
    <mergeCell ref="D114:G114"/>
    <mergeCell ref="A117:A118"/>
    <mergeCell ref="AK130:AL130"/>
    <mergeCell ref="AO130:AP130"/>
    <mergeCell ref="AI130:AJ130"/>
    <mergeCell ref="AH117:AL117"/>
    <mergeCell ref="AN117:AR117"/>
    <mergeCell ref="L131:P131"/>
    <mergeCell ref="Q131:U131"/>
    <mergeCell ref="V131:Z131"/>
    <mergeCell ref="AA131:AE131"/>
    <mergeCell ref="AF131:AF132"/>
    <mergeCell ref="AG131:AG132"/>
    <mergeCell ref="A116:AG116"/>
    <mergeCell ref="A130:AG130"/>
    <mergeCell ref="AH139:AL139"/>
    <mergeCell ref="AN139:AR139"/>
    <mergeCell ref="BF116:BG116"/>
    <mergeCell ref="BH116:BJ116"/>
    <mergeCell ref="B117:F117"/>
    <mergeCell ref="G117:K117"/>
    <mergeCell ref="L117:P117"/>
    <mergeCell ref="Q117:U117"/>
    <mergeCell ref="V117:Z117"/>
    <mergeCell ref="AA117:AE117"/>
    <mergeCell ref="AF117:AF118"/>
    <mergeCell ref="AT117:AX117"/>
    <mergeCell ref="AZ117:BD117"/>
    <mergeCell ref="AG117:AG118"/>
    <mergeCell ref="AH116:AI116"/>
    <mergeCell ref="AJ116:AL116"/>
    <mergeCell ref="AN116:AO116"/>
    <mergeCell ref="AP116:AR116"/>
    <mergeCell ref="AT116:AU116"/>
    <mergeCell ref="AV116:AX116"/>
    <mergeCell ref="AZ116:BA116"/>
    <mergeCell ref="BB116:BD116"/>
    <mergeCell ref="BF117:BJ117"/>
    <mergeCell ref="BG130:BH130"/>
    <mergeCell ref="BI130:BJ130"/>
    <mergeCell ref="BC130:BD130"/>
    <mergeCell ref="AH138:AL138"/>
    <mergeCell ref="AN138:AR138"/>
    <mergeCell ref="AT138:AX138"/>
    <mergeCell ref="AZ138:BD138"/>
    <mergeCell ref="BF138:BJ138"/>
    <mergeCell ref="AH118:AL118"/>
    <mergeCell ref="AN118:AR118"/>
    <mergeCell ref="AT118:AX118"/>
    <mergeCell ref="AZ118:BD118"/>
    <mergeCell ref="BF118:BJ118"/>
    <mergeCell ref="AQ130:AR130"/>
    <mergeCell ref="AU130:AV130"/>
    <mergeCell ref="AW130:AX130"/>
    <mergeCell ref="BA130:BB130"/>
    <mergeCell ref="BF137:BG137"/>
    <mergeCell ref="BH137:BJ137"/>
    <mergeCell ref="S144:S145"/>
    <mergeCell ref="T144:U144"/>
    <mergeCell ref="V144:V145"/>
    <mergeCell ref="W144:W145"/>
    <mergeCell ref="J144:K147"/>
    <mergeCell ref="D144:E144"/>
    <mergeCell ref="AI131:AJ131"/>
    <mergeCell ref="AK131:AL131"/>
    <mergeCell ref="AO131:AP131"/>
    <mergeCell ref="AQ131:AR131"/>
    <mergeCell ref="AU131:AV131"/>
    <mergeCell ref="AW131:AX131"/>
    <mergeCell ref="BA131:BB131"/>
    <mergeCell ref="BC131:BD131"/>
    <mergeCell ref="BG131:BH131"/>
    <mergeCell ref="BI131:BJ131"/>
    <mergeCell ref="M144:N147"/>
    <mergeCell ref="P144:Q147"/>
    <mergeCell ref="AD147:AF147"/>
    <mergeCell ref="AT139:AX139"/>
    <mergeCell ref="AZ139:BD139"/>
    <mergeCell ref="BF139:BJ139"/>
    <mergeCell ref="G144:H144"/>
    <mergeCell ref="AH137:AI137"/>
    <mergeCell ref="AJ137:AL137"/>
    <mergeCell ref="AN137:AO137"/>
    <mergeCell ref="AP137:AR137"/>
    <mergeCell ref="AT137:AU137"/>
    <mergeCell ref="AV137:AX137"/>
    <mergeCell ref="AZ137:BA137"/>
    <mergeCell ref="BB137:BD137"/>
    <mergeCell ref="AH158:AJ158"/>
    <mergeCell ref="AK158:AM158"/>
    <mergeCell ref="AP158:AR158"/>
    <mergeCell ref="AU158:AW158"/>
    <mergeCell ref="AS158:AT158"/>
    <mergeCell ref="AN158:AO158"/>
    <mergeCell ref="BI152:BJ152"/>
    <mergeCell ref="AI152:AJ152"/>
    <mergeCell ref="AK152:AL152"/>
    <mergeCell ref="AO152:AP152"/>
    <mergeCell ref="AQ152:AR152"/>
    <mergeCell ref="AU152:AV152"/>
    <mergeCell ref="AW152:AX152"/>
    <mergeCell ref="BA152:BB152"/>
    <mergeCell ref="BC152:BD152"/>
    <mergeCell ref="BG152:BH152"/>
  </mergeCells>
  <pageMargins left="0" right="0" top="0" bottom="0" header="0.31496062992125984" footer="0.31496062992125984"/>
  <pageSetup paperSize="9" scale="85" orientation="landscape" verticalDpi="300" r:id="rId1"/>
  <headerFooter>
    <oddFooter>&amp;RPRINTED ON &amp;D AT 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Y189"/>
  <sheetViews>
    <sheetView showZeros="0" zoomScale="115" zoomScaleNormal="115" workbookViewId="0">
      <selection sqref="A1:XFD1048576"/>
    </sheetView>
  </sheetViews>
  <sheetFormatPr defaultColWidth="9.140625" defaultRowHeight="15" x14ac:dyDescent="0.25"/>
  <cols>
    <col min="1" max="1" width="6.28515625" style="28" customWidth="1"/>
    <col min="2" max="2" width="5.85546875" style="28" customWidth="1"/>
    <col min="3" max="3" width="4.42578125" style="28" customWidth="1"/>
    <col min="4" max="4" width="6.28515625" style="28" customWidth="1"/>
    <col min="5" max="5" width="5.85546875" style="28" customWidth="1"/>
    <col min="6" max="6" width="4.42578125" style="28" customWidth="1"/>
    <col min="7" max="7" width="6.28515625" style="28" customWidth="1"/>
    <col min="8" max="8" width="5.85546875" style="28" customWidth="1"/>
    <col min="9" max="9" width="4.42578125" style="28" customWidth="1"/>
    <col min="10" max="10" width="6.28515625" style="28" customWidth="1"/>
    <col min="11" max="12" width="4.42578125" style="28" customWidth="1"/>
    <col min="13" max="13" width="6.28515625" style="28" customWidth="1"/>
    <col min="14" max="15" width="4.42578125" style="28" customWidth="1"/>
    <col min="16" max="16" width="6.28515625" style="28" customWidth="1"/>
    <col min="17" max="18" width="4.42578125" style="28" customWidth="1"/>
    <col min="19" max="19" width="6.28515625" style="28" customWidth="1"/>
    <col min="20" max="21" width="4.7109375" style="28" customWidth="1"/>
    <col min="22" max="22" width="6.28515625" style="28" customWidth="1"/>
    <col min="23" max="23" width="5.42578125" style="28" customWidth="1"/>
    <col min="24" max="31" width="4.42578125" style="28" customWidth="1"/>
    <col min="32" max="33" width="6.28515625" style="28" customWidth="1"/>
    <col min="34" max="62" width="5.85546875" style="28" customWidth="1"/>
    <col min="63" max="63" width="5.140625" style="28" bestFit="1" customWidth="1"/>
    <col min="64" max="64" width="5.7109375" style="28" bestFit="1" customWidth="1"/>
    <col min="65" max="65" width="5" style="28" bestFit="1" customWidth="1"/>
    <col min="66" max="67" width="4.140625" style="28" bestFit="1" customWidth="1"/>
    <col min="68" max="68" width="4.28515625" style="28" bestFit="1" customWidth="1"/>
    <col min="69" max="69" width="5.140625" style="28" bestFit="1" customWidth="1"/>
    <col min="70" max="70" width="7.42578125" style="28" bestFit="1" customWidth="1"/>
    <col min="71" max="71" width="12.5703125" style="28" bestFit="1" customWidth="1"/>
    <col min="72" max="72" width="6.140625" style="28" bestFit="1" customWidth="1"/>
    <col min="73" max="16384" width="9.140625" style="28"/>
  </cols>
  <sheetData>
    <row r="1" spans="1:77" ht="16.5" customHeight="1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15</v>
      </c>
      <c r="J1" s="24" t="s">
        <v>133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133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133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12</v>
      </c>
      <c r="AB1" s="24" t="s">
        <v>133</v>
      </c>
      <c r="AC1" s="24" t="s">
        <v>8</v>
      </c>
      <c r="AD1" s="24" t="s">
        <v>9</v>
      </c>
      <c r="AE1" s="24" t="s">
        <v>10</v>
      </c>
      <c r="AF1" s="24" t="s">
        <v>11</v>
      </c>
      <c r="AG1" s="24" t="s">
        <v>12</v>
      </c>
      <c r="AH1" s="24" t="s">
        <v>133</v>
      </c>
      <c r="AI1" s="24" t="s">
        <v>8</v>
      </c>
      <c r="AJ1" s="24" t="s">
        <v>9</v>
      </c>
      <c r="AK1" s="24" t="s">
        <v>10</v>
      </c>
      <c r="AL1" s="24" t="s">
        <v>11</v>
      </c>
      <c r="AM1" s="24" t="s">
        <v>12</v>
      </c>
      <c r="AN1" s="24" t="s">
        <v>133</v>
      </c>
      <c r="AO1" s="24" t="s">
        <v>8</v>
      </c>
      <c r="AP1" s="24" t="s">
        <v>9</v>
      </c>
      <c r="AQ1" s="24" t="s">
        <v>10</v>
      </c>
      <c r="AR1" s="24" t="s">
        <v>11</v>
      </c>
      <c r="AS1" s="24" t="s">
        <v>12</v>
      </c>
      <c r="AT1" s="24" t="s">
        <v>133</v>
      </c>
      <c r="AU1" s="24" t="s">
        <v>8</v>
      </c>
      <c r="AV1" s="24" t="s">
        <v>9</v>
      </c>
      <c r="AW1" s="24" t="s">
        <v>10</v>
      </c>
      <c r="AX1" s="24" t="s">
        <v>11</v>
      </c>
      <c r="AY1" s="24" t="s">
        <v>12</v>
      </c>
      <c r="AZ1" s="24" t="s">
        <v>133</v>
      </c>
      <c r="BA1" s="24" t="s">
        <v>8</v>
      </c>
      <c r="BB1" s="24" t="s">
        <v>9</v>
      </c>
      <c r="BC1" s="24" t="s">
        <v>10</v>
      </c>
      <c r="BD1" s="24" t="s">
        <v>11</v>
      </c>
      <c r="BE1" s="24" t="s">
        <v>12</v>
      </c>
      <c r="BF1" s="24" t="s">
        <v>133</v>
      </c>
      <c r="BG1" s="24" t="s">
        <v>8</v>
      </c>
      <c r="BH1" s="24" t="s">
        <v>9</v>
      </c>
      <c r="BI1" s="24" t="s">
        <v>10</v>
      </c>
      <c r="BJ1" s="24" t="s">
        <v>11</v>
      </c>
      <c r="BK1" s="24" t="s">
        <v>12</v>
      </c>
      <c r="BL1" s="24" t="s">
        <v>133</v>
      </c>
      <c r="BM1" s="24" t="s">
        <v>8</v>
      </c>
      <c r="BN1" s="24" t="s">
        <v>9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36</v>
      </c>
      <c r="BU1" s="26"/>
      <c r="BV1" s="27"/>
      <c r="BW1" s="27"/>
      <c r="BX1" s="27"/>
      <c r="BY1" s="27"/>
    </row>
    <row r="2" spans="1:77" s="56" customFormat="1" ht="78" thickBot="1" x14ac:dyDescent="0.3">
      <c r="A2" s="188">
        <v>21420</v>
      </c>
      <c r="B2" s="189">
        <v>46031</v>
      </c>
      <c r="C2" s="41" t="s">
        <v>239</v>
      </c>
      <c r="D2" s="41" t="s">
        <v>90</v>
      </c>
      <c r="E2" s="41" t="s">
        <v>42</v>
      </c>
      <c r="F2" s="41" t="s">
        <v>121</v>
      </c>
      <c r="G2" s="41" t="s">
        <v>122</v>
      </c>
      <c r="H2" s="41" t="s">
        <v>123</v>
      </c>
      <c r="I2" s="41"/>
      <c r="J2" s="41" t="s">
        <v>134</v>
      </c>
      <c r="K2" s="188">
        <v>1500</v>
      </c>
      <c r="L2" s="188">
        <v>8</v>
      </c>
      <c r="M2" s="41" t="s">
        <v>17</v>
      </c>
      <c r="N2" s="41" t="s">
        <v>22</v>
      </c>
      <c r="O2" s="188">
        <v>3.5</v>
      </c>
      <c r="P2" s="41" t="s">
        <v>134</v>
      </c>
      <c r="Q2" s="188">
        <v>1000</v>
      </c>
      <c r="R2" s="188">
        <v>10</v>
      </c>
      <c r="S2" s="41" t="s">
        <v>17</v>
      </c>
      <c r="T2" s="41" t="s">
        <v>22</v>
      </c>
      <c r="U2" s="188">
        <v>3.5</v>
      </c>
      <c r="V2" s="41" t="s">
        <v>134</v>
      </c>
      <c r="W2" s="188">
        <v>750</v>
      </c>
      <c r="X2" s="188">
        <v>10</v>
      </c>
      <c r="Y2" s="41" t="s">
        <v>17</v>
      </c>
      <c r="Z2" s="41" t="s">
        <v>22</v>
      </c>
      <c r="AA2" s="188">
        <v>3.5</v>
      </c>
      <c r="AB2" s="41" t="s">
        <v>134</v>
      </c>
      <c r="AC2" s="188">
        <v>500</v>
      </c>
      <c r="AD2" s="188">
        <v>20</v>
      </c>
      <c r="AE2" s="41" t="s">
        <v>17</v>
      </c>
      <c r="AF2" s="41" t="s">
        <v>22</v>
      </c>
      <c r="AG2" s="188">
        <v>3.5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 t="s">
        <v>91</v>
      </c>
      <c r="BS2" s="41" t="s">
        <v>253</v>
      </c>
      <c r="BT2" s="108">
        <f t="shared" ref="BT2" si="0">K2*L2+Q2*R2+W2*X2+AC2*AD2+AI2*AJ2+AO2*AP2+AU2*AV2+BA2*BB2+BG2*BH2+BM2*BN2</f>
        <v>39500</v>
      </c>
    </row>
    <row r="3" spans="1:77" s="56" customFormat="1" ht="15.75" thickBot="1" x14ac:dyDescent="0.3">
      <c r="A3" s="80"/>
      <c r="B3" s="49"/>
      <c r="C3" s="20"/>
      <c r="D3" s="20"/>
      <c r="E3" s="20"/>
      <c r="F3" s="20"/>
      <c r="G3" s="20"/>
      <c r="H3" s="20"/>
      <c r="I3" s="20"/>
      <c r="J3" s="48"/>
      <c r="K3" s="48"/>
      <c r="L3" s="48"/>
      <c r="M3" s="20"/>
      <c r="N3" s="20"/>
      <c r="O3" s="48"/>
      <c r="P3" s="48"/>
      <c r="Q3" s="48"/>
      <c r="R3" s="48"/>
      <c r="S3" s="20"/>
      <c r="T3" s="20"/>
      <c r="U3" s="48"/>
      <c r="V3" s="48"/>
      <c r="W3" s="48"/>
      <c r="X3" s="48"/>
      <c r="Y3" s="48"/>
      <c r="Z3" s="20"/>
      <c r="AA3" s="48"/>
      <c r="AB3" s="48"/>
      <c r="AC3" s="48"/>
      <c r="AD3" s="48"/>
      <c r="AE3" s="20"/>
      <c r="AF3" s="20"/>
      <c r="AG3" s="48"/>
      <c r="AH3" s="48"/>
      <c r="AI3" s="48"/>
      <c r="AJ3" s="48"/>
      <c r="AK3" s="20"/>
      <c r="AL3" s="20"/>
      <c r="AM3" s="48"/>
      <c r="AN3" s="48"/>
      <c r="AO3" s="48"/>
      <c r="AP3" s="48"/>
      <c r="AQ3" s="20"/>
      <c r="AR3" s="20"/>
      <c r="AS3" s="48"/>
      <c r="AT3" s="48"/>
      <c r="AU3" s="48"/>
      <c r="AV3" s="48"/>
      <c r="AW3" s="20"/>
      <c r="AX3" s="20"/>
      <c r="AY3" s="48"/>
      <c r="AZ3" s="48"/>
      <c r="BA3" s="48"/>
      <c r="BB3" s="48"/>
      <c r="BC3" s="20"/>
      <c r="BD3" s="20"/>
      <c r="BE3" s="48"/>
      <c r="BF3" s="48"/>
      <c r="BG3" s="48"/>
      <c r="BH3" s="48"/>
      <c r="BI3" s="20"/>
      <c r="BJ3" s="20"/>
      <c r="BK3" s="48"/>
      <c r="BL3" s="48"/>
      <c r="BM3" s="48"/>
      <c r="BN3" s="48"/>
      <c r="BO3" s="20"/>
      <c r="BP3" s="20"/>
      <c r="BQ3" s="48"/>
      <c r="BR3" s="20"/>
      <c r="BS3" s="20"/>
      <c r="BT3" s="55"/>
      <c r="BU3" s="20"/>
      <c r="BV3" s="20"/>
      <c r="BW3" s="20"/>
      <c r="BX3" s="20"/>
      <c r="BY3" s="20"/>
    </row>
    <row r="4" spans="1:77" s="56" customFormat="1" ht="15.75" thickBot="1" x14ac:dyDescent="0.3">
      <c r="A4" s="80"/>
      <c r="B4" s="49"/>
      <c r="C4" s="20"/>
      <c r="D4" s="20"/>
      <c r="E4" s="20"/>
      <c r="F4" s="20"/>
      <c r="G4" s="20"/>
      <c r="H4" s="20"/>
      <c r="I4" s="20"/>
      <c r="J4" s="48"/>
      <c r="K4" s="48"/>
      <c r="L4" s="48"/>
      <c r="M4" s="20"/>
      <c r="N4" s="20"/>
      <c r="O4" s="48"/>
      <c r="P4" s="48"/>
      <c r="Q4" s="48"/>
      <c r="R4" s="48"/>
      <c r="S4" s="20"/>
      <c r="T4" s="20"/>
      <c r="U4" s="48"/>
      <c r="V4" s="48"/>
      <c r="W4" s="48"/>
      <c r="X4" s="48"/>
      <c r="Y4" s="48"/>
      <c r="Z4" s="20"/>
      <c r="AA4" s="48"/>
      <c r="AB4" s="48"/>
      <c r="AC4" s="48"/>
      <c r="AD4" s="48"/>
      <c r="AE4" s="20"/>
      <c r="AF4" s="20"/>
      <c r="AG4" s="48"/>
      <c r="AH4" s="48"/>
      <c r="AI4" s="48"/>
      <c r="AJ4" s="48"/>
      <c r="AK4" s="20"/>
      <c r="AL4" s="20"/>
      <c r="AM4" s="48"/>
      <c r="AN4" s="48"/>
      <c r="AO4" s="48"/>
      <c r="AP4" s="48"/>
      <c r="AQ4" s="20"/>
      <c r="AR4" s="20"/>
      <c r="AS4" s="48"/>
      <c r="AT4" s="48"/>
      <c r="AU4" s="48"/>
      <c r="AV4" s="48"/>
      <c r="AW4" s="20"/>
      <c r="AX4" s="20"/>
      <c r="AY4" s="48"/>
      <c r="AZ4" s="48"/>
      <c r="BA4" s="48"/>
      <c r="BB4" s="48"/>
      <c r="BC4" s="20"/>
      <c r="BD4" s="20"/>
      <c r="BE4" s="48"/>
      <c r="BF4" s="48"/>
      <c r="BG4" s="48"/>
      <c r="BH4" s="48"/>
      <c r="BI4" s="20"/>
      <c r="BJ4" s="20"/>
      <c r="BK4" s="48"/>
      <c r="BL4" s="48"/>
      <c r="BM4" s="48"/>
      <c r="BN4" s="48"/>
      <c r="BO4" s="20"/>
      <c r="BP4" s="20"/>
      <c r="BQ4" s="48"/>
      <c r="BR4" s="20"/>
      <c r="BS4" s="20"/>
      <c r="BT4" s="55"/>
      <c r="BU4" s="20"/>
      <c r="BV4" s="20"/>
      <c r="BW4" s="20"/>
      <c r="BX4" s="20"/>
      <c r="BY4" s="20"/>
    </row>
    <row r="5" spans="1:77" s="56" customFormat="1" ht="15.75" thickBot="1" x14ac:dyDescent="0.3">
      <c r="A5" s="80"/>
      <c r="B5" s="49"/>
      <c r="C5" s="20"/>
      <c r="D5" s="20"/>
      <c r="E5" s="20"/>
      <c r="F5" s="20"/>
      <c r="G5" s="20"/>
      <c r="H5" s="20"/>
      <c r="I5" s="20"/>
      <c r="J5" s="48"/>
      <c r="K5" s="48"/>
      <c r="L5" s="48"/>
      <c r="M5" s="20"/>
      <c r="N5" s="20"/>
      <c r="O5" s="48"/>
      <c r="P5" s="48"/>
      <c r="Q5" s="48"/>
      <c r="R5" s="48"/>
      <c r="S5" s="20"/>
      <c r="T5" s="20"/>
      <c r="U5" s="48"/>
      <c r="V5" s="48"/>
      <c r="W5" s="48"/>
      <c r="X5" s="48"/>
      <c r="Y5" s="48"/>
      <c r="Z5" s="20"/>
      <c r="AA5" s="48"/>
      <c r="AB5" s="48"/>
      <c r="AC5" s="48"/>
      <c r="AD5" s="48"/>
      <c r="AE5" s="20"/>
      <c r="AF5" s="20"/>
      <c r="AG5" s="48"/>
      <c r="AH5" s="48"/>
      <c r="AI5" s="48"/>
      <c r="AJ5" s="48"/>
      <c r="AK5" s="20"/>
      <c r="AL5" s="20"/>
      <c r="AM5" s="48"/>
      <c r="AN5" s="48"/>
      <c r="AO5" s="48"/>
      <c r="AP5" s="48"/>
      <c r="AQ5" s="20"/>
      <c r="AR5" s="20"/>
      <c r="AS5" s="48"/>
      <c r="AT5" s="48"/>
      <c r="AU5" s="48"/>
      <c r="AV5" s="48"/>
      <c r="AW5" s="20"/>
      <c r="AX5" s="20"/>
      <c r="AY5" s="48"/>
      <c r="AZ5" s="48"/>
      <c r="BA5" s="48"/>
      <c r="BB5" s="48"/>
      <c r="BC5" s="20"/>
      <c r="BD5" s="20"/>
      <c r="BE5" s="48"/>
      <c r="BF5" s="48"/>
      <c r="BG5" s="48"/>
      <c r="BH5" s="48"/>
      <c r="BI5" s="20"/>
      <c r="BJ5" s="20"/>
      <c r="BK5" s="48"/>
      <c r="BL5" s="48"/>
      <c r="BM5" s="48"/>
      <c r="BN5" s="48"/>
      <c r="BO5" s="20"/>
      <c r="BP5" s="20"/>
      <c r="BQ5" s="48"/>
      <c r="BR5" s="20"/>
      <c r="BS5" s="20"/>
      <c r="BT5" s="55"/>
      <c r="BU5" s="20"/>
      <c r="BV5" s="20"/>
      <c r="BW5" s="20"/>
      <c r="BX5" s="20"/>
      <c r="BY5" s="20"/>
    </row>
    <row r="6" spans="1:77" s="56" customFormat="1" ht="15.75" thickBot="1" x14ac:dyDescent="0.3">
      <c r="A6" s="80"/>
      <c r="B6" s="49"/>
      <c r="C6" s="20"/>
      <c r="D6" s="20"/>
      <c r="E6" s="20"/>
      <c r="F6" s="20"/>
      <c r="G6" s="20"/>
      <c r="H6" s="20"/>
      <c r="I6" s="20"/>
      <c r="J6" s="48"/>
      <c r="K6" s="48"/>
      <c r="L6" s="48"/>
      <c r="M6" s="20"/>
      <c r="N6" s="20"/>
      <c r="O6" s="48"/>
      <c r="P6" s="48"/>
      <c r="Q6" s="48"/>
      <c r="R6" s="48"/>
      <c r="S6" s="20"/>
      <c r="T6" s="20"/>
      <c r="U6" s="48"/>
      <c r="V6" s="48"/>
      <c r="W6" s="48"/>
      <c r="X6" s="48"/>
      <c r="Y6" s="48"/>
      <c r="Z6" s="20"/>
      <c r="AA6" s="48"/>
      <c r="AB6" s="48"/>
      <c r="AC6" s="48"/>
      <c r="AD6" s="48"/>
      <c r="AE6" s="20"/>
      <c r="AF6" s="20"/>
      <c r="AG6" s="48"/>
      <c r="AH6" s="48"/>
      <c r="AI6" s="48"/>
      <c r="AJ6" s="48"/>
      <c r="AK6" s="20"/>
      <c r="AL6" s="20"/>
      <c r="AM6" s="48"/>
      <c r="AN6" s="48"/>
      <c r="AO6" s="48"/>
      <c r="AP6" s="48"/>
      <c r="AQ6" s="20"/>
      <c r="AR6" s="20"/>
      <c r="AS6" s="48"/>
      <c r="AT6" s="48"/>
      <c r="AU6" s="48"/>
      <c r="AV6" s="48"/>
      <c r="AW6" s="20"/>
      <c r="AX6" s="20"/>
      <c r="AY6" s="48"/>
      <c r="AZ6" s="48"/>
      <c r="BA6" s="48"/>
      <c r="BB6" s="48"/>
      <c r="BC6" s="20"/>
      <c r="BD6" s="20"/>
      <c r="BE6" s="48"/>
      <c r="BF6" s="48"/>
      <c r="BG6" s="48"/>
      <c r="BH6" s="48"/>
      <c r="BI6" s="20"/>
      <c r="BJ6" s="20"/>
      <c r="BK6" s="48"/>
      <c r="BL6" s="48"/>
      <c r="BM6" s="48"/>
      <c r="BN6" s="48"/>
      <c r="BO6" s="20"/>
      <c r="BP6" s="20"/>
      <c r="BQ6" s="48"/>
      <c r="BR6" s="20"/>
      <c r="BS6" s="20"/>
      <c r="BT6" s="55"/>
      <c r="BU6" s="20"/>
      <c r="BV6" s="20"/>
      <c r="BW6" s="20"/>
      <c r="BX6" s="20"/>
      <c r="BY6" s="20"/>
    </row>
    <row r="7" spans="1:77" s="56" customFormat="1" ht="15.75" thickBot="1" x14ac:dyDescent="0.3">
      <c r="A7" s="80"/>
      <c r="B7" s="49"/>
      <c r="C7" s="20"/>
      <c r="D7" s="20"/>
      <c r="E7" s="20"/>
      <c r="F7" s="20"/>
      <c r="G7" s="20"/>
      <c r="H7" s="20"/>
      <c r="I7" s="20"/>
      <c r="J7" s="48"/>
      <c r="K7" s="48"/>
      <c r="L7" s="48"/>
      <c r="M7" s="20"/>
      <c r="N7" s="20"/>
      <c r="O7" s="48"/>
      <c r="P7" s="48"/>
      <c r="Q7" s="48"/>
      <c r="R7" s="48"/>
      <c r="S7" s="20"/>
      <c r="T7" s="20"/>
      <c r="U7" s="48"/>
      <c r="V7" s="48"/>
      <c r="W7" s="48"/>
      <c r="X7" s="48"/>
      <c r="Y7" s="48"/>
      <c r="Z7" s="20"/>
      <c r="AA7" s="48"/>
      <c r="AB7" s="48"/>
      <c r="AC7" s="48"/>
      <c r="AD7" s="48"/>
      <c r="AE7" s="20"/>
      <c r="AF7" s="20"/>
      <c r="AG7" s="48"/>
      <c r="AH7" s="48"/>
      <c r="AI7" s="48"/>
      <c r="AJ7" s="48"/>
      <c r="AK7" s="20"/>
      <c r="AL7" s="20"/>
      <c r="AM7" s="48"/>
      <c r="AN7" s="48"/>
      <c r="AO7" s="48"/>
      <c r="AP7" s="48"/>
      <c r="AQ7" s="20"/>
      <c r="AR7" s="20"/>
      <c r="AS7" s="48"/>
      <c r="AT7" s="48"/>
      <c r="AU7" s="48"/>
      <c r="AV7" s="48"/>
      <c r="AW7" s="20"/>
      <c r="AX7" s="20"/>
      <c r="AY7" s="48"/>
      <c r="AZ7" s="48"/>
      <c r="BA7" s="48"/>
      <c r="BB7" s="48"/>
      <c r="BC7" s="20"/>
      <c r="BD7" s="20"/>
      <c r="BE7" s="48"/>
      <c r="BF7" s="48"/>
      <c r="BG7" s="48"/>
      <c r="BH7" s="48"/>
      <c r="BI7" s="20"/>
      <c r="BJ7" s="20"/>
      <c r="BK7" s="48"/>
      <c r="BL7" s="48"/>
      <c r="BM7" s="48"/>
      <c r="BN7" s="48"/>
      <c r="BO7" s="20"/>
      <c r="BP7" s="20"/>
      <c r="BQ7" s="48"/>
      <c r="BR7" s="20"/>
      <c r="BS7" s="20"/>
      <c r="BT7" s="55"/>
      <c r="BU7" s="20"/>
      <c r="BV7" s="20"/>
      <c r="BW7" s="20"/>
      <c r="BX7" s="20"/>
      <c r="BY7" s="20"/>
    </row>
    <row r="8" spans="1:77" s="56" customFormat="1" ht="15.75" thickBot="1" x14ac:dyDescent="0.3">
      <c r="A8" s="80"/>
      <c r="B8" s="49"/>
      <c r="C8" s="20"/>
      <c r="D8" s="20"/>
      <c r="E8" s="20"/>
      <c r="F8" s="20"/>
      <c r="G8" s="20"/>
      <c r="H8" s="20"/>
      <c r="I8" s="20"/>
      <c r="J8" s="48"/>
      <c r="K8" s="48"/>
      <c r="L8" s="48"/>
      <c r="M8" s="20"/>
      <c r="N8" s="20"/>
      <c r="O8" s="48"/>
      <c r="P8" s="48"/>
      <c r="Q8" s="48"/>
      <c r="R8" s="48"/>
      <c r="S8" s="20"/>
      <c r="T8" s="20"/>
      <c r="U8" s="48"/>
      <c r="V8" s="48"/>
      <c r="W8" s="48"/>
      <c r="X8" s="48"/>
      <c r="Y8" s="48"/>
      <c r="Z8" s="20"/>
      <c r="AA8" s="48"/>
      <c r="AB8" s="48"/>
      <c r="AC8" s="48"/>
      <c r="AD8" s="48"/>
      <c r="AE8" s="20"/>
      <c r="AF8" s="20"/>
      <c r="AG8" s="48"/>
      <c r="AH8" s="48"/>
      <c r="AI8" s="48"/>
      <c r="AJ8" s="48"/>
      <c r="AK8" s="20"/>
      <c r="AL8" s="20"/>
      <c r="AM8" s="48"/>
      <c r="AN8" s="48"/>
      <c r="AO8" s="48"/>
      <c r="AP8" s="48"/>
      <c r="AQ8" s="20"/>
      <c r="AR8" s="20"/>
      <c r="AS8" s="48"/>
      <c r="AT8" s="48"/>
      <c r="AU8" s="48"/>
      <c r="AV8" s="48"/>
      <c r="AW8" s="20"/>
      <c r="AX8" s="20"/>
      <c r="AY8" s="48"/>
      <c r="AZ8" s="48"/>
      <c r="BA8" s="48"/>
      <c r="BB8" s="48"/>
      <c r="BC8" s="20"/>
      <c r="BD8" s="20"/>
      <c r="BE8" s="48"/>
      <c r="BF8" s="48"/>
      <c r="BG8" s="48"/>
      <c r="BH8" s="48"/>
      <c r="BI8" s="20"/>
      <c r="BJ8" s="20"/>
      <c r="BK8" s="48"/>
      <c r="BL8" s="48"/>
      <c r="BM8" s="48"/>
      <c r="BN8" s="48"/>
      <c r="BO8" s="20"/>
      <c r="BP8" s="20"/>
      <c r="BQ8" s="48"/>
      <c r="BR8" s="20"/>
      <c r="BS8" s="20"/>
      <c r="BT8" s="55"/>
      <c r="BU8" s="20"/>
      <c r="BV8" s="20"/>
      <c r="BW8" s="20"/>
      <c r="BX8" s="20"/>
      <c r="BY8" s="20"/>
    </row>
    <row r="9" spans="1:77" s="56" customFormat="1" ht="15.75" thickBot="1" x14ac:dyDescent="0.3">
      <c r="A9" s="80"/>
      <c r="B9" s="49"/>
      <c r="C9" s="20"/>
      <c r="D9" s="20"/>
      <c r="E9" s="20"/>
      <c r="F9" s="20"/>
      <c r="G9" s="20"/>
      <c r="H9" s="20"/>
      <c r="I9" s="20"/>
      <c r="J9" s="48"/>
      <c r="K9" s="48"/>
      <c r="L9" s="48"/>
      <c r="M9" s="20"/>
      <c r="N9" s="20"/>
      <c r="O9" s="48"/>
      <c r="P9" s="48"/>
      <c r="Q9" s="48"/>
      <c r="R9" s="48"/>
      <c r="S9" s="20"/>
      <c r="T9" s="20"/>
      <c r="U9" s="48"/>
      <c r="V9" s="48"/>
      <c r="W9" s="48"/>
      <c r="X9" s="48"/>
      <c r="Y9" s="48"/>
      <c r="Z9" s="20"/>
      <c r="AA9" s="48"/>
      <c r="AB9" s="48"/>
      <c r="AC9" s="48"/>
      <c r="AD9" s="48"/>
      <c r="AE9" s="20"/>
      <c r="AF9" s="20"/>
      <c r="AG9" s="48"/>
      <c r="AH9" s="48"/>
      <c r="AI9" s="48"/>
      <c r="AJ9" s="48"/>
      <c r="AK9" s="20"/>
      <c r="AL9" s="20"/>
      <c r="AM9" s="48"/>
      <c r="AN9" s="48"/>
      <c r="AO9" s="48"/>
      <c r="AP9" s="48"/>
      <c r="AQ9" s="20"/>
      <c r="AR9" s="20"/>
      <c r="AS9" s="48"/>
      <c r="AT9" s="48"/>
      <c r="AU9" s="48"/>
      <c r="AV9" s="48"/>
      <c r="AW9" s="20"/>
      <c r="AX9" s="20"/>
      <c r="AY9" s="48"/>
      <c r="AZ9" s="48"/>
      <c r="BA9" s="48"/>
      <c r="BB9" s="48"/>
      <c r="BC9" s="20"/>
      <c r="BD9" s="20"/>
      <c r="BE9" s="48"/>
      <c r="BF9" s="48"/>
      <c r="BG9" s="48"/>
      <c r="BH9" s="48"/>
      <c r="BI9" s="20"/>
      <c r="BJ9" s="20"/>
      <c r="BK9" s="48"/>
      <c r="BL9" s="48"/>
      <c r="BM9" s="48"/>
      <c r="BN9" s="48"/>
      <c r="BO9" s="20"/>
      <c r="BP9" s="20"/>
      <c r="BQ9" s="48"/>
      <c r="BR9" s="20"/>
      <c r="BS9" s="20"/>
      <c r="BT9" s="55"/>
      <c r="BU9" s="20"/>
      <c r="BV9" s="20"/>
      <c r="BW9" s="20"/>
      <c r="BX9" s="20"/>
      <c r="BY9" s="20"/>
    </row>
    <row r="10" spans="1:77" s="56" customFormat="1" ht="15.75" thickBot="1" x14ac:dyDescent="0.3">
      <c r="A10" s="80"/>
      <c r="B10" s="49"/>
      <c r="C10" s="20"/>
      <c r="D10" s="20"/>
      <c r="E10" s="20"/>
      <c r="F10" s="20"/>
      <c r="G10" s="20"/>
      <c r="H10" s="20"/>
      <c r="I10" s="20"/>
      <c r="J10" s="48"/>
      <c r="K10" s="48"/>
      <c r="L10" s="48"/>
      <c r="M10" s="20"/>
      <c r="N10" s="20"/>
      <c r="O10" s="48"/>
      <c r="P10" s="48"/>
      <c r="Q10" s="48"/>
      <c r="R10" s="48"/>
      <c r="S10" s="20"/>
      <c r="T10" s="20"/>
      <c r="U10" s="48"/>
      <c r="V10" s="48"/>
      <c r="W10" s="48"/>
      <c r="X10" s="48"/>
      <c r="Y10" s="48"/>
      <c r="Z10" s="20"/>
      <c r="AA10" s="48"/>
      <c r="AB10" s="48"/>
      <c r="AC10" s="48"/>
      <c r="AD10" s="48"/>
      <c r="AE10" s="20"/>
      <c r="AF10" s="20"/>
      <c r="AG10" s="48"/>
      <c r="AH10" s="48"/>
      <c r="AI10" s="48"/>
      <c r="AJ10" s="48"/>
      <c r="AK10" s="20"/>
      <c r="AL10" s="20"/>
      <c r="AM10" s="48"/>
      <c r="AN10" s="48"/>
      <c r="AO10" s="48"/>
      <c r="AP10" s="48"/>
      <c r="AQ10" s="20"/>
      <c r="AR10" s="20"/>
      <c r="AS10" s="48"/>
      <c r="AT10" s="48"/>
      <c r="AU10" s="48"/>
      <c r="AV10" s="48"/>
      <c r="AW10" s="20"/>
      <c r="AX10" s="20"/>
      <c r="AY10" s="48"/>
      <c r="AZ10" s="48"/>
      <c r="BA10" s="48"/>
      <c r="BB10" s="48"/>
      <c r="BC10" s="20"/>
      <c r="BD10" s="20"/>
      <c r="BE10" s="48"/>
      <c r="BF10" s="48"/>
      <c r="BG10" s="48"/>
      <c r="BH10" s="48"/>
      <c r="BI10" s="20"/>
      <c r="BJ10" s="20"/>
      <c r="BK10" s="48"/>
      <c r="BL10" s="48"/>
      <c r="BM10" s="48"/>
      <c r="BN10" s="48"/>
      <c r="BO10" s="20"/>
      <c r="BP10" s="20"/>
      <c r="BQ10" s="48"/>
      <c r="BR10" s="20"/>
      <c r="BS10" s="20"/>
      <c r="BT10" s="55"/>
      <c r="BU10" s="20"/>
      <c r="BV10" s="20"/>
      <c r="BW10" s="20"/>
      <c r="BX10" s="20"/>
      <c r="BY10" s="20"/>
    </row>
    <row r="11" spans="1:77" s="56" customFormat="1" ht="15.75" thickBot="1" x14ac:dyDescent="0.3">
      <c r="A11" s="80"/>
      <c r="B11" s="49"/>
      <c r="C11" s="20"/>
      <c r="D11" s="20"/>
      <c r="E11" s="20"/>
      <c r="F11" s="20"/>
      <c r="G11" s="20"/>
      <c r="H11" s="20"/>
      <c r="I11" s="20"/>
      <c r="J11" s="48"/>
      <c r="K11" s="48"/>
      <c r="L11" s="48"/>
      <c r="M11" s="20"/>
      <c r="N11" s="20"/>
      <c r="O11" s="48"/>
      <c r="P11" s="48"/>
      <c r="Q11" s="48"/>
      <c r="R11" s="48"/>
      <c r="S11" s="20"/>
      <c r="T11" s="20"/>
      <c r="U11" s="48"/>
      <c r="V11" s="48"/>
      <c r="W11" s="48"/>
      <c r="X11" s="48"/>
      <c r="Y11" s="48"/>
      <c r="Z11" s="20"/>
      <c r="AA11" s="48"/>
      <c r="AB11" s="48"/>
      <c r="AC11" s="48"/>
      <c r="AD11" s="48"/>
      <c r="AE11" s="20"/>
      <c r="AF11" s="20"/>
      <c r="AG11" s="48"/>
      <c r="AH11" s="48"/>
      <c r="AI11" s="48"/>
      <c r="AJ11" s="48"/>
      <c r="AK11" s="20"/>
      <c r="AL11" s="20"/>
      <c r="AM11" s="48"/>
      <c r="AN11" s="48"/>
      <c r="AO11" s="48"/>
      <c r="AP11" s="48"/>
      <c r="AQ11" s="20"/>
      <c r="AR11" s="20"/>
      <c r="AS11" s="48"/>
      <c r="AT11" s="48"/>
      <c r="AU11" s="48"/>
      <c r="AV11" s="48"/>
      <c r="AW11" s="20"/>
      <c r="AX11" s="20"/>
      <c r="AY11" s="48"/>
      <c r="AZ11" s="48"/>
      <c r="BA11" s="48"/>
      <c r="BB11" s="48"/>
      <c r="BC11" s="20"/>
      <c r="BD11" s="20"/>
      <c r="BE11" s="48"/>
      <c r="BF11" s="48"/>
      <c r="BG11" s="48"/>
      <c r="BH11" s="48"/>
      <c r="BI11" s="20"/>
      <c r="BJ11" s="20"/>
      <c r="BK11" s="48"/>
      <c r="BL11" s="48"/>
      <c r="BM11" s="48"/>
      <c r="BN11" s="48"/>
      <c r="BO11" s="20"/>
      <c r="BP11" s="20"/>
      <c r="BQ11" s="48"/>
      <c r="BR11" s="20"/>
      <c r="BS11" s="20"/>
      <c r="BT11" s="55"/>
      <c r="BU11" s="20"/>
      <c r="BV11" s="20"/>
      <c r="BW11" s="20"/>
      <c r="BX11" s="20"/>
      <c r="BY11" s="20"/>
    </row>
    <row r="12" spans="1:77" s="40" customFormat="1" ht="15.75" thickBot="1" x14ac:dyDescent="0.3">
      <c r="A12" s="75"/>
      <c r="B12" s="2"/>
      <c r="C12" s="1"/>
      <c r="D12" s="1"/>
      <c r="E12" s="1"/>
      <c r="F12" s="25"/>
      <c r="G12" s="1"/>
      <c r="H12" s="1"/>
      <c r="I12" s="1"/>
      <c r="J12" s="3"/>
      <c r="K12" s="3"/>
      <c r="L12" s="3"/>
      <c r="M12" s="1"/>
      <c r="N12" s="1"/>
      <c r="O12" s="3"/>
      <c r="P12" s="3"/>
      <c r="Q12" s="3"/>
      <c r="R12" s="3"/>
      <c r="S12" s="1"/>
      <c r="T12" s="1"/>
      <c r="U12" s="3"/>
      <c r="V12" s="3"/>
      <c r="W12" s="1"/>
      <c r="X12" s="1"/>
      <c r="Y12" s="1"/>
      <c r="Z12" s="1"/>
      <c r="AA12" s="1"/>
      <c r="AB12" s="3"/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3"/>
      <c r="AO12" s="1"/>
      <c r="AP12" s="1"/>
      <c r="AQ12" s="1"/>
      <c r="AR12" s="1"/>
      <c r="AS12" s="1"/>
      <c r="AT12" s="3"/>
      <c r="AU12" s="1"/>
      <c r="AV12" s="1"/>
      <c r="AW12" s="1"/>
      <c r="AX12" s="1"/>
      <c r="AY12" s="1"/>
      <c r="AZ12" s="3"/>
      <c r="BA12" s="1"/>
      <c r="BB12" s="1"/>
      <c r="BC12" s="1"/>
      <c r="BD12" s="1"/>
      <c r="BE12" s="1"/>
      <c r="BF12" s="3"/>
      <c r="BG12" s="1"/>
      <c r="BH12" s="1"/>
      <c r="BI12" s="1"/>
      <c r="BJ12" s="1"/>
      <c r="BK12" s="1"/>
      <c r="BL12" s="3"/>
      <c r="BM12" s="1"/>
      <c r="BN12" s="1"/>
      <c r="BO12" s="1"/>
      <c r="BP12" s="1"/>
      <c r="BQ12" s="1"/>
      <c r="BR12" s="19"/>
      <c r="BS12" s="1"/>
      <c r="BT12" s="37"/>
      <c r="BU12" s="1"/>
      <c r="BV12" s="1"/>
      <c r="BW12" s="1"/>
      <c r="BX12" s="1"/>
      <c r="BY12" s="39"/>
    </row>
    <row r="13" spans="1:77" s="40" customFormat="1" ht="15.75" thickBot="1" x14ac:dyDescent="0.3">
      <c r="A13" s="48"/>
      <c r="B13" s="49"/>
      <c r="C13" s="20"/>
      <c r="D13" s="20"/>
      <c r="E13" s="20"/>
      <c r="F13" s="20"/>
      <c r="G13" s="20"/>
      <c r="H13" s="20"/>
      <c r="I13" s="20"/>
      <c r="J13" s="48"/>
      <c r="K13" s="48"/>
      <c r="L13" s="48"/>
      <c r="M13" s="20"/>
      <c r="N13" s="20"/>
      <c r="O13" s="48"/>
      <c r="P13" s="48"/>
      <c r="Q13" s="20"/>
      <c r="R13" s="20"/>
      <c r="S13" s="20"/>
      <c r="T13" s="20"/>
      <c r="U13" s="20"/>
      <c r="V13" s="48"/>
      <c r="W13" s="20"/>
      <c r="X13" s="20"/>
      <c r="Y13" s="20"/>
      <c r="Z13" s="20"/>
      <c r="AA13" s="20"/>
      <c r="AB13" s="48"/>
      <c r="AC13" s="20"/>
      <c r="AD13" s="20"/>
      <c r="AE13" s="20"/>
      <c r="AF13" s="20"/>
      <c r="AG13" s="20"/>
      <c r="AH13" s="48"/>
      <c r="AI13" s="20"/>
      <c r="AJ13" s="20"/>
      <c r="AK13" s="20"/>
      <c r="AL13" s="20"/>
      <c r="AM13" s="20"/>
      <c r="AN13" s="48"/>
      <c r="AO13" s="20"/>
      <c r="AP13" s="20"/>
      <c r="AQ13" s="20"/>
      <c r="AR13" s="20"/>
      <c r="AS13" s="20"/>
      <c r="AT13" s="48"/>
      <c r="AU13" s="20"/>
      <c r="AV13" s="20"/>
      <c r="AW13" s="20"/>
      <c r="AX13" s="20"/>
      <c r="AY13" s="20"/>
      <c r="AZ13" s="48"/>
      <c r="BA13" s="20"/>
      <c r="BB13" s="20"/>
      <c r="BC13" s="20"/>
      <c r="BD13" s="20"/>
      <c r="BE13" s="20"/>
      <c r="BF13" s="48"/>
      <c r="BG13" s="20"/>
      <c r="BH13" s="20"/>
      <c r="BI13" s="20"/>
      <c r="BJ13" s="20"/>
      <c r="BK13" s="20"/>
      <c r="BL13" s="48"/>
      <c r="BM13" s="20"/>
      <c r="BN13" s="20"/>
      <c r="BO13" s="20"/>
      <c r="BP13" s="20"/>
      <c r="BQ13" s="20"/>
      <c r="BR13" s="20"/>
      <c r="BS13" s="20"/>
      <c r="BT13" s="50"/>
      <c r="BU13" s="20"/>
      <c r="BV13" s="20"/>
      <c r="BW13" s="20"/>
      <c r="BX13" s="20"/>
      <c r="BY13" s="39"/>
    </row>
    <row r="14" spans="1:77" hidden="1" x14ac:dyDescent="0.25">
      <c r="H14" s="4" t="str">
        <f t="shared" ref="H14:L23" si="1">J2</f>
        <v>AG</v>
      </c>
      <c r="I14" s="4">
        <f t="shared" si="1"/>
        <v>1500</v>
      </c>
      <c r="J14" s="4">
        <f t="shared" si="1"/>
        <v>8</v>
      </c>
      <c r="K14" s="4" t="str">
        <f t="shared" si="1"/>
        <v>Y</v>
      </c>
      <c r="L14" s="4" t="str">
        <f t="shared" si="1"/>
        <v>3L</v>
      </c>
      <c r="O14" s="28" t="str">
        <f>J2</f>
        <v>AG</v>
      </c>
      <c r="P14" s="4" t="str">
        <f t="shared" ref="P14:R23" si="2">N2</f>
        <v>3L</v>
      </c>
      <c r="Q14" s="4">
        <f t="shared" si="2"/>
        <v>3.5</v>
      </c>
      <c r="R14" s="4" t="str">
        <f t="shared" si="2"/>
        <v>AG</v>
      </c>
      <c r="S14" s="4" t="str">
        <f t="shared" ref="S14:U23" si="3">T2</f>
        <v>3L</v>
      </c>
      <c r="T14" s="4">
        <f t="shared" si="3"/>
        <v>3.5</v>
      </c>
      <c r="U14" s="4" t="str">
        <f t="shared" si="3"/>
        <v>AG</v>
      </c>
      <c r="V14" s="4" t="str">
        <f t="shared" ref="V14:X23" si="4">Z2</f>
        <v>3L</v>
      </c>
      <c r="W14" s="4">
        <f t="shared" si="4"/>
        <v>3.5</v>
      </c>
      <c r="X14" s="4" t="str">
        <f t="shared" si="4"/>
        <v>AG</v>
      </c>
      <c r="Y14" s="4" t="str">
        <f t="shared" ref="Y14:AA23" si="5">AF2</f>
        <v>3L</v>
      </c>
      <c r="Z14" s="4">
        <f t="shared" si="5"/>
        <v>3.5</v>
      </c>
      <c r="AA14" s="4">
        <f t="shared" si="5"/>
        <v>0</v>
      </c>
      <c r="AB14" s="4">
        <f t="shared" ref="AB14:AD23" si="6">AL2</f>
        <v>0</v>
      </c>
      <c r="AC14" s="4">
        <f t="shared" si="6"/>
        <v>0</v>
      </c>
      <c r="AD14" s="4">
        <f t="shared" si="6"/>
        <v>0</v>
      </c>
      <c r="AE14" s="4">
        <f t="shared" ref="AE14:AG23" si="7">AR2</f>
        <v>0</v>
      </c>
      <c r="AF14" s="4">
        <f t="shared" si="7"/>
        <v>0</v>
      </c>
      <c r="AG14" s="4">
        <f t="shared" si="7"/>
        <v>0</v>
      </c>
      <c r="AH14" s="4">
        <f t="shared" ref="AH14:AJ23" si="8">AX2</f>
        <v>0</v>
      </c>
      <c r="AI14" s="4">
        <f t="shared" si="8"/>
        <v>0</v>
      </c>
      <c r="AJ14" s="4">
        <f t="shared" si="8"/>
        <v>0</v>
      </c>
      <c r="AK14" s="4">
        <f t="shared" ref="AK14:AM23" si="9">BD2</f>
        <v>0</v>
      </c>
      <c r="AL14" s="4">
        <f t="shared" si="9"/>
        <v>0</v>
      </c>
      <c r="AM14" s="4">
        <f t="shared" si="9"/>
        <v>0</v>
      </c>
      <c r="AN14" s="4">
        <f t="shared" ref="AN14:AP23" si="10">BJ2</f>
        <v>0</v>
      </c>
      <c r="AO14" s="4">
        <f t="shared" si="10"/>
        <v>0</v>
      </c>
      <c r="AP14" s="4">
        <f t="shared" si="10"/>
        <v>0</v>
      </c>
      <c r="AQ14" s="4">
        <f t="shared" ref="AQ14:AR23" si="11">BP2</f>
        <v>0</v>
      </c>
      <c r="AR14" s="4">
        <f t="shared" si="11"/>
        <v>0</v>
      </c>
      <c r="AT14" s="28">
        <v>1</v>
      </c>
      <c r="AU14" s="29">
        <f>IF($P$14="3L",$Q$14,IF($S$14="3L",$T$14,IF($V$14="3L",$W$14,IF($Y$14="3L",$Z$14,IF($AB$14="3L",$AC$14,IF($AE$14="3L",$AF$14,IF($AH$14="3L",$AI$14,IF($AK$14="3L",$AL$14,IF($AN$14="3L",$AO$14,IF($AQ$14="3L",$AR$14,""))))))))))</f>
        <v>3.5</v>
      </c>
      <c r="AV14" s="29" t="str">
        <f>IF($P$14="4L",$Q$14,IF($S$14="4L",$T$14,IF($V$14="4L",$W$14,IF($Y$14="4L",$Z$14,IF($AB$14="4L",$AC$14,IF($AE$14="4L",$AF$14,IF($AH$14="4L",$AI$14,IF($AK$14="4L",$AL$14,IF($AN$14="4L",$AO$14,IF($AQ$14="4L",$AR$14,""))))))))))</f>
        <v/>
      </c>
      <c r="AW14" s="29" t="str">
        <f>IF($P$14="5L",$Q$14,IF($S$14="5L",$T$14,IF($V$14="5L",$W$14,IF($Y$14="5L",$Z$14,IF($AB$14="5L",$AC$14,IF($AE$14="5L",$AF$14,IF($AH$14="5L",$AI$14,IF($AK$14="5L",$AL$14,IF($AN$14="5L",$AO$14,IF($AQ$14="5L",$AR$14,""))))))))))</f>
        <v/>
      </c>
      <c r="AX14" s="29" t="str">
        <f>IF($P$14="6L",$Q$14,IF($S$14="6L",$T$14,IF($V$14="6L",$W$14,IF($Y$14="6L",$Z$14,IF($AB$14="6L",$AC$14,IF($AE$14="6L",$AF$14,IF($AH$14="6L",$AI$14,IF($AK$14="6L",$AL$14,IF($AN$14="6L",$AO$14,IF($AQ$14="6L",$AR$14,""))))))))))</f>
        <v/>
      </c>
      <c r="AY14" s="29" t="str">
        <f>IF($P$14="7L",$Q$14,IF($S$14="7L",$T$14,IF($V$14="7L",$W$14,IF($Y$14="7L",$Z$14,IF($AB$14="7L",$AC$14,IF($AE$14="7L",$AF$14,IF($AH$14="7L",$AI$14,IF($AK$14="7L",$AL$14,IF($AN$14="7L",$AO$14,IF($AQ$14="7L",$AR$14,""))))))))))</f>
        <v/>
      </c>
      <c r="AZ14" s="29" t="str">
        <f t="shared" ref="AZ14:AZ23" si="12">IF($O$14="LOFT",$Q$14,IF($R$14="LOFT",$T$14,IF($U$14="LOFT",$W$14,IF($X$14="LOFT",$Z$14,IF($AA$14="LOFT",$AC$14,IF($AD$14="LOFT",$AF$14,IF($AG$14="LOFT",$AI$14,IF($AJ$14="LOFT",$AL$14,IF($AM$14="LOFT",$AO$14,IF($AP$14="LOFT",$AR$14,""))))))))))</f>
        <v/>
      </c>
      <c r="BA14" s="29" t="str">
        <f t="shared" ref="BA14:BA23" si="13">IF($O$14="UT",$Q$14,IF($R$14="UT",$T$14,IF($U$14="UT",$W$14,IF($X$14="UT",$Z$14,IF($AA$14="UT",$AC$14,IF($AD$14="UT",$AF$14,IF($AG$14="UT",$AI$14,IF($AJ$14="UT",$AL$14,IF($AM$14="UT",$AO$14,IF($AP$14="UT",$AR$14,""))))))))))</f>
        <v/>
      </c>
      <c r="BB14" s="29" t="str">
        <f t="shared" ref="BB14:BB23" si="14">IF($O$14="HT",$Q$14,IF($R$14="HT",$T$14,IF($U$14="HT",$W$14,IF($X$14="HT",$Z$14,IF($AA$14="HT",$AC$14,IF($AD$14="HT",$AF$14,IF($AG$14="HT",$AI$14,IF($AJ$14="HT",$AL$14,IF($AM$14="HT",$AO$14,IF($AP$14="HT",$AR$14,""))))))))))</f>
        <v/>
      </c>
      <c r="BC14" s="29" t="str">
        <f t="shared" ref="BC14:BC23" si="15">IF($O$14="PURE",$Q$14,IF($R$14="PURE",$T$14,IF($U$14="PURE",$W$14,IF($X$14="PURE",$Z$14,IF($AA$14="PURE",$AC$14,IF($AD$14="PURE",$AF$14,IF($AG$14="PURE",$AI$14,IF($AJ$14="PURE",$AL$14,IF($AM$14="PURE",$AO$14,IF($AP$14="PURE",$AR$14,""))))))))))</f>
        <v/>
      </c>
      <c r="BD14" s="29" t="str">
        <f>IF($P$14="FUM",$Q$14,IF($S$14="FUM",$T$14,IF($V$14="FUM",$W$14,IF($Y$14="FUM",$Z$14,IF($AB$14="FUM",$AC$14,IF($AE$14="FUM",$AF$14,IF($AH$14="FUM",$AI$14,IF($AK$14="FUM",$AL$14,IF($AN$14="FUM",$AO$14,IF($AQ$14="FUM",$AR$14,""))))))))))</f>
        <v/>
      </c>
    </row>
    <row r="15" spans="1:77" hidden="1" x14ac:dyDescent="0.25">
      <c r="H15" s="4">
        <f t="shared" si="1"/>
        <v>0</v>
      </c>
      <c r="I15" s="4">
        <f t="shared" si="1"/>
        <v>0</v>
      </c>
      <c r="J15" s="4">
        <f t="shared" si="1"/>
        <v>0</v>
      </c>
      <c r="K15" s="4">
        <f t="shared" si="1"/>
        <v>0</v>
      </c>
      <c r="L15" s="4">
        <f t="shared" si="1"/>
        <v>0</v>
      </c>
      <c r="O15" s="28">
        <f t="shared" ref="O15:O23" si="16">J3</f>
        <v>0</v>
      </c>
      <c r="P15" s="4">
        <f t="shared" si="2"/>
        <v>0</v>
      </c>
      <c r="Q15" s="4">
        <f t="shared" si="2"/>
        <v>0</v>
      </c>
      <c r="R15" s="4">
        <f t="shared" si="2"/>
        <v>0</v>
      </c>
      <c r="S15" s="4">
        <f t="shared" si="3"/>
        <v>0</v>
      </c>
      <c r="T15" s="4">
        <f t="shared" si="3"/>
        <v>0</v>
      </c>
      <c r="U15" s="4">
        <f t="shared" si="3"/>
        <v>0</v>
      </c>
      <c r="V15" s="4">
        <f t="shared" si="4"/>
        <v>0</v>
      </c>
      <c r="W15" s="4">
        <f t="shared" si="4"/>
        <v>0</v>
      </c>
      <c r="X15" s="4">
        <f t="shared" si="4"/>
        <v>0</v>
      </c>
      <c r="Y15" s="4">
        <f t="shared" si="5"/>
        <v>0</v>
      </c>
      <c r="Z15" s="4">
        <f t="shared" si="5"/>
        <v>0</v>
      </c>
      <c r="AA15" s="4">
        <f t="shared" si="5"/>
        <v>0</v>
      </c>
      <c r="AB15" s="4">
        <f t="shared" si="6"/>
        <v>0</v>
      </c>
      <c r="AC15" s="4">
        <f t="shared" si="6"/>
        <v>0</v>
      </c>
      <c r="AD15" s="4">
        <f t="shared" si="6"/>
        <v>0</v>
      </c>
      <c r="AE15" s="4">
        <f t="shared" si="7"/>
        <v>0</v>
      </c>
      <c r="AF15" s="4">
        <f t="shared" si="7"/>
        <v>0</v>
      </c>
      <c r="AG15" s="4">
        <f t="shared" si="7"/>
        <v>0</v>
      </c>
      <c r="AH15" s="4">
        <f t="shared" si="8"/>
        <v>0</v>
      </c>
      <c r="AI15" s="4">
        <f t="shared" si="8"/>
        <v>0</v>
      </c>
      <c r="AJ15" s="4">
        <f t="shared" si="8"/>
        <v>0</v>
      </c>
      <c r="AK15" s="4">
        <f t="shared" si="9"/>
        <v>0</v>
      </c>
      <c r="AL15" s="4">
        <f t="shared" si="9"/>
        <v>0</v>
      </c>
      <c r="AM15" s="4">
        <f t="shared" si="9"/>
        <v>0</v>
      </c>
      <c r="AN15" s="4">
        <f t="shared" si="10"/>
        <v>0</v>
      </c>
      <c r="AO15" s="4">
        <f t="shared" si="10"/>
        <v>0</v>
      </c>
      <c r="AP15" s="4">
        <f t="shared" si="10"/>
        <v>0</v>
      </c>
      <c r="AQ15" s="4">
        <f t="shared" si="11"/>
        <v>0</v>
      </c>
      <c r="AR15" s="4">
        <f t="shared" si="11"/>
        <v>0</v>
      </c>
      <c r="AT15" s="28">
        <v>2</v>
      </c>
      <c r="AU15" s="29" t="str">
        <f>IF($P$15="3L",$Q$15,IF($S$15="3L",$T$15,IF($V$15="3L",$W$15,IF($Y$15="3L",$Z$15,IF($AB$15="3L",$AC$15,IF($AE$15="3L",$AF$15,IF($AH$15="3L",$AI$15,IF($AK$15="3L",$AL$15,IF($AN$15="3L",$AO$15,IF($AQ$15="3L",$AR$15,""))))))))))</f>
        <v/>
      </c>
      <c r="AV15" s="29" t="str">
        <f>IF($P$15="4L",$Q$15,IF($S$15="4L",$T$15,IF($V$15="4L",$W$15,IF($Y$15="4L",$Z$15,IF($AB$15="4L",$AC$15,IF($AE$15="4L",$AF$15,IF($AH$15="4L",$AI$15,IF($AK$15="4L",$AL$15,IF($AN$15="4L",$AO$15,IF($AQ$15="4L",$AR$15,""))))))))))</f>
        <v/>
      </c>
      <c r="AW15" s="29" t="str">
        <f>IF($P$15="5L",$Q$15,IF($S$15="5L",$T$15,IF($V$15="5L",$W$15,IF($Y$15="5L",$Z$15,IF($AB$15="5L",$AC$15,IF($AE$15="5L",$AF$15,IF($AH$15="5L",$AI$15,IF($AK$15="5L",$AL$15,IF($AN$15="5L",$AO$15,IF($AQ$15="5L",$AR$15,""))))))))))</f>
        <v/>
      </c>
      <c r="AX15" s="29" t="str">
        <f>IF($P$15="6L",$Q$15,IF($S$15="6L",$T$15,IF($V$15="6L",$W$15,IF($Y$15="6L",$Z$15,IF($AB$15="6L",$AC$15,IF($AE$15="6L",$AF$15,IF($AH$15="6L",$AI$15,IF($AK$15="6L",$AL$15,IF($AN$15="6L",$AO$15,IF($AQ$15="6L",$AR$15,""))))))))))</f>
        <v/>
      </c>
      <c r="AY15" s="29" t="str">
        <f>IF($P$15="7L",$Q$15,IF($S$15="7L",$T$15,IF($V$15="7L",$W$15,IF($Y$15="7L",$Z$15,IF($AB$15="7L",$AC$15,IF($AE$15="7L",$AF$15,IF($AH$15="7L",$AI$15,IF($AK$15="7L",$AL$15,IF($AN$15="7L",$AO$15,IF($AQ$15="7L",$AR$15,""))))))))))</f>
        <v/>
      </c>
      <c r="AZ15" s="29" t="str">
        <f t="shared" si="12"/>
        <v/>
      </c>
      <c r="BA15" s="29" t="str">
        <f t="shared" si="13"/>
        <v/>
      </c>
      <c r="BB15" s="29" t="str">
        <f t="shared" si="14"/>
        <v/>
      </c>
      <c r="BC15" s="29" t="str">
        <f t="shared" si="15"/>
        <v/>
      </c>
      <c r="BD15" s="29" t="str">
        <f>IF($P$15="FUM",$Q$15,IF($S$15="FUM",$T$15,IF($V$15="FUM",$W$15,IF($Y$15="FUM",$Z$15,IF($AB$15="FUM",$AC$15,IF($AE$15="FUM",$AF$15,IF($AH$15="FUM",$AI$15,IF($AK$15="FUM",$AL$15,IF($AN$15="FUM",$AO$15,IF($AQ$15="FUM",$AR$15,""))))))))))</f>
        <v/>
      </c>
    </row>
    <row r="16" spans="1:77" hidden="1" x14ac:dyDescent="0.25">
      <c r="H16" s="4">
        <f t="shared" si="1"/>
        <v>0</v>
      </c>
      <c r="I16" s="4">
        <f t="shared" si="1"/>
        <v>0</v>
      </c>
      <c r="J16" s="4">
        <f t="shared" si="1"/>
        <v>0</v>
      </c>
      <c r="K16" s="4">
        <f t="shared" si="1"/>
        <v>0</v>
      </c>
      <c r="L16" s="4">
        <f t="shared" si="1"/>
        <v>0</v>
      </c>
      <c r="O16" s="28">
        <f t="shared" si="16"/>
        <v>0</v>
      </c>
      <c r="P16" s="4">
        <f t="shared" si="2"/>
        <v>0</v>
      </c>
      <c r="Q16" s="4">
        <f t="shared" si="2"/>
        <v>0</v>
      </c>
      <c r="R16" s="4">
        <f t="shared" si="2"/>
        <v>0</v>
      </c>
      <c r="S16" s="4">
        <f t="shared" si="3"/>
        <v>0</v>
      </c>
      <c r="T16" s="4">
        <f t="shared" si="3"/>
        <v>0</v>
      </c>
      <c r="U16" s="4">
        <f t="shared" si="3"/>
        <v>0</v>
      </c>
      <c r="V16" s="4">
        <f t="shared" si="4"/>
        <v>0</v>
      </c>
      <c r="W16" s="4">
        <f t="shared" si="4"/>
        <v>0</v>
      </c>
      <c r="X16" s="4">
        <f t="shared" si="4"/>
        <v>0</v>
      </c>
      <c r="Y16" s="4">
        <f t="shared" si="5"/>
        <v>0</v>
      </c>
      <c r="Z16" s="4">
        <f t="shared" si="5"/>
        <v>0</v>
      </c>
      <c r="AA16" s="4">
        <f t="shared" si="5"/>
        <v>0</v>
      </c>
      <c r="AB16" s="4">
        <f t="shared" si="6"/>
        <v>0</v>
      </c>
      <c r="AC16" s="4">
        <f t="shared" si="6"/>
        <v>0</v>
      </c>
      <c r="AD16" s="4">
        <f t="shared" si="6"/>
        <v>0</v>
      </c>
      <c r="AE16" s="4">
        <f t="shared" si="7"/>
        <v>0</v>
      </c>
      <c r="AF16" s="4">
        <f t="shared" si="7"/>
        <v>0</v>
      </c>
      <c r="AG16" s="4">
        <f t="shared" si="7"/>
        <v>0</v>
      </c>
      <c r="AH16" s="4">
        <f t="shared" si="8"/>
        <v>0</v>
      </c>
      <c r="AI16" s="4">
        <f t="shared" si="8"/>
        <v>0</v>
      </c>
      <c r="AJ16" s="4">
        <f t="shared" si="8"/>
        <v>0</v>
      </c>
      <c r="AK16" s="4">
        <f t="shared" si="9"/>
        <v>0</v>
      </c>
      <c r="AL16" s="4">
        <f t="shared" si="9"/>
        <v>0</v>
      </c>
      <c r="AM16" s="4">
        <f t="shared" si="9"/>
        <v>0</v>
      </c>
      <c r="AN16" s="4">
        <f t="shared" si="10"/>
        <v>0</v>
      </c>
      <c r="AO16" s="4">
        <f t="shared" si="10"/>
        <v>0</v>
      </c>
      <c r="AP16" s="4">
        <f t="shared" si="10"/>
        <v>0</v>
      </c>
      <c r="AQ16" s="4">
        <f t="shared" si="11"/>
        <v>0</v>
      </c>
      <c r="AR16" s="4">
        <f t="shared" si="11"/>
        <v>0</v>
      </c>
      <c r="AT16" s="28">
        <v>3</v>
      </c>
      <c r="AU16" s="29" t="str">
        <f>IF($P$16="3L",$Q$16,IF($S$16="3L",$T$16,IF($V$16="3L",$W$16,IF($Y$16="3L",$Z$16,IF($AB$16="3L",$AC$16,IF($AE$16="3L",$AF$16,IF($AH$16="3L",$AI$16,IF($AK$16="3L",$AL$16,IF($AN$16="3L",$AO$16,IF($AQ$16="3L",$AR$16,""))))))))))</f>
        <v/>
      </c>
      <c r="AV16" s="29" t="str">
        <f>IF($P$16="4L",$Q$16,IF($S$16="4L",$T$16,IF($V$16="4L",$W$16,IF($Y$16="4L",$Z$16,IF($AB$16="4L",$AC$16,IF($AE$16="4L",$AF$16,IF($AH$16="4L",$AI$16,IF($AK$16="4L",$AL$16,IF($AN$16="4L",$AO$16,IF($AQ$16="4L",$AR$16,""))))))))))</f>
        <v/>
      </c>
      <c r="AW16" s="29" t="str">
        <f>IF($P$16="5L",$Q$16,IF($S$16="5L",$T$16,IF($V$16="5L",$W$16,IF($Y$16="5L",$Z$16,IF($AB$16="5L",$AC$16,IF($AE$16="5L",$AF$16,IF($AH$16="5L",$AI$16,IF($AK$16="5L",$AL$16,IF($AN$16="5L",$AO$16,IF($AQ$16="5L",$AR$16,""))))))))))</f>
        <v/>
      </c>
      <c r="AX16" s="29" t="str">
        <f>IF($P$16="6L",$Q$16,IF($S$16="6L",$T$16,IF($V$16="6L",$W$16,IF($Y$16="6L",$Z$16,IF($AB$16="6L",$AC$16,IF($AE$16="6L",$AF$16,IF($AH$16="6L",$AI$16,IF($AK$16="6L",$AL$16,IF($AN$16="6L",$AO$16,IF($AQ$16="6L",$AR$16,""))))))))))</f>
        <v/>
      </c>
      <c r="AY16" s="29" t="str">
        <f>IF($P$16="7L",$Q$16,IF($S$16="7L",$T$16,IF($V$16="7L",$W$16,IF($Y$16="7L",$Z$16,IF($AB$16="7L",$AC$16,IF($AE$16="7L",$AF$16,IF($AH$16="7L",$AI$16,IF($AK$16="7L",$AL$16,IF($AN$16="7L",$AO$16,IF($AQ$16="7L",$AR$16,""))))))))))</f>
        <v/>
      </c>
      <c r="AZ16" s="29" t="str">
        <f t="shared" si="12"/>
        <v/>
      </c>
      <c r="BA16" s="29" t="str">
        <f t="shared" si="13"/>
        <v/>
      </c>
      <c r="BB16" s="29" t="str">
        <f t="shared" si="14"/>
        <v/>
      </c>
      <c r="BC16" s="29" t="str">
        <f t="shared" si="15"/>
        <v/>
      </c>
      <c r="BD16" s="29" t="str">
        <f>IF($P$16="FUM",$Q$16,IF($S$16="FUM",$T$16,IF($V$16="FUM",$W$16,IF($Y$16="FUM",$Z$16,IF($AB$16="FUM",$AC$16,IF($AE$16="FUM",$AF$16,IF($AH$16="FUM",$AI$16,IF($AK$16="FUM",$AL$16,IF($AN$16="FUM",$AO$16,IF($AQ$16="FUM",$AR$16,""))))))))))</f>
        <v/>
      </c>
    </row>
    <row r="17" spans="8:56" hidden="1" x14ac:dyDescent="0.25">
      <c r="H17" s="4">
        <f t="shared" si="1"/>
        <v>0</v>
      </c>
      <c r="I17" s="4">
        <f t="shared" si="1"/>
        <v>0</v>
      </c>
      <c r="J17" s="4">
        <f t="shared" si="1"/>
        <v>0</v>
      </c>
      <c r="K17" s="4">
        <f t="shared" si="1"/>
        <v>0</v>
      </c>
      <c r="L17" s="4">
        <f t="shared" si="1"/>
        <v>0</v>
      </c>
      <c r="O17" s="28">
        <f t="shared" si="16"/>
        <v>0</v>
      </c>
      <c r="P17" s="4">
        <f t="shared" si="2"/>
        <v>0</v>
      </c>
      <c r="Q17" s="4">
        <f t="shared" si="2"/>
        <v>0</v>
      </c>
      <c r="R17" s="4">
        <f t="shared" si="2"/>
        <v>0</v>
      </c>
      <c r="S17" s="4">
        <f t="shared" si="3"/>
        <v>0</v>
      </c>
      <c r="T17" s="4">
        <f t="shared" si="3"/>
        <v>0</v>
      </c>
      <c r="U17" s="4">
        <f t="shared" si="3"/>
        <v>0</v>
      </c>
      <c r="V17" s="4">
        <f t="shared" si="4"/>
        <v>0</v>
      </c>
      <c r="W17" s="4">
        <f t="shared" si="4"/>
        <v>0</v>
      </c>
      <c r="X17" s="4">
        <f t="shared" si="4"/>
        <v>0</v>
      </c>
      <c r="Y17" s="4">
        <f t="shared" si="5"/>
        <v>0</v>
      </c>
      <c r="Z17" s="4">
        <f t="shared" si="5"/>
        <v>0</v>
      </c>
      <c r="AA17" s="4">
        <f t="shared" si="5"/>
        <v>0</v>
      </c>
      <c r="AB17" s="4">
        <f t="shared" si="6"/>
        <v>0</v>
      </c>
      <c r="AC17" s="4">
        <f t="shared" si="6"/>
        <v>0</v>
      </c>
      <c r="AD17" s="4">
        <f t="shared" si="6"/>
        <v>0</v>
      </c>
      <c r="AE17" s="4">
        <f t="shared" si="7"/>
        <v>0</v>
      </c>
      <c r="AF17" s="4">
        <f t="shared" si="7"/>
        <v>0</v>
      </c>
      <c r="AG17" s="4">
        <f t="shared" si="7"/>
        <v>0</v>
      </c>
      <c r="AH17" s="4">
        <f t="shared" si="8"/>
        <v>0</v>
      </c>
      <c r="AI17" s="4">
        <f t="shared" si="8"/>
        <v>0</v>
      </c>
      <c r="AJ17" s="4">
        <f t="shared" si="8"/>
        <v>0</v>
      </c>
      <c r="AK17" s="4">
        <f t="shared" si="9"/>
        <v>0</v>
      </c>
      <c r="AL17" s="4">
        <f t="shared" si="9"/>
        <v>0</v>
      </c>
      <c r="AM17" s="4">
        <f t="shared" si="9"/>
        <v>0</v>
      </c>
      <c r="AN17" s="4">
        <f t="shared" si="10"/>
        <v>0</v>
      </c>
      <c r="AO17" s="4">
        <f t="shared" si="10"/>
        <v>0</v>
      </c>
      <c r="AP17" s="4">
        <f t="shared" si="10"/>
        <v>0</v>
      </c>
      <c r="AQ17" s="4">
        <f t="shared" si="11"/>
        <v>0</v>
      </c>
      <c r="AR17" s="4">
        <f t="shared" si="11"/>
        <v>0</v>
      </c>
      <c r="AT17" s="28">
        <v>4</v>
      </c>
      <c r="AU17" s="29" t="str">
        <f>IF($P$17="3L",$Q$17,IF($S$17="3L",$T$17,IF($V$17="3L",$W$17,IF($Y$17="3L",$Z$17,IF($AB$17="3L",$AC$17,IF($AE$17="3L",$AF$17,IF($AH$17="3L",$AI$17,IF($AK$17="3L",$AL$17,IF($AN$17="3L",$AO$17,IF($AQ$17="3L",$AR$17,""))))))))))</f>
        <v/>
      </c>
      <c r="AV17" s="29" t="str">
        <f>IF($P$17="4L",$Q$17,IF($S$17="4L",$T$17,IF($V$17="4L",$W$17,IF($Y$17="4L",$Z$17,IF($AB$17="4L",$AC$17,IF($AE$17="4L",$AF$17,IF($AH$17="4L",$AI$17,IF($AK$17="4L",$AL$17,IF($AN$17="4L",$AO$17,IF($AQ$17="4L",$AR$17,""))))))))))</f>
        <v/>
      </c>
      <c r="AW17" s="29" t="str">
        <f>IF($P$17="5L",$Q$17,IF($S$17="5L",$T$17,IF($V$17="5L",$W$17,IF($Y$17="5L",$Z$17,IF($AB$17="5L",$AC$17,IF($AE$17="5L",$AF$17,IF($AH$17="5L",$AI$17,IF($AK$17="5L",$AL$17,IF($AN$17="5L",$AO$17,IF($AQ$17="5L",$AR$17,""))))))))))</f>
        <v/>
      </c>
      <c r="AX17" s="29" t="str">
        <f>IF($P$17="6L",$Q$17,IF($S$17="6L",$T$17,IF($V$17="6L",$W$17,IF($Y$17="6L",$Z$17,IF($AB$17="6L",$AC$17,IF($AE$17="6L",$AF$17,IF($AH$17="6L",$AI$17,IF($AK$17="6L",$AL$17,IF($AN$17="6L",$AO$17,IF($AQ$17="6L",$AR$17,""))))))))))</f>
        <v/>
      </c>
      <c r="AY17" s="29" t="str">
        <f>IF($P$17="7L",$Q$17,IF($S$17="7L",$T$17,IF($V$17="7L",$W$17,IF($Y$17="7L",$Z$17,IF($AB$17="7L",$AC$17,IF($AE$17="7L",$AF$17,IF($AH$17="7L",$AI$17,IF($AK$17="7L",$AL$17,IF($AN$17="7L",$AO$17,IF($AQ$17="7L",$AR$17,""))))))))))</f>
        <v/>
      </c>
      <c r="AZ17" s="29" t="str">
        <f t="shared" si="12"/>
        <v/>
      </c>
      <c r="BA17" s="29" t="str">
        <f t="shared" si="13"/>
        <v/>
      </c>
      <c r="BB17" s="29" t="str">
        <f t="shared" si="14"/>
        <v/>
      </c>
      <c r="BC17" s="29" t="str">
        <f t="shared" si="15"/>
        <v/>
      </c>
      <c r="BD17" s="29" t="str">
        <f>IF($P$17="FUM",$Q$17,IF($S$17="FUM",$T$17,IF($V$17="FUM",$W$17,IF($Y$17="FUM",$Z$17,IF($AB$17="FUM",$AC$17,IF($AE$17="FUM",$AF$17,IF($AH$17="FUM",$AI$17,IF($AK$17="FUM",$AL$17,IF($AN$17="FUM",$AO$17,IF($AQ$17="FUM",$AR$17,""))))))))))</f>
        <v/>
      </c>
    </row>
    <row r="18" spans="8:56" hidden="1" x14ac:dyDescent="0.25">
      <c r="H18" s="4">
        <f t="shared" si="1"/>
        <v>0</v>
      </c>
      <c r="I18" s="4">
        <f t="shared" si="1"/>
        <v>0</v>
      </c>
      <c r="J18" s="4">
        <f t="shared" si="1"/>
        <v>0</v>
      </c>
      <c r="K18" s="4">
        <f t="shared" si="1"/>
        <v>0</v>
      </c>
      <c r="L18" s="4">
        <f t="shared" si="1"/>
        <v>0</v>
      </c>
      <c r="O18" s="28">
        <f t="shared" si="16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3"/>
        <v>0</v>
      </c>
      <c r="T18" s="4">
        <f t="shared" si="3"/>
        <v>0</v>
      </c>
      <c r="U18" s="4">
        <f t="shared" si="3"/>
        <v>0</v>
      </c>
      <c r="V18" s="4">
        <f t="shared" si="4"/>
        <v>0</v>
      </c>
      <c r="W18" s="4">
        <f t="shared" si="4"/>
        <v>0</v>
      </c>
      <c r="X18" s="4">
        <f t="shared" si="4"/>
        <v>0</v>
      </c>
      <c r="Y18" s="4">
        <f t="shared" si="5"/>
        <v>0</v>
      </c>
      <c r="Z18" s="4">
        <f t="shared" si="5"/>
        <v>0</v>
      </c>
      <c r="AA18" s="4">
        <f t="shared" si="5"/>
        <v>0</v>
      </c>
      <c r="AB18" s="4">
        <f t="shared" si="6"/>
        <v>0</v>
      </c>
      <c r="AC18" s="4">
        <f t="shared" si="6"/>
        <v>0</v>
      </c>
      <c r="AD18" s="4">
        <f t="shared" si="6"/>
        <v>0</v>
      </c>
      <c r="AE18" s="4">
        <f t="shared" si="7"/>
        <v>0</v>
      </c>
      <c r="AF18" s="4">
        <f t="shared" si="7"/>
        <v>0</v>
      </c>
      <c r="AG18" s="4">
        <f t="shared" si="7"/>
        <v>0</v>
      </c>
      <c r="AH18" s="4">
        <f t="shared" si="8"/>
        <v>0</v>
      </c>
      <c r="AI18" s="4">
        <f t="shared" si="8"/>
        <v>0</v>
      </c>
      <c r="AJ18" s="4">
        <f t="shared" si="8"/>
        <v>0</v>
      </c>
      <c r="AK18" s="4">
        <f t="shared" si="9"/>
        <v>0</v>
      </c>
      <c r="AL18" s="4">
        <f t="shared" si="9"/>
        <v>0</v>
      </c>
      <c r="AM18" s="4">
        <f t="shared" si="9"/>
        <v>0</v>
      </c>
      <c r="AN18" s="4">
        <f t="shared" si="10"/>
        <v>0</v>
      </c>
      <c r="AO18" s="4">
        <f t="shared" si="10"/>
        <v>0</v>
      </c>
      <c r="AP18" s="4">
        <f t="shared" si="10"/>
        <v>0</v>
      </c>
      <c r="AQ18" s="4">
        <f t="shared" si="11"/>
        <v>0</v>
      </c>
      <c r="AR18" s="4">
        <f t="shared" si="11"/>
        <v>0</v>
      </c>
      <c r="AT18" s="28">
        <v>5</v>
      </c>
      <c r="AU18" s="29" t="str">
        <f>IF($P$18="3L",$Q$18,IF($S$18="3L",$T$18,IF($V$18="3L",$W$18,IF($Y$18="3L",$Z$18,IF($AB$18="3L",$AC$18,IF($AE$18="3L",$AF$18,IF($AH$18="3L",$AI$18,IF($AK$18="3L",$AL$18,IF($AN$18="3L",$AO$18,IF($AQ$18="3L",$AR$18,""))))))))))</f>
        <v/>
      </c>
      <c r="AV18" s="29" t="str">
        <f>IF($P$18="4L",$Q$18,IF($S$18="4L",$T$18,IF($V$18="4L",$W$18,IF($Y$18="4L",$Z$18,IF($AB$18="4L",$AC$18,IF($AE$18="4L",$AF$18,IF($AH$18="4L",$AI$18,IF($AK$18="4L",$AL$18,IF($AN$18="4L",$AO$18,IF($AQ$18="4L",$AR$18,""))))))))))</f>
        <v/>
      </c>
      <c r="AW18" s="29" t="str">
        <f>IF($P$18="5L",$Q$18,IF($S$18="5L",$T$18,IF($V$18="5L",$W$18,IF($Y$18="5L",$Z$18,IF($AB$18="5L",$AC$18,IF($AE$18="5L",$AF$18,IF($AH$18="5L",$AI$18,IF($AK$18="5L",$AL$18,IF($AN$18="5L",$AO$18,IF($AQ$18="5L",$AR$18,""))))))))))</f>
        <v/>
      </c>
      <c r="AX18" s="29" t="str">
        <f>IF($P$18="6L",$Q$18,IF($S$18="6L",$T$18,IF($V$18="6L",$W$18,IF($Y$18="6L",$Z$18,IF($AB$18="6L",$AC$18,IF($AE$18="6L",$AF$18,IF($AH$18="6L",$AI$18,IF($AK$18="6L",$AL$18,IF($AN$18="6L",$AO$18,IF($AQ$18="6L",$AR$18,""))))))))))</f>
        <v/>
      </c>
      <c r="AY18" s="29" t="str">
        <f>IF($P$18="7L",$Q$18,IF($S$18="7L",$T$18,IF($V$18="7L",$W$18,IF($Y$18="7L",$Z$18,IF($AB$18="7L",$AC$18,IF($AE$18="7L",$AF$18,IF($AH$18="7L",$AI$18,IF($AK$18="7L",$AL$18,IF($AN$18="7L",$AO$18,IF($AQ$18="7L",$AR$18,""))))))))))</f>
        <v/>
      </c>
      <c r="AZ18" s="29" t="str">
        <f t="shared" si="12"/>
        <v/>
      </c>
      <c r="BA18" s="29" t="str">
        <f t="shared" si="13"/>
        <v/>
      </c>
      <c r="BB18" s="29" t="str">
        <f t="shared" si="14"/>
        <v/>
      </c>
      <c r="BC18" s="29" t="str">
        <f t="shared" si="15"/>
        <v/>
      </c>
      <c r="BD18" s="29" t="str">
        <f>IF($P$18="FUM",$Q$18,IF($S$18="FUM",$T$18,IF($V$18="FUM",$W$18,IF($Y$18="FUM",$Z$18,IF($AB$18="FUM",$AC$18,IF($AE$18="FUM",$AF$18,IF($AH$18="FUM",$AI$18,IF($AK$18="FUM",$AL$18,IF($AN$18="FUM",$AO$18,IF($AQ$18="FUM",$AR$18,""))))))))))</f>
        <v/>
      </c>
    </row>
    <row r="19" spans="8:56" hidden="1" x14ac:dyDescent="0.25"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0</v>
      </c>
      <c r="L19" s="4">
        <f t="shared" si="1"/>
        <v>0</v>
      </c>
      <c r="O19" s="28">
        <f t="shared" si="16"/>
        <v>0</v>
      </c>
      <c r="P19" s="4">
        <f t="shared" si="2"/>
        <v>0</v>
      </c>
      <c r="Q19" s="4">
        <f t="shared" si="2"/>
        <v>0</v>
      </c>
      <c r="R19" s="4">
        <f t="shared" si="2"/>
        <v>0</v>
      </c>
      <c r="S19" s="4">
        <f t="shared" si="3"/>
        <v>0</v>
      </c>
      <c r="T19" s="4">
        <f t="shared" si="3"/>
        <v>0</v>
      </c>
      <c r="U19" s="4">
        <f t="shared" si="3"/>
        <v>0</v>
      </c>
      <c r="V19" s="4">
        <f t="shared" si="4"/>
        <v>0</v>
      </c>
      <c r="W19" s="4">
        <f t="shared" si="4"/>
        <v>0</v>
      </c>
      <c r="X19" s="4">
        <f t="shared" si="4"/>
        <v>0</v>
      </c>
      <c r="Y19" s="4">
        <f t="shared" si="5"/>
        <v>0</v>
      </c>
      <c r="Z19" s="4">
        <f t="shared" si="5"/>
        <v>0</v>
      </c>
      <c r="AA19" s="4">
        <f t="shared" si="5"/>
        <v>0</v>
      </c>
      <c r="AB19" s="4">
        <f t="shared" si="6"/>
        <v>0</v>
      </c>
      <c r="AC19" s="4">
        <f t="shared" si="6"/>
        <v>0</v>
      </c>
      <c r="AD19" s="4">
        <f t="shared" si="6"/>
        <v>0</v>
      </c>
      <c r="AE19" s="4">
        <f t="shared" si="7"/>
        <v>0</v>
      </c>
      <c r="AF19" s="4">
        <f t="shared" si="7"/>
        <v>0</v>
      </c>
      <c r="AG19" s="4">
        <f t="shared" si="7"/>
        <v>0</v>
      </c>
      <c r="AH19" s="4">
        <f t="shared" si="8"/>
        <v>0</v>
      </c>
      <c r="AI19" s="4">
        <f t="shared" si="8"/>
        <v>0</v>
      </c>
      <c r="AJ19" s="4">
        <f t="shared" si="8"/>
        <v>0</v>
      </c>
      <c r="AK19" s="4">
        <f t="shared" si="9"/>
        <v>0</v>
      </c>
      <c r="AL19" s="4">
        <f t="shared" si="9"/>
        <v>0</v>
      </c>
      <c r="AM19" s="4">
        <f t="shared" si="9"/>
        <v>0</v>
      </c>
      <c r="AN19" s="4">
        <f t="shared" si="10"/>
        <v>0</v>
      </c>
      <c r="AO19" s="4">
        <f t="shared" si="10"/>
        <v>0</v>
      </c>
      <c r="AP19" s="4">
        <f t="shared" si="10"/>
        <v>0</v>
      </c>
      <c r="AQ19" s="4">
        <f t="shared" si="11"/>
        <v>0</v>
      </c>
      <c r="AR19" s="4">
        <f t="shared" si="11"/>
        <v>0</v>
      </c>
      <c r="AT19" s="28">
        <v>6</v>
      </c>
      <c r="AU19" s="29" t="str">
        <f>IF($P$19="3L",$Q$19,IF($S$19="3L",$T$19,IF($V$19="3L",$W$19,IF($Y$19="3L",$Z$19,IF($AB$19="3L",$AC$19,IF($AE$19="3L",$AF$19,IF($AH$19="3L",$AI$19,IF($AK$19="3L",$AL$19,IF($AN$19="3L",$AO$19,IF($AQ$19="3L",$AR$19,""))))))))))</f>
        <v/>
      </c>
      <c r="AV19" s="29" t="str">
        <f>IF($P$19="4L",$Q$19,IF($S$19="4L",$T$19,IF($V$19="4L",$W$19,IF($Y$19="4L",$Z$19,IF($AB$19="4L",$AC$19,IF($AE$19="4L",$AF$19,IF($AH$19="4L",$AI$19,IF($AK$19="4L",$AL$19,IF($AN$19="4L",$AO$19,IF($AQ$19="4L",$AR$19,""))))))))))</f>
        <v/>
      </c>
      <c r="AW19" s="29" t="str">
        <f>IF($P$19="5L",$Q$19,IF($S$19="5L",$T$19,IF($V$19="5L",$W$19,IF($Y$19="5L",$Z$19,IF($AB$19="5L",$AC$19,IF($AE$19="5L",$AF$19,IF($AH$19="5L",$AI$19,IF($AK$19="5L",$AL$19,IF($AN$19="5L",$AO$19,IF($AQ$19="5L",$AR$19,""))))))))))</f>
        <v/>
      </c>
      <c r="AX19" s="29" t="str">
        <f>IF($P$19="6L",$Q$19,IF($S$19="6L",$T$19,IF($V$19="6L",$W$19,IF($Y$19="6L",$Z$19,IF($AB$19="6L",$AC$19,IF($AE$19="6L",$AF$19,IF($AH$19="6L",$AI$19,IF($AK$19="6L",$AL$19,IF($AN$19="6L",$AO$19,IF($AQ$19="6L",$AR$19,""))))))))))</f>
        <v/>
      </c>
      <c r="AY19" s="29" t="str">
        <f>IF($P$19="7L",$Q$19,IF($S$19="7L",$T$19,IF($V$19="7L",$W$19,IF($Y$19="7L",$Z$19,IF($AB$19="7L",$AC$19,IF($AE$19="7L",$AF$19,IF($AH$19="7L",$AI$19,IF($AK$19="7L",$AL$19,IF($AN$19="7L",$AO$19,IF($AQ$19="7L",$AR$19,""))))))))))</f>
        <v/>
      </c>
      <c r="AZ19" s="29" t="str">
        <f t="shared" si="12"/>
        <v/>
      </c>
      <c r="BA19" s="29" t="str">
        <f t="shared" si="13"/>
        <v/>
      </c>
      <c r="BB19" s="29" t="str">
        <f t="shared" si="14"/>
        <v/>
      </c>
      <c r="BC19" s="29" t="str">
        <f t="shared" si="15"/>
        <v/>
      </c>
      <c r="BD19" s="29" t="str">
        <f>IF($P$19="FUM",$Q$19,IF($S$19="FUM",$T$19,IF($V$19="FUM",$W$19,IF($Y$19="FUM",$Z$19,IF($AB$19="FUM",$AC$19,IF($AE$19="FUM",$AF$19,IF($AH$19="FUM",$AI$19,IF($AK$19="FUM",$AL$19,IF($AN$19="FUM",$AO$19,IF($AQ$19="FUM",$AR$19,""))))))))))</f>
        <v/>
      </c>
    </row>
    <row r="20" spans="8:56" hidden="1" x14ac:dyDescent="0.25"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0</v>
      </c>
      <c r="O20" s="28">
        <f t="shared" si="16"/>
        <v>0</v>
      </c>
      <c r="P20" s="4">
        <f t="shared" si="2"/>
        <v>0</v>
      </c>
      <c r="Q20" s="4">
        <f t="shared" si="2"/>
        <v>0</v>
      </c>
      <c r="R20" s="4">
        <f t="shared" si="2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4"/>
        <v>0</v>
      </c>
      <c r="W20" s="4">
        <f t="shared" si="4"/>
        <v>0</v>
      </c>
      <c r="X20" s="4">
        <f t="shared" si="4"/>
        <v>0</v>
      </c>
      <c r="Y20" s="4">
        <f t="shared" si="5"/>
        <v>0</v>
      </c>
      <c r="Z20" s="4">
        <f t="shared" si="5"/>
        <v>0</v>
      </c>
      <c r="AA20" s="4">
        <f t="shared" si="5"/>
        <v>0</v>
      </c>
      <c r="AB20" s="4">
        <f t="shared" si="6"/>
        <v>0</v>
      </c>
      <c r="AC20" s="4">
        <f t="shared" si="6"/>
        <v>0</v>
      </c>
      <c r="AD20" s="4">
        <f t="shared" si="6"/>
        <v>0</v>
      </c>
      <c r="AE20" s="4">
        <f t="shared" si="7"/>
        <v>0</v>
      </c>
      <c r="AF20" s="4">
        <f t="shared" si="7"/>
        <v>0</v>
      </c>
      <c r="AG20" s="4">
        <f t="shared" si="7"/>
        <v>0</v>
      </c>
      <c r="AH20" s="4">
        <f t="shared" si="8"/>
        <v>0</v>
      </c>
      <c r="AI20" s="4">
        <f t="shared" si="8"/>
        <v>0</v>
      </c>
      <c r="AJ20" s="4">
        <f t="shared" si="8"/>
        <v>0</v>
      </c>
      <c r="AK20" s="4">
        <f t="shared" si="9"/>
        <v>0</v>
      </c>
      <c r="AL20" s="4">
        <f t="shared" si="9"/>
        <v>0</v>
      </c>
      <c r="AM20" s="4">
        <f t="shared" si="9"/>
        <v>0</v>
      </c>
      <c r="AN20" s="4">
        <f t="shared" si="10"/>
        <v>0</v>
      </c>
      <c r="AO20" s="4">
        <f t="shared" si="10"/>
        <v>0</v>
      </c>
      <c r="AP20" s="4">
        <f t="shared" si="10"/>
        <v>0</v>
      </c>
      <c r="AQ20" s="4">
        <f t="shared" si="11"/>
        <v>0</v>
      </c>
      <c r="AR20" s="4">
        <f t="shared" si="11"/>
        <v>0</v>
      </c>
      <c r="AT20" s="28">
        <v>7</v>
      </c>
      <c r="AU20" s="29" t="str">
        <f>IF($P$20="3L",$Q$20,IF($S$20="3L",$T$20,IF($V$20="3L",$W$20,IF($Y$20="3L",$Z$20,IF($AB$20="3L",$AC$20,IF($AE$20="3L",$AF$20,IF($AH$20="3L",$AI$20,IF($AK$20="3L",$AL$20,IF($AN$20="3L",$AO$20,IF($AQ$20="3L",$AR$20,""))))))))))</f>
        <v/>
      </c>
      <c r="AV20" s="29" t="str">
        <f>IF($P$20="4L",$Q$20,IF($S$20="4L",$T$20,IF($V$20="4L",$W$20,IF($Y$20="4L",$Z$20,IF($AB$20="4L",$AC$20,IF($AE$20="4L",$AF$20,IF($AH$20="4L",$AI$20,IF($AK$20="4L",$AL$20,IF($AN$20="4L",$AO$20,IF($AQ$20="4L",$AR$20,""))))))))))</f>
        <v/>
      </c>
      <c r="AW20" s="29" t="str">
        <f>IF($P$20="5L",$Q$20,IF($S$20="5L",$T$20,IF($V$20="5L",$W$20,IF($Y$20="5L",$Z$20,IF($AB$20="5L",$AC$20,IF($AE$20="5L",$AF$20,IF($AH$20="5L",$AI$20,IF($AK$20="5L",$AL$20,IF($AN$20="5L",$AO$20,IF($AQ$20="5L",$AR$20,""))))))))))</f>
        <v/>
      </c>
      <c r="AX20" s="29" t="str">
        <f>IF($P$20="6L",$Q$20,IF($S$20="6L",$T$20,IF($V$20="6L",$W$20,IF($Y$20="6L",$Z$20,IF($AB$20="6L",$AC$20,IF($AE$20="6L",$AF$20,IF($AH$20="6L",$AI$20,IF($AK$20="6L",$AL$20,IF($AN$20="6L",$AO$20,IF($AQ$20="6L",$AR$20,""))))))))))</f>
        <v/>
      </c>
      <c r="AY20" s="29" t="str">
        <f>IF($P$20="7L",$Q$20,IF($S$20="7L",$T$20,IF($V$20="7L",$W$20,IF($Y$20="7L",$Z$20,IF($AB$20="7L",$AC$20,IF($AE$20="7L",$AF$20,IF($AH$20="7L",$AI$20,IF($AK$20="7L",$AL$20,IF($AN$20="7L",$AO$20,IF($AQ$20="7L",$AR$20,""))))))))))</f>
        <v/>
      </c>
      <c r="AZ20" s="29" t="str">
        <f t="shared" si="12"/>
        <v/>
      </c>
      <c r="BA20" s="29" t="str">
        <f t="shared" si="13"/>
        <v/>
      </c>
      <c r="BB20" s="29" t="str">
        <f t="shared" si="14"/>
        <v/>
      </c>
      <c r="BC20" s="29" t="str">
        <f t="shared" si="15"/>
        <v/>
      </c>
      <c r="BD20" s="29" t="str">
        <f>IF($P$20="FUM",$Q$20,IF($S$20="FUM",$T$20,IF($V$20="FUM",$W$20,IF($Y$20="FUM",$Z$20,IF($AB$20="FUM",$AC$20,IF($AE$20="FUM",$AF$20,IF($AH$20="FUM",$AI$20,IF($AK$20="FUM",$AL$20,IF($AN$20="FUM",$AO$20,IF($AQ$20="FUM",$AR$20,""))))))))))</f>
        <v/>
      </c>
    </row>
    <row r="21" spans="8:56" hidden="1" x14ac:dyDescent="0.25">
      <c r="H21" s="4">
        <f t="shared" si="1"/>
        <v>0</v>
      </c>
      <c r="I21" s="4">
        <f t="shared" si="1"/>
        <v>0</v>
      </c>
      <c r="J21" s="4">
        <f t="shared" si="1"/>
        <v>0</v>
      </c>
      <c r="K21" s="4">
        <f t="shared" si="1"/>
        <v>0</v>
      </c>
      <c r="L21" s="4">
        <f t="shared" si="1"/>
        <v>0</v>
      </c>
      <c r="O21" s="28">
        <f t="shared" si="16"/>
        <v>0</v>
      </c>
      <c r="P21" s="4">
        <f t="shared" si="2"/>
        <v>0</v>
      </c>
      <c r="Q21" s="4">
        <f t="shared" si="2"/>
        <v>0</v>
      </c>
      <c r="R21" s="4">
        <f t="shared" si="2"/>
        <v>0</v>
      </c>
      <c r="S21" s="4">
        <f t="shared" si="3"/>
        <v>0</v>
      </c>
      <c r="T21" s="4">
        <f t="shared" si="3"/>
        <v>0</v>
      </c>
      <c r="U21" s="4">
        <f t="shared" si="3"/>
        <v>0</v>
      </c>
      <c r="V21" s="4">
        <f t="shared" si="4"/>
        <v>0</v>
      </c>
      <c r="W21" s="4">
        <f t="shared" si="4"/>
        <v>0</v>
      </c>
      <c r="X21" s="4">
        <f t="shared" si="4"/>
        <v>0</v>
      </c>
      <c r="Y21" s="4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6"/>
        <v>0</v>
      </c>
      <c r="AC21" s="4">
        <f t="shared" si="6"/>
        <v>0</v>
      </c>
      <c r="AD21" s="4">
        <f t="shared" si="6"/>
        <v>0</v>
      </c>
      <c r="AE21" s="4">
        <f t="shared" si="7"/>
        <v>0</v>
      </c>
      <c r="AF21" s="4">
        <f t="shared" si="7"/>
        <v>0</v>
      </c>
      <c r="AG21" s="4">
        <f t="shared" si="7"/>
        <v>0</v>
      </c>
      <c r="AH21" s="4">
        <f t="shared" si="8"/>
        <v>0</v>
      </c>
      <c r="AI21" s="4">
        <f t="shared" si="8"/>
        <v>0</v>
      </c>
      <c r="AJ21" s="4">
        <f t="shared" si="8"/>
        <v>0</v>
      </c>
      <c r="AK21" s="4">
        <f t="shared" si="9"/>
        <v>0</v>
      </c>
      <c r="AL21" s="4">
        <f t="shared" si="9"/>
        <v>0</v>
      </c>
      <c r="AM21" s="4">
        <f t="shared" si="9"/>
        <v>0</v>
      </c>
      <c r="AN21" s="4">
        <f t="shared" si="10"/>
        <v>0</v>
      </c>
      <c r="AO21" s="4">
        <f t="shared" si="10"/>
        <v>0</v>
      </c>
      <c r="AP21" s="4">
        <f t="shared" si="10"/>
        <v>0</v>
      </c>
      <c r="AQ21" s="4">
        <f t="shared" si="11"/>
        <v>0</v>
      </c>
      <c r="AR21" s="4">
        <f t="shared" si="11"/>
        <v>0</v>
      </c>
      <c r="AT21" s="28">
        <v>8</v>
      </c>
      <c r="AU21" s="29" t="str">
        <f>IF($P$21="3L",$Q$21,IF($S$21="3L",$T$21,IF($V$21="3L",$W$21,IF($Y$21="3L",$Z$21,IF($AB$21="3L",$AC$21,IF($AE$21="3L",$AF$21,IF($AH$21="3L",$AI$21,IF($AK$21="3L",$AL$21,IF($AN$21="3L",$AO$21,IF($AQ$21="3L",$AR$21,""))))))))))</f>
        <v/>
      </c>
      <c r="AV21" s="29" t="str">
        <f>IF($P$21="4L",$Q$21,IF($S$21="4L",$T$21,IF($V$21="4L",$W$21,IF($Y$21="4L",$Z$21,IF($AB$21="4L",$AC$21,IF($AE$21="4L",$AF$21,IF($AH$21="4L",$AI$21,IF($AK$21="4L",$AL$21,IF($AN$21="4L",$AO$21,IF($AQ$21="4L",$AR$21,""))))))))))</f>
        <v/>
      </c>
      <c r="AW21" s="29" t="str">
        <f>IF($P$21="5L",$Q$21,IF($S$21="5L",$T$21,IF($V$21="5L",$W$21,IF($Y$21="5L",$Z$21,IF($AB$21="5L",$AC$21,IF($AE$21="5L",$AF$21,IF($AH$21="5L",$AI$21,IF($AK$21="5L",$AL$21,IF($AN$21="5L",$AO$21,IF($AQ$21="5L",$AR$21,""))))))))))</f>
        <v/>
      </c>
      <c r="AX21" s="29" t="str">
        <f>IF($P$21="6L",$Q$21,IF($S$21="6L",$T$21,IF($V$21="6L",$W$21,IF($Y$21="6L",$Z$21,IF($AB$21="6L",$AC$21,IF($AE$21="6L",$AF$21,IF($AH$21="6L",$AI$21,IF($AK$21="6L",$AL$21,IF($AN$21="6L",$AO$21,IF($AQ$21="6L",$AR$21,""))))))))))</f>
        <v/>
      </c>
      <c r="AY21" s="29" t="str">
        <f>IF($P$21="7L",$Q$21,IF($S$21="7L",$T$21,IF($V$21="7L",$W$21,IF($Y$21="7L",$Z$21,IF($AB$21="7L",$AC$21,IF($AE$21="7L",$AF$21,IF($AH$21="7L",$AI$21,IF($AK$21="7L",$AL$21,IF($AN$21="7L",$AO$21,IF($AQ$21="7L",$AR$21,""))))))))))</f>
        <v/>
      </c>
      <c r="AZ21" s="29" t="str">
        <f t="shared" si="12"/>
        <v/>
      </c>
      <c r="BA21" s="29" t="str">
        <f t="shared" si="13"/>
        <v/>
      </c>
      <c r="BB21" s="29" t="str">
        <f t="shared" si="14"/>
        <v/>
      </c>
      <c r="BC21" s="29" t="str">
        <f t="shared" si="15"/>
        <v/>
      </c>
      <c r="BD21" s="29" t="str">
        <f>IF($P$21="FUM",$Q$21,IF($S$21="FUM",$T$21,IF($V$21="FUM",$W$21,IF($Y$21="FUM",$Z$21,IF($AB$21="FUM",$AC$21,IF($AE$21="FUM",$AF$21,IF($AH$21="FUM",$AI$21,IF($AK$21="FUM",$AL$21,IF($AN$21="FUM",$AO$21,IF($AQ$21="FUM",$AR$21,""))))))))))</f>
        <v/>
      </c>
    </row>
    <row r="22" spans="8:56" hidden="1" x14ac:dyDescent="0.25">
      <c r="H22" s="4">
        <f t="shared" si="1"/>
        <v>0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O22" s="28">
        <f t="shared" si="16"/>
        <v>0</v>
      </c>
      <c r="P22" s="4">
        <f t="shared" si="2"/>
        <v>0</v>
      </c>
      <c r="Q22" s="4">
        <f t="shared" si="2"/>
        <v>0</v>
      </c>
      <c r="R22" s="4">
        <f t="shared" si="2"/>
        <v>0</v>
      </c>
      <c r="S22" s="4">
        <f t="shared" si="3"/>
        <v>0</v>
      </c>
      <c r="T22" s="4">
        <f t="shared" si="3"/>
        <v>0</v>
      </c>
      <c r="U22" s="4">
        <f t="shared" si="3"/>
        <v>0</v>
      </c>
      <c r="V22" s="4">
        <f t="shared" si="4"/>
        <v>0</v>
      </c>
      <c r="W22" s="4">
        <f t="shared" si="4"/>
        <v>0</v>
      </c>
      <c r="X22" s="4">
        <f t="shared" si="4"/>
        <v>0</v>
      </c>
      <c r="Y22" s="4">
        <f t="shared" si="5"/>
        <v>0</v>
      </c>
      <c r="Z22" s="4">
        <f t="shared" si="5"/>
        <v>0</v>
      </c>
      <c r="AA22" s="4">
        <f t="shared" si="5"/>
        <v>0</v>
      </c>
      <c r="AB22" s="4">
        <f t="shared" si="6"/>
        <v>0</v>
      </c>
      <c r="AC22" s="4">
        <f t="shared" si="6"/>
        <v>0</v>
      </c>
      <c r="AD22" s="4">
        <f t="shared" si="6"/>
        <v>0</v>
      </c>
      <c r="AE22" s="4">
        <f t="shared" si="7"/>
        <v>0</v>
      </c>
      <c r="AF22" s="4">
        <f t="shared" si="7"/>
        <v>0</v>
      </c>
      <c r="AG22" s="4">
        <f t="shared" si="7"/>
        <v>0</v>
      </c>
      <c r="AH22" s="4">
        <f t="shared" si="8"/>
        <v>0</v>
      </c>
      <c r="AI22" s="4">
        <f t="shared" si="8"/>
        <v>0</v>
      </c>
      <c r="AJ22" s="4">
        <f t="shared" si="8"/>
        <v>0</v>
      </c>
      <c r="AK22" s="4">
        <f t="shared" si="9"/>
        <v>0</v>
      </c>
      <c r="AL22" s="4">
        <f t="shared" si="9"/>
        <v>0</v>
      </c>
      <c r="AM22" s="4">
        <f t="shared" si="9"/>
        <v>0</v>
      </c>
      <c r="AN22" s="4">
        <f t="shared" si="10"/>
        <v>0</v>
      </c>
      <c r="AO22" s="4">
        <f t="shared" si="10"/>
        <v>0</v>
      </c>
      <c r="AP22" s="4">
        <f t="shared" si="10"/>
        <v>0</v>
      </c>
      <c r="AQ22" s="4">
        <f t="shared" si="11"/>
        <v>0</v>
      </c>
      <c r="AR22" s="4">
        <f t="shared" si="11"/>
        <v>0</v>
      </c>
      <c r="AT22" s="28">
        <v>9</v>
      </c>
      <c r="AU22" s="29" t="str">
        <f>IF($P$22="3L",$Q$22,IF($S$22="3L",$T$22,IF($V$22="3L",$W$22,IF($Y$22="3L",$Z$22,IF($AB$22="3L",$AC$22,IF($AE$22="3L",$AF$22,IF($AH$22="3L",$AI$22,IF($AK$22="3L",$AL$22,IF($AN$22="3L",$AO$22,IF($AQ$22="3L",$AR$22,""))))))))))</f>
        <v/>
      </c>
      <c r="AV22" s="29" t="str">
        <f>IF($P$22="4L",$Q$22,IF($S$22="4L",$T$22,IF($V$22="4L",$W$22,IF($Y$22="4L",$Z$22,IF($AB$22="4L",$AC$22,IF($AE$22="4L",$AF$22,IF($AH$22="4L",$AI$22,IF($AK$22="4L",$AL$22,IF($AN$22="4L",$AO$22,IF($AQ$22="4L",$AR$22,""))))))))))</f>
        <v/>
      </c>
      <c r="AW22" s="29" t="str">
        <f>IF($P$22="5L",$Q$22,IF($S$22="5L",$T$22,IF($V$22="5L",$W$22,IF($Y$22="5L",$Z$22,IF($AB$22="5L",$AC$22,IF($AE$22="5L",$AF$22,IF($AH$22="5L",$AI$22,IF($AK$22="5L",$AL$22,IF($AN$22="5L",$AO$22,IF($AQ$22="5L",$AR$22,""))))))))))</f>
        <v/>
      </c>
      <c r="AX22" s="29" t="str">
        <f>IF($P$22="6L",$Q$22,IF($S$22="6L",$T$22,IF($V$22="6L",$W$22,IF($Y$22="6L",$Z$22,IF($AB$22="6L",$AC$22,IF($AE$22="6L",$AF$22,IF($AH$22="6L",$AI$22,IF($AK$22="6L",$AL$22,IF($AN$22="6L",$AO$22,IF($AQ$22="6L",$AR$22,""))))))))))</f>
        <v/>
      </c>
      <c r="AY22" s="29" t="str">
        <f>IF($P$22="7L",$Q$22,IF($S$22="7L",$T$22,IF($V$22="7L",$W$22,IF($Y$22="7L",$Z$22,IF($AB$22="7L",$AC$22,IF($AE$22="7L",$AF$22,IF($AH$22="7L",$AI$22,IF($AK$22="7L",$AL$22,IF($AN$22="7L",$AO$22,IF($AQ$22="7L",$AR$22,""))))))))))</f>
        <v/>
      </c>
      <c r="AZ22" s="29" t="str">
        <f t="shared" si="12"/>
        <v/>
      </c>
      <c r="BA22" s="29" t="str">
        <f t="shared" si="13"/>
        <v/>
      </c>
      <c r="BB22" s="29" t="str">
        <f t="shared" si="14"/>
        <v/>
      </c>
      <c r="BC22" s="29" t="str">
        <f t="shared" si="15"/>
        <v/>
      </c>
      <c r="BD22" s="29" t="str">
        <f>IF($P$22="FUM",$Q$22,IF($S$22="FUM",$T$22,IF($V$22="FUM",$W$22,IF($Y$22="FUM",$Z$22,IF($AB$22="FUM",$AC$22,IF($AE$22="FUM",$AF$22,IF($AH$22="FUM",$AI$22,IF($AK$22="FUM",$AL$22,IF($AN$22="FUM",$AO$22,IF($AQ$22="FUM",$AR$22,""))))))))))</f>
        <v/>
      </c>
    </row>
    <row r="23" spans="8:56" hidden="1" x14ac:dyDescent="0.25">
      <c r="H23" s="4">
        <f t="shared" si="1"/>
        <v>0</v>
      </c>
      <c r="I23" s="4">
        <f t="shared" si="1"/>
        <v>0</v>
      </c>
      <c r="J23" s="4">
        <f t="shared" si="1"/>
        <v>0</v>
      </c>
      <c r="K23" s="4">
        <f t="shared" si="1"/>
        <v>0</v>
      </c>
      <c r="L23" s="4">
        <f t="shared" si="1"/>
        <v>0</v>
      </c>
      <c r="O23" s="28">
        <f t="shared" si="16"/>
        <v>0</v>
      </c>
      <c r="P23" s="4">
        <f t="shared" si="2"/>
        <v>0</v>
      </c>
      <c r="Q23" s="4">
        <f t="shared" si="2"/>
        <v>0</v>
      </c>
      <c r="R23" s="4">
        <f t="shared" si="2"/>
        <v>0</v>
      </c>
      <c r="S23" s="4">
        <f t="shared" si="3"/>
        <v>0</v>
      </c>
      <c r="T23" s="4">
        <f t="shared" si="3"/>
        <v>0</v>
      </c>
      <c r="U23" s="4">
        <f t="shared" si="3"/>
        <v>0</v>
      </c>
      <c r="V23" s="4">
        <f t="shared" si="4"/>
        <v>0</v>
      </c>
      <c r="W23" s="4">
        <f t="shared" si="4"/>
        <v>0</v>
      </c>
      <c r="X23" s="4">
        <f t="shared" si="4"/>
        <v>0</v>
      </c>
      <c r="Y23" s="4">
        <f t="shared" si="5"/>
        <v>0</v>
      </c>
      <c r="Z23" s="4">
        <f t="shared" si="5"/>
        <v>0</v>
      </c>
      <c r="AA23" s="4">
        <f t="shared" si="5"/>
        <v>0</v>
      </c>
      <c r="AB23" s="4">
        <f t="shared" si="6"/>
        <v>0</v>
      </c>
      <c r="AC23" s="4">
        <f t="shared" si="6"/>
        <v>0</v>
      </c>
      <c r="AD23" s="4">
        <f t="shared" si="6"/>
        <v>0</v>
      </c>
      <c r="AE23" s="4">
        <f t="shared" si="7"/>
        <v>0</v>
      </c>
      <c r="AF23" s="4">
        <f t="shared" si="7"/>
        <v>0</v>
      </c>
      <c r="AG23" s="4">
        <f t="shared" si="7"/>
        <v>0</v>
      </c>
      <c r="AH23" s="4">
        <f t="shared" si="8"/>
        <v>0</v>
      </c>
      <c r="AI23" s="4">
        <f t="shared" si="8"/>
        <v>0</v>
      </c>
      <c r="AJ23" s="4">
        <f t="shared" si="8"/>
        <v>0</v>
      </c>
      <c r="AK23" s="4">
        <f t="shared" si="9"/>
        <v>0</v>
      </c>
      <c r="AL23" s="4">
        <f t="shared" si="9"/>
        <v>0</v>
      </c>
      <c r="AM23" s="4">
        <f t="shared" si="9"/>
        <v>0</v>
      </c>
      <c r="AN23" s="4">
        <f t="shared" si="10"/>
        <v>0</v>
      </c>
      <c r="AO23" s="4">
        <f t="shared" si="10"/>
        <v>0</v>
      </c>
      <c r="AP23" s="4">
        <f t="shared" si="10"/>
        <v>0</v>
      </c>
      <c r="AQ23" s="4">
        <f t="shared" si="11"/>
        <v>0</v>
      </c>
      <c r="AR23" s="4">
        <f t="shared" si="11"/>
        <v>0</v>
      </c>
      <c r="AT23" s="28">
        <v>10</v>
      </c>
      <c r="AU23" s="29" t="str">
        <f>IF($P$23="3L",$Q$23,IF($S$23="3L",$T$23,IF($V$23="3L",$W$23,IF($Y$23="3L",$Z$23,IF($AB$23="3L",$AC$23,IF($AE$23="3L",$AF$23,IF($AH$23="3L",$AI$23,IF($AK$23="3L",$AL$23,IF($AN$23="3L",$AO$23,IF($AQ$23="3L",$AR$23,""))))))))))</f>
        <v/>
      </c>
      <c r="AV23" s="29" t="str">
        <f>IF($P$23="4L",$Q$23,IF($S$23="4L",$T$23,IF($V$23="4L",$W$23,IF($Y$23="4L",$Z$23,IF($AB$23="4L",$AC$23,IF($AE$23="4L",$AF$23,IF($AH$23="4L",$AI$23,IF($AK$23="4L",$AL$23,IF($AN$23="4L",$AO$23,IF($AQ$23="4L",$AR$23,""))))))))))</f>
        <v/>
      </c>
      <c r="AW23" s="29" t="str">
        <f>IF($P$23="5L",$Q$23,IF($S$23="5L",$T$23,IF($V$23="5L",$W$23,IF($Y$23="5L",$Z$23,IF($AB$23="5L",$AC$23,IF($AE$23="5L",$AF$23,IF($AH$23="5L",$AI$23,IF($AK$23="5L",$AL$23,IF($AN$23="5L",$AO$23,IF($AQ$23="5L",$AR$23,""))))))))))</f>
        <v/>
      </c>
      <c r="AX23" s="29" t="str">
        <f>IF($P$23="6L",$Q$23,IF($S$23="6L",$T$23,IF($V$23="6L",$W$23,IF($Y$23="6L",$Z$23,IF($AB$23="6L",$AC$23,IF($AE$23="6L",$AF$23,IF($AH$23="6L",$AI$23,IF($AK$23="6L",$AL$23,IF($AN$23="6L",$AO$23,IF($AQ$23="6L",$AR$23,""))))))))))</f>
        <v/>
      </c>
      <c r="AY23" s="29" t="str">
        <f>IF($P$23="7L",$Q$23,IF($S$23="7L",$T$23,IF($V$23="7L",$W$23,IF($Y$23="7L",$Z$23,IF($AB$23="7L",$AC$23,IF($AE$23="7L",$AF$23,IF($AH$23="7L",$AI$23,IF($AK$23="7L",$AL$23,IF($AN$23="7L",$AO$23,IF($AQ$23="7L",$AR$23,""))))))))))</f>
        <v/>
      </c>
      <c r="AZ23" s="29" t="str">
        <f t="shared" si="12"/>
        <v/>
      </c>
      <c r="BA23" s="29" t="str">
        <f t="shared" si="13"/>
        <v/>
      </c>
      <c r="BB23" s="29" t="str">
        <f t="shared" si="14"/>
        <v/>
      </c>
      <c r="BC23" s="29" t="str">
        <f t="shared" si="15"/>
        <v/>
      </c>
      <c r="BD23" s="29" t="str">
        <f>IF($P$23="FUM",$Q$23,IF($S$23="FUM",$T$23,IF($V$23="FUM",$W$23,IF($Y$23="FUM",$Z$23,IF($AB$23="FUM",$AC$23,IF($AE$23="FUM",$AF$23,IF($AH$23="FUM",$AI$23,IF($AK$23="FUM",$AL$23,IF($AN$23="FUM",$AO$23,IF($AQ$23="FUM",$AR$23,""))))))))))</f>
        <v/>
      </c>
    </row>
    <row r="24" spans="8:56" hidden="1" x14ac:dyDescent="0.25">
      <c r="H24" s="4" t="str">
        <f t="shared" ref="H24:L33" si="17">P2</f>
        <v>AG</v>
      </c>
      <c r="I24" s="4">
        <f t="shared" si="17"/>
        <v>1000</v>
      </c>
      <c r="J24" s="4">
        <f t="shared" si="17"/>
        <v>10</v>
      </c>
      <c r="K24" s="4" t="str">
        <f t="shared" si="17"/>
        <v>Y</v>
      </c>
      <c r="L24" s="4" t="str">
        <f t="shared" si="17"/>
        <v>3L</v>
      </c>
    </row>
    <row r="25" spans="8:56" hidden="1" x14ac:dyDescent="0.25">
      <c r="H25" s="4">
        <f t="shared" si="17"/>
        <v>0</v>
      </c>
      <c r="I25" s="4">
        <f t="shared" si="17"/>
        <v>0</v>
      </c>
      <c r="J25" s="4">
        <f t="shared" si="17"/>
        <v>0</v>
      </c>
      <c r="K25" s="4">
        <f t="shared" si="17"/>
        <v>0</v>
      </c>
      <c r="L25" s="4">
        <f t="shared" si="17"/>
        <v>0</v>
      </c>
    </row>
    <row r="26" spans="8:56" hidden="1" x14ac:dyDescent="0.25">
      <c r="H26" s="4">
        <f t="shared" si="17"/>
        <v>0</v>
      </c>
      <c r="I26" s="4">
        <f t="shared" si="17"/>
        <v>0</v>
      </c>
      <c r="J26" s="4">
        <f t="shared" si="17"/>
        <v>0</v>
      </c>
      <c r="K26" s="4">
        <f t="shared" si="17"/>
        <v>0</v>
      </c>
      <c r="L26" s="4">
        <f t="shared" si="17"/>
        <v>0</v>
      </c>
    </row>
    <row r="27" spans="8:56" hidden="1" x14ac:dyDescent="0.25">
      <c r="H27" s="4">
        <f t="shared" si="17"/>
        <v>0</v>
      </c>
      <c r="I27" s="4">
        <f t="shared" si="17"/>
        <v>0</v>
      </c>
      <c r="J27" s="4">
        <f t="shared" si="17"/>
        <v>0</v>
      </c>
      <c r="K27" s="4">
        <f t="shared" si="17"/>
        <v>0</v>
      </c>
      <c r="L27" s="4">
        <f t="shared" si="17"/>
        <v>0</v>
      </c>
    </row>
    <row r="28" spans="8:56" hidden="1" x14ac:dyDescent="0.25">
      <c r="H28" s="4">
        <f t="shared" si="17"/>
        <v>0</v>
      </c>
      <c r="I28" s="4">
        <f t="shared" si="17"/>
        <v>0</v>
      </c>
      <c r="J28" s="4">
        <f t="shared" si="17"/>
        <v>0</v>
      </c>
      <c r="K28" s="4">
        <f t="shared" si="17"/>
        <v>0</v>
      </c>
      <c r="L28" s="4">
        <f t="shared" si="17"/>
        <v>0</v>
      </c>
    </row>
    <row r="29" spans="8:56" hidden="1" x14ac:dyDescent="0.25"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</row>
    <row r="30" spans="8:56" hidden="1" x14ac:dyDescent="0.25">
      <c r="H30" s="4">
        <f t="shared" si="17"/>
        <v>0</v>
      </c>
      <c r="I30" s="4">
        <f t="shared" si="17"/>
        <v>0</v>
      </c>
      <c r="J30" s="4">
        <f t="shared" si="17"/>
        <v>0</v>
      </c>
      <c r="K30" s="4">
        <f t="shared" si="17"/>
        <v>0</v>
      </c>
      <c r="L30" s="4">
        <f t="shared" si="17"/>
        <v>0</v>
      </c>
    </row>
    <row r="31" spans="8:56" hidden="1" x14ac:dyDescent="0.25">
      <c r="H31" s="4">
        <f t="shared" si="17"/>
        <v>0</v>
      </c>
      <c r="I31" s="4">
        <f t="shared" si="17"/>
        <v>0</v>
      </c>
      <c r="J31" s="4">
        <f t="shared" si="17"/>
        <v>0</v>
      </c>
      <c r="K31" s="4">
        <f t="shared" si="17"/>
        <v>0</v>
      </c>
      <c r="L31" s="4">
        <f t="shared" si="17"/>
        <v>0</v>
      </c>
    </row>
    <row r="32" spans="8:56" hidden="1" x14ac:dyDescent="0.25">
      <c r="H32" s="4">
        <f t="shared" si="17"/>
        <v>0</v>
      </c>
      <c r="I32" s="4">
        <f t="shared" si="17"/>
        <v>0</v>
      </c>
      <c r="J32" s="4">
        <f t="shared" si="17"/>
        <v>0</v>
      </c>
      <c r="K32" s="4">
        <f t="shared" si="17"/>
        <v>0</v>
      </c>
      <c r="L32" s="4">
        <f t="shared" si="17"/>
        <v>0</v>
      </c>
    </row>
    <row r="33" spans="8:12" hidden="1" x14ac:dyDescent="0.25">
      <c r="H33" s="4">
        <f t="shared" si="17"/>
        <v>0</v>
      </c>
      <c r="I33" s="4">
        <f t="shared" si="17"/>
        <v>0</v>
      </c>
      <c r="J33" s="4">
        <f t="shared" si="17"/>
        <v>0</v>
      </c>
      <c r="K33" s="4">
        <f t="shared" si="17"/>
        <v>0</v>
      </c>
      <c r="L33" s="4">
        <f t="shared" si="17"/>
        <v>0</v>
      </c>
    </row>
    <row r="34" spans="8:12" hidden="1" x14ac:dyDescent="0.25">
      <c r="H34" s="4" t="str">
        <f t="shared" ref="H34:L43" si="18">V2</f>
        <v>AG</v>
      </c>
      <c r="I34" s="4">
        <f t="shared" si="18"/>
        <v>750</v>
      </c>
      <c r="J34" s="4">
        <f t="shared" si="18"/>
        <v>10</v>
      </c>
      <c r="K34" s="4" t="str">
        <f t="shared" si="18"/>
        <v>Y</v>
      </c>
      <c r="L34" s="4" t="str">
        <f t="shared" si="18"/>
        <v>3L</v>
      </c>
    </row>
    <row r="35" spans="8:12" hidden="1" x14ac:dyDescent="0.25">
      <c r="H35" s="4">
        <f t="shared" si="18"/>
        <v>0</v>
      </c>
      <c r="I35" s="4">
        <f t="shared" si="18"/>
        <v>0</v>
      </c>
      <c r="J35" s="4">
        <f t="shared" si="18"/>
        <v>0</v>
      </c>
      <c r="K35" s="4">
        <f t="shared" si="18"/>
        <v>0</v>
      </c>
      <c r="L35" s="4">
        <f t="shared" si="18"/>
        <v>0</v>
      </c>
    </row>
    <row r="36" spans="8:12" hidden="1" x14ac:dyDescent="0.25">
      <c r="H36" s="4">
        <f t="shared" si="18"/>
        <v>0</v>
      </c>
      <c r="I36" s="4">
        <f t="shared" si="18"/>
        <v>0</v>
      </c>
      <c r="J36" s="4">
        <f t="shared" si="18"/>
        <v>0</v>
      </c>
      <c r="K36" s="4">
        <f t="shared" si="18"/>
        <v>0</v>
      </c>
      <c r="L36" s="4">
        <f t="shared" si="18"/>
        <v>0</v>
      </c>
    </row>
    <row r="37" spans="8:12" hidden="1" x14ac:dyDescent="0.25">
      <c r="H37" s="4">
        <f t="shared" si="18"/>
        <v>0</v>
      </c>
      <c r="I37" s="4">
        <f t="shared" si="18"/>
        <v>0</v>
      </c>
      <c r="J37" s="4">
        <f t="shared" si="18"/>
        <v>0</v>
      </c>
      <c r="K37" s="4">
        <f t="shared" si="18"/>
        <v>0</v>
      </c>
      <c r="L37" s="4">
        <f t="shared" si="18"/>
        <v>0</v>
      </c>
    </row>
    <row r="38" spans="8:12" hidden="1" x14ac:dyDescent="0.25">
      <c r="H38" s="4">
        <f t="shared" si="18"/>
        <v>0</v>
      </c>
      <c r="I38" s="4">
        <f t="shared" si="18"/>
        <v>0</v>
      </c>
      <c r="J38" s="4">
        <f t="shared" si="18"/>
        <v>0</v>
      </c>
      <c r="K38" s="4">
        <f t="shared" si="18"/>
        <v>0</v>
      </c>
      <c r="L38" s="4">
        <f t="shared" si="18"/>
        <v>0</v>
      </c>
    </row>
    <row r="39" spans="8:12" hidden="1" x14ac:dyDescent="0.25">
      <c r="H39" s="4">
        <f t="shared" si="18"/>
        <v>0</v>
      </c>
      <c r="I39" s="4">
        <f t="shared" si="18"/>
        <v>0</v>
      </c>
      <c r="J39" s="4">
        <f t="shared" si="18"/>
        <v>0</v>
      </c>
      <c r="K39" s="4">
        <f t="shared" si="18"/>
        <v>0</v>
      </c>
      <c r="L39" s="4">
        <f t="shared" si="18"/>
        <v>0</v>
      </c>
    </row>
    <row r="40" spans="8:12" hidden="1" x14ac:dyDescent="0.25">
      <c r="H40" s="4">
        <f t="shared" si="18"/>
        <v>0</v>
      </c>
      <c r="I40" s="4">
        <f t="shared" si="18"/>
        <v>0</v>
      </c>
      <c r="J40" s="4">
        <f t="shared" si="18"/>
        <v>0</v>
      </c>
      <c r="K40" s="4">
        <f t="shared" si="18"/>
        <v>0</v>
      </c>
      <c r="L40" s="4">
        <f t="shared" si="18"/>
        <v>0</v>
      </c>
    </row>
    <row r="41" spans="8:12" hidden="1" x14ac:dyDescent="0.25">
      <c r="H41" s="4">
        <f t="shared" si="18"/>
        <v>0</v>
      </c>
      <c r="I41" s="4">
        <f t="shared" si="18"/>
        <v>0</v>
      </c>
      <c r="J41" s="4">
        <f t="shared" si="18"/>
        <v>0</v>
      </c>
      <c r="K41" s="4">
        <f t="shared" si="18"/>
        <v>0</v>
      </c>
      <c r="L41" s="4">
        <f t="shared" si="18"/>
        <v>0</v>
      </c>
    </row>
    <row r="42" spans="8:12" hidden="1" x14ac:dyDescent="0.25">
      <c r="H42" s="4">
        <f t="shared" si="18"/>
        <v>0</v>
      </c>
      <c r="I42" s="4">
        <f t="shared" si="18"/>
        <v>0</v>
      </c>
      <c r="J42" s="4">
        <f t="shared" si="18"/>
        <v>0</v>
      </c>
      <c r="K42" s="4">
        <f t="shared" si="18"/>
        <v>0</v>
      </c>
      <c r="L42" s="4">
        <f t="shared" si="18"/>
        <v>0</v>
      </c>
    </row>
    <row r="43" spans="8:12" hidden="1" x14ac:dyDescent="0.25">
      <c r="H43" s="4">
        <f t="shared" si="18"/>
        <v>0</v>
      </c>
      <c r="I43" s="4">
        <f t="shared" si="18"/>
        <v>0</v>
      </c>
      <c r="J43" s="4">
        <f t="shared" si="18"/>
        <v>0</v>
      </c>
      <c r="K43" s="4">
        <f t="shared" si="18"/>
        <v>0</v>
      </c>
      <c r="L43" s="4">
        <f t="shared" si="18"/>
        <v>0</v>
      </c>
    </row>
    <row r="44" spans="8:12" hidden="1" x14ac:dyDescent="0.25">
      <c r="H44" s="4" t="str">
        <f t="shared" ref="H44:L53" si="19">AB2</f>
        <v>AG</v>
      </c>
      <c r="I44" s="4">
        <f t="shared" si="19"/>
        <v>500</v>
      </c>
      <c r="J44" s="4">
        <f t="shared" si="19"/>
        <v>20</v>
      </c>
      <c r="K44" s="4" t="str">
        <f t="shared" si="19"/>
        <v>Y</v>
      </c>
      <c r="L44" s="4" t="str">
        <f t="shared" si="19"/>
        <v>3L</v>
      </c>
    </row>
    <row r="45" spans="8:12" hidden="1" x14ac:dyDescent="0.25">
      <c r="H45" s="4">
        <f t="shared" si="19"/>
        <v>0</v>
      </c>
      <c r="I45" s="4">
        <f t="shared" si="19"/>
        <v>0</v>
      </c>
      <c r="J45" s="4">
        <f t="shared" si="19"/>
        <v>0</v>
      </c>
      <c r="K45" s="4">
        <f t="shared" si="19"/>
        <v>0</v>
      </c>
      <c r="L45" s="4">
        <f t="shared" si="19"/>
        <v>0</v>
      </c>
    </row>
    <row r="46" spans="8:12" hidden="1" x14ac:dyDescent="0.25">
      <c r="H46" s="4">
        <f t="shared" si="19"/>
        <v>0</v>
      </c>
      <c r="I46" s="4">
        <f t="shared" si="19"/>
        <v>0</v>
      </c>
      <c r="J46" s="4">
        <f t="shared" si="19"/>
        <v>0</v>
      </c>
      <c r="K46" s="4">
        <f t="shared" si="19"/>
        <v>0</v>
      </c>
      <c r="L46" s="4">
        <f t="shared" si="19"/>
        <v>0</v>
      </c>
    </row>
    <row r="47" spans="8:12" hidden="1" x14ac:dyDescent="0.25">
      <c r="H47" s="4">
        <f t="shared" si="19"/>
        <v>0</v>
      </c>
      <c r="I47" s="4">
        <f t="shared" si="19"/>
        <v>0</v>
      </c>
      <c r="J47" s="4">
        <f t="shared" si="19"/>
        <v>0</v>
      </c>
      <c r="K47" s="4">
        <f t="shared" si="19"/>
        <v>0</v>
      </c>
      <c r="L47" s="4">
        <f t="shared" si="19"/>
        <v>0</v>
      </c>
    </row>
    <row r="48" spans="8:12" hidden="1" x14ac:dyDescent="0.25">
      <c r="H48" s="4">
        <f t="shared" si="19"/>
        <v>0</v>
      </c>
      <c r="I48" s="4">
        <f t="shared" si="19"/>
        <v>0</v>
      </c>
      <c r="J48" s="4">
        <f t="shared" si="19"/>
        <v>0</v>
      </c>
      <c r="K48" s="4">
        <f t="shared" si="19"/>
        <v>0</v>
      </c>
      <c r="L48" s="4">
        <f t="shared" si="19"/>
        <v>0</v>
      </c>
    </row>
    <row r="49" spans="8:12" hidden="1" x14ac:dyDescent="0.25">
      <c r="H49" s="4">
        <f t="shared" si="19"/>
        <v>0</v>
      </c>
      <c r="I49" s="4">
        <f t="shared" si="19"/>
        <v>0</v>
      </c>
      <c r="J49" s="4">
        <f t="shared" si="19"/>
        <v>0</v>
      </c>
      <c r="K49" s="4">
        <f t="shared" si="19"/>
        <v>0</v>
      </c>
      <c r="L49" s="4">
        <f t="shared" si="19"/>
        <v>0</v>
      </c>
    </row>
    <row r="50" spans="8:12" hidden="1" x14ac:dyDescent="0.25">
      <c r="H50" s="4">
        <f t="shared" si="19"/>
        <v>0</v>
      </c>
      <c r="I50" s="4">
        <f t="shared" si="19"/>
        <v>0</v>
      </c>
      <c r="J50" s="4">
        <f t="shared" si="19"/>
        <v>0</v>
      </c>
      <c r="K50" s="4">
        <f t="shared" si="19"/>
        <v>0</v>
      </c>
      <c r="L50" s="4">
        <f t="shared" si="19"/>
        <v>0</v>
      </c>
    </row>
    <row r="51" spans="8:12" hidden="1" x14ac:dyDescent="0.25">
      <c r="H51" s="4">
        <f t="shared" si="19"/>
        <v>0</v>
      </c>
      <c r="I51" s="4">
        <f t="shared" si="19"/>
        <v>0</v>
      </c>
      <c r="J51" s="4">
        <f t="shared" si="19"/>
        <v>0</v>
      </c>
      <c r="K51" s="4">
        <f t="shared" si="19"/>
        <v>0</v>
      </c>
      <c r="L51" s="4">
        <f t="shared" si="19"/>
        <v>0</v>
      </c>
    </row>
    <row r="52" spans="8:12" hidden="1" x14ac:dyDescent="0.25">
      <c r="H52" s="4">
        <f t="shared" si="19"/>
        <v>0</v>
      </c>
      <c r="I52" s="4">
        <f t="shared" si="19"/>
        <v>0</v>
      </c>
      <c r="J52" s="4">
        <f t="shared" si="19"/>
        <v>0</v>
      </c>
      <c r="K52" s="4">
        <f t="shared" si="19"/>
        <v>0</v>
      </c>
      <c r="L52" s="4">
        <f t="shared" si="19"/>
        <v>0</v>
      </c>
    </row>
    <row r="53" spans="8:12" hidden="1" x14ac:dyDescent="0.25">
      <c r="H53" s="4">
        <f t="shared" si="19"/>
        <v>0</v>
      </c>
      <c r="I53" s="4">
        <f t="shared" si="19"/>
        <v>0</v>
      </c>
      <c r="J53" s="4">
        <f t="shared" si="19"/>
        <v>0</v>
      </c>
      <c r="K53" s="4">
        <f t="shared" si="19"/>
        <v>0</v>
      </c>
      <c r="L53" s="4">
        <f t="shared" si="19"/>
        <v>0</v>
      </c>
    </row>
    <row r="54" spans="8:12" hidden="1" x14ac:dyDescent="0.25">
      <c r="H54" s="4">
        <f t="shared" ref="H54:L63" si="20">AH2</f>
        <v>0</v>
      </c>
      <c r="I54" s="4">
        <f t="shared" si="20"/>
        <v>0</v>
      </c>
      <c r="J54" s="4">
        <f t="shared" si="20"/>
        <v>0</v>
      </c>
      <c r="K54" s="4">
        <f t="shared" si="20"/>
        <v>0</v>
      </c>
      <c r="L54" s="4">
        <f t="shared" si="20"/>
        <v>0</v>
      </c>
    </row>
    <row r="55" spans="8:12" hidden="1" x14ac:dyDescent="0.25">
      <c r="H55" s="4">
        <f t="shared" si="20"/>
        <v>0</v>
      </c>
      <c r="I55" s="4">
        <f t="shared" si="20"/>
        <v>0</v>
      </c>
      <c r="J55" s="4">
        <f t="shared" si="20"/>
        <v>0</v>
      </c>
      <c r="K55" s="4">
        <f t="shared" si="20"/>
        <v>0</v>
      </c>
      <c r="L55" s="4">
        <f t="shared" si="20"/>
        <v>0</v>
      </c>
    </row>
    <row r="56" spans="8:12" hidden="1" x14ac:dyDescent="0.25">
      <c r="H56" s="4">
        <f t="shared" si="20"/>
        <v>0</v>
      </c>
      <c r="I56" s="4">
        <f t="shared" si="20"/>
        <v>0</v>
      </c>
      <c r="J56" s="4">
        <f t="shared" si="20"/>
        <v>0</v>
      </c>
      <c r="K56" s="4">
        <f t="shared" si="20"/>
        <v>0</v>
      </c>
      <c r="L56" s="4">
        <f t="shared" si="20"/>
        <v>0</v>
      </c>
    </row>
    <row r="57" spans="8:12" hidden="1" x14ac:dyDescent="0.25">
      <c r="H57" s="4">
        <f t="shared" si="20"/>
        <v>0</v>
      </c>
      <c r="I57" s="4">
        <f t="shared" si="20"/>
        <v>0</v>
      </c>
      <c r="J57" s="4">
        <f t="shared" si="20"/>
        <v>0</v>
      </c>
      <c r="K57" s="4">
        <f t="shared" si="20"/>
        <v>0</v>
      </c>
      <c r="L57" s="4">
        <f t="shared" si="20"/>
        <v>0</v>
      </c>
    </row>
    <row r="58" spans="8:12" hidden="1" x14ac:dyDescent="0.25">
      <c r="H58" s="4">
        <f t="shared" si="20"/>
        <v>0</v>
      </c>
      <c r="I58" s="4">
        <f t="shared" si="20"/>
        <v>0</v>
      </c>
      <c r="J58" s="4">
        <f t="shared" si="20"/>
        <v>0</v>
      </c>
      <c r="K58" s="4">
        <f t="shared" si="20"/>
        <v>0</v>
      </c>
      <c r="L58" s="4">
        <f t="shared" si="20"/>
        <v>0</v>
      </c>
    </row>
    <row r="59" spans="8:12" hidden="1" x14ac:dyDescent="0.25">
      <c r="H59" s="4">
        <f t="shared" si="20"/>
        <v>0</v>
      </c>
      <c r="I59" s="4">
        <f t="shared" si="20"/>
        <v>0</v>
      </c>
      <c r="J59" s="4">
        <f t="shared" si="20"/>
        <v>0</v>
      </c>
      <c r="K59" s="4">
        <f t="shared" si="20"/>
        <v>0</v>
      </c>
      <c r="L59" s="4">
        <f t="shared" si="20"/>
        <v>0</v>
      </c>
    </row>
    <row r="60" spans="8:12" hidden="1" x14ac:dyDescent="0.25">
      <c r="H60" s="4">
        <f t="shared" si="20"/>
        <v>0</v>
      </c>
      <c r="I60" s="4">
        <f t="shared" si="20"/>
        <v>0</v>
      </c>
      <c r="J60" s="4">
        <f t="shared" si="20"/>
        <v>0</v>
      </c>
      <c r="K60" s="4">
        <f t="shared" si="20"/>
        <v>0</v>
      </c>
      <c r="L60" s="4">
        <f t="shared" si="20"/>
        <v>0</v>
      </c>
    </row>
    <row r="61" spans="8:12" hidden="1" x14ac:dyDescent="0.25">
      <c r="H61" s="4">
        <f t="shared" si="20"/>
        <v>0</v>
      </c>
      <c r="I61" s="4">
        <f t="shared" si="20"/>
        <v>0</v>
      </c>
      <c r="J61" s="4">
        <f t="shared" si="20"/>
        <v>0</v>
      </c>
      <c r="K61" s="4">
        <f t="shared" si="20"/>
        <v>0</v>
      </c>
      <c r="L61" s="4">
        <f t="shared" si="20"/>
        <v>0</v>
      </c>
    </row>
    <row r="62" spans="8:12" hidden="1" x14ac:dyDescent="0.25">
      <c r="H62" s="4">
        <f t="shared" si="20"/>
        <v>0</v>
      </c>
      <c r="I62" s="4">
        <f t="shared" si="20"/>
        <v>0</v>
      </c>
      <c r="J62" s="4">
        <f t="shared" si="20"/>
        <v>0</v>
      </c>
      <c r="K62" s="4">
        <f t="shared" si="20"/>
        <v>0</v>
      </c>
      <c r="L62" s="4">
        <f t="shared" si="20"/>
        <v>0</v>
      </c>
    </row>
    <row r="63" spans="8:12" hidden="1" x14ac:dyDescent="0.25">
      <c r="H63" s="4">
        <f t="shared" si="20"/>
        <v>0</v>
      </c>
      <c r="I63" s="4">
        <f t="shared" si="20"/>
        <v>0</v>
      </c>
      <c r="J63" s="4">
        <f t="shared" si="20"/>
        <v>0</v>
      </c>
      <c r="K63" s="4">
        <f t="shared" si="20"/>
        <v>0</v>
      </c>
      <c r="L63" s="4">
        <f t="shared" si="20"/>
        <v>0</v>
      </c>
    </row>
    <row r="64" spans="8:12" hidden="1" x14ac:dyDescent="0.25">
      <c r="H64" s="4">
        <f t="shared" ref="H64:L73" si="21">AN2</f>
        <v>0</v>
      </c>
      <c r="I64" s="4">
        <f t="shared" si="21"/>
        <v>0</v>
      </c>
      <c r="J64" s="4">
        <f t="shared" si="21"/>
        <v>0</v>
      </c>
      <c r="K64" s="4">
        <f t="shared" si="21"/>
        <v>0</v>
      </c>
      <c r="L64" s="4">
        <f t="shared" si="21"/>
        <v>0</v>
      </c>
    </row>
    <row r="65" spans="8:12" hidden="1" x14ac:dyDescent="0.25">
      <c r="H65" s="4">
        <f t="shared" si="21"/>
        <v>0</v>
      </c>
      <c r="I65" s="4">
        <f t="shared" si="21"/>
        <v>0</v>
      </c>
      <c r="J65" s="4">
        <f t="shared" si="21"/>
        <v>0</v>
      </c>
      <c r="K65" s="4">
        <f t="shared" si="21"/>
        <v>0</v>
      </c>
      <c r="L65" s="4">
        <f t="shared" si="21"/>
        <v>0</v>
      </c>
    </row>
    <row r="66" spans="8:12" hidden="1" x14ac:dyDescent="0.25">
      <c r="H66" s="4">
        <f t="shared" si="21"/>
        <v>0</v>
      </c>
      <c r="I66" s="4">
        <f t="shared" si="21"/>
        <v>0</v>
      </c>
      <c r="J66" s="4">
        <f t="shared" si="21"/>
        <v>0</v>
      </c>
      <c r="K66" s="4">
        <f t="shared" si="21"/>
        <v>0</v>
      </c>
      <c r="L66" s="4">
        <f t="shared" si="21"/>
        <v>0</v>
      </c>
    </row>
    <row r="67" spans="8:12" hidden="1" x14ac:dyDescent="0.25">
      <c r="H67" s="4">
        <f t="shared" si="21"/>
        <v>0</v>
      </c>
      <c r="I67" s="4">
        <f t="shared" si="21"/>
        <v>0</v>
      </c>
      <c r="J67" s="4">
        <f t="shared" si="21"/>
        <v>0</v>
      </c>
      <c r="K67" s="4">
        <f t="shared" si="21"/>
        <v>0</v>
      </c>
      <c r="L67" s="4">
        <f t="shared" si="21"/>
        <v>0</v>
      </c>
    </row>
    <row r="68" spans="8:12" hidden="1" x14ac:dyDescent="0.25">
      <c r="H68" s="4">
        <f t="shared" si="21"/>
        <v>0</v>
      </c>
      <c r="I68" s="4">
        <f t="shared" si="21"/>
        <v>0</v>
      </c>
      <c r="J68" s="4">
        <f t="shared" si="21"/>
        <v>0</v>
      </c>
      <c r="K68" s="4">
        <f t="shared" si="21"/>
        <v>0</v>
      </c>
      <c r="L68" s="4">
        <f t="shared" si="21"/>
        <v>0</v>
      </c>
    </row>
    <row r="69" spans="8:12" hidden="1" x14ac:dyDescent="0.25">
      <c r="H69" s="4">
        <f t="shared" si="21"/>
        <v>0</v>
      </c>
      <c r="I69" s="4">
        <f t="shared" si="21"/>
        <v>0</v>
      </c>
      <c r="J69" s="4">
        <f t="shared" si="21"/>
        <v>0</v>
      </c>
      <c r="K69" s="4">
        <f t="shared" si="21"/>
        <v>0</v>
      </c>
      <c r="L69" s="4">
        <f t="shared" si="21"/>
        <v>0</v>
      </c>
    </row>
    <row r="70" spans="8:12" hidden="1" x14ac:dyDescent="0.25">
      <c r="H70" s="4">
        <f t="shared" si="21"/>
        <v>0</v>
      </c>
      <c r="I70" s="4">
        <f t="shared" si="21"/>
        <v>0</v>
      </c>
      <c r="J70" s="4">
        <f t="shared" si="21"/>
        <v>0</v>
      </c>
      <c r="K70" s="4">
        <f t="shared" si="21"/>
        <v>0</v>
      </c>
      <c r="L70" s="4">
        <f t="shared" si="21"/>
        <v>0</v>
      </c>
    </row>
    <row r="71" spans="8:12" hidden="1" x14ac:dyDescent="0.25">
      <c r="H71" s="4">
        <f t="shared" si="21"/>
        <v>0</v>
      </c>
      <c r="I71" s="4">
        <f t="shared" si="21"/>
        <v>0</v>
      </c>
      <c r="J71" s="4">
        <f t="shared" si="21"/>
        <v>0</v>
      </c>
      <c r="K71" s="4">
        <f t="shared" si="21"/>
        <v>0</v>
      </c>
      <c r="L71" s="4">
        <f t="shared" si="21"/>
        <v>0</v>
      </c>
    </row>
    <row r="72" spans="8:12" hidden="1" x14ac:dyDescent="0.25">
      <c r="H72" s="4">
        <f t="shared" si="21"/>
        <v>0</v>
      </c>
      <c r="I72" s="4">
        <f t="shared" si="21"/>
        <v>0</v>
      </c>
      <c r="J72" s="4">
        <f t="shared" si="21"/>
        <v>0</v>
      </c>
      <c r="K72" s="4">
        <f t="shared" si="21"/>
        <v>0</v>
      </c>
      <c r="L72" s="4">
        <f t="shared" si="21"/>
        <v>0</v>
      </c>
    </row>
    <row r="73" spans="8:12" hidden="1" x14ac:dyDescent="0.25">
      <c r="H73" s="4">
        <f t="shared" si="21"/>
        <v>0</v>
      </c>
      <c r="I73" s="4">
        <f t="shared" si="21"/>
        <v>0</v>
      </c>
      <c r="J73" s="4">
        <f t="shared" si="21"/>
        <v>0</v>
      </c>
      <c r="K73" s="4">
        <f t="shared" si="21"/>
        <v>0</v>
      </c>
      <c r="L73" s="4">
        <f t="shared" si="21"/>
        <v>0</v>
      </c>
    </row>
    <row r="74" spans="8:12" hidden="1" x14ac:dyDescent="0.25">
      <c r="H74" s="4">
        <f t="shared" ref="H74:L83" si="22">AT2</f>
        <v>0</v>
      </c>
      <c r="I74" s="4">
        <f t="shared" si="22"/>
        <v>0</v>
      </c>
      <c r="J74" s="4">
        <f t="shared" si="22"/>
        <v>0</v>
      </c>
      <c r="K74" s="4">
        <f t="shared" si="22"/>
        <v>0</v>
      </c>
      <c r="L74" s="4">
        <f t="shared" si="22"/>
        <v>0</v>
      </c>
    </row>
    <row r="75" spans="8:12" hidden="1" x14ac:dyDescent="0.25">
      <c r="H75" s="4">
        <f t="shared" si="22"/>
        <v>0</v>
      </c>
      <c r="I75" s="4">
        <f t="shared" si="22"/>
        <v>0</v>
      </c>
      <c r="J75" s="4">
        <f t="shared" si="22"/>
        <v>0</v>
      </c>
      <c r="K75" s="4">
        <f t="shared" si="22"/>
        <v>0</v>
      </c>
      <c r="L75" s="4">
        <f t="shared" si="22"/>
        <v>0</v>
      </c>
    </row>
    <row r="76" spans="8:12" hidden="1" x14ac:dyDescent="0.25"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0</v>
      </c>
    </row>
    <row r="77" spans="8:12" hidden="1" x14ac:dyDescent="0.25">
      <c r="H77" s="4">
        <f t="shared" si="22"/>
        <v>0</v>
      </c>
      <c r="I77" s="4">
        <f t="shared" si="22"/>
        <v>0</v>
      </c>
      <c r="J77" s="4">
        <f t="shared" si="22"/>
        <v>0</v>
      </c>
      <c r="K77" s="4">
        <f t="shared" si="22"/>
        <v>0</v>
      </c>
      <c r="L77" s="4">
        <f t="shared" si="22"/>
        <v>0</v>
      </c>
    </row>
    <row r="78" spans="8:12" hidden="1" x14ac:dyDescent="0.25">
      <c r="H78" s="4">
        <f t="shared" si="22"/>
        <v>0</v>
      </c>
      <c r="I78" s="4">
        <f t="shared" si="22"/>
        <v>0</v>
      </c>
      <c r="J78" s="4">
        <f t="shared" si="22"/>
        <v>0</v>
      </c>
      <c r="K78" s="4">
        <f t="shared" si="22"/>
        <v>0</v>
      </c>
      <c r="L78" s="4">
        <f t="shared" si="22"/>
        <v>0</v>
      </c>
    </row>
    <row r="79" spans="8:12" hidden="1" x14ac:dyDescent="0.25">
      <c r="H79" s="4">
        <f t="shared" si="22"/>
        <v>0</v>
      </c>
      <c r="I79" s="4">
        <f t="shared" si="22"/>
        <v>0</v>
      </c>
      <c r="J79" s="4">
        <f t="shared" si="22"/>
        <v>0</v>
      </c>
      <c r="K79" s="4">
        <f t="shared" si="22"/>
        <v>0</v>
      </c>
      <c r="L79" s="4">
        <f t="shared" si="22"/>
        <v>0</v>
      </c>
    </row>
    <row r="80" spans="8:12" hidden="1" x14ac:dyDescent="0.25">
      <c r="H80" s="4">
        <f t="shared" si="22"/>
        <v>0</v>
      </c>
      <c r="I80" s="4">
        <f t="shared" si="22"/>
        <v>0</v>
      </c>
      <c r="J80" s="4">
        <f t="shared" si="22"/>
        <v>0</v>
      </c>
      <c r="K80" s="4">
        <f t="shared" si="22"/>
        <v>0</v>
      </c>
      <c r="L80" s="4">
        <f t="shared" si="22"/>
        <v>0</v>
      </c>
    </row>
    <row r="81" spans="8:12" hidden="1" x14ac:dyDescent="0.25">
      <c r="H81" s="4">
        <f t="shared" si="22"/>
        <v>0</v>
      </c>
      <c r="I81" s="4">
        <f t="shared" si="22"/>
        <v>0</v>
      </c>
      <c r="J81" s="4">
        <f t="shared" si="22"/>
        <v>0</v>
      </c>
      <c r="K81" s="4">
        <f t="shared" si="22"/>
        <v>0</v>
      </c>
      <c r="L81" s="4">
        <f t="shared" si="22"/>
        <v>0</v>
      </c>
    </row>
    <row r="82" spans="8:12" hidden="1" x14ac:dyDescent="0.25"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</row>
    <row r="83" spans="8:12" hidden="1" x14ac:dyDescent="0.25">
      <c r="H83" s="4">
        <f t="shared" si="22"/>
        <v>0</v>
      </c>
      <c r="I83" s="4">
        <f t="shared" si="22"/>
        <v>0</v>
      </c>
      <c r="J83" s="4">
        <f t="shared" si="22"/>
        <v>0</v>
      </c>
      <c r="K83" s="4">
        <f t="shared" si="22"/>
        <v>0</v>
      </c>
      <c r="L83" s="4">
        <f t="shared" si="22"/>
        <v>0</v>
      </c>
    </row>
    <row r="84" spans="8:12" hidden="1" x14ac:dyDescent="0.25">
      <c r="H84" s="4">
        <f t="shared" ref="H84:L93" si="23">AZ2</f>
        <v>0</v>
      </c>
      <c r="I84" s="4">
        <f t="shared" si="23"/>
        <v>0</v>
      </c>
      <c r="J84" s="4">
        <f t="shared" si="23"/>
        <v>0</v>
      </c>
      <c r="K84" s="4">
        <f t="shared" si="23"/>
        <v>0</v>
      </c>
      <c r="L84" s="4">
        <f t="shared" si="23"/>
        <v>0</v>
      </c>
    </row>
    <row r="85" spans="8:12" hidden="1" x14ac:dyDescent="0.25">
      <c r="H85" s="4">
        <f t="shared" si="23"/>
        <v>0</v>
      </c>
      <c r="I85" s="4">
        <f t="shared" si="23"/>
        <v>0</v>
      </c>
      <c r="J85" s="4">
        <f t="shared" si="23"/>
        <v>0</v>
      </c>
      <c r="K85" s="4">
        <f t="shared" si="23"/>
        <v>0</v>
      </c>
      <c r="L85" s="4">
        <f t="shared" si="23"/>
        <v>0</v>
      </c>
    </row>
    <row r="86" spans="8:12" hidden="1" x14ac:dyDescent="0.25">
      <c r="H86" s="4">
        <f t="shared" si="23"/>
        <v>0</v>
      </c>
      <c r="I86" s="4">
        <f t="shared" si="23"/>
        <v>0</v>
      </c>
      <c r="J86" s="4">
        <f t="shared" si="23"/>
        <v>0</v>
      </c>
      <c r="K86" s="4">
        <f t="shared" si="23"/>
        <v>0</v>
      </c>
      <c r="L86" s="4">
        <f t="shared" si="23"/>
        <v>0</v>
      </c>
    </row>
    <row r="87" spans="8:12" hidden="1" x14ac:dyDescent="0.25">
      <c r="H87" s="4">
        <f t="shared" si="23"/>
        <v>0</v>
      </c>
      <c r="I87" s="4">
        <f t="shared" si="23"/>
        <v>0</v>
      </c>
      <c r="J87" s="4">
        <f t="shared" si="23"/>
        <v>0</v>
      </c>
      <c r="K87" s="4">
        <f t="shared" si="23"/>
        <v>0</v>
      </c>
      <c r="L87" s="4">
        <f t="shared" si="23"/>
        <v>0</v>
      </c>
    </row>
    <row r="88" spans="8:12" hidden="1" x14ac:dyDescent="0.25">
      <c r="H88" s="4">
        <f t="shared" si="23"/>
        <v>0</v>
      </c>
      <c r="I88" s="4">
        <f t="shared" si="23"/>
        <v>0</v>
      </c>
      <c r="J88" s="4">
        <f t="shared" si="23"/>
        <v>0</v>
      </c>
      <c r="K88" s="4">
        <f t="shared" si="23"/>
        <v>0</v>
      </c>
      <c r="L88" s="4">
        <f t="shared" si="23"/>
        <v>0</v>
      </c>
    </row>
    <row r="89" spans="8:12" hidden="1" x14ac:dyDescent="0.25">
      <c r="H89" s="4">
        <f t="shared" si="23"/>
        <v>0</v>
      </c>
      <c r="I89" s="4">
        <f t="shared" si="23"/>
        <v>0</v>
      </c>
      <c r="J89" s="4">
        <f t="shared" si="23"/>
        <v>0</v>
      </c>
      <c r="K89" s="4">
        <f t="shared" si="23"/>
        <v>0</v>
      </c>
      <c r="L89" s="4">
        <f t="shared" si="23"/>
        <v>0</v>
      </c>
    </row>
    <row r="90" spans="8:12" hidden="1" x14ac:dyDescent="0.25">
      <c r="H90" s="4">
        <f t="shared" si="23"/>
        <v>0</v>
      </c>
      <c r="I90" s="4">
        <f t="shared" si="23"/>
        <v>0</v>
      </c>
      <c r="J90" s="4">
        <f t="shared" si="23"/>
        <v>0</v>
      </c>
      <c r="K90" s="4">
        <f t="shared" si="23"/>
        <v>0</v>
      </c>
      <c r="L90" s="4">
        <f t="shared" si="23"/>
        <v>0</v>
      </c>
    </row>
    <row r="91" spans="8:12" hidden="1" x14ac:dyDescent="0.25">
      <c r="H91" s="4">
        <f t="shared" si="23"/>
        <v>0</v>
      </c>
      <c r="I91" s="4">
        <f t="shared" si="23"/>
        <v>0</v>
      </c>
      <c r="J91" s="4">
        <f t="shared" si="23"/>
        <v>0</v>
      </c>
      <c r="K91" s="4">
        <f t="shared" si="23"/>
        <v>0</v>
      </c>
      <c r="L91" s="4">
        <f t="shared" si="23"/>
        <v>0</v>
      </c>
    </row>
    <row r="92" spans="8:12" hidden="1" x14ac:dyDescent="0.25">
      <c r="H92" s="4">
        <f t="shared" si="23"/>
        <v>0</v>
      </c>
      <c r="I92" s="4">
        <f t="shared" si="23"/>
        <v>0</v>
      </c>
      <c r="J92" s="4">
        <f t="shared" si="23"/>
        <v>0</v>
      </c>
      <c r="K92" s="4">
        <f t="shared" si="23"/>
        <v>0</v>
      </c>
      <c r="L92" s="4">
        <f t="shared" si="23"/>
        <v>0</v>
      </c>
    </row>
    <row r="93" spans="8:12" hidden="1" x14ac:dyDescent="0.25">
      <c r="H93" s="4">
        <f t="shared" si="23"/>
        <v>0</v>
      </c>
      <c r="I93" s="4">
        <f t="shared" si="23"/>
        <v>0</v>
      </c>
      <c r="J93" s="4">
        <f t="shared" si="23"/>
        <v>0</v>
      </c>
      <c r="K93" s="4">
        <f t="shared" si="23"/>
        <v>0</v>
      </c>
      <c r="L93" s="4">
        <f t="shared" si="23"/>
        <v>0</v>
      </c>
    </row>
    <row r="94" spans="8:12" hidden="1" x14ac:dyDescent="0.25">
      <c r="H94" s="4">
        <f t="shared" ref="H94:L103" si="24">BF2</f>
        <v>0</v>
      </c>
      <c r="I94" s="4">
        <f t="shared" si="24"/>
        <v>0</v>
      </c>
      <c r="J94" s="4">
        <f t="shared" si="24"/>
        <v>0</v>
      </c>
      <c r="K94" s="4">
        <f t="shared" si="24"/>
        <v>0</v>
      </c>
      <c r="L94" s="4">
        <f t="shared" si="24"/>
        <v>0</v>
      </c>
    </row>
    <row r="95" spans="8:12" hidden="1" x14ac:dyDescent="0.25">
      <c r="H95" s="4">
        <f t="shared" si="24"/>
        <v>0</v>
      </c>
      <c r="I95" s="4">
        <f t="shared" si="24"/>
        <v>0</v>
      </c>
      <c r="J95" s="4">
        <f t="shared" si="24"/>
        <v>0</v>
      </c>
      <c r="K95" s="4">
        <f t="shared" si="24"/>
        <v>0</v>
      </c>
      <c r="L95" s="4">
        <f t="shared" si="24"/>
        <v>0</v>
      </c>
    </row>
    <row r="96" spans="8:12" hidden="1" x14ac:dyDescent="0.25">
      <c r="H96" s="4">
        <f t="shared" si="24"/>
        <v>0</v>
      </c>
      <c r="I96" s="4">
        <f t="shared" si="24"/>
        <v>0</v>
      </c>
      <c r="J96" s="4">
        <f t="shared" si="24"/>
        <v>0</v>
      </c>
      <c r="K96" s="4">
        <f t="shared" si="24"/>
        <v>0</v>
      </c>
      <c r="L96" s="4">
        <f t="shared" si="24"/>
        <v>0</v>
      </c>
    </row>
    <row r="97" spans="8:12" hidden="1" x14ac:dyDescent="0.25">
      <c r="H97" s="4">
        <f t="shared" si="24"/>
        <v>0</v>
      </c>
      <c r="I97" s="4">
        <f t="shared" si="24"/>
        <v>0</v>
      </c>
      <c r="J97" s="4">
        <f t="shared" si="24"/>
        <v>0</v>
      </c>
      <c r="K97" s="4">
        <f t="shared" si="24"/>
        <v>0</v>
      </c>
      <c r="L97" s="4">
        <f t="shared" si="24"/>
        <v>0</v>
      </c>
    </row>
    <row r="98" spans="8:12" hidden="1" x14ac:dyDescent="0.25">
      <c r="H98" s="4">
        <f t="shared" si="24"/>
        <v>0</v>
      </c>
      <c r="I98" s="4">
        <f t="shared" si="24"/>
        <v>0</v>
      </c>
      <c r="J98" s="4">
        <f t="shared" si="24"/>
        <v>0</v>
      </c>
      <c r="K98" s="4">
        <f t="shared" si="24"/>
        <v>0</v>
      </c>
      <c r="L98" s="4">
        <f t="shared" si="24"/>
        <v>0</v>
      </c>
    </row>
    <row r="99" spans="8:12" hidden="1" x14ac:dyDescent="0.25">
      <c r="H99" s="4">
        <f t="shared" si="24"/>
        <v>0</v>
      </c>
      <c r="I99" s="4">
        <f t="shared" si="24"/>
        <v>0</v>
      </c>
      <c r="J99" s="4">
        <f t="shared" si="24"/>
        <v>0</v>
      </c>
      <c r="K99" s="4">
        <f t="shared" si="24"/>
        <v>0</v>
      </c>
      <c r="L99" s="4">
        <f t="shared" si="24"/>
        <v>0</v>
      </c>
    </row>
    <row r="100" spans="8:12" hidden="1" x14ac:dyDescent="0.25">
      <c r="H100" s="4">
        <f t="shared" si="24"/>
        <v>0</v>
      </c>
      <c r="I100" s="4">
        <f t="shared" si="24"/>
        <v>0</v>
      </c>
      <c r="J100" s="4">
        <f t="shared" si="24"/>
        <v>0</v>
      </c>
      <c r="K100" s="4">
        <f t="shared" si="24"/>
        <v>0</v>
      </c>
      <c r="L100" s="4">
        <f t="shared" si="24"/>
        <v>0</v>
      </c>
    </row>
    <row r="101" spans="8:12" hidden="1" x14ac:dyDescent="0.25">
      <c r="H101" s="4">
        <f t="shared" si="24"/>
        <v>0</v>
      </c>
      <c r="I101" s="4">
        <f t="shared" si="24"/>
        <v>0</v>
      </c>
      <c r="J101" s="4">
        <f t="shared" si="24"/>
        <v>0</v>
      </c>
      <c r="K101" s="4">
        <f t="shared" si="24"/>
        <v>0</v>
      </c>
      <c r="L101" s="4">
        <f t="shared" si="24"/>
        <v>0</v>
      </c>
    </row>
    <row r="102" spans="8:12" hidden="1" x14ac:dyDescent="0.25">
      <c r="H102" s="4">
        <f t="shared" si="24"/>
        <v>0</v>
      </c>
      <c r="I102" s="4">
        <f t="shared" si="24"/>
        <v>0</v>
      </c>
      <c r="J102" s="4">
        <f t="shared" si="24"/>
        <v>0</v>
      </c>
      <c r="K102" s="4">
        <f t="shared" si="24"/>
        <v>0</v>
      </c>
      <c r="L102" s="4">
        <f t="shared" si="24"/>
        <v>0</v>
      </c>
    </row>
    <row r="103" spans="8:12" hidden="1" x14ac:dyDescent="0.25">
      <c r="H103" s="4">
        <f t="shared" si="24"/>
        <v>0</v>
      </c>
      <c r="I103" s="4">
        <f t="shared" si="24"/>
        <v>0</v>
      </c>
      <c r="J103" s="4">
        <f t="shared" si="24"/>
        <v>0</v>
      </c>
      <c r="K103" s="4">
        <f t="shared" si="24"/>
        <v>0</v>
      </c>
      <c r="L103" s="4">
        <f t="shared" si="24"/>
        <v>0</v>
      </c>
    </row>
    <row r="104" spans="8:12" hidden="1" x14ac:dyDescent="0.25">
      <c r="H104" s="4">
        <f t="shared" ref="H104:L113" si="25">BL2</f>
        <v>0</v>
      </c>
      <c r="I104" s="4">
        <f t="shared" si="25"/>
        <v>0</v>
      </c>
      <c r="J104" s="4">
        <f t="shared" si="25"/>
        <v>0</v>
      </c>
      <c r="K104" s="4">
        <f t="shared" si="25"/>
        <v>0</v>
      </c>
      <c r="L104" s="4">
        <f t="shared" si="25"/>
        <v>0</v>
      </c>
    </row>
    <row r="105" spans="8:12" hidden="1" x14ac:dyDescent="0.25">
      <c r="H105" s="4">
        <f t="shared" si="25"/>
        <v>0</v>
      </c>
      <c r="I105" s="4">
        <f t="shared" si="25"/>
        <v>0</v>
      </c>
      <c r="J105" s="4">
        <f t="shared" si="25"/>
        <v>0</v>
      </c>
      <c r="K105" s="4">
        <f t="shared" si="25"/>
        <v>0</v>
      </c>
      <c r="L105" s="4">
        <f t="shared" si="25"/>
        <v>0</v>
      </c>
    </row>
    <row r="106" spans="8:12" hidden="1" x14ac:dyDescent="0.25">
      <c r="H106" s="4">
        <f t="shared" si="25"/>
        <v>0</v>
      </c>
      <c r="I106" s="4">
        <f t="shared" si="25"/>
        <v>0</v>
      </c>
      <c r="J106" s="4">
        <f t="shared" si="25"/>
        <v>0</v>
      </c>
      <c r="K106" s="4">
        <f t="shared" si="25"/>
        <v>0</v>
      </c>
      <c r="L106" s="4">
        <f t="shared" si="25"/>
        <v>0</v>
      </c>
    </row>
    <row r="107" spans="8:12" hidden="1" x14ac:dyDescent="0.25">
      <c r="H107" s="4">
        <f t="shared" si="25"/>
        <v>0</v>
      </c>
      <c r="I107" s="4">
        <f t="shared" si="25"/>
        <v>0</v>
      </c>
      <c r="J107" s="4">
        <f t="shared" si="25"/>
        <v>0</v>
      </c>
      <c r="K107" s="4">
        <f t="shared" si="25"/>
        <v>0</v>
      </c>
      <c r="L107" s="4">
        <f t="shared" si="25"/>
        <v>0</v>
      </c>
    </row>
    <row r="108" spans="8:12" hidden="1" x14ac:dyDescent="0.25">
      <c r="H108" s="4">
        <f t="shared" si="25"/>
        <v>0</v>
      </c>
      <c r="I108" s="4">
        <f t="shared" si="25"/>
        <v>0</v>
      </c>
      <c r="J108" s="4">
        <f t="shared" si="25"/>
        <v>0</v>
      </c>
      <c r="K108" s="4">
        <f t="shared" si="25"/>
        <v>0</v>
      </c>
      <c r="L108" s="4">
        <f t="shared" si="25"/>
        <v>0</v>
      </c>
    </row>
    <row r="109" spans="8:12" hidden="1" x14ac:dyDescent="0.25">
      <c r="H109" s="4">
        <f t="shared" si="25"/>
        <v>0</v>
      </c>
      <c r="I109" s="4">
        <f t="shared" si="25"/>
        <v>0</v>
      </c>
      <c r="J109" s="4">
        <f t="shared" si="25"/>
        <v>0</v>
      </c>
      <c r="K109" s="4">
        <f t="shared" si="25"/>
        <v>0</v>
      </c>
      <c r="L109" s="4">
        <f t="shared" si="25"/>
        <v>0</v>
      </c>
    </row>
    <row r="110" spans="8:12" hidden="1" x14ac:dyDescent="0.25">
      <c r="H110" s="4">
        <f t="shared" si="25"/>
        <v>0</v>
      </c>
      <c r="I110" s="4">
        <f t="shared" si="25"/>
        <v>0</v>
      </c>
      <c r="J110" s="4">
        <f t="shared" si="25"/>
        <v>0</v>
      </c>
      <c r="K110" s="4">
        <f t="shared" si="25"/>
        <v>0</v>
      </c>
      <c r="L110" s="4">
        <f t="shared" si="25"/>
        <v>0</v>
      </c>
    </row>
    <row r="111" spans="8:12" hidden="1" x14ac:dyDescent="0.25">
      <c r="H111" s="4">
        <f t="shared" si="25"/>
        <v>0</v>
      </c>
      <c r="I111" s="4">
        <f t="shared" si="25"/>
        <v>0</v>
      </c>
      <c r="J111" s="4">
        <f t="shared" si="25"/>
        <v>0</v>
      </c>
      <c r="K111" s="4">
        <f t="shared" si="25"/>
        <v>0</v>
      </c>
      <c r="L111" s="4">
        <f t="shared" si="25"/>
        <v>0</v>
      </c>
    </row>
    <row r="112" spans="8:12" hidden="1" x14ac:dyDescent="0.25">
      <c r="H112" s="4">
        <f t="shared" si="25"/>
        <v>0</v>
      </c>
      <c r="I112" s="4">
        <f t="shared" si="25"/>
        <v>0</v>
      </c>
      <c r="J112" s="4">
        <f t="shared" si="25"/>
        <v>0</v>
      </c>
      <c r="K112" s="4">
        <f t="shared" si="25"/>
        <v>0</v>
      </c>
      <c r="L112" s="4">
        <f t="shared" si="25"/>
        <v>0</v>
      </c>
    </row>
    <row r="113" spans="1:62" hidden="1" x14ac:dyDescent="0.25">
      <c r="H113" s="45">
        <f t="shared" si="25"/>
        <v>0</v>
      </c>
      <c r="I113" s="45">
        <f t="shared" si="25"/>
        <v>0</v>
      </c>
      <c r="J113" s="4">
        <f t="shared" si="25"/>
        <v>0</v>
      </c>
      <c r="K113" s="4">
        <f t="shared" si="25"/>
        <v>0</v>
      </c>
      <c r="L113" s="4">
        <f t="shared" si="25"/>
        <v>0</v>
      </c>
    </row>
    <row r="114" spans="1:62" x14ac:dyDescent="0.25">
      <c r="A114" s="168" t="s">
        <v>85</v>
      </c>
      <c r="B114" s="169"/>
      <c r="C114" s="170"/>
      <c r="D114" s="171">
        <v>46008</v>
      </c>
      <c r="E114" s="172"/>
      <c r="F114" s="172"/>
      <c r="G114" s="172"/>
      <c r="H114" s="46"/>
      <c r="I114" s="54"/>
    </row>
    <row r="115" spans="1:62" ht="15.75" thickBot="1" x14ac:dyDescent="0.3">
      <c r="A115" s="110"/>
      <c r="B115" s="110"/>
      <c r="C115" s="110"/>
      <c r="D115" s="110"/>
      <c r="E115" s="110"/>
      <c r="F115" s="110"/>
      <c r="G115" s="110"/>
      <c r="H115" s="54"/>
      <c r="I115" s="54"/>
    </row>
    <row r="116" spans="1:62" ht="16.5" thickBot="1" x14ac:dyDescent="0.3">
      <c r="A116" s="173" t="s">
        <v>248</v>
      </c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5"/>
      <c r="AH116" s="118" t="s">
        <v>35</v>
      </c>
      <c r="AI116" s="118"/>
      <c r="AJ116" s="118" t="str">
        <f>F2</f>
        <v>AP08</v>
      </c>
      <c r="AK116" s="118"/>
      <c r="AL116" s="118"/>
      <c r="AN116" s="118" t="s">
        <v>35</v>
      </c>
      <c r="AO116" s="118"/>
      <c r="AP116" s="118">
        <f>F3</f>
        <v>0</v>
      </c>
      <c r="AQ116" s="118"/>
      <c r="AR116" s="118"/>
      <c r="AT116" s="118" t="s">
        <v>35</v>
      </c>
      <c r="AU116" s="118"/>
      <c r="AV116" s="118">
        <f>F4</f>
        <v>0</v>
      </c>
      <c r="AW116" s="118"/>
      <c r="AX116" s="118"/>
      <c r="AZ116" s="118" t="s">
        <v>35</v>
      </c>
      <c r="BA116" s="118"/>
      <c r="BB116" s="118">
        <f>F5</f>
        <v>0</v>
      </c>
      <c r="BC116" s="118"/>
      <c r="BD116" s="118"/>
      <c r="BF116" s="118" t="s">
        <v>35</v>
      </c>
      <c r="BG116" s="118"/>
      <c r="BH116" s="118">
        <f>F6</f>
        <v>0</v>
      </c>
      <c r="BI116" s="118"/>
      <c r="BJ116" s="118"/>
    </row>
    <row r="117" spans="1:62" x14ac:dyDescent="0.25">
      <c r="A117" s="123" t="s">
        <v>31</v>
      </c>
      <c r="B117" s="113" t="s">
        <v>22</v>
      </c>
      <c r="C117" s="114"/>
      <c r="D117" s="114"/>
      <c r="E117" s="114"/>
      <c r="F117" s="115"/>
      <c r="G117" s="113" t="s">
        <v>20</v>
      </c>
      <c r="H117" s="114"/>
      <c r="I117" s="114"/>
      <c r="J117" s="114"/>
      <c r="K117" s="115"/>
      <c r="L117" s="113" t="s">
        <v>34</v>
      </c>
      <c r="M117" s="114"/>
      <c r="N117" s="114"/>
      <c r="O117" s="114"/>
      <c r="P117" s="115"/>
      <c r="Q117" s="113" t="s">
        <v>127</v>
      </c>
      <c r="R117" s="114"/>
      <c r="S117" s="114"/>
      <c r="T117" s="114"/>
      <c r="U117" s="115"/>
      <c r="V117" s="113" t="s">
        <v>129</v>
      </c>
      <c r="W117" s="114"/>
      <c r="X117" s="114"/>
      <c r="Y117" s="114"/>
      <c r="Z117" s="115"/>
      <c r="AA117" s="113" t="s">
        <v>26</v>
      </c>
      <c r="AB117" s="114"/>
      <c r="AC117" s="114"/>
      <c r="AD117" s="114"/>
      <c r="AE117" s="115"/>
      <c r="AF117" s="116" t="s">
        <v>24</v>
      </c>
      <c r="AG117" s="116" t="s">
        <v>86</v>
      </c>
      <c r="AH117" s="118" t="str">
        <f>G2</f>
        <v>PAWAN PUTRA AGENCY</v>
      </c>
      <c r="AI117" s="118"/>
      <c r="AJ117" s="118"/>
      <c r="AK117" s="118"/>
      <c r="AL117" s="118"/>
      <c r="AN117" s="118">
        <f>G3</f>
        <v>0</v>
      </c>
      <c r="AO117" s="118"/>
      <c r="AP117" s="118"/>
      <c r="AQ117" s="118"/>
      <c r="AR117" s="118"/>
      <c r="AT117" s="118">
        <f>G4</f>
        <v>0</v>
      </c>
      <c r="AU117" s="118"/>
      <c r="AV117" s="118"/>
      <c r="AW117" s="118"/>
      <c r="AX117" s="118"/>
      <c r="AZ117" s="118">
        <f>G5</f>
        <v>0</v>
      </c>
      <c r="BA117" s="118"/>
      <c r="BB117" s="118"/>
      <c r="BC117" s="118"/>
      <c r="BD117" s="118"/>
      <c r="BF117" s="118">
        <f>G6</f>
        <v>0</v>
      </c>
      <c r="BG117" s="118"/>
      <c r="BH117" s="118"/>
      <c r="BI117" s="118"/>
      <c r="BJ117" s="118"/>
    </row>
    <row r="118" spans="1:62" ht="15.75" thickBot="1" x14ac:dyDescent="0.3">
      <c r="A118" s="124"/>
      <c r="B118" s="9" t="s">
        <v>32</v>
      </c>
      <c r="C118" s="12" t="s">
        <v>17</v>
      </c>
      <c r="D118" s="12" t="s">
        <v>19</v>
      </c>
      <c r="E118" s="12" t="s">
        <v>33</v>
      </c>
      <c r="F118" s="14" t="s">
        <v>80</v>
      </c>
      <c r="G118" s="9" t="s">
        <v>32</v>
      </c>
      <c r="H118" s="12" t="s">
        <v>17</v>
      </c>
      <c r="I118" s="12" t="s">
        <v>19</v>
      </c>
      <c r="J118" s="12" t="s">
        <v>33</v>
      </c>
      <c r="K118" s="14" t="s">
        <v>80</v>
      </c>
      <c r="L118" s="9" t="s">
        <v>32</v>
      </c>
      <c r="M118" s="12" t="s">
        <v>17</v>
      </c>
      <c r="N118" s="12" t="s">
        <v>19</v>
      </c>
      <c r="O118" s="12" t="s">
        <v>33</v>
      </c>
      <c r="P118" s="14" t="s">
        <v>80</v>
      </c>
      <c r="Q118" s="9" t="s">
        <v>32</v>
      </c>
      <c r="R118" s="12" t="s">
        <v>17</v>
      </c>
      <c r="S118" s="12" t="s">
        <v>19</v>
      </c>
      <c r="T118" s="12" t="s">
        <v>33</v>
      </c>
      <c r="U118" s="14" t="s">
        <v>80</v>
      </c>
      <c r="V118" s="9" t="s">
        <v>32</v>
      </c>
      <c r="W118" s="12" t="s">
        <v>17</v>
      </c>
      <c r="X118" s="12" t="s">
        <v>19</v>
      </c>
      <c r="Y118" s="12" t="s">
        <v>33</v>
      </c>
      <c r="Z118" s="14" t="s">
        <v>80</v>
      </c>
      <c r="AA118" s="9" t="s">
        <v>32</v>
      </c>
      <c r="AB118" s="12" t="s">
        <v>17</v>
      </c>
      <c r="AC118" s="12" t="s">
        <v>19</v>
      </c>
      <c r="AD118" s="12" t="s">
        <v>33</v>
      </c>
      <c r="AE118" s="14" t="s">
        <v>80</v>
      </c>
      <c r="AF118" s="117"/>
      <c r="AG118" s="117"/>
      <c r="AH118" s="118" t="str">
        <f>H2</f>
        <v>TIRUPATHI</v>
      </c>
      <c r="AI118" s="118"/>
      <c r="AJ118" s="118"/>
      <c r="AK118" s="118"/>
      <c r="AL118" s="118"/>
      <c r="AN118" s="118">
        <f>H3</f>
        <v>0</v>
      </c>
      <c r="AO118" s="118"/>
      <c r="AP118" s="118"/>
      <c r="AQ118" s="118"/>
      <c r="AR118" s="118"/>
      <c r="AT118" s="118">
        <f>H4</f>
        <v>0</v>
      </c>
      <c r="AU118" s="118"/>
      <c r="AV118" s="118"/>
      <c r="AW118" s="118"/>
      <c r="AX118" s="118"/>
      <c r="AZ118" s="118">
        <f>H5</f>
        <v>0</v>
      </c>
      <c r="BA118" s="118"/>
      <c r="BB118" s="118"/>
      <c r="BC118" s="118"/>
      <c r="BD118" s="118"/>
      <c r="BF118" s="118">
        <f>H6</f>
        <v>0</v>
      </c>
      <c r="BG118" s="118"/>
      <c r="BH118" s="118"/>
      <c r="BI118" s="118"/>
      <c r="BJ118" s="118"/>
    </row>
    <row r="119" spans="1:62" ht="15.75" thickBot="1" x14ac:dyDescent="0.3">
      <c r="A119" s="16">
        <v>300</v>
      </c>
      <c r="B119" s="10">
        <f t="shared" ref="B119:F127" si="26">SUMIFS($J$14:$J$113,$I$14:$I$113,$A119,$K$14:$K$113,B$118,$L$14:$L$113,$B$117,$H$14:$H$113,"AG")</f>
        <v>0</v>
      </c>
      <c r="C119" s="11">
        <f t="shared" si="26"/>
        <v>0</v>
      </c>
      <c r="D119" s="11">
        <f t="shared" si="26"/>
        <v>0</v>
      </c>
      <c r="E119" s="11">
        <f t="shared" si="26"/>
        <v>0</v>
      </c>
      <c r="F119" s="17">
        <f t="shared" si="26"/>
        <v>0</v>
      </c>
      <c r="G119" s="10">
        <f t="shared" ref="G119:K127" si="27">SUMIFS($J$14:$J$113,$I$14:$I$113,$A119,$K$14:$K$113,G$118,$L$14:$L$113,$G$117,$H$14:$H$113,"AG")</f>
        <v>0</v>
      </c>
      <c r="H119" s="11">
        <f t="shared" si="27"/>
        <v>0</v>
      </c>
      <c r="I119" s="11">
        <f t="shared" si="27"/>
        <v>0</v>
      </c>
      <c r="J119" s="11">
        <f t="shared" si="27"/>
        <v>0</v>
      </c>
      <c r="K119" s="17">
        <f t="shared" si="27"/>
        <v>0</v>
      </c>
      <c r="L119" s="10">
        <f t="shared" ref="L119:P127" si="28">SUMIFS($J$14:$J$113,$I$14:$I$113,$A119,$K$14:$K$113,L$118,$L$14:$L$113,$L$117,$H$14:$H$113,"AG")</f>
        <v>0</v>
      </c>
      <c r="M119" s="11">
        <f t="shared" si="28"/>
        <v>0</v>
      </c>
      <c r="N119" s="11">
        <f t="shared" si="28"/>
        <v>0</v>
      </c>
      <c r="O119" s="11">
        <f t="shared" si="28"/>
        <v>0</v>
      </c>
      <c r="P119" s="17">
        <f t="shared" si="28"/>
        <v>0</v>
      </c>
      <c r="Q119" s="10">
        <f t="shared" ref="Q119:U127" si="29">SUMIFS($J$14:$J$113,$I$14:$I$113,$A119,$K$14:$K$113,Q$118,$L$14:$L$113,$Q$117,$H$14:$H$113,"AG")</f>
        <v>0</v>
      </c>
      <c r="R119" s="11">
        <f t="shared" si="29"/>
        <v>0</v>
      </c>
      <c r="S119" s="11">
        <f t="shared" si="29"/>
        <v>0</v>
      </c>
      <c r="T119" s="11">
        <f t="shared" si="29"/>
        <v>0</v>
      </c>
      <c r="U119" s="17">
        <f t="shared" si="29"/>
        <v>0</v>
      </c>
      <c r="V119" s="10">
        <f t="shared" ref="V119:AE127" si="30">SUMIFS($J$14:$J$113,$I$14:$I$113,$A119,$K$14:$K$113,V$118,$L$14:$L$113,$L$117,$H$14:$H$113,"AG")</f>
        <v>0</v>
      </c>
      <c r="W119" s="11">
        <f t="shared" si="30"/>
        <v>0</v>
      </c>
      <c r="X119" s="11">
        <f t="shared" si="30"/>
        <v>0</v>
      </c>
      <c r="Y119" s="11">
        <f t="shared" si="30"/>
        <v>0</v>
      </c>
      <c r="Z119" s="17">
        <f t="shared" si="30"/>
        <v>0</v>
      </c>
      <c r="AA119" s="10">
        <f t="shared" si="30"/>
        <v>0</v>
      </c>
      <c r="AB119" s="11">
        <f t="shared" si="30"/>
        <v>0</v>
      </c>
      <c r="AC119" s="11">
        <f t="shared" si="30"/>
        <v>0</v>
      </c>
      <c r="AD119" s="11">
        <f t="shared" si="30"/>
        <v>0</v>
      </c>
      <c r="AE119" s="17">
        <f t="shared" si="30"/>
        <v>0</v>
      </c>
      <c r="AF119" s="16">
        <f>SUM(B119:AE119)*A119</f>
        <v>0</v>
      </c>
      <c r="AG119" s="16">
        <f>SUM(B119:AE119)</f>
        <v>0</v>
      </c>
      <c r="AH119" s="30" t="s">
        <v>136</v>
      </c>
      <c r="AI119" s="30" t="s">
        <v>27</v>
      </c>
      <c r="AJ119" s="30" t="s">
        <v>28</v>
      </c>
      <c r="AK119" s="30" t="s">
        <v>29</v>
      </c>
      <c r="AL119" s="30" t="s">
        <v>30</v>
      </c>
      <c r="AN119" s="30" t="s">
        <v>136</v>
      </c>
      <c r="AO119" s="30" t="s">
        <v>27</v>
      </c>
      <c r="AP119" s="30" t="s">
        <v>28</v>
      </c>
      <c r="AQ119" s="30" t="s">
        <v>29</v>
      </c>
      <c r="AR119" s="30" t="s">
        <v>30</v>
      </c>
      <c r="AT119" s="30" t="s">
        <v>136</v>
      </c>
      <c r="AU119" s="30" t="s">
        <v>27</v>
      </c>
      <c r="AV119" s="30" t="s">
        <v>28</v>
      </c>
      <c r="AW119" s="30" t="s">
        <v>29</v>
      </c>
      <c r="AX119" s="30" t="s">
        <v>30</v>
      </c>
      <c r="AZ119" s="30" t="s">
        <v>136</v>
      </c>
      <c r="BA119" s="30" t="s">
        <v>27</v>
      </c>
      <c r="BB119" s="30" t="s">
        <v>28</v>
      </c>
      <c r="BC119" s="30" t="s">
        <v>29</v>
      </c>
      <c r="BD119" s="30" t="s">
        <v>30</v>
      </c>
      <c r="BF119" s="30" t="s">
        <v>136</v>
      </c>
      <c r="BG119" s="30" t="s">
        <v>27</v>
      </c>
      <c r="BH119" s="30" t="s">
        <v>28</v>
      </c>
      <c r="BI119" s="30" t="s">
        <v>29</v>
      </c>
      <c r="BJ119" s="30" t="s">
        <v>30</v>
      </c>
    </row>
    <row r="120" spans="1:62" x14ac:dyDescent="0.25">
      <c r="A120" s="16">
        <v>500</v>
      </c>
      <c r="B120" s="10">
        <f t="shared" si="26"/>
        <v>0</v>
      </c>
      <c r="C120" s="11">
        <f t="shared" si="26"/>
        <v>20</v>
      </c>
      <c r="D120" s="11">
        <f t="shared" si="26"/>
        <v>0</v>
      </c>
      <c r="E120" s="11">
        <f t="shared" si="26"/>
        <v>0</v>
      </c>
      <c r="F120" s="17">
        <f t="shared" si="26"/>
        <v>0</v>
      </c>
      <c r="G120" s="10">
        <f t="shared" si="27"/>
        <v>0</v>
      </c>
      <c r="H120" s="11">
        <f t="shared" si="27"/>
        <v>0</v>
      </c>
      <c r="I120" s="11">
        <f t="shared" si="27"/>
        <v>0</v>
      </c>
      <c r="J120" s="11">
        <f t="shared" si="27"/>
        <v>0</v>
      </c>
      <c r="K120" s="17">
        <f t="shared" si="27"/>
        <v>0</v>
      </c>
      <c r="L120" s="10">
        <f t="shared" si="28"/>
        <v>0</v>
      </c>
      <c r="M120" s="11">
        <f t="shared" si="28"/>
        <v>0</v>
      </c>
      <c r="N120" s="11">
        <f t="shared" si="28"/>
        <v>0</v>
      </c>
      <c r="O120" s="11">
        <f t="shared" si="28"/>
        <v>0</v>
      </c>
      <c r="P120" s="17">
        <f t="shared" si="28"/>
        <v>0</v>
      </c>
      <c r="Q120" s="10">
        <f t="shared" si="29"/>
        <v>0</v>
      </c>
      <c r="R120" s="11">
        <f t="shared" si="29"/>
        <v>0</v>
      </c>
      <c r="S120" s="11">
        <f t="shared" si="29"/>
        <v>0</v>
      </c>
      <c r="T120" s="11">
        <f t="shared" si="29"/>
        <v>0</v>
      </c>
      <c r="U120" s="17">
        <f t="shared" si="29"/>
        <v>0</v>
      </c>
      <c r="V120" s="10">
        <f t="shared" si="30"/>
        <v>0</v>
      </c>
      <c r="W120" s="11">
        <f t="shared" si="30"/>
        <v>0</v>
      </c>
      <c r="X120" s="11">
        <f t="shared" si="30"/>
        <v>0</v>
      </c>
      <c r="Y120" s="11">
        <f t="shared" si="30"/>
        <v>0</v>
      </c>
      <c r="Z120" s="17">
        <f t="shared" si="30"/>
        <v>0</v>
      </c>
      <c r="AA120" s="10">
        <f t="shared" si="30"/>
        <v>0</v>
      </c>
      <c r="AB120" s="11">
        <f t="shared" si="30"/>
        <v>0</v>
      </c>
      <c r="AC120" s="11">
        <f t="shared" si="30"/>
        <v>0</v>
      </c>
      <c r="AD120" s="11">
        <f t="shared" si="30"/>
        <v>0</v>
      </c>
      <c r="AE120" s="17">
        <f t="shared" si="30"/>
        <v>0</v>
      </c>
      <c r="AF120" s="16">
        <f t="shared" ref="AF120:AF127" si="31">SUM(B120:AE120)*A120</f>
        <v>10000</v>
      </c>
      <c r="AG120" s="16">
        <f t="shared" ref="AG120:AG128" si="32">SUM(B120:AE120)</f>
        <v>20</v>
      </c>
      <c r="AH120" s="16" t="str">
        <f>J2</f>
        <v>AG</v>
      </c>
      <c r="AI120" s="10">
        <f>K2</f>
        <v>1500</v>
      </c>
      <c r="AJ120" s="11">
        <f>L2</f>
        <v>8</v>
      </c>
      <c r="AK120" s="11" t="str">
        <f>M2</f>
        <v>Y</v>
      </c>
      <c r="AL120" s="17" t="str">
        <f>N2</f>
        <v>3L</v>
      </c>
      <c r="AN120" s="16">
        <f>J3</f>
        <v>0</v>
      </c>
      <c r="AO120" s="10">
        <f>K3</f>
        <v>0</v>
      </c>
      <c r="AP120" s="11">
        <f>L3</f>
        <v>0</v>
      </c>
      <c r="AQ120" s="11">
        <f>M3</f>
        <v>0</v>
      </c>
      <c r="AR120" s="17">
        <f>N3</f>
        <v>0</v>
      </c>
      <c r="AT120" s="16">
        <f>J4</f>
        <v>0</v>
      </c>
      <c r="AU120" s="10">
        <f>K4</f>
        <v>0</v>
      </c>
      <c r="AV120" s="11">
        <f>L4</f>
        <v>0</v>
      </c>
      <c r="AW120" s="11">
        <f>M4</f>
        <v>0</v>
      </c>
      <c r="AX120" s="17">
        <f>N4</f>
        <v>0</v>
      </c>
      <c r="AZ120" s="16">
        <f>J5</f>
        <v>0</v>
      </c>
      <c r="BA120" s="10">
        <f>K5</f>
        <v>0</v>
      </c>
      <c r="BB120" s="11">
        <f>L5</f>
        <v>0</v>
      </c>
      <c r="BC120" s="11">
        <f>M5</f>
        <v>0</v>
      </c>
      <c r="BD120" s="17">
        <f>N5</f>
        <v>0</v>
      </c>
      <c r="BF120" s="16">
        <f>J6</f>
        <v>0</v>
      </c>
      <c r="BG120" s="10">
        <f>K6</f>
        <v>0</v>
      </c>
      <c r="BH120" s="11">
        <f>L6</f>
        <v>0</v>
      </c>
      <c r="BI120" s="11">
        <f>M6</f>
        <v>0</v>
      </c>
      <c r="BJ120" s="17">
        <f>N6</f>
        <v>0</v>
      </c>
    </row>
    <row r="121" spans="1:62" x14ac:dyDescent="0.25">
      <c r="A121" s="15">
        <v>750</v>
      </c>
      <c r="B121" s="8">
        <f t="shared" si="26"/>
        <v>0</v>
      </c>
      <c r="C121" s="6">
        <f t="shared" si="26"/>
        <v>10</v>
      </c>
      <c r="D121" s="6">
        <f t="shared" si="26"/>
        <v>0</v>
      </c>
      <c r="E121" s="6">
        <f t="shared" si="26"/>
        <v>0</v>
      </c>
      <c r="F121" s="13">
        <f t="shared" si="26"/>
        <v>0</v>
      </c>
      <c r="G121" s="8">
        <f t="shared" si="27"/>
        <v>0</v>
      </c>
      <c r="H121" s="6">
        <f t="shared" si="27"/>
        <v>0</v>
      </c>
      <c r="I121" s="6">
        <f t="shared" si="27"/>
        <v>0</v>
      </c>
      <c r="J121" s="6">
        <f t="shared" si="27"/>
        <v>0</v>
      </c>
      <c r="K121" s="13">
        <f t="shared" si="27"/>
        <v>0</v>
      </c>
      <c r="L121" s="8">
        <f t="shared" si="28"/>
        <v>0</v>
      </c>
      <c r="M121" s="6">
        <f t="shared" si="28"/>
        <v>0</v>
      </c>
      <c r="N121" s="6">
        <f t="shared" si="28"/>
        <v>0</v>
      </c>
      <c r="O121" s="6">
        <f t="shared" si="28"/>
        <v>0</v>
      </c>
      <c r="P121" s="13">
        <f t="shared" si="28"/>
        <v>0</v>
      </c>
      <c r="Q121" s="8">
        <f t="shared" si="29"/>
        <v>0</v>
      </c>
      <c r="R121" s="6">
        <f t="shared" si="29"/>
        <v>0</v>
      </c>
      <c r="S121" s="6">
        <f t="shared" si="29"/>
        <v>0</v>
      </c>
      <c r="T121" s="6">
        <f t="shared" si="29"/>
        <v>0</v>
      </c>
      <c r="U121" s="13">
        <f t="shared" si="29"/>
        <v>0</v>
      </c>
      <c r="V121" s="8">
        <f t="shared" si="30"/>
        <v>0</v>
      </c>
      <c r="W121" s="6">
        <f t="shared" si="30"/>
        <v>0</v>
      </c>
      <c r="X121" s="6">
        <f t="shared" si="30"/>
        <v>0</v>
      </c>
      <c r="Y121" s="6">
        <f t="shared" si="30"/>
        <v>0</v>
      </c>
      <c r="Z121" s="13">
        <f t="shared" si="30"/>
        <v>0</v>
      </c>
      <c r="AA121" s="8">
        <f t="shared" si="30"/>
        <v>0</v>
      </c>
      <c r="AB121" s="6">
        <f t="shared" si="30"/>
        <v>0</v>
      </c>
      <c r="AC121" s="6">
        <f t="shared" si="30"/>
        <v>0</v>
      </c>
      <c r="AD121" s="6">
        <f t="shared" si="30"/>
        <v>0</v>
      </c>
      <c r="AE121" s="13">
        <f t="shared" si="30"/>
        <v>0</v>
      </c>
      <c r="AF121" s="16">
        <f t="shared" si="31"/>
        <v>7500</v>
      </c>
      <c r="AG121" s="16">
        <f t="shared" si="32"/>
        <v>10</v>
      </c>
      <c r="AH121" s="15" t="str">
        <f>P2</f>
        <v>AG</v>
      </c>
      <c r="AI121" s="8">
        <f>Q2</f>
        <v>1000</v>
      </c>
      <c r="AJ121" s="6">
        <f>R2</f>
        <v>10</v>
      </c>
      <c r="AK121" s="6" t="str">
        <f>S2</f>
        <v>Y</v>
      </c>
      <c r="AL121" s="13" t="str">
        <f>T2</f>
        <v>3L</v>
      </c>
      <c r="AN121" s="15">
        <f>P3</f>
        <v>0</v>
      </c>
      <c r="AO121" s="8">
        <f>Q3</f>
        <v>0</v>
      </c>
      <c r="AP121" s="6">
        <f>R3</f>
        <v>0</v>
      </c>
      <c r="AQ121" s="6">
        <f>S3</f>
        <v>0</v>
      </c>
      <c r="AR121" s="13">
        <f>T3</f>
        <v>0</v>
      </c>
      <c r="AT121" s="15">
        <f>P4</f>
        <v>0</v>
      </c>
      <c r="AU121" s="8">
        <f>Q4</f>
        <v>0</v>
      </c>
      <c r="AV121" s="6">
        <f>R4</f>
        <v>0</v>
      </c>
      <c r="AW121" s="6">
        <f>S4</f>
        <v>0</v>
      </c>
      <c r="AX121" s="13">
        <f>T4</f>
        <v>0</v>
      </c>
      <c r="AZ121" s="15">
        <f>P5</f>
        <v>0</v>
      </c>
      <c r="BA121" s="8">
        <f>Q5</f>
        <v>0</v>
      </c>
      <c r="BB121" s="6">
        <f>R5</f>
        <v>0</v>
      </c>
      <c r="BC121" s="6">
        <f>S5</f>
        <v>0</v>
      </c>
      <c r="BD121" s="13">
        <f>T5</f>
        <v>0</v>
      </c>
      <c r="BF121" s="15">
        <f>P6</f>
        <v>0</v>
      </c>
      <c r="BG121" s="8">
        <f>Q6</f>
        <v>0</v>
      </c>
      <c r="BH121" s="6">
        <f>R6</f>
        <v>0</v>
      </c>
      <c r="BI121" s="6">
        <f>S6</f>
        <v>0</v>
      </c>
      <c r="BJ121" s="13">
        <f>T6</f>
        <v>0</v>
      </c>
    </row>
    <row r="122" spans="1:62" x14ac:dyDescent="0.25">
      <c r="A122" s="15">
        <v>1000</v>
      </c>
      <c r="B122" s="8">
        <f t="shared" si="26"/>
        <v>0</v>
      </c>
      <c r="C122" s="6">
        <f t="shared" si="26"/>
        <v>10</v>
      </c>
      <c r="D122" s="6">
        <f t="shared" si="26"/>
        <v>0</v>
      </c>
      <c r="E122" s="6">
        <f t="shared" si="26"/>
        <v>0</v>
      </c>
      <c r="F122" s="13">
        <f t="shared" si="26"/>
        <v>0</v>
      </c>
      <c r="G122" s="8">
        <f t="shared" si="27"/>
        <v>0</v>
      </c>
      <c r="H122" s="6">
        <f t="shared" si="27"/>
        <v>0</v>
      </c>
      <c r="I122" s="6">
        <f t="shared" si="27"/>
        <v>0</v>
      </c>
      <c r="J122" s="6">
        <f t="shared" si="27"/>
        <v>0</v>
      </c>
      <c r="K122" s="13">
        <f t="shared" si="27"/>
        <v>0</v>
      </c>
      <c r="L122" s="8">
        <f t="shared" si="28"/>
        <v>0</v>
      </c>
      <c r="M122" s="6">
        <f t="shared" si="28"/>
        <v>0</v>
      </c>
      <c r="N122" s="6">
        <f t="shared" si="28"/>
        <v>0</v>
      </c>
      <c r="O122" s="6">
        <f t="shared" si="28"/>
        <v>0</v>
      </c>
      <c r="P122" s="13">
        <f t="shared" si="28"/>
        <v>0</v>
      </c>
      <c r="Q122" s="8">
        <f t="shared" si="29"/>
        <v>0</v>
      </c>
      <c r="R122" s="6">
        <f t="shared" si="29"/>
        <v>0</v>
      </c>
      <c r="S122" s="6">
        <f t="shared" si="29"/>
        <v>0</v>
      </c>
      <c r="T122" s="6">
        <f t="shared" si="29"/>
        <v>0</v>
      </c>
      <c r="U122" s="13">
        <f t="shared" si="29"/>
        <v>0</v>
      </c>
      <c r="V122" s="8">
        <f t="shared" si="30"/>
        <v>0</v>
      </c>
      <c r="W122" s="6">
        <f t="shared" si="30"/>
        <v>0</v>
      </c>
      <c r="X122" s="6">
        <f t="shared" si="30"/>
        <v>0</v>
      </c>
      <c r="Y122" s="6">
        <f t="shared" si="30"/>
        <v>0</v>
      </c>
      <c r="Z122" s="13">
        <f t="shared" si="30"/>
        <v>0</v>
      </c>
      <c r="AA122" s="8">
        <f t="shared" si="30"/>
        <v>0</v>
      </c>
      <c r="AB122" s="6">
        <f t="shared" si="30"/>
        <v>0</v>
      </c>
      <c r="AC122" s="6">
        <f t="shared" si="30"/>
        <v>0</v>
      </c>
      <c r="AD122" s="6">
        <f t="shared" si="30"/>
        <v>0</v>
      </c>
      <c r="AE122" s="13">
        <f t="shared" si="30"/>
        <v>0</v>
      </c>
      <c r="AF122" s="16">
        <f t="shared" si="31"/>
        <v>10000</v>
      </c>
      <c r="AG122" s="16">
        <f t="shared" si="32"/>
        <v>10</v>
      </c>
      <c r="AH122" s="15" t="str">
        <f>V2</f>
        <v>AG</v>
      </c>
      <c r="AI122" s="8">
        <f>W2</f>
        <v>750</v>
      </c>
      <c r="AJ122" s="6">
        <f>X2</f>
        <v>10</v>
      </c>
      <c r="AK122" s="6" t="str">
        <f>Y2</f>
        <v>Y</v>
      </c>
      <c r="AL122" s="13" t="str">
        <f>Z2</f>
        <v>3L</v>
      </c>
      <c r="AN122" s="15">
        <f>V3</f>
        <v>0</v>
      </c>
      <c r="AO122" s="8">
        <f>W3</f>
        <v>0</v>
      </c>
      <c r="AP122" s="6">
        <f>X3</f>
        <v>0</v>
      </c>
      <c r="AQ122" s="6">
        <f>Y3</f>
        <v>0</v>
      </c>
      <c r="AR122" s="13">
        <f>Z3</f>
        <v>0</v>
      </c>
      <c r="AT122" s="15">
        <f>V4</f>
        <v>0</v>
      </c>
      <c r="AU122" s="8">
        <f>W4</f>
        <v>0</v>
      </c>
      <c r="AV122" s="6">
        <f>X4</f>
        <v>0</v>
      </c>
      <c r="AW122" s="6">
        <f>Y4</f>
        <v>0</v>
      </c>
      <c r="AX122" s="13">
        <f>Z4</f>
        <v>0</v>
      </c>
      <c r="AZ122" s="15">
        <f>V5</f>
        <v>0</v>
      </c>
      <c r="BA122" s="8">
        <f>W5</f>
        <v>0</v>
      </c>
      <c r="BB122" s="6">
        <f>X5</f>
        <v>0</v>
      </c>
      <c r="BC122" s="6">
        <f>Y5</f>
        <v>0</v>
      </c>
      <c r="BD122" s="13">
        <f>Z5</f>
        <v>0</v>
      </c>
      <c r="BF122" s="15">
        <f>V6</f>
        <v>0</v>
      </c>
      <c r="BG122" s="8">
        <f>W6</f>
        <v>0</v>
      </c>
      <c r="BH122" s="6">
        <f>X6</f>
        <v>0</v>
      </c>
      <c r="BI122" s="6">
        <f>Y6</f>
        <v>0</v>
      </c>
      <c r="BJ122" s="13">
        <f>Z6</f>
        <v>0</v>
      </c>
    </row>
    <row r="123" spans="1:62" x14ac:dyDescent="0.25">
      <c r="A123" s="15">
        <v>1500</v>
      </c>
      <c r="B123" s="8">
        <f t="shared" si="26"/>
        <v>0</v>
      </c>
      <c r="C123" s="6">
        <f t="shared" si="26"/>
        <v>8</v>
      </c>
      <c r="D123" s="6">
        <f t="shared" si="26"/>
        <v>0</v>
      </c>
      <c r="E123" s="6">
        <f t="shared" si="26"/>
        <v>0</v>
      </c>
      <c r="F123" s="13">
        <f t="shared" si="26"/>
        <v>0</v>
      </c>
      <c r="G123" s="8">
        <f t="shared" si="27"/>
        <v>0</v>
      </c>
      <c r="H123" s="6">
        <f t="shared" si="27"/>
        <v>0</v>
      </c>
      <c r="I123" s="6">
        <f t="shared" si="27"/>
        <v>0</v>
      </c>
      <c r="J123" s="6">
        <f t="shared" si="27"/>
        <v>0</v>
      </c>
      <c r="K123" s="13">
        <f t="shared" si="27"/>
        <v>0</v>
      </c>
      <c r="L123" s="8">
        <f t="shared" si="28"/>
        <v>0</v>
      </c>
      <c r="M123" s="6">
        <f t="shared" si="28"/>
        <v>0</v>
      </c>
      <c r="N123" s="6">
        <f t="shared" si="28"/>
        <v>0</v>
      </c>
      <c r="O123" s="6">
        <f t="shared" si="28"/>
        <v>0</v>
      </c>
      <c r="P123" s="13">
        <f t="shared" si="28"/>
        <v>0</v>
      </c>
      <c r="Q123" s="8">
        <f t="shared" si="29"/>
        <v>0</v>
      </c>
      <c r="R123" s="6">
        <f t="shared" si="29"/>
        <v>0</v>
      </c>
      <c r="S123" s="6">
        <f t="shared" si="29"/>
        <v>0</v>
      </c>
      <c r="T123" s="6">
        <f t="shared" si="29"/>
        <v>0</v>
      </c>
      <c r="U123" s="13">
        <f t="shared" si="29"/>
        <v>0</v>
      </c>
      <c r="V123" s="8">
        <f t="shared" si="30"/>
        <v>0</v>
      </c>
      <c r="W123" s="6">
        <f t="shared" si="30"/>
        <v>0</v>
      </c>
      <c r="X123" s="6">
        <f t="shared" si="30"/>
        <v>0</v>
      </c>
      <c r="Y123" s="6">
        <f t="shared" si="30"/>
        <v>0</v>
      </c>
      <c r="Z123" s="13">
        <f t="shared" si="30"/>
        <v>0</v>
      </c>
      <c r="AA123" s="8">
        <f t="shared" si="30"/>
        <v>0</v>
      </c>
      <c r="AB123" s="6">
        <f t="shared" si="30"/>
        <v>0</v>
      </c>
      <c r="AC123" s="6">
        <f t="shared" si="30"/>
        <v>0</v>
      </c>
      <c r="AD123" s="6">
        <f t="shared" si="30"/>
        <v>0</v>
      </c>
      <c r="AE123" s="13">
        <f t="shared" si="30"/>
        <v>0</v>
      </c>
      <c r="AF123" s="16">
        <f t="shared" si="31"/>
        <v>12000</v>
      </c>
      <c r="AG123" s="16">
        <f t="shared" si="32"/>
        <v>8</v>
      </c>
      <c r="AH123" s="15" t="str">
        <f>AB2</f>
        <v>AG</v>
      </c>
      <c r="AI123" s="8">
        <f>AC2</f>
        <v>500</v>
      </c>
      <c r="AJ123" s="6">
        <f>AD2</f>
        <v>20</v>
      </c>
      <c r="AK123" s="6" t="str">
        <f>AE2</f>
        <v>Y</v>
      </c>
      <c r="AL123" s="13" t="str">
        <f>AF2</f>
        <v>3L</v>
      </c>
      <c r="AN123" s="15">
        <f>AB3</f>
        <v>0</v>
      </c>
      <c r="AO123" s="8">
        <f>AC3</f>
        <v>0</v>
      </c>
      <c r="AP123" s="6">
        <f>AD3</f>
        <v>0</v>
      </c>
      <c r="AQ123" s="6">
        <f>AE3</f>
        <v>0</v>
      </c>
      <c r="AR123" s="13">
        <f>AF3</f>
        <v>0</v>
      </c>
      <c r="AT123" s="15">
        <f>AB4</f>
        <v>0</v>
      </c>
      <c r="AU123" s="8">
        <f>AC4</f>
        <v>0</v>
      </c>
      <c r="AV123" s="6">
        <f>AD4</f>
        <v>0</v>
      </c>
      <c r="AW123" s="6">
        <f>AE4</f>
        <v>0</v>
      </c>
      <c r="AX123" s="13">
        <f>AF4</f>
        <v>0</v>
      </c>
      <c r="AZ123" s="15">
        <f>AB5</f>
        <v>0</v>
      </c>
      <c r="BA123" s="8">
        <f>AC5</f>
        <v>0</v>
      </c>
      <c r="BB123" s="6">
        <f>AD5</f>
        <v>0</v>
      </c>
      <c r="BC123" s="6">
        <f>AE5</f>
        <v>0</v>
      </c>
      <c r="BD123" s="13">
        <f>AF5</f>
        <v>0</v>
      </c>
      <c r="BF123" s="15">
        <f>AB6</f>
        <v>0</v>
      </c>
      <c r="BG123" s="8">
        <f>AC6</f>
        <v>0</v>
      </c>
      <c r="BH123" s="6">
        <f>AD6</f>
        <v>0</v>
      </c>
      <c r="BI123" s="6">
        <f>AE6</f>
        <v>0</v>
      </c>
      <c r="BJ123" s="13">
        <f>AF6</f>
        <v>0</v>
      </c>
    </row>
    <row r="124" spans="1:62" x14ac:dyDescent="0.25">
      <c r="A124" s="15">
        <v>2000</v>
      </c>
      <c r="B124" s="8">
        <f t="shared" si="26"/>
        <v>0</v>
      </c>
      <c r="C124" s="6">
        <f t="shared" si="26"/>
        <v>0</v>
      </c>
      <c r="D124" s="6">
        <f t="shared" si="26"/>
        <v>0</v>
      </c>
      <c r="E124" s="6">
        <f t="shared" si="26"/>
        <v>0</v>
      </c>
      <c r="F124" s="13">
        <f t="shared" si="26"/>
        <v>0</v>
      </c>
      <c r="G124" s="8">
        <f t="shared" si="27"/>
        <v>0</v>
      </c>
      <c r="H124" s="6">
        <f t="shared" si="27"/>
        <v>0</v>
      </c>
      <c r="I124" s="6">
        <f t="shared" si="27"/>
        <v>0</v>
      </c>
      <c r="J124" s="6">
        <f t="shared" si="27"/>
        <v>0</v>
      </c>
      <c r="K124" s="13">
        <f t="shared" si="27"/>
        <v>0</v>
      </c>
      <c r="L124" s="8">
        <f t="shared" si="28"/>
        <v>0</v>
      </c>
      <c r="M124" s="6">
        <f t="shared" si="28"/>
        <v>0</v>
      </c>
      <c r="N124" s="6">
        <f t="shared" si="28"/>
        <v>0</v>
      </c>
      <c r="O124" s="6">
        <f t="shared" si="28"/>
        <v>0</v>
      </c>
      <c r="P124" s="13">
        <f t="shared" si="28"/>
        <v>0</v>
      </c>
      <c r="Q124" s="8">
        <f t="shared" si="29"/>
        <v>0</v>
      </c>
      <c r="R124" s="6">
        <f t="shared" si="29"/>
        <v>0</v>
      </c>
      <c r="S124" s="6">
        <f t="shared" si="29"/>
        <v>0</v>
      </c>
      <c r="T124" s="6">
        <f t="shared" si="29"/>
        <v>0</v>
      </c>
      <c r="U124" s="13">
        <f t="shared" si="29"/>
        <v>0</v>
      </c>
      <c r="V124" s="8">
        <f t="shared" si="30"/>
        <v>0</v>
      </c>
      <c r="W124" s="6">
        <f t="shared" si="30"/>
        <v>0</v>
      </c>
      <c r="X124" s="6">
        <f t="shared" si="30"/>
        <v>0</v>
      </c>
      <c r="Y124" s="6">
        <f t="shared" si="30"/>
        <v>0</v>
      </c>
      <c r="Z124" s="13">
        <f t="shared" si="30"/>
        <v>0</v>
      </c>
      <c r="AA124" s="8">
        <f t="shared" si="30"/>
        <v>0</v>
      </c>
      <c r="AB124" s="6">
        <f t="shared" si="30"/>
        <v>0</v>
      </c>
      <c r="AC124" s="6">
        <f t="shared" si="30"/>
        <v>0</v>
      </c>
      <c r="AD124" s="6">
        <f t="shared" si="30"/>
        <v>0</v>
      </c>
      <c r="AE124" s="13">
        <f t="shared" si="30"/>
        <v>0</v>
      </c>
      <c r="AF124" s="16">
        <f t="shared" si="31"/>
        <v>0</v>
      </c>
      <c r="AG124" s="16">
        <f t="shared" si="32"/>
        <v>0</v>
      </c>
      <c r="AH124" s="15">
        <f>AH2</f>
        <v>0</v>
      </c>
      <c r="AI124" s="8">
        <f>AI2</f>
        <v>0</v>
      </c>
      <c r="AJ124" s="6">
        <f>AJ2</f>
        <v>0</v>
      </c>
      <c r="AK124" s="6">
        <f>AK2</f>
        <v>0</v>
      </c>
      <c r="AL124" s="13">
        <f>AL2</f>
        <v>0</v>
      </c>
      <c r="AN124" s="15">
        <f>AH3</f>
        <v>0</v>
      </c>
      <c r="AO124" s="8">
        <f>AI3</f>
        <v>0</v>
      </c>
      <c r="AP124" s="6">
        <f>AJ3</f>
        <v>0</v>
      </c>
      <c r="AQ124" s="6">
        <f>AK3</f>
        <v>0</v>
      </c>
      <c r="AR124" s="13">
        <f>AL3</f>
        <v>0</v>
      </c>
      <c r="AT124" s="15">
        <f>AH4</f>
        <v>0</v>
      </c>
      <c r="AU124" s="8">
        <f>AI4</f>
        <v>0</v>
      </c>
      <c r="AV124" s="6">
        <f>AJ4</f>
        <v>0</v>
      </c>
      <c r="AW124" s="6">
        <f>AK4</f>
        <v>0</v>
      </c>
      <c r="AX124" s="13">
        <f>AL4</f>
        <v>0</v>
      </c>
      <c r="AZ124" s="15">
        <f>AH5</f>
        <v>0</v>
      </c>
      <c r="BA124" s="8">
        <f>AI5</f>
        <v>0</v>
      </c>
      <c r="BB124" s="6">
        <f>AJ5</f>
        <v>0</v>
      </c>
      <c r="BC124" s="6">
        <f>AK5</f>
        <v>0</v>
      </c>
      <c r="BD124" s="13">
        <f>AL5</f>
        <v>0</v>
      </c>
      <c r="BF124" s="15">
        <f>AH6</f>
        <v>0</v>
      </c>
      <c r="BG124" s="8">
        <f>AI6</f>
        <v>0</v>
      </c>
      <c r="BH124" s="6">
        <f>AJ6</f>
        <v>0</v>
      </c>
      <c r="BI124" s="6">
        <f>AK6</f>
        <v>0</v>
      </c>
      <c r="BJ124" s="13">
        <f>AL6</f>
        <v>0</v>
      </c>
    </row>
    <row r="125" spans="1:62" x14ac:dyDescent="0.25">
      <c r="A125" s="15">
        <v>3000</v>
      </c>
      <c r="B125" s="8">
        <f t="shared" si="26"/>
        <v>0</v>
      </c>
      <c r="C125" s="6">
        <f t="shared" si="26"/>
        <v>0</v>
      </c>
      <c r="D125" s="6">
        <f t="shared" si="26"/>
        <v>0</v>
      </c>
      <c r="E125" s="6">
        <f t="shared" si="26"/>
        <v>0</v>
      </c>
      <c r="F125" s="13">
        <f t="shared" si="26"/>
        <v>0</v>
      </c>
      <c r="G125" s="8">
        <f t="shared" si="27"/>
        <v>0</v>
      </c>
      <c r="H125" s="6">
        <f t="shared" si="27"/>
        <v>0</v>
      </c>
      <c r="I125" s="6">
        <f t="shared" si="27"/>
        <v>0</v>
      </c>
      <c r="J125" s="6">
        <f t="shared" si="27"/>
        <v>0</v>
      </c>
      <c r="K125" s="13">
        <f t="shared" si="27"/>
        <v>0</v>
      </c>
      <c r="L125" s="8">
        <f t="shared" si="28"/>
        <v>0</v>
      </c>
      <c r="M125" s="6">
        <f t="shared" si="28"/>
        <v>0</v>
      </c>
      <c r="N125" s="6">
        <f t="shared" si="28"/>
        <v>0</v>
      </c>
      <c r="O125" s="6">
        <f t="shared" si="28"/>
        <v>0</v>
      </c>
      <c r="P125" s="13">
        <f t="shared" si="28"/>
        <v>0</v>
      </c>
      <c r="Q125" s="8">
        <f t="shared" si="29"/>
        <v>0</v>
      </c>
      <c r="R125" s="6">
        <f t="shared" si="29"/>
        <v>0</v>
      </c>
      <c r="S125" s="6">
        <f t="shared" si="29"/>
        <v>0</v>
      </c>
      <c r="T125" s="6">
        <f t="shared" si="29"/>
        <v>0</v>
      </c>
      <c r="U125" s="13">
        <f t="shared" si="29"/>
        <v>0</v>
      </c>
      <c r="V125" s="8">
        <f t="shared" si="30"/>
        <v>0</v>
      </c>
      <c r="W125" s="6">
        <f t="shared" si="30"/>
        <v>0</v>
      </c>
      <c r="X125" s="6">
        <f t="shared" si="30"/>
        <v>0</v>
      </c>
      <c r="Y125" s="6">
        <f t="shared" si="30"/>
        <v>0</v>
      </c>
      <c r="Z125" s="13">
        <f t="shared" si="30"/>
        <v>0</v>
      </c>
      <c r="AA125" s="8">
        <f t="shared" si="30"/>
        <v>0</v>
      </c>
      <c r="AB125" s="6">
        <f t="shared" si="30"/>
        <v>0</v>
      </c>
      <c r="AC125" s="6">
        <f t="shared" si="30"/>
        <v>0</v>
      </c>
      <c r="AD125" s="6">
        <f t="shared" si="30"/>
        <v>0</v>
      </c>
      <c r="AE125" s="13">
        <f t="shared" si="30"/>
        <v>0</v>
      </c>
      <c r="AF125" s="16">
        <f t="shared" si="31"/>
        <v>0</v>
      </c>
      <c r="AG125" s="16">
        <f t="shared" si="32"/>
        <v>0</v>
      </c>
      <c r="AH125" s="15">
        <f>AN2</f>
        <v>0</v>
      </c>
      <c r="AI125" s="8">
        <f>AO2</f>
        <v>0</v>
      </c>
      <c r="AJ125" s="6">
        <f>AP2</f>
        <v>0</v>
      </c>
      <c r="AK125" s="6">
        <f>AQ2</f>
        <v>0</v>
      </c>
      <c r="AL125" s="13">
        <f>AR2</f>
        <v>0</v>
      </c>
      <c r="AN125" s="15">
        <f>AN3</f>
        <v>0</v>
      </c>
      <c r="AO125" s="8">
        <f>AO3</f>
        <v>0</v>
      </c>
      <c r="AP125" s="6">
        <f>AP3</f>
        <v>0</v>
      </c>
      <c r="AQ125" s="6">
        <f>AQ3</f>
        <v>0</v>
      </c>
      <c r="AR125" s="13">
        <f>AR3</f>
        <v>0</v>
      </c>
      <c r="AT125" s="15">
        <f>AN4</f>
        <v>0</v>
      </c>
      <c r="AU125" s="8">
        <f>AO4</f>
        <v>0</v>
      </c>
      <c r="AV125" s="6">
        <f>AP4</f>
        <v>0</v>
      </c>
      <c r="AW125" s="6">
        <f>AQ4</f>
        <v>0</v>
      </c>
      <c r="AX125" s="13">
        <f>AR4</f>
        <v>0</v>
      </c>
      <c r="AZ125" s="15">
        <f>AN5</f>
        <v>0</v>
      </c>
      <c r="BA125" s="8">
        <f>AO5</f>
        <v>0</v>
      </c>
      <c r="BB125" s="6">
        <f>AP5</f>
        <v>0</v>
      </c>
      <c r="BC125" s="6">
        <f>AQ5</f>
        <v>0</v>
      </c>
      <c r="BD125" s="13">
        <f>AR5</f>
        <v>0</v>
      </c>
      <c r="BF125" s="15">
        <f>AN6</f>
        <v>0</v>
      </c>
      <c r="BG125" s="8">
        <f>AO6</f>
        <v>0</v>
      </c>
      <c r="BH125" s="6">
        <f>AP6</f>
        <v>0</v>
      </c>
      <c r="BI125" s="6">
        <f>AQ6</f>
        <v>0</v>
      </c>
      <c r="BJ125" s="13">
        <f>AR6</f>
        <v>0</v>
      </c>
    </row>
    <row r="126" spans="1:62" x14ac:dyDescent="0.25">
      <c r="A126" s="15">
        <v>5000</v>
      </c>
      <c r="B126" s="8">
        <f t="shared" si="26"/>
        <v>0</v>
      </c>
      <c r="C126" s="6">
        <f t="shared" si="26"/>
        <v>0</v>
      </c>
      <c r="D126" s="6">
        <f t="shared" si="26"/>
        <v>0</v>
      </c>
      <c r="E126" s="6">
        <f t="shared" si="26"/>
        <v>0</v>
      </c>
      <c r="F126" s="13">
        <f t="shared" si="26"/>
        <v>0</v>
      </c>
      <c r="G126" s="8">
        <f t="shared" si="27"/>
        <v>0</v>
      </c>
      <c r="H126" s="6">
        <f t="shared" si="27"/>
        <v>0</v>
      </c>
      <c r="I126" s="6">
        <f t="shared" si="27"/>
        <v>0</v>
      </c>
      <c r="J126" s="6">
        <f t="shared" si="27"/>
        <v>0</v>
      </c>
      <c r="K126" s="13">
        <f t="shared" si="27"/>
        <v>0</v>
      </c>
      <c r="L126" s="8">
        <f t="shared" si="28"/>
        <v>0</v>
      </c>
      <c r="M126" s="6">
        <f t="shared" si="28"/>
        <v>0</v>
      </c>
      <c r="N126" s="6">
        <f t="shared" si="28"/>
        <v>0</v>
      </c>
      <c r="O126" s="6">
        <f t="shared" si="28"/>
        <v>0</v>
      </c>
      <c r="P126" s="13">
        <f t="shared" si="28"/>
        <v>0</v>
      </c>
      <c r="Q126" s="8">
        <f t="shared" si="29"/>
        <v>0</v>
      </c>
      <c r="R126" s="6">
        <f t="shared" si="29"/>
        <v>0</v>
      </c>
      <c r="S126" s="6">
        <f t="shared" si="29"/>
        <v>0</v>
      </c>
      <c r="T126" s="6">
        <f t="shared" si="29"/>
        <v>0</v>
      </c>
      <c r="U126" s="13">
        <f t="shared" si="29"/>
        <v>0</v>
      </c>
      <c r="V126" s="8">
        <f t="shared" si="30"/>
        <v>0</v>
      </c>
      <c r="W126" s="6">
        <f t="shared" si="30"/>
        <v>0</v>
      </c>
      <c r="X126" s="6">
        <f t="shared" si="30"/>
        <v>0</v>
      </c>
      <c r="Y126" s="6">
        <f t="shared" si="30"/>
        <v>0</v>
      </c>
      <c r="Z126" s="13">
        <f t="shared" si="30"/>
        <v>0</v>
      </c>
      <c r="AA126" s="8">
        <f t="shared" si="30"/>
        <v>0</v>
      </c>
      <c r="AB126" s="6">
        <f t="shared" si="30"/>
        <v>0</v>
      </c>
      <c r="AC126" s="6">
        <f t="shared" si="30"/>
        <v>0</v>
      </c>
      <c r="AD126" s="6">
        <f t="shared" si="30"/>
        <v>0</v>
      </c>
      <c r="AE126" s="13">
        <f t="shared" si="30"/>
        <v>0</v>
      </c>
      <c r="AF126" s="16">
        <f t="shared" si="31"/>
        <v>0</v>
      </c>
      <c r="AG126" s="16">
        <f t="shared" si="32"/>
        <v>0</v>
      </c>
      <c r="AH126" s="15">
        <f>AT2</f>
        <v>0</v>
      </c>
      <c r="AI126" s="8">
        <f>AU2</f>
        <v>0</v>
      </c>
      <c r="AJ126" s="6">
        <f>AV2</f>
        <v>0</v>
      </c>
      <c r="AK126" s="6">
        <f>AW2</f>
        <v>0</v>
      </c>
      <c r="AL126" s="13">
        <f>AX2</f>
        <v>0</v>
      </c>
      <c r="AN126" s="15">
        <f>AT3</f>
        <v>0</v>
      </c>
      <c r="AO126" s="8">
        <f>AU3</f>
        <v>0</v>
      </c>
      <c r="AP126" s="6">
        <f>AV3</f>
        <v>0</v>
      </c>
      <c r="AQ126" s="6">
        <f>AW3</f>
        <v>0</v>
      </c>
      <c r="AR126" s="13">
        <f>AX3</f>
        <v>0</v>
      </c>
      <c r="AT126" s="15">
        <f>AT4</f>
        <v>0</v>
      </c>
      <c r="AU126" s="8">
        <f>AU4</f>
        <v>0</v>
      </c>
      <c r="AV126" s="6">
        <f>AV4</f>
        <v>0</v>
      </c>
      <c r="AW126" s="6">
        <f>AW4</f>
        <v>0</v>
      </c>
      <c r="AX126" s="13">
        <f>AX4</f>
        <v>0</v>
      </c>
      <c r="AZ126" s="15">
        <f>AT5</f>
        <v>0</v>
      </c>
      <c r="BA126" s="8">
        <f>AU5</f>
        <v>0</v>
      </c>
      <c r="BB126" s="6">
        <f>AV5</f>
        <v>0</v>
      </c>
      <c r="BC126" s="6">
        <f>AW5</f>
        <v>0</v>
      </c>
      <c r="BD126" s="13">
        <f>AX5</f>
        <v>0</v>
      </c>
      <c r="BF126" s="15">
        <f>AT6</f>
        <v>0</v>
      </c>
      <c r="BG126" s="8">
        <f>AU6</f>
        <v>0</v>
      </c>
      <c r="BH126" s="6">
        <f>AV6</f>
        <v>0</v>
      </c>
      <c r="BI126" s="6">
        <f>AW6</f>
        <v>0</v>
      </c>
      <c r="BJ126" s="13">
        <f>AX6</f>
        <v>0</v>
      </c>
    </row>
    <row r="127" spans="1:62" ht="15.75" thickBot="1" x14ac:dyDescent="0.3">
      <c r="A127" s="59">
        <v>10000</v>
      </c>
      <c r="B127" s="31">
        <f t="shared" si="26"/>
        <v>0</v>
      </c>
      <c r="C127" s="32">
        <f t="shared" si="26"/>
        <v>0</v>
      </c>
      <c r="D127" s="32">
        <f t="shared" si="26"/>
        <v>0</v>
      </c>
      <c r="E127" s="32">
        <f t="shared" si="26"/>
        <v>0</v>
      </c>
      <c r="F127" s="33">
        <f t="shared" si="26"/>
        <v>0</v>
      </c>
      <c r="G127" s="31">
        <f t="shared" si="27"/>
        <v>0</v>
      </c>
      <c r="H127" s="32">
        <f t="shared" si="27"/>
        <v>0</v>
      </c>
      <c r="I127" s="32">
        <f t="shared" si="27"/>
        <v>0</v>
      </c>
      <c r="J127" s="32">
        <f t="shared" si="27"/>
        <v>0</v>
      </c>
      <c r="K127" s="33">
        <f t="shared" si="27"/>
        <v>0</v>
      </c>
      <c r="L127" s="31">
        <f t="shared" si="28"/>
        <v>0</v>
      </c>
      <c r="M127" s="32">
        <f t="shared" si="28"/>
        <v>0</v>
      </c>
      <c r="N127" s="32">
        <f t="shared" si="28"/>
        <v>0</v>
      </c>
      <c r="O127" s="32">
        <f t="shared" si="28"/>
        <v>0</v>
      </c>
      <c r="P127" s="33">
        <f t="shared" si="28"/>
        <v>0</v>
      </c>
      <c r="Q127" s="31">
        <f t="shared" si="29"/>
        <v>0</v>
      </c>
      <c r="R127" s="32">
        <f t="shared" si="29"/>
        <v>0</v>
      </c>
      <c r="S127" s="32">
        <f t="shared" si="29"/>
        <v>0</v>
      </c>
      <c r="T127" s="32">
        <f t="shared" si="29"/>
        <v>0</v>
      </c>
      <c r="U127" s="33">
        <f t="shared" si="29"/>
        <v>0</v>
      </c>
      <c r="V127" s="31">
        <f t="shared" si="30"/>
        <v>0</v>
      </c>
      <c r="W127" s="32">
        <f t="shared" si="30"/>
        <v>0</v>
      </c>
      <c r="X127" s="32">
        <f t="shared" si="30"/>
        <v>0</v>
      </c>
      <c r="Y127" s="32">
        <f t="shared" si="30"/>
        <v>0</v>
      </c>
      <c r="Z127" s="33">
        <f t="shared" si="30"/>
        <v>0</v>
      </c>
      <c r="AA127" s="31">
        <f t="shared" si="30"/>
        <v>0</v>
      </c>
      <c r="AB127" s="32">
        <f t="shared" si="30"/>
        <v>0</v>
      </c>
      <c r="AC127" s="32">
        <f t="shared" si="30"/>
        <v>0</v>
      </c>
      <c r="AD127" s="32">
        <f t="shared" si="30"/>
        <v>0</v>
      </c>
      <c r="AE127" s="33">
        <f t="shared" si="30"/>
        <v>0</v>
      </c>
      <c r="AF127" s="16">
        <f t="shared" si="31"/>
        <v>0</v>
      </c>
      <c r="AG127" s="43">
        <f t="shared" si="32"/>
        <v>0</v>
      </c>
      <c r="AH127" s="15">
        <f>AZ2</f>
        <v>0</v>
      </c>
      <c r="AI127" s="8">
        <f>BA2</f>
        <v>0</v>
      </c>
      <c r="AJ127" s="6">
        <f>BB2</f>
        <v>0</v>
      </c>
      <c r="AK127" s="6">
        <f>BC2</f>
        <v>0</v>
      </c>
      <c r="AL127" s="13">
        <f>BD2</f>
        <v>0</v>
      </c>
      <c r="AN127" s="15">
        <f>AZ3</f>
        <v>0</v>
      </c>
      <c r="AO127" s="8">
        <f>BA3</f>
        <v>0</v>
      </c>
      <c r="AP127" s="6">
        <f>BB3</f>
        <v>0</v>
      </c>
      <c r="AQ127" s="6">
        <f>BC3</f>
        <v>0</v>
      </c>
      <c r="AR127" s="13">
        <f>BD3</f>
        <v>0</v>
      </c>
      <c r="AT127" s="15">
        <f>AZ4</f>
        <v>0</v>
      </c>
      <c r="AU127" s="8">
        <f>BA4</f>
        <v>0</v>
      </c>
      <c r="AV127" s="6">
        <f>BB4</f>
        <v>0</v>
      </c>
      <c r="AW127" s="6">
        <f>BC4</f>
        <v>0</v>
      </c>
      <c r="AX127" s="13">
        <f>BD4</f>
        <v>0</v>
      </c>
      <c r="AZ127" s="15">
        <f>AZ5</f>
        <v>0</v>
      </c>
      <c r="BA127" s="8">
        <f>BA5</f>
        <v>0</v>
      </c>
      <c r="BB127" s="6">
        <f>BB5</f>
        <v>0</v>
      </c>
      <c r="BC127" s="6">
        <f>BC5</f>
        <v>0</v>
      </c>
      <c r="BD127" s="13">
        <f>BD5</f>
        <v>0</v>
      </c>
      <c r="BF127" s="15">
        <f>AZ6</f>
        <v>0</v>
      </c>
      <c r="BG127" s="8">
        <f>BA6</f>
        <v>0</v>
      </c>
      <c r="BH127" s="6">
        <f>BB6</f>
        <v>0</v>
      </c>
      <c r="BI127" s="6">
        <f>BC6</f>
        <v>0</v>
      </c>
      <c r="BJ127" s="13">
        <f>BD6</f>
        <v>0</v>
      </c>
    </row>
    <row r="128" spans="1:62" ht="15.75" thickBot="1" x14ac:dyDescent="0.3">
      <c r="A128" s="35"/>
      <c r="B128" s="60">
        <f t="shared" ref="B128:AG128" si="33">SUM(B119:B127)</f>
        <v>0</v>
      </c>
      <c r="C128" s="61">
        <f t="shared" si="33"/>
        <v>48</v>
      </c>
      <c r="D128" s="61">
        <f t="shared" si="33"/>
        <v>0</v>
      </c>
      <c r="E128" s="61">
        <f t="shared" si="33"/>
        <v>0</v>
      </c>
      <c r="F128" s="62">
        <f t="shared" si="33"/>
        <v>0</v>
      </c>
      <c r="G128" s="60">
        <f t="shared" si="33"/>
        <v>0</v>
      </c>
      <c r="H128" s="61">
        <f t="shared" si="33"/>
        <v>0</v>
      </c>
      <c r="I128" s="61">
        <f t="shared" si="33"/>
        <v>0</v>
      </c>
      <c r="J128" s="61">
        <f t="shared" si="33"/>
        <v>0</v>
      </c>
      <c r="K128" s="62">
        <f t="shared" si="33"/>
        <v>0</v>
      </c>
      <c r="L128" s="60">
        <f t="shared" si="33"/>
        <v>0</v>
      </c>
      <c r="M128" s="61">
        <f t="shared" si="33"/>
        <v>0</v>
      </c>
      <c r="N128" s="61">
        <f t="shared" si="33"/>
        <v>0</v>
      </c>
      <c r="O128" s="61">
        <f t="shared" si="33"/>
        <v>0</v>
      </c>
      <c r="P128" s="62">
        <f t="shared" si="33"/>
        <v>0</v>
      </c>
      <c r="Q128" s="60">
        <f t="shared" si="33"/>
        <v>0</v>
      </c>
      <c r="R128" s="61">
        <f t="shared" si="33"/>
        <v>0</v>
      </c>
      <c r="S128" s="61">
        <f t="shared" si="33"/>
        <v>0</v>
      </c>
      <c r="T128" s="61">
        <f t="shared" si="33"/>
        <v>0</v>
      </c>
      <c r="U128" s="62">
        <f t="shared" si="33"/>
        <v>0</v>
      </c>
      <c r="V128" s="60">
        <f t="shared" si="33"/>
        <v>0</v>
      </c>
      <c r="W128" s="61">
        <f t="shared" si="33"/>
        <v>0</v>
      </c>
      <c r="X128" s="61">
        <f t="shared" si="33"/>
        <v>0</v>
      </c>
      <c r="Y128" s="61">
        <f t="shared" si="33"/>
        <v>0</v>
      </c>
      <c r="Z128" s="62">
        <f t="shared" si="33"/>
        <v>0</v>
      </c>
      <c r="AA128" s="60">
        <f t="shared" si="33"/>
        <v>0</v>
      </c>
      <c r="AB128" s="61">
        <f t="shared" si="33"/>
        <v>0</v>
      </c>
      <c r="AC128" s="61">
        <f t="shared" si="33"/>
        <v>0</v>
      </c>
      <c r="AD128" s="61">
        <f t="shared" si="33"/>
        <v>0</v>
      </c>
      <c r="AE128" s="62">
        <f t="shared" si="33"/>
        <v>0</v>
      </c>
      <c r="AF128" s="35">
        <f>SUM(AF119:AF127)</f>
        <v>39500</v>
      </c>
      <c r="AG128" s="35">
        <f t="shared" si="32"/>
        <v>48</v>
      </c>
      <c r="AH128" s="15">
        <f>BF2</f>
        <v>0</v>
      </c>
      <c r="AI128" s="8">
        <f>BG2</f>
        <v>0</v>
      </c>
      <c r="AJ128" s="6">
        <f>BH2</f>
        <v>0</v>
      </c>
      <c r="AK128" s="6">
        <f>BI2</f>
        <v>0</v>
      </c>
      <c r="AL128" s="13">
        <f>BJ2</f>
        <v>0</v>
      </c>
      <c r="AN128" s="15">
        <f>BF3</f>
        <v>0</v>
      </c>
      <c r="AO128" s="8">
        <f>BG3</f>
        <v>0</v>
      </c>
      <c r="AP128" s="6">
        <f>BH3</f>
        <v>0</v>
      </c>
      <c r="AQ128" s="6">
        <f>BI3</f>
        <v>0</v>
      </c>
      <c r="AR128" s="13">
        <f>BJ3</f>
        <v>0</v>
      </c>
      <c r="AT128" s="15">
        <f>BF4</f>
        <v>0</v>
      </c>
      <c r="AU128" s="8">
        <f>BG4</f>
        <v>0</v>
      </c>
      <c r="AV128" s="6">
        <f>BH4</f>
        <v>0</v>
      </c>
      <c r="AW128" s="6">
        <f>BI4</f>
        <v>0</v>
      </c>
      <c r="AX128" s="13">
        <f>BJ4</f>
        <v>0</v>
      </c>
      <c r="AZ128" s="15">
        <f>BF5</f>
        <v>0</v>
      </c>
      <c r="BA128" s="8">
        <f>BG5</f>
        <v>0</v>
      </c>
      <c r="BB128" s="6">
        <f>BH5</f>
        <v>0</v>
      </c>
      <c r="BC128" s="6">
        <f>BI5</f>
        <v>0</v>
      </c>
      <c r="BD128" s="13">
        <f>BJ5</f>
        <v>0</v>
      </c>
      <c r="BF128" s="15">
        <f>BF6</f>
        <v>0</v>
      </c>
      <c r="BG128" s="8">
        <f>BG6</f>
        <v>0</v>
      </c>
      <c r="BH128" s="6">
        <f>BH6</f>
        <v>0</v>
      </c>
      <c r="BI128" s="6">
        <f>BI6</f>
        <v>0</v>
      </c>
      <c r="BJ128" s="13">
        <f>BJ6</f>
        <v>0</v>
      </c>
    </row>
    <row r="129" spans="1:62" ht="15.75" thickBo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9">
        <f>BL2</f>
        <v>0</v>
      </c>
      <c r="AI129" s="31">
        <f>BM2</f>
        <v>0</v>
      </c>
      <c r="AJ129" s="32">
        <f>BN2</f>
        <v>0</v>
      </c>
      <c r="AK129" s="32">
        <f>BO2</f>
        <v>0</v>
      </c>
      <c r="AL129" s="33">
        <f>BP2</f>
        <v>0</v>
      </c>
      <c r="AN129" s="59">
        <f>BL3</f>
        <v>0</v>
      </c>
      <c r="AO129" s="31">
        <f>BM3</f>
        <v>0</v>
      </c>
      <c r="AP129" s="32">
        <f>BN3</f>
        <v>0</v>
      </c>
      <c r="AQ129" s="32">
        <f>BO3</f>
        <v>0</v>
      </c>
      <c r="AR129" s="33">
        <f>BP3</f>
        <v>0</v>
      </c>
      <c r="AT129" s="59">
        <f>BL4</f>
        <v>0</v>
      </c>
      <c r="AU129" s="31">
        <f>BM4</f>
        <v>0</v>
      </c>
      <c r="AV129" s="32">
        <f>BN4</f>
        <v>0</v>
      </c>
      <c r="AW129" s="32">
        <f>BO4</f>
        <v>0</v>
      </c>
      <c r="AX129" s="33">
        <f>BP4</f>
        <v>0</v>
      </c>
      <c r="AZ129" s="59">
        <f>BL5</f>
        <v>0</v>
      </c>
      <c r="BA129" s="31">
        <f>BM5</f>
        <v>0</v>
      </c>
      <c r="BB129" s="32">
        <f>BN5</f>
        <v>0</v>
      </c>
      <c r="BC129" s="32">
        <f>BO5</f>
        <v>0</v>
      </c>
      <c r="BD129" s="33">
        <f>BP5</f>
        <v>0</v>
      </c>
      <c r="BF129" s="59">
        <f>BL6</f>
        <v>0</v>
      </c>
      <c r="BG129" s="31">
        <f>BM6</f>
        <v>0</v>
      </c>
      <c r="BH129" s="32">
        <f>BN6</f>
        <v>0</v>
      </c>
      <c r="BI129" s="32">
        <f>BO6</f>
        <v>0</v>
      </c>
      <c r="BJ129" s="33">
        <f>BP6</f>
        <v>0</v>
      </c>
    </row>
    <row r="130" spans="1:62" ht="16.5" thickBot="1" x14ac:dyDescent="0.3">
      <c r="A130" s="173" t="s">
        <v>249</v>
      </c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5"/>
      <c r="AH130" s="35" t="str">
        <f>C2</f>
        <v>A/C</v>
      </c>
      <c r="AI130" s="158">
        <f>SUM(AJ120:AJ129)</f>
        <v>48</v>
      </c>
      <c r="AJ130" s="159"/>
      <c r="AK130" s="158">
        <f>BT2</f>
        <v>39500</v>
      </c>
      <c r="AL130" s="159"/>
      <c r="AN130" s="35">
        <f>C3</f>
        <v>0</v>
      </c>
      <c r="AO130" s="158">
        <f>SUM(AP120:AP129)</f>
        <v>0</v>
      </c>
      <c r="AP130" s="159"/>
      <c r="AQ130" s="158">
        <f>BT3</f>
        <v>0</v>
      </c>
      <c r="AR130" s="159"/>
      <c r="AT130" s="35">
        <f>C4</f>
        <v>0</v>
      </c>
      <c r="AU130" s="158">
        <f>SUM(AV120:AV129)</f>
        <v>0</v>
      </c>
      <c r="AV130" s="159"/>
      <c r="AW130" s="158">
        <f>BT4</f>
        <v>0</v>
      </c>
      <c r="AX130" s="159"/>
      <c r="AZ130" s="35">
        <f>C5</f>
        <v>0</v>
      </c>
      <c r="BA130" s="158">
        <f>SUM(BB120:BB129)</f>
        <v>0</v>
      </c>
      <c r="BB130" s="159"/>
      <c r="BC130" s="158">
        <f>BT5</f>
        <v>0</v>
      </c>
      <c r="BD130" s="159"/>
      <c r="BF130" s="35">
        <f>C6</f>
        <v>0</v>
      </c>
      <c r="BG130" s="158">
        <f>SUM(BG120:BG129)</f>
        <v>0</v>
      </c>
      <c r="BH130" s="159"/>
      <c r="BI130" s="158">
        <f>BT6</f>
        <v>0</v>
      </c>
      <c r="BJ130" s="159"/>
    </row>
    <row r="131" spans="1:62" ht="15.75" thickBot="1" x14ac:dyDescent="0.3">
      <c r="A131" s="123" t="s">
        <v>31</v>
      </c>
      <c r="B131" s="113" t="s">
        <v>22</v>
      </c>
      <c r="C131" s="114"/>
      <c r="D131" s="114"/>
      <c r="E131" s="114"/>
      <c r="F131" s="115"/>
      <c r="G131" s="113" t="s">
        <v>20</v>
      </c>
      <c r="H131" s="114"/>
      <c r="I131" s="114"/>
      <c r="J131" s="114"/>
      <c r="K131" s="115"/>
      <c r="L131" s="113" t="s">
        <v>34</v>
      </c>
      <c r="M131" s="114"/>
      <c r="N131" s="114"/>
      <c r="O131" s="114"/>
      <c r="P131" s="115"/>
      <c r="Q131" s="113" t="s">
        <v>127</v>
      </c>
      <c r="R131" s="114"/>
      <c r="S131" s="114"/>
      <c r="T131" s="114"/>
      <c r="U131" s="115"/>
      <c r="V131" s="113" t="s">
        <v>129</v>
      </c>
      <c r="W131" s="114"/>
      <c r="X131" s="114"/>
      <c r="Y131" s="114"/>
      <c r="Z131" s="115"/>
      <c r="AA131" s="113" t="s">
        <v>26</v>
      </c>
      <c r="AB131" s="114"/>
      <c r="AC131" s="114"/>
      <c r="AD131" s="114"/>
      <c r="AE131" s="115"/>
      <c r="AF131" s="116" t="s">
        <v>24</v>
      </c>
      <c r="AG131" s="116" t="s">
        <v>86</v>
      </c>
      <c r="AH131" s="35" t="s">
        <v>25</v>
      </c>
      <c r="AI131" s="158">
        <f>A2</f>
        <v>21420</v>
      </c>
      <c r="AJ131" s="160"/>
      <c r="AK131" s="158" t="str">
        <f>BR2</f>
        <v>COD</v>
      </c>
      <c r="AL131" s="159"/>
      <c r="AN131" s="35" t="s">
        <v>25</v>
      </c>
      <c r="AO131" s="158">
        <f>A3</f>
        <v>0</v>
      </c>
      <c r="AP131" s="160"/>
      <c r="AQ131" s="158">
        <f>BR3</f>
        <v>0</v>
      </c>
      <c r="AR131" s="159"/>
      <c r="AT131" s="35" t="s">
        <v>25</v>
      </c>
      <c r="AU131" s="158">
        <f>A4</f>
        <v>0</v>
      </c>
      <c r="AV131" s="160"/>
      <c r="AW131" s="158">
        <f>BR4</f>
        <v>0</v>
      </c>
      <c r="AX131" s="159"/>
      <c r="AZ131" s="35" t="s">
        <v>25</v>
      </c>
      <c r="BA131" s="158">
        <f>A5</f>
        <v>0</v>
      </c>
      <c r="BB131" s="160"/>
      <c r="BC131" s="158">
        <f>BR5</f>
        <v>0</v>
      </c>
      <c r="BD131" s="159"/>
      <c r="BF131" s="35" t="s">
        <v>25</v>
      </c>
      <c r="BG131" s="158">
        <f>A6</f>
        <v>0</v>
      </c>
      <c r="BH131" s="160"/>
      <c r="BI131" s="158">
        <f>BR6</f>
        <v>0</v>
      </c>
      <c r="BJ131" s="159"/>
    </row>
    <row r="132" spans="1:62" ht="15.75" thickBot="1" x14ac:dyDescent="0.3">
      <c r="A132" s="124"/>
      <c r="B132" s="9" t="s">
        <v>32</v>
      </c>
      <c r="C132" s="12" t="s">
        <v>17</v>
      </c>
      <c r="D132" s="12" t="s">
        <v>19</v>
      </c>
      <c r="E132" s="12" t="s">
        <v>33</v>
      </c>
      <c r="F132" s="14" t="s">
        <v>80</v>
      </c>
      <c r="G132" s="9" t="s">
        <v>32</v>
      </c>
      <c r="H132" s="12" t="s">
        <v>17</v>
      </c>
      <c r="I132" s="12" t="s">
        <v>19</v>
      </c>
      <c r="J132" s="12" t="s">
        <v>33</v>
      </c>
      <c r="K132" s="14" t="s">
        <v>80</v>
      </c>
      <c r="L132" s="9" t="s">
        <v>32</v>
      </c>
      <c r="M132" s="12" t="s">
        <v>17</v>
      </c>
      <c r="N132" s="12" t="s">
        <v>19</v>
      </c>
      <c r="O132" s="12" t="s">
        <v>33</v>
      </c>
      <c r="P132" s="14" t="s">
        <v>80</v>
      </c>
      <c r="Q132" s="9" t="s">
        <v>32</v>
      </c>
      <c r="R132" s="12" t="s">
        <v>17</v>
      </c>
      <c r="S132" s="12" t="s">
        <v>19</v>
      </c>
      <c r="T132" s="12" t="s">
        <v>33</v>
      </c>
      <c r="U132" s="14" t="s">
        <v>80</v>
      </c>
      <c r="V132" s="9" t="s">
        <v>32</v>
      </c>
      <c r="W132" s="12" t="s">
        <v>17</v>
      </c>
      <c r="X132" s="12" t="s">
        <v>19</v>
      </c>
      <c r="Y132" s="12" t="s">
        <v>33</v>
      </c>
      <c r="Z132" s="14" t="s">
        <v>80</v>
      </c>
      <c r="AA132" s="9" t="s">
        <v>32</v>
      </c>
      <c r="AB132" s="12" t="s">
        <v>17</v>
      </c>
      <c r="AC132" s="12" t="s">
        <v>19</v>
      </c>
      <c r="AD132" s="12" t="s">
        <v>33</v>
      </c>
      <c r="AE132" s="14" t="s">
        <v>80</v>
      </c>
      <c r="AF132" s="117"/>
      <c r="AG132" s="117"/>
      <c r="AH132" s="58" t="s">
        <v>130</v>
      </c>
      <c r="AI132" s="58" t="s">
        <v>131</v>
      </c>
      <c r="AJ132" s="58" t="s">
        <v>132</v>
      </c>
      <c r="AK132" s="58" t="s">
        <v>166</v>
      </c>
      <c r="AL132" s="58" t="s">
        <v>33</v>
      </c>
      <c r="AN132" s="58" t="s">
        <v>130</v>
      </c>
      <c r="AO132" s="58" t="s">
        <v>131</v>
      </c>
      <c r="AP132" s="58" t="s">
        <v>132</v>
      </c>
      <c r="AQ132" s="58" t="s">
        <v>166</v>
      </c>
      <c r="AR132" s="58" t="s">
        <v>33</v>
      </c>
      <c r="AT132" s="58" t="s">
        <v>130</v>
      </c>
      <c r="AU132" s="58" t="s">
        <v>131</v>
      </c>
      <c r="AV132" s="58" t="s">
        <v>132</v>
      </c>
      <c r="AW132" s="58" t="s">
        <v>166</v>
      </c>
      <c r="AX132" s="58" t="s">
        <v>33</v>
      </c>
      <c r="AZ132" s="58" t="s">
        <v>130</v>
      </c>
      <c r="BA132" s="58" t="s">
        <v>131</v>
      </c>
      <c r="BB132" s="58" t="s">
        <v>132</v>
      </c>
      <c r="BC132" s="58" t="s">
        <v>166</v>
      </c>
      <c r="BD132" s="58" t="s">
        <v>33</v>
      </c>
      <c r="BF132" s="58" t="s">
        <v>130</v>
      </c>
      <c r="BG132" s="58" t="s">
        <v>131</v>
      </c>
      <c r="BH132" s="58" t="s">
        <v>132</v>
      </c>
      <c r="BI132" s="58" t="s">
        <v>166</v>
      </c>
      <c r="BJ132" s="58" t="s">
        <v>33</v>
      </c>
    </row>
    <row r="133" spans="1:62" ht="15.75" thickBot="1" x14ac:dyDescent="0.3">
      <c r="A133" s="16">
        <v>300</v>
      </c>
      <c r="B133" s="10">
        <f t="shared" ref="B133:F141" si="34">SUMIFS($J$14:$J$113,$I$14:$I$113,$A133,$K$14:$K$113,B$118,$L$14:$L$113,$B$117,$H$14:$H$113,"NG")</f>
        <v>0</v>
      </c>
      <c r="C133" s="11">
        <f t="shared" si="34"/>
        <v>0</v>
      </c>
      <c r="D133" s="11">
        <f t="shared" si="34"/>
        <v>0</v>
      </c>
      <c r="E133" s="11">
        <f t="shared" si="34"/>
        <v>0</v>
      </c>
      <c r="F133" s="17">
        <f t="shared" si="34"/>
        <v>0</v>
      </c>
      <c r="G133" s="10">
        <f t="shared" ref="G133:K141" si="35">SUMIFS($J$14:$J$113,$I$14:$I$113,$A133,$K$14:$K$113,G$118,$L$14:$L$113,$G$117,$H$14:$H$113,"NG")</f>
        <v>0</v>
      </c>
      <c r="H133" s="11">
        <f t="shared" si="35"/>
        <v>0</v>
      </c>
      <c r="I133" s="11">
        <f t="shared" si="35"/>
        <v>0</v>
      </c>
      <c r="J133" s="11">
        <f t="shared" si="35"/>
        <v>0</v>
      </c>
      <c r="K133" s="17">
        <f t="shared" si="35"/>
        <v>0</v>
      </c>
      <c r="L133" s="10">
        <f t="shared" ref="L133:P141" si="36">SUMIFS($J$14:$J$113,$I$14:$I$113,$A133,$K$14:$K$113,L$118,$L$14:$L$113,$L$117,$H$14:$H$113,"NG")</f>
        <v>0</v>
      </c>
      <c r="M133" s="11">
        <f t="shared" si="36"/>
        <v>0</v>
      </c>
      <c r="N133" s="11">
        <f t="shared" si="36"/>
        <v>0</v>
      </c>
      <c r="O133" s="11">
        <f t="shared" si="36"/>
        <v>0</v>
      </c>
      <c r="P133" s="17">
        <f t="shared" si="36"/>
        <v>0</v>
      </c>
      <c r="Q133" s="10">
        <f t="shared" ref="Q133:U141" si="37">SUMIFS($J$14:$J$113,$I$14:$I$113,$A133,$K$14:$K$113,Q$118,$L$14:$L$113,$Q$117,$H$14:$H$113,"NG")</f>
        <v>0</v>
      </c>
      <c r="R133" s="11">
        <f t="shared" si="37"/>
        <v>0</v>
      </c>
      <c r="S133" s="11">
        <f t="shared" si="37"/>
        <v>0</v>
      </c>
      <c r="T133" s="11">
        <f t="shared" si="37"/>
        <v>0</v>
      </c>
      <c r="U133" s="17">
        <f t="shared" si="37"/>
        <v>0</v>
      </c>
      <c r="V133" s="10">
        <f t="shared" ref="V133:AE141" si="38">SUMIFS($J$14:$J$113,$I$14:$I$113,$A133,$K$14:$K$113,V$118,$L$14:$L$113,$L$117,$H$14:$H$113,"NG")</f>
        <v>0</v>
      </c>
      <c r="W133" s="11">
        <f t="shared" si="38"/>
        <v>0</v>
      </c>
      <c r="X133" s="11">
        <f t="shared" si="38"/>
        <v>0</v>
      </c>
      <c r="Y133" s="11">
        <f t="shared" si="38"/>
        <v>0</v>
      </c>
      <c r="Z133" s="17">
        <f t="shared" si="38"/>
        <v>0</v>
      </c>
      <c r="AA133" s="10">
        <f t="shared" si="38"/>
        <v>0</v>
      </c>
      <c r="AB133" s="11">
        <f t="shared" si="38"/>
        <v>0</v>
      </c>
      <c r="AC133" s="11">
        <f t="shared" si="38"/>
        <v>0</v>
      </c>
      <c r="AD133" s="11">
        <f t="shared" si="38"/>
        <v>0</v>
      </c>
      <c r="AE133" s="17">
        <f t="shared" si="38"/>
        <v>0</v>
      </c>
      <c r="AF133" s="16">
        <f>SUM(B133:AE133)*A133</f>
        <v>0</v>
      </c>
      <c r="AG133" s="16">
        <f>SUM(B133:AE133)</f>
        <v>0</v>
      </c>
      <c r="AH133" s="34" t="str">
        <f>AZ14</f>
        <v/>
      </c>
      <c r="AI133" s="34" t="str">
        <f>BA14</f>
        <v/>
      </c>
      <c r="AJ133" s="34" t="str">
        <f>BB14</f>
        <v/>
      </c>
      <c r="AK133" s="35" t="str">
        <f>BC14</f>
        <v/>
      </c>
      <c r="AL133" s="35" t="str">
        <f>BD14</f>
        <v/>
      </c>
      <c r="AN133" s="34" t="str">
        <f>AZ15</f>
        <v/>
      </c>
      <c r="AO133" s="34" t="str">
        <f>BA15</f>
        <v/>
      </c>
      <c r="AP133" s="34" t="str">
        <f>BB15</f>
        <v/>
      </c>
      <c r="AQ133" s="35" t="str">
        <f>BC15</f>
        <v/>
      </c>
      <c r="AR133" s="35" t="str">
        <f>BD15</f>
        <v/>
      </c>
      <c r="AT133" s="34" t="str">
        <f>AZ16</f>
        <v/>
      </c>
      <c r="AU133" s="34" t="str">
        <f>BA16</f>
        <v/>
      </c>
      <c r="AV133" s="34" t="str">
        <f>BB16</f>
        <v/>
      </c>
      <c r="AW133" s="35" t="str">
        <f>BC16</f>
        <v/>
      </c>
      <c r="AX133" s="35" t="str">
        <f>BD16</f>
        <v/>
      </c>
      <c r="AZ133" s="34" t="str">
        <f>AZ17</f>
        <v/>
      </c>
      <c r="BA133" s="34" t="str">
        <f>BA17</f>
        <v/>
      </c>
      <c r="BB133" s="34" t="str">
        <f>BB17</f>
        <v/>
      </c>
      <c r="BC133" s="35" t="str">
        <f>BC17</f>
        <v/>
      </c>
      <c r="BD133" s="35" t="str">
        <f>BD17</f>
        <v/>
      </c>
      <c r="BF133" s="34" t="str">
        <f>AZ18</f>
        <v/>
      </c>
      <c r="BG133" s="34" t="str">
        <f>BA18</f>
        <v/>
      </c>
      <c r="BH133" s="34" t="str">
        <f>BB18</f>
        <v/>
      </c>
      <c r="BI133" s="35" t="str">
        <f>BC18</f>
        <v/>
      </c>
      <c r="BJ133" s="35" t="str">
        <f>BD18</f>
        <v/>
      </c>
    </row>
    <row r="134" spans="1:62" ht="15.75" thickBot="1" x14ac:dyDescent="0.3">
      <c r="A134" s="16">
        <v>500</v>
      </c>
      <c r="B134" s="10">
        <f t="shared" si="34"/>
        <v>0</v>
      </c>
      <c r="C134" s="11">
        <f t="shared" si="34"/>
        <v>0</v>
      </c>
      <c r="D134" s="11">
        <f t="shared" si="34"/>
        <v>0</v>
      </c>
      <c r="E134" s="11">
        <f t="shared" si="34"/>
        <v>0</v>
      </c>
      <c r="F134" s="17">
        <f t="shared" si="34"/>
        <v>0</v>
      </c>
      <c r="G134" s="10">
        <f t="shared" si="35"/>
        <v>0</v>
      </c>
      <c r="H134" s="11">
        <f t="shared" si="35"/>
        <v>0</v>
      </c>
      <c r="I134" s="11">
        <f t="shared" si="35"/>
        <v>0</v>
      </c>
      <c r="J134" s="11">
        <f t="shared" si="35"/>
        <v>0</v>
      </c>
      <c r="K134" s="17">
        <f t="shared" si="35"/>
        <v>0</v>
      </c>
      <c r="L134" s="10">
        <f t="shared" si="36"/>
        <v>0</v>
      </c>
      <c r="M134" s="11">
        <f t="shared" si="36"/>
        <v>0</v>
      </c>
      <c r="N134" s="11">
        <f t="shared" si="36"/>
        <v>0</v>
      </c>
      <c r="O134" s="11">
        <f t="shared" si="36"/>
        <v>0</v>
      </c>
      <c r="P134" s="17">
        <f t="shared" si="36"/>
        <v>0</v>
      </c>
      <c r="Q134" s="10">
        <f t="shared" si="37"/>
        <v>0</v>
      </c>
      <c r="R134" s="11">
        <f t="shared" si="37"/>
        <v>0</v>
      </c>
      <c r="S134" s="11">
        <f t="shared" si="37"/>
        <v>0</v>
      </c>
      <c r="T134" s="11">
        <f t="shared" si="37"/>
        <v>0</v>
      </c>
      <c r="U134" s="17">
        <f t="shared" si="37"/>
        <v>0</v>
      </c>
      <c r="V134" s="10">
        <f t="shared" si="38"/>
        <v>0</v>
      </c>
      <c r="W134" s="11">
        <f t="shared" si="38"/>
        <v>0</v>
      </c>
      <c r="X134" s="11">
        <f t="shared" si="38"/>
        <v>0</v>
      </c>
      <c r="Y134" s="11">
        <f t="shared" si="38"/>
        <v>0</v>
      </c>
      <c r="Z134" s="17">
        <f t="shared" si="38"/>
        <v>0</v>
      </c>
      <c r="AA134" s="10">
        <f t="shared" si="38"/>
        <v>0</v>
      </c>
      <c r="AB134" s="11">
        <f t="shared" si="38"/>
        <v>0</v>
      </c>
      <c r="AC134" s="11">
        <f t="shared" si="38"/>
        <v>0</v>
      </c>
      <c r="AD134" s="11">
        <f t="shared" si="38"/>
        <v>0</v>
      </c>
      <c r="AE134" s="17">
        <f t="shared" si="38"/>
        <v>0</v>
      </c>
      <c r="AF134" s="16">
        <f t="shared" ref="AF134:AF141" si="39">SUM(B134:AE134)*A134</f>
        <v>0</v>
      </c>
      <c r="AG134" s="16">
        <f t="shared" ref="AG134:AG142" si="40">SUM(B134:AE134)</f>
        <v>0</v>
      </c>
      <c r="AH134" s="58" t="s">
        <v>22</v>
      </c>
      <c r="AI134" s="58" t="s">
        <v>20</v>
      </c>
      <c r="AJ134" s="58" t="s">
        <v>34</v>
      </c>
      <c r="AK134" s="58" t="s">
        <v>127</v>
      </c>
      <c r="AL134" s="58" t="s">
        <v>129</v>
      </c>
      <c r="AN134" s="58" t="s">
        <v>22</v>
      </c>
      <c r="AO134" s="58" t="s">
        <v>20</v>
      </c>
      <c r="AP134" s="58" t="s">
        <v>34</v>
      </c>
      <c r="AQ134" s="58" t="s">
        <v>127</v>
      </c>
      <c r="AR134" s="58" t="s">
        <v>129</v>
      </c>
      <c r="AT134" s="58" t="s">
        <v>22</v>
      </c>
      <c r="AU134" s="58" t="s">
        <v>20</v>
      </c>
      <c r="AV134" s="58" t="s">
        <v>34</v>
      </c>
      <c r="AW134" s="58" t="s">
        <v>127</v>
      </c>
      <c r="AX134" s="58" t="s">
        <v>129</v>
      </c>
      <c r="AZ134" s="58" t="s">
        <v>22</v>
      </c>
      <c r="BA134" s="58" t="s">
        <v>20</v>
      </c>
      <c r="BB134" s="58" t="s">
        <v>34</v>
      </c>
      <c r="BC134" s="58" t="s">
        <v>127</v>
      </c>
      <c r="BD134" s="58" t="s">
        <v>129</v>
      </c>
      <c r="BF134" s="58" t="s">
        <v>22</v>
      </c>
      <c r="BG134" s="58" t="s">
        <v>20</v>
      </c>
      <c r="BH134" s="58" t="s">
        <v>34</v>
      </c>
      <c r="BI134" s="58" t="s">
        <v>127</v>
      </c>
      <c r="BJ134" s="58" t="s">
        <v>129</v>
      </c>
    </row>
    <row r="135" spans="1:62" ht="15.75" thickBot="1" x14ac:dyDescent="0.3">
      <c r="A135" s="15">
        <v>750</v>
      </c>
      <c r="B135" s="8">
        <f t="shared" si="34"/>
        <v>0</v>
      </c>
      <c r="C135" s="6">
        <f t="shared" si="34"/>
        <v>0</v>
      </c>
      <c r="D135" s="6">
        <f t="shared" si="34"/>
        <v>0</v>
      </c>
      <c r="E135" s="6">
        <f t="shared" si="34"/>
        <v>0</v>
      </c>
      <c r="F135" s="13">
        <f t="shared" si="34"/>
        <v>0</v>
      </c>
      <c r="G135" s="8">
        <f t="shared" si="35"/>
        <v>0</v>
      </c>
      <c r="H135" s="6">
        <f t="shared" si="35"/>
        <v>0</v>
      </c>
      <c r="I135" s="6">
        <f t="shared" si="35"/>
        <v>0</v>
      </c>
      <c r="J135" s="6">
        <f t="shared" si="35"/>
        <v>0</v>
      </c>
      <c r="K135" s="13">
        <f t="shared" si="35"/>
        <v>0</v>
      </c>
      <c r="L135" s="8">
        <f t="shared" si="36"/>
        <v>0</v>
      </c>
      <c r="M135" s="6">
        <f t="shared" si="36"/>
        <v>0</v>
      </c>
      <c r="N135" s="6">
        <f t="shared" si="36"/>
        <v>0</v>
      </c>
      <c r="O135" s="6">
        <f t="shared" si="36"/>
        <v>0</v>
      </c>
      <c r="P135" s="13">
        <f t="shared" si="36"/>
        <v>0</v>
      </c>
      <c r="Q135" s="8">
        <f t="shared" si="37"/>
        <v>0</v>
      </c>
      <c r="R135" s="6">
        <f t="shared" si="37"/>
        <v>0</v>
      </c>
      <c r="S135" s="6">
        <f t="shared" si="37"/>
        <v>0</v>
      </c>
      <c r="T135" s="6">
        <f t="shared" si="37"/>
        <v>0</v>
      </c>
      <c r="U135" s="13">
        <f t="shared" si="37"/>
        <v>0</v>
      </c>
      <c r="V135" s="8">
        <f t="shared" si="38"/>
        <v>0</v>
      </c>
      <c r="W135" s="6">
        <f t="shared" si="38"/>
        <v>0</v>
      </c>
      <c r="X135" s="6">
        <f t="shared" si="38"/>
        <v>0</v>
      </c>
      <c r="Y135" s="6">
        <f t="shared" si="38"/>
        <v>0</v>
      </c>
      <c r="Z135" s="13">
        <f t="shared" si="38"/>
        <v>0</v>
      </c>
      <c r="AA135" s="8">
        <f t="shared" si="38"/>
        <v>0</v>
      </c>
      <c r="AB135" s="6">
        <f t="shared" si="38"/>
        <v>0</v>
      </c>
      <c r="AC135" s="6">
        <f t="shared" si="38"/>
        <v>0</v>
      </c>
      <c r="AD135" s="6">
        <f t="shared" si="38"/>
        <v>0</v>
      </c>
      <c r="AE135" s="13">
        <f t="shared" si="38"/>
        <v>0</v>
      </c>
      <c r="AF135" s="16">
        <f t="shared" si="39"/>
        <v>0</v>
      </c>
      <c r="AG135" s="16">
        <f t="shared" si="40"/>
        <v>0</v>
      </c>
      <c r="AH135" s="34">
        <f>AU14</f>
        <v>3.5</v>
      </c>
      <c r="AI135" s="34" t="str">
        <f>AV14</f>
        <v/>
      </c>
      <c r="AJ135" s="34" t="str">
        <f>AW14</f>
        <v/>
      </c>
      <c r="AK135" s="35" t="str">
        <f>AX14</f>
        <v/>
      </c>
      <c r="AL135" s="35" t="str">
        <f>AY14</f>
        <v/>
      </c>
      <c r="AN135" s="34" t="str">
        <f>AU15</f>
        <v/>
      </c>
      <c r="AO135" s="34" t="str">
        <f>AV15</f>
        <v/>
      </c>
      <c r="AP135" s="34" t="str">
        <f>AW15</f>
        <v/>
      </c>
      <c r="AQ135" s="35" t="str">
        <f>AX15</f>
        <v/>
      </c>
      <c r="AR135" s="35" t="str">
        <f>AY15</f>
        <v/>
      </c>
      <c r="AT135" s="34" t="str">
        <f>AU16</f>
        <v/>
      </c>
      <c r="AU135" s="34" t="str">
        <f>AV16</f>
        <v/>
      </c>
      <c r="AV135" s="34" t="str">
        <f>AW16</f>
        <v/>
      </c>
      <c r="AW135" s="35" t="str">
        <f>AX16</f>
        <v/>
      </c>
      <c r="AX135" s="35" t="str">
        <f>AY16</f>
        <v/>
      </c>
      <c r="AZ135" s="34" t="str">
        <f>AU17</f>
        <v/>
      </c>
      <c r="BA135" s="34" t="str">
        <f>AV17</f>
        <v/>
      </c>
      <c r="BB135" s="34" t="str">
        <f>AW17</f>
        <v/>
      </c>
      <c r="BC135" s="35" t="str">
        <f>AX17</f>
        <v/>
      </c>
      <c r="BD135" s="35" t="str">
        <f>AY17</f>
        <v/>
      </c>
      <c r="BF135" s="34" t="str">
        <f>AU18</f>
        <v/>
      </c>
      <c r="BG135" s="34" t="str">
        <f>AV18</f>
        <v/>
      </c>
      <c r="BH135" s="34" t="str">
        <f>AW18</f>
        <v/>
      </c>
      <c r="BI135" s="35" t="str">
        <f>AX18</f>
        <v/>
      </c>
      <c r="BJ135" s="35" t="str">
        <f>AY18</f>
        <v/>
      </c>
    </row>
    <row r="136" spans="1:62" x14ac:dyDescent="0.25">
      <c r="A136" s="15">
        <v>1000</v>
      </c>
      <c r="B136" s="8">
        <f t="shared" si="34"/>
        <v>0</v>
      </c>
      <c r="C136" s="6">
        <f t="shared" si="34"/>
        <v>0</v>
      </c>
      <c r="D136" s="6">
        <f t="shared" si="34"/>
        <v>0</v>
      </c>
      <c r="E136" s="6">
        <f t="shared" si="34"/>
        <v>0</v>
      </c>
      <c r="F136" s="13">
        <f t="shared" si="34"/>
        <v>0</v>
      </c>
      <c r="G136" s="8">
        <f t="shared" si="35"/>
        <v>0</v>
      </c>
      <c r="H136" s="6">
        <f t="shared" si="35"/>
        <v>0</v>
      </c>
      <c r="I136" s="6">
        <f t="shared" si="35"/>
        <v>0</v>
      </c>
      <c r="J136" s="6">
        <f t="shared" si="35"/>
        <v>0</v>
      </c>
      <c r="K136" s="13">
        <f t="shared" si="35"/>
        <v>0</v>
      </c>
      <c r="L136" s="8">
        <f t="shared" si="36"/>
        <v>0</v>
      </c>
      <c r="M136" s="6">
        <f t="shared" si="36"/>
        <v>0</v>
      </c>
      <c r="N136" s="6">
        <f t="shared" si="36"/>
        <v>0</v>
      </c>
      <c r="O136" s="6">
        <f t="shared" si="36"/>
        <v>0</v>
      </c>
      <c r="P136" s="13">
        <f t="shared" si="36"/>
        <v>0</v>
      </c>
      <c r="Q136" s="8">
        <f t="shared" si="37"/>
        <v>0</v>
      </c>
      <c r="R136" s="6">
        <f t="shared" si="37"/>
        <v>0</v>
      </c>
      <c r="S136" s="6">
        <f t="shared" si="37"/>
        <v>0</v>
      </c>
      <c r="T136" s="6">
        <f t="shared" si="37"/>
        <v>0</v>
      </c>
      <c r="U136" s="13">
        <f t="shared" si="37"/>
        <v>0</v>
      </c>
      <c r="V136" s="8">
        <f t="shared" si="38"/>
        <v>0</v>
      </c>
      <c r="W136" s="6">
        <f t="shared" si="38"/>
        <v>0</v>
      </c>
      <c r="X136" s="6">
        <f t="shared" si="38"/>
        <v>0</v>
      </c>
      <c r="Y136" s="6">
        <f t="shared" si="38"/>
        <v>0</v>
      </c>
      <c r="Z136" s="13">
        <f t="shared" si="38"/>
        <v>0</v>
      </c>
      <c r="AA136" s="8">
        <f t="shared" si="38"/>
        <v>0</v>
      </c>
      <c r="AB136" s="6">
        <f t="shared" si="38"/>
        <v>0</v>
      </c>
      <c r="AC136" s="6">
        <f t="shared" si="38"/>
        <v>0</v>
      </c>
      <c r="AD136" s="6">
        <f t="shared" si="38"/>
        <v>0</v>
      </c>
      <c r="AE136" s="13">
        <f t="shared" si="38"/>
        <v>0</v>
      </c>
      <c r="AF136" s="16">
        <f t="shared" si="39"/>
        <v>0</v>
      </c>
      <c r="AG136" s="16">
        <f t="shared" si="40"/>
        <v>0</v>
      </c>
    </row>
    <row r="137" spans="1:62" x14ac:dyDescent="0.25">
      <c r="A137" s="15">
        <v>1500</v>
      </c>
      <c r="B137" s="8">
        <f t="shared" si="34"/>
        <v>0</v>
      </c>
      <c r="C137" s="6">
        <f t="shared" si="34"/>
        <v>0</v>
      </c>
      <c r="D137" s="6">
        <f t="shared" si="34"/>
        <v>0</v>
      </c>
      <c r="E137" s="6">
        <f t="shared" si="34"/>
        <v>0</v>
      </c>
      <c r="F137" s="13">
        <f t="shared" si="34"/>
        <v>0</v>
      </c>
      <c r="G137" s="8">
        <f t="shared" si="35"/>
        <v>0</v>
      </c>
      <c r="H137" s="6">
        <f t="shared" si="35"/>
        <v>0</v>
      </c>
      <c r="I137" s="6">
        <f t="shared" si="35"/>
        <v>0</v>
      </c>
      <c r="J137" s="6">
        <f t="shared" si="35"/>
        <v>0</v>
      </c>
      <c r="K137" s="13">
        <f t="shared" si="35"/>
        <v>0</v>
      </c>
      <c r="L137" s="8">
        <f t="shared" si="36"/>
        <v>0</v>
      </c>
      <c r="M137" s="6">
        <f t="shared" si="36"/>
        <v>0</v>
      </c>
      <c r="N137" s="6">
        <f t="shared" si="36"/>
        <v>0</v>
      </c>
      <c r="O137" s="6">
        <f t="shared" si="36"/>
        <v>0</v>
      </c>
      <c r="P137" s="13">
        <f t="shared" si="36"/>
        <v>0</v>
      </c>
      <c r="Q137" s="8">
        <f t="shared" si="37"/>
        <v>0</v>
      </c>
      <c r="R137" s="6">
        <f t="shared" si="37"/>
        <v>0</v>
      </c>
      <c r="S137" s="6">
        <f t="shared" si="37"/>
        <v>0</v>
      </c>
      <c r="T137" s="6">
        <f t="shared" si="37"/>
        <v>0</v>
      </c>
      <c r="U137" s="13">
        <f t="shared" si="37"/>
        <v>0</v>
      </c>
      <c r="V137" s="8">
        <f t="shared" si="38"/>
        <v>0</v>
      </c>
      <c r="W137" s="6">
        <f t="shared" si="38"/>
        <v>0</v>
      </c>
      <c r="X137" s="6">
        <f t="shared" si="38"/>
        <v>0</v>
      </c>
      <c r="Y137" s="6">
        <f t="shared" si="38"/>
        <v>0</v>
      </c>
      <c r="Z137" s="13">
        <f t="shared" si="38"/>
        <v>0</v>
      </c>
      <c r="AA137" s="8">
        <f t="shared" si="38"/>
        <v>0</v>
      </c>
      <c r="AB137" s="6">
        <f t="shared" si="38"/>
        <v>0</v>
      </c>
      <c r="AC137" s="6">
        <f t="shared" si="38"/>
        <v>0</v>
      </c>
      <c r="AD137" s="6">
        <f t="shared" si="38"/>
        <v>0</v>
      </c>
      <c r="AE137" s="13">
        <f t="shared" si="38"/>
        <v>0</v>
      </c>
      <c r="AF137" s="16">
        <f t="shared" si="39"/>
        <v>0</v>
      </c>
      <c r="AG137" s="16">
        <f t="shared" si="40"/>
        <v>0</v>
      </c>
      <c r="AH137" s="118" t="s">
        <v>35</v>
      </c>
      <c r="AI137" s="118"/>
      <c r="AJ137" s="118">
        <f>F7</f>
        <v>0</v>
      </c>
      <c r="AK137" s="118"/>
      <c r="AL137" s="118"/>
      <c r="AN137" s="118" t="s">
        <v>35</v>
      </c>
      <c r="AO137" s="118"/>
      <c r="AP137" s="118">
        <f>F8</f>
        <v>0</v>
      </c>
      <c r="AQ137" s="118"/>
      <c r="AR137" s="118"/>
      <c r="AT137" s="118" t="s">
        <v>35</v>
      </c>
      <c r="AU137" s="118"/>
      <c r="AV137" s="118">
        <f>F9</f>
        <v>0</v>
      </c>
      <c r="AW137" s="118"/>
      <c r="AX137" s="118"/>
      <c r="AZ137" s="118" t="s">
        <v>35</v>
      </c>
      <c r="BA137" s="118"/>
      <c r="BB137" s="118">
        <f>F10</f>
        <v>0</v>
      </c>
      <c r="BC137" s="118"/>
      <c r="BD137" s="118"/>
      <c r="BF137" s="118" t="s">
        <v>35</v>
      </c>
      <c r="BG137" s="118"/>
      <c r="BH137" s="118">
        <f>F11</f>
        <v>0</v>
      </c>
      <c r="BI137" s="118"/>
      <c r="BJ137" s="118"/>
    </row>
    <row r="138" spans="1:62" x14ac:dyDescent="0.25">
      <c r="A138" s="15">
        <v>2000</v>
      </c>
      <c r="B138" s="8">
        <f t="shared" si="34"/>
        <v>0</v>
      </c>
      <c r="C138" s="6">
        <f t="shared" si="34"/>
        <v>0</v>
      </c>
      <c r="D138" s="6">
        <f t="shared" si="34"/>
        <v>0</v>
      </c>
      <c r="E138" s="6">
        <f t="shared" si="34"/>
        <v>0</v>
      </c>
      <c r="F138" s="13">
        <f t="shared" si="34"/>
        <v>0</v>
      </c>
      <c r="G138" s="8">
        <f t="shared" si="35"/>
        <v>0</v>
      </c>
      <c r="H138" s="6">
        <f t="shared" si="35"/>
        <v>0</v>
      </c>
      <c r="I138" s="6">
        <f t="shared" si="35"/>
        <v>0</v>
      </c>
      <c r="J138" s="6">
        <f t="shared" si="35"/>
        <v>0</v>
      </c>
      <c r="K138" s="13">
        <f t="shared" si="35"/>
        <v>0</v>
      </c>
      <c r="L138" s="8">
        <f t="shared" si="36"/>
        <v>0</v>
      </c>
      <c r="M138" s="6">
        <f t="shared" si="36"/>
        <v>0</v>
      </c>
      <c r="N138" s="6">
        <f t="shared" si="36"/>
        <v>0</v>
      </c>
      <c r="O138" s="6">
        <f t="shared" si="36"/>
        <v>0</v>
      </c>
      <c r="P138" s="13">
        <f t="shared" si="36"/>
        <v>0</v>
      </c>
      <c r="Q138" s="8">
        <f t="shared" si="37"/>
        <v>0</v>
      </c>
      <c r="R138" s="6">
        <f t="shared" si="37"/>
        <v>0</v>
      </c>
      <c r="S138" s="6">
        <f t="shared" si="37"/>
        <v>0</v>
      </c>
      <c r="T138" s="6">
        <f t="shared" si="37"/>
        <v>0</v>
      </c>
      <c r="U138" s="13">
        <f t="shared" si="37"/>
        <v>0</v>
      </c>
      <c r="V138" s="8">
        <f t="shared" si="38"/>
        <v>0</v>
      </c>
      <c r="W138" s="6">
        <f t="shared" si="38"/>
        <v>0</v>
      </c>
      <c r="X138" s="6">
        <f t="shared" si="38"/>
        <v>0</v>
      </c>
      <c r="Y138" s="6">
        <f t="shared" si="38"/>
        <v>0</v>
      </c>
      <c r="Z138" s="13">
        <f t="shared" si="38"/>
        <v>0</v>
      </c>
      <c r="AA138" s="8">
        <f t="shared" si="38"/>
        <v>0</v>
      </c>
      <c r="AB138" s="6">
        <f t="shared" si="38"/>
        <v>0</v>
      </c>
      <c r="AC138" s="6">
        <f t="shared" si="38"/>
        <v>0</v>
      </c>
      <c r="AD138" s="6">
        <f t="shared" si="38"/>
        <v>0</v>
      </c>
      <c r="AE138" s="13">
        <f t="shared" si="38"/>
        <v>0</v>
      </c>
      <c r="AF138" s="16">
        <f t="shared" si="39"/>
        <v>0</v>
      </c>
      <c r="AG138" s="16">
        <f t="shared" si="40"/>
        <v>0</v>
      </c>
      <c r="AH138" s="118">
        <f>G7</f>
        <v>0</v>
      </c>
      <c r="AI138" s="118"/>
      <c r="AJ138" s="118"/>
      <c r="AK138" s="118"/>
      <c r="AL138" s="118"/>
      <c r="AN138" s="118">
        <f>G8</f>
        <v>0</v>
      </c>
      <c r="AO138" s="118">
        <f>G8</f>
        <v>0</v>
      </c>
      <c r="AP138" s="118"/>
      <c r="AQ138" s="118"/>
      <c r="AR138" s="118"/>
      <c r="AT138" s="118">
        <f>G9</f>
        <v>0</v>
      </c>
      <c r="AU138" s="118"/>
      <c r="AV138" s="118"/>
      <c r="AW138" s="118"/>
      <c r="AX138" s="118"/>
      <c r="AZ138" s="118">
        <f>G10</f>
        <v>0</v>
      </c>
      <c r="BA138" s="118"/>
      <c r="BB138" s="118"/>
      <c r="BC138" s="118"/>
      <c r="BD138" s="118"/>
      <c r="BF138" s="118">
        <f>G11</f>
        <v>0</v>
      </c>
      <c r="BG138" s="118"/>
      <c r="BH138" s="118"/>
      <c r="BI138" s="118"/>
      <c r="BJ138" s="118"/>
    </row>
    <row r="139" spans="1:62" ht="15.75" thickBot="1" x14ac:dyDescent="0.3">
      <c r="A139" s="15">
        <v>3000</v>
      </c>
      <c r="B139" s="8">
        <f t="shared" si="34"/>
        <v>0</v>
      </c>
      <c r="C139" s="6">
        <f t="shared" si="34"/>
        <v>0</v>
      </c>
      <c r="D139" s="6">
        <f t="shared" si="34"/>
        <v>0</v>
      </c>
      <c r="E139" s="6">
        <f t="shared" si="34"/>
        <v>0</v>
      </c>
      <c r="F139" s="13">
        <f t="shared" si="34"/>
        <v>0</v>
      </c>
      <c r="G139" s="8">
        <f t="shared" si="35"/>
        <v>0</v>
      </c>
      <c r="H139" s="6">
        <f t="shared" si="35"/>
        <v>0</v>
      </c>
      <c r="I139" s="6">
        <f t="shared" si="35"/>
        <v>0</v>
      </c>
      <c r="J139" s="6">
        <f t="shared" si="35"/>
        <v>0</v>
      </c>
      <c r="K139" s="13">
        <f t="shared" si="35"/>
        <v>0</v>
      </c>
      <c r="L139" s="8">
        <f t="shared" si="36"/>
        <v>0</v>
      </c>
      <c r="M139" s="6">
        <f t="shared" si="36"/>
        <v>0</v>
      </c>
      <c r="N139" s="6">
        <f t="shared" si="36"/>
        <v>0</v>
      </c>
      <c r="O139" s="6">
        <f t="shared" si="36"/>
        <v>0</v>
      </c>
      <c r="P139" s="13">
        <f t="shared" si="36"/>
        <v>0</v>
      </c>
      <c r="Q139" s="8">
        <f t="shared" si="37"/>
        <v>0</v>
      </c>
      <c r="R139" s="6">
        <f t="shared" si="37"/>
        <v>0</v>
      </c>
      <c r="S139" s="6">
        <f t="shared" si="37"/>
        <v>0</v>
      </c>
      <c r="T139" s="6">
        <f t="shared" si="37"/>
        <v>0</v>
      </c>
      <c r="U139" s="13">
        <f t="shared" si="37"/>
        <v>0</v>
      </c>
      <c r="V139" s="8">
        <f t="shared" si="38"/>
        <v>0</v>
      </c>
      <c r="W139" s="6">
        <f t="shared" si="38"/>
        <v>0</v>
      </c>
      <c r="X139" s="6">
        <f t="shared" si="38"/>
        <v>0</v>
      </c>
      <c r="Y139" s="6">
        <f t="shared" si="38"/>
        <v>0</v>
      </c>
      <c r="Z139" s="13">
        <f t="shared" si="38"/>
        <v>0</v>
      </c>
      <c r="AA139" s="8">
        <f t="shared" si="38"/>
        <v>0</v>
      </c>
      <c r="AB139" s="6">
        <f t="shared" si="38"/>
        <v>0</v>
      </c>
      <c r="AC139" s="6">
        <f t="shared" si="38"/>
        <v>0</v>
      </c>
      <c r="AD139" s="6">
        <f t="shared" si="38"/>
        <v>0</v>
      </c>
      <c r="AE139" s="13">
        <f t="shared" si="38"/>
        <v>0</v>
      </c>
      <c r="AF139" s="16">
        <f t="shared" si="39"/>
        <v>0</v>
      </c>
      <c r="AG139" s="16">
        <f t="shared" si="40"/>
        <v>0</v>
      </c>
      <c r="AH139" s="118">
        <f>H7</f>
        <v>0</v>
      </c>
      <c r="AI139" s="118"/>
      <c r="AJ139" s="118"/>
      <c r="AK139" s="118"/>
      <c r="AL139" s="118"/>
      <c r="AN139" s="118">
        <f>H8</f>
        <v>0</v>
      </c>
      <c r="AO139" s="118">
        <f>H8</f>
        <v>0</v>
      </c>
      <c r="AP139" s="118"/>
      <c r="AQ139" s="118"/>
      <c r="AR139" s="118"/>
      <c r="AT139" s="118">
        <f>H9</f>
        <v>0</v>
      </c>
      <c r="AU139" s="118"/>
      <c r="AV139" s="118"/>
      <c r="AW139" s="118"/>
      <c r="AX139" s="118"/>
      <c r="AZ139" s="118">
        <f>H10</f>
        <v>0</v>
      </c>
      <c r="BA139" s="118"/>
      <c r="BB139" s="118"/>
      <c r="BC139" s="118"/>
      <c r="BD139" s="118"/>
      <c r="BF139" s="118">
        <f>H11</f>
        <v>0</v>
      </c>
      <c r="BG139" s="118"/>
      <c r="BH139" s="118"/>
      <c r="BI139" s="118"/>
      <c r="BJ139" s="118"/>
    </row>
    <row r="140" spans="1:62" ht="15.75" thickBot="1" x14ac:dyDescent="0.3">
      <c r="A140" s="15">
        <v>5000</v>
      </c>
      <c r="B140" s="8">
        <f t="shared" si="34"/>
        <v>0</v>
      </c>
      <c r="C140" s="6">
        <f t="shared" si="34"/>
        <v>0</v>
      </c>
      <c r="D140" s="6">
        <f t="shared" si="34"/>
        <v>0</v>
      </c>
      <c r="E140" s="6">
        <f t="shared" si="34"/>
        <v>0</v>
      </c>
      <c r="F140" s="13">
        <f t="shared" si="34"/>
        <v>0</v>
      </c>
      <c r="G140" s="8">
        <f t="shared" si="35"/>
        <v>0</v>
      </c>
      <c r="H140" s="6">
        <f t="shared" si="35"/>
        <v>0</v>
      </c>
      <c r="I140" s="6">
        <f t="shared" si="35"/>
        <v>0</v>
      </c>
      <c r="J140" s="6">
        <f t="shared" si="35"/>
        <v>0</v>
      </c>
      <c r="K140" s="13">
        <f t="shared" si="35"/>
        <v>0</v>
      </c>
      <c r="L140" s="8">
        <f t="shared" si="36"/>
        <v>0</v>
      </c>
      <c r="M140" s="6">
        <f t="shared" si="36"/>
        <v>0</v>
      </c>
      <c r="N140" s="6">
        <f t="shared" si="36"/>
        <v>0</v>
      </c>
      <c r="O140" s="6">
        <f t="shared" si="36"/>
        <v>0</v>
      </c>
      <c r="P140" s="13">
        <f t="shared" si="36"/>
        <v>0</v>
      </c>
      <c r="Q140" s="8">
        <f t="shared" si="37"/>
        <v>0</v>
      </c>
      <c r="R140" s="6">
        <f t="shared" si="37"/>
        <v>0</v>
      </c>
      <c r="S140" s="6">
        <f t="shared" si="37"/>
        <v>0</v>
      </c>
      <c r="T140" s="6">
        <f t="shared" si="37"/>
        <v>0</v>
      </c>
      <c r="U140" s="13">
        <f t="shared" si="37"/>
        <v>0</v>
      </c>
      <c r="V140" s="8">
        <f t="shared" si="38"/>
        <v>0</v>
      </c>
      <c r="W140" s="6">
        <f t="shared" si="38"/>
        <v>0</v>
      </c>
      <c r="X140" s="6">
        <f t="shared" si="38"/>
        <v>0</v>
      </c>
      <c r="Y140" s="6">
        <f t="shared" si="38"/>
        <v>0</v>
      </c>
      <c r="Z140" s="13">
        <f t="shared" si="38"/>
        <v>0</v>
      </c>
      <c r="AA140" s="8">
        <f t="shared" si="38"/>
        <v>0</v>
      </c>
      <c r="AB140" s="6">
        <f t="shared" si="38"/>
        <v>0</v>
      </c>
      <c r="AC140" s="6">
        <f t="shared" si="38"/>
        <v>0</v>
      </c>
      <c r="AD140" s="6">
        <f t="shared" si="38"/>
        <v>0</v>
      </c>
      <c r="AE140" s="13">
        <f t="shared" si="38"/>
        <v>0</v>
      </c>
      <c r="AF140" s="16">
        <f t="shared" si="39"/>
        <v>0</v>
      </c>
      <c r="AG140" s="16">
        <f t="shared" si="40"/>
        <v>0</v>
      </c>
      <c r="AH140" s="30" t="s">
        <v>136</v>
      </c>
      <c r="AI140" s="30" t="s">
        <v>27</v>
      </c>
      <c r="AJ140" s="30" t="s">
        <v>28</v>
      </c>
      <c r="AK140" s="30" t="s">
        <v>29</v>
      </c>
      <c r="AL140" s="30" t="s">
        <v>30</v>
      </c>
      <c r="AN140" s="30" t="s">
        <v>136</v>
      </c>
      <c r="AO140" s="30" t="s">
        <v>27</v>
      </c>
      <c r="AP140" s="30" t="s">
        <v>28</v>
      </c>
      <c r="AQ140" s="30" t="s">
        <v>29</v>
      </c>
      <c r="AR140" s="30" t="s">
        <v>30</v>
      </c>
      <c r="AT140" s="30" t="s">
        <v>136</v>
      </c>
      <c r="AU140" s="30" t="s">
        <v>27</v>
      </c>
      <c r="AV140" s="30" t="s">
        <v>28</v>
      </c>
      <c r="AW140" s="30" t="s">
        <v>29</v>
      </c>
      <c r="AX140" s="30" t="s">
        <v>30</v>
      </c>
      <c r="AZ140" s="30" t="s">
        <v>136</v>
      </c>
      <c r="BA140" s="30" t="s">
        <v>27</v>
      </c>
      <c r="BB140" s="30" t="s">
        <v>28</v>
      </c>
      <c r="BC140" s="30" t="s">
        <v>29</v>
      </c>
      <c r="BD140" s="30" t="s">
        <v>30</v>
      </c>
      <c r="BF140" s="30" t="s">
        <v>136</v>
      </c>
      <c r="BG140" s="30" t="s">
        <v>27</v>
      </c>
      <c r="BH140" s="30" t="s">
        <v>28</v>
      </c>
      <c r="BI140" s="30" t="s">
        <v>29</v>
      </c>
      <c r="BJ140" s="30" t="s">
        <v>30</v>
      </c>
    </row>
    <row r="141" spans="1:62" ht="15.75" thickBot="1" x14ac:dyDescent="0.3">
      <c r="A141" s="59">
        <v>10000</v>
      </c>
      <c r="B141" s="31">
        <f t="shared" si="34"/>
        <v>0</v>
      </c>
      <c r="C141" s="32">
        <f t="shared" si="34"/>
        <v>0</v>
      </c>
      <c r="D141" s="32">
        <f t="shared" si="34"/>
        <v>0</v>
      </c>
      <c r="E141" s="32">
        <f t="shared" si="34"/>
        <v>0</v>
      </c>
      <c r="F141" s="33">
        <f t="shared" si="34"/>
        <v>0</v>
      </c>
      <c r="G141" s="31">
        <f t="shared" si="35"/>
        <v>0</v>
      </c>
      <c r="H141" s="32">
        <f t="shared" si="35"/>
        <v>0</v>
      </c>
      <c r="I141" s="32">
        <f t="shared" si="35"/>
        <v>0</v>
      </c>
      <c r="J141" s="32">
        <f t="shared" si="35"/>
        <v>0</v>
      </c>
      <c r="K141" s="33">
        <f t="shared" si="35"/>
        <v>0</v>
      </c>
      <c r="L141" s="31">
        <f t="shared" si="36"/>
        <v>0</v>
      </c>
      <c r="M141" s="32">
        <f t="shared" si="36"/>
        <v>0</v>
      </c>
      <c r="N141" s="32">
        <f t="shared" si="36"/>
        <v>0</v>
      </c>
      <c r="O141" s="32">
        <f t="shared" si="36"/>
        <v>0</v>
      </c>
      <c r="P141" s="33">
        <f t="shared" si="36"/>
        <v>0</v>
      </c>
      <c r="Q141" s="31">
        <f t="shared" si="37"/>
        <v>0</v>
      </c>
      <c r="R141" s="32">
        <f t="shared" si="37"/>
        <v>0</v>
      </c>
      <c r="S141" s="32">
        <f t="shared" si="37"/>
        <v>0</v>
      </c>
      <c r="T141" s="32">
        <f t="shared" si="37"/>
        <v>0</v>
      </c>
      <c r="U141" s="33">
        <f t="shared" si="37"/>
        <v>0</v>
      </c>
      <c r="V141" s="31">
        <f t="shared" si="38"/>
        <v>0</v>
      </c>
      <c r="W141" s="32">
        <f t="shared" si="38"/>
        <v>0</v>
      </c>
      <c r="X141" s="32">
        <f t="shared" si="38"/>
        <v>0</v>
      </c>
      <c r="Y141" s="32">
        <f t="shared" si="38"/>
        <v>0</v>
      </c>
      <c r="Z141" s="33">
        <f t="shared" si="38"/>
        <v>0</v>
      </c>
      <c r="AA141" s="31">
        <f t="shared" si="38"/>
        <v>0</v>
      </c>
      <c r="AB141" s="32">
        <f t="shared" si="38"/>
        <v>0</v>
      </c>
      <c r="AC141" s="32">
        <f t="shared" si="38"/>
        <v>0</v>
      </c>
      <c r="AD141" s="32">
        <f t="shared" si="38"/>
        <v>0</v>
      </c>
      <c r="AE141" s="33">
        <f t="shared" si="38"/>
        <v>0</v>
      </c>
      <c r="AF141" s="16">
        <f t="shared" si="39"/>
        <v>0</v>
      </c>
      <c r="AG141" s="43">
        <f t="shared" si="40"/>
        <v>0</v>
      </c>
      <c r="AH141" s="16">
        <f>J7</f>
        <v>0</v>
      </c>
      <c r="AI141" s="10">
        <f>K7</f>
        <v>0</v>
      </c>
      <c r="AJ141" s="11">
        <f>L7</f>
        <v>0</v>
      </c>
      <c r="AK141" s="11">
        <f>M7</f>
        <v>0</v>
      </c>
      <c r="AL141" s="17">
        <f>N7</f>
        <v>0</v>
      </c>
      <c r="AN141" s="16">
        <f>J8</f>
        <v>0</v>
      </c>
      <c r="AO141" s="10">
        <f>K8</f>
        <v>0</v>
      </c>
      <c r="AP141" s="11">
        <f>L8</f>
        <v>0</v>
      </c>
      <c r="AQ141" s="11">
        <f>M8</f>
        <v>0</v>
      </c>
      <c r="AR141" s="17">
        <f>N8</f>
        <v>0</v>
      </c>
      <c r="AT141" s="16">
        <f>J9</f>
        <v>0</v>
      </c>
      <c r="AU141" s="10">
        <f>K9</f>
        <v>0</v>
      </c>
      <c r="AV141" s="11">
        <f>L9</f>
        <v>0</v>
      </c>
      <c r="AW141" s="11">
        <f>M9</f>
        <v>0</v>
      </c>
      <c r="AX141" s="17">
        <f>N9</f>
        <v>0</v>
      </c>
      <c r="AZ141" s="16">
        <f>J10</f>
        <v>0</v>
      </c>
      <c r="BA141" s="10">
        <f>K10</f>
        <v>0</v>
      </c>
      <c r="BB141" s="11">
        <f>L10</f>
        <v>0</v>
      </c>
      <c r="BC141" s="11">
        <f>M10</f>
        <v>0</v>
      </c>
      <c r="BD141" s="17">
        <f>N10</f>
        <v>0</v>
      </c>
      <c r="BF141" s="16">
        <f>J11</f>
        <v>0</v>
      </c>
      <c r="BG141" s="10">
        <f>K11</f>
        <v>0</v>
      </c>
      <c r="BH141" s="11">
        <f>L11</f>
        <v>0</v>
      </c>
      <c r="BI141" s="11">
        <f>M11</f>
        <v>0</v>
      </c>
      <c r="BJ141" s="17">
        <f>N11</f>
        <v>0</v>
      </c>
    </row>
    <row r="142" spans="1:62" ht="15.75" thickBot="1" x14ac:dyDescent="0.3">
      <c r="A142" s="35"/>
      <c r="B142" s="60">
        <f t="shared" ref="B142:AG142" si="41">SUM(B133:B141)</f>
        <v>0</v>
      </c>
      <c r="C142" s="61">
        <f t="shared" si="41"/>
        <v>0</v>
      </c>
      <c r="D142" s="61">
        <f t="shared" si="41"/>
        <v>0</v>
      </c>
      <c r="E142" s="61">
        <f t="shared" si="41"/>
        <v>0</v>
      </c>
      <c r="F142" s="62">
        <f t="shared" si="41"/>
        <v>0</v>
      </c>
      <c r="G142" s="60">
        <f t="shared" si="41"/>
        <v>0</v>
      </c>
      <c r="H142" s="61">
        <f t="shared" si="41"/>
        <v>0</v>
      </c>
      <c r="I142" s="61">
        <f t="shared" si="41"/>
        <v>0</v>
      </c>
      <c r="J142" s="61">
        <f t="shared" si="41"/>
        <v>0</v>
      </c>
      <c r="K142" s="62">
        <f t="shared" si="41"/>
        <v>0</v>
      </c>
      <c r="L142" s="60">
        <f t="shared" si="41"/>
        <v>0</v>
      </c>
      <c r="M142" s="61">
        <f t="shared" si="41"/>
        <v>0</v>
      </c>
      <c r="N142" s="61">
        <f t="shared" si="41"/>
        <v>0</v>
      </c>
      <c r="O142" s="61">
        <f t="shared" si="41"/>
        <v>0</v>
      </c>
      <c r="P142" s="62">
        <f t="shared" si="41"/>
        <v>0</v>
      </c>
      <c r="Q142" s="60">
        <f t="shared" si="41"/>
        <v>0</v>
      </c>
      <c r="R142" s="61">
        <f t="shared" si="41"/>
        <v>0</v>
      </c>
      <c r="S142" s="61">
        <f t="shared" si="41"/>
        <v>0</v>
      </c>
      <c r="T142" s="61">
        <f t="shared" si="41"/>
        <v>0</v>
      </c>
      <c r="U142" s="62">
        <f t="shared" si="41"/>
        <v>0</v>
      </c>
      <c r="V142" s="60">
        <f t="shared" si="41"/>
        <v>0</v>
      </c>
      <c r="W142" s="61">
        <f t="shared" si="41"/>
        <v>0</v>
      </c>
      <c r="X142" s="61">
        <f t="shared" si="41"/>
        <v>0</v>
      </c>
      <c r="Y142" s="61">
        <f t="shared" si="41"/>
        <v>0</v>
      </c>
      <c r="Z142" s="62">
        <f t="shared" si="41"/>
        <v>0</v>
      </c>
      <c r="AA142" s="60">
        <f t="shared" si="41"/>
        <v>0</v>
      </c>
      <c r="AB142" s="61">
        <f t="shared" si="41"/>
        <v>0</v>
      </c>
      <c r="AC142" s="61">
        <f t="shared" si="41"/>
        <v>0</v>
      </c>
      <c r="AD142" s="61">
        <f t="shared" si="41"/>
        <v>0</v>
      </c>
      <c r="AE142" s="62">
        <f t="shared" si="41"/>
        <v>0</v>
      </c>
      <c r="AF142" s="35">
        <f t="shared" si="41"/>
        <v>0</v>
      </c>
      <c r="AG142" s="35">
        <f t="shared" si="40"/>
        <v>0</v>
      </c>
      <c r="AH142" s="15">
        <f>P7</f>
        <v>0</v>
      </c>
      <c r="AI142" s="8">
        <f>Q7</f>
        <v>0</v>
      </c>
      <c r="AJ142" s="6">
        <f>R7</f>
        <v>0</v>
      </c>
      <c r="AK142" s="6">
        <f>S7</f>
        <v>0</v>
      </c>
      <c r="AL142" s="13">
        <f>T7</f>
        <v>0</v>
      </c>
      <c r="AN142" s="15">
        <f>P8</f>
        <v>0</v>
      </c>
      <c r="AO142" s="8">
        <f>Q8</f>
        <v>0</v>
      </c>
      <c r="AP142" s="6">
        <f>R8</f>
        <v>0</v>
      </c>
      <c r="AQ142" s="6">
        <f>S8</f>
        <v>0</v>
      </c>
      <c r="AR142" s="13">
        <f>T8</f>
        <v>0</v>
      </c>
      <c r="AT142" s="15">
        <f>P9</f>
        <v>0</v>
      </c>
      <c r="AU142" s="8">
        <f>Q9</f>
        <v>0</v>
      </c>
      <c r="AV142" s="6">
        <f>R9</f>
        <v>0</v>
      </c>
      <c r="AW142" s="6">
        <f>S9</f>
        <v>0</v>
      </c>
      <c r="AX142" s="13">
        <f>T9</f>
        <v>0</v>
      </c>
      <c r="AZ142" s="15">
        <f>P10</f>
        <v>0</v>
      </c>
      <c r="BA142" s="8">
        <f>Q10</f>
        <v>0</v>
      </c>
      <c r="BB142" s="6">
        <f>R10</f>
        <v>0</v>
      </c>
      <c r="BC142" s="6">
        <f>S10</f>
        <v>0</v>
      </c>
      <c r="BD142" s="13">
        <f>T10</f>
        <v>0</v>
      </c>
      <c r="BF142" s="15">
        <f>P11</f>
        <v>0</v>
      </c>
      <c r="BG142" s="8">
        <f>Q11</f>
        <v>0</v>
      </c>
      <c r="BH142" s="6">
        <f>R11</f>
        <v>0</v>
      </c>
      <c r="BI142" s="6">
        <f>S11</f>
        <v>0</v>
      </c>
      <c r="BJ142" s="13">
        <f>T11</f>
        <v>0</v>
      </c>
    </row>
    <row r="143" spans="1:62" ht="15.75" thickBot="1" x14ac:dyDescent="0.3">
      <c r="AH143" s="15">
        <f>V7</f>
        <v>0</v>
      </c>
      <c r="AI143" s="8">
        <f>W7</f>
        <v>0</v>
      </c>
      <c r="AJ143" s="6">
        <f>X7</f>
        <v>0</v>
      </c>
      <c r="AK143" s="6">
        <f>Y7</f>
        <v>0</v>
      </c>
      <c r="AL143" s="13">
        <f>Z7</f>
        <v>0</v>
      </c>
      <c r="AN143" s="15">
        <f>V8</f>
        <v>0</v>
      </c>
      <c r="AO143" s="8">
        <f>W8</f>
        <v>0</v>
      </c>
      <c r="AP143" s="6">
        <f>X8</f>
        <v>0</v>
      </c>
      <c r="AQ143" s="6">
        <f>Y8</f>
        <v>0</v>
      </c>
      <c r="AR143" s="13">
        <f>Z8</f>
        <v>0</v>
      </c>
      <c r="AT143" s="15">
        <f>V9</f>
        <v>0</v>
      </c>
      <c r="AU143" s="8">
        <f>W9</f>
        <v>0</v>
      </c>
      <c r="AV143" s="6">
        <f>X9</f>
        <v>0</v>
      </c>
      <c r="AW143" s="6">
        <f>Y9</f>
        <v>0</v>
      </c>
      <c r="AX143" s="13">
        <f>Z9</f>
        <v>0</v>
      </c>
      <c r="AZ143" s="15">
        <f>V10</f>
        <v>0</v>
      </c>
      <c r="BA143" s="8">
        <f>W10</f>
        <v>0</v>
      </c>
      <c r="BB143" s="6">
        <f>X10</f>
        <v>0</v>
      </c>
      <c r="BC143" s="6">
        <f>Y10</f>
        <v>0</v>
      </c>
      <c r="BD143" s="13">
        <f>Z10</f>
        <v>0</v>
      </c>
      <c r="BF143" s="15">
        <f>V11</f>
        <v>0</v>
      </c>
      <c r="BG143" s="8">
        <f>W11</f>
        <v>0</v>
      </c>
      <c r="BH143" s="6">
        <f>X11</f>
        <v>0</v>
      </c>
      <c r="BI143" s="6">
        <f>Y11</f>
        <v>0</v>
      </c>
      <c r="BJ143" s="13">
        <f>Z11</f>
        <v>0</v>
      </c>
    </row>
    <row r="144" spans="1:62" ht="15.75" customHeight="1" thickBot="1" x14ac:dyDescent="0.3">
      <c r="A144" s="111" t="s">
        <v>130</v>
      </c>
      <c r="B144" s="112"/>
      <c r="D144" s="111" t="s">
        <v>131</v>
      </c>
      <c r="E144" s="112"/>
      <c r="G144" s="111" t="s">
        <v>132</v>
      </c>
      <c r="H144" s="112"/>
      <c r="J144" s="161" t="s">
        <v>250</v>
      </c>
      <c r="K144" s="162"/>
      <c r="M144" s="161" t="s">
        <v>251</v>
      </c>
      <c r="N144" s="162"/>
      <c r="P144" s="161" t="s">
        <v>252</v>
      </c>
      <c r="Q144" s="162"/>
      <c r="S144" s="123" t="s">
        <v>31</v>
      </c>
      <c r="T144" s="113" t="s">
        <v>84</v>
      </c>
      <c r="U144" s="115"/>
      <c r="V144" s="116" t="s">
        <v>24</v>
      </c>
      <c r="W144" s="116" t="s">
        <v>86</v>
      </c>
      <c r="AH144" s="15">
        <f>AB7</f>
        <v>0</v>
      </c>
      <c r="AI144" s="8">
        <f>AC7</f>
        <v>0</v>
      </c>
      <c r="AJ144" s="6">
        <f>AD7</f>
        <v>0</v>
      </c>
      <c r="AK144" s="6">
        <f>AE7</f>
        <v>0</v>
      </c>
      <c r="AL144" s="13">
        <f>AF7</f>
        <v>0</v>
      </c>
      <c r="AN144" s="15">
        <f>AB8</f>
        <v>0</v>
      </c>
      <c r="AO144" s="8">
        <f>AC8</f>
        <v>0</v>
      </c>
      <c r="AP144" s="6">
        <f>AD8</f>
        <v>0</v>
      </c>
      <c r="AQ144" s="6">
        <f>AE8</f>
        <v>0</v>
      </c>
      <c r="AR144" s="13">
        <f>AF8</f>
        <v>0</v>
      </c>
      <c r="AT144" s="15">
        <f>AB9</f>
        <v>0</v>
      </c>
      <c r="AU144" s="8">
        <f>AC9</f>
        <v>0</v>
      </c>
      <c r="AV144" s="6">
        <f>AD9</f>
        <v>0</v>
      </c>
      <c r="AW144" s="6">
        <f>AE9</f>
        <v>0</v>
      </c>
      <c r="AX144" s="13">
        <f>AF9</f>
        <v>0</v>
      </c>
      <c r="AZ144" s="15">
        <f>AB10</f>
        <v>0</v>
      </c>
      <c r="BA144" s="8">
        <f>AC10</f>
        <v>0</v>
      </c>
      <c r="BB144" s="6">
        <f>AD10</f>
        <v>0</v>
      </c>
      <c r="BC144" s="6">
        <f>AE10</f>
        <v>0</v>
      </c>
      <c r="BD144" s="13">
        <f>AF10</f>
        <v>0</v>
      </c>
      <c r="BF144" s="15">
        <f>AB11</f>
        <v>0</v>
      </c>
      <c r="BG144" s="8">
        <f>AC11</f>
        <v>0</v>
      </c>
      <c r="BH144" s="6">
        <f>AD11</f>
        <v>0</v>
      </c>
      <c r="BI144" s="6">
        <f>AE11</f>
        <v>0</v>
      </c>
      <c r="BJ144" s="13">
        <f>AF11</f>
        <v>0</v>
      </c>
    </row>
    <row r="145" spans="1:62" ht="15.75" thickBot="1" x14ac:dyDescent="0.3">
      <c r="A145" s="60" t="s">
        <v>27</v>
      </c>
      <c r="B145" s="62" t="s">
        <v>102</v>
      </c>
      <c r="D145" s="34" t="s">
        <v>27</v>
      </c>
      <c r="E145" s="79" t="s">
        <v>102</v>
      </c>
      <c r="G145" s="34" t="s">
        <v>27</v>
      </c>
      <c r="H145" s="79" t="s">
        <v>102</v>
      </c>
      <c r="J145" s="163"/>
      <c r="K145" s="164"/>
      <c r="M145" s="163"/>
      <c r="N145" s="164"/>
      <c r="P145" s="163"/>
      <c r="Q145" s="164"/>
      <c r="S145" s="124"/>
      <c r="T145" s="12" t="s">
        <v>17</v>
      </c>
      <c r="U145" s="12" t="s">
        <v>19</v>
      </c>
      <c r="V145" s="117"/>
      <c r="W145" s="117"/>
      <c r="AH145" s="15">
        <f>AH7</f>
        <v>0</v>
      </c>
      <c r="AI145" s="8">
        <f>AI7</f>
        <v>0</v>
      </c>
      <c r="AJ145" s="6">
        <f>AJ7</f>
        <v>0</v>
      </c>
      <c r="AK145" s="6">
        <f>AK7</f>
        <v>0</v>
      </c>
      <c r="AL145" s="13">
        <f>AL7</f>
        <v>0</v>
      </c>
      <c r="AN145" s="15">
        <f>AH8</f>
        <v>0</v>
      </c>
      <c r="AO145" s="8">
        <f>AI8</f>
        <v>0</v>
      </c>
      <c r="AP145" s="6">
        <f>AJ8</f>
        <v>0</v>
      </c>
      <c r="AQ145" s="6">
        <f>AK8</f>
        <v>0</v>
      </c>
      <c r="AR145" s="13">
        <f>AL8</f>
        <v>0</v>
      </c>
      <c r="AT145" s="15">
        <f>AH9</f>
        <v>0</v>
      </c>
      <c r="AU145" s="8">
        <f>AI9</f>
        <v>0</v>
      </c>
      <c r="AV145" s="6">
        <f>AJ9</f>
        <v>0</v>
      </c>
      <c r="AW145" s="6">
        <f>AK9</f>
        <v>0</v>
      </c>
      <c r="AX145" s="13">
        <f>AL9</f>
        <v>0</v>
      </c>
      <c r="AZ145" s="15">
        <f>AH10</f>
        <v>0</v>
      </c>
      <c r="BA145" s="8">
        <f>AI10</f>
        <v>0</v>
      </c>
      <c r="BB145" s="6">
        <f>AJ10</f>
        <v>0</v>
      </c>
      <c r="BC145" s="6">
        <f>AK10</f>
        <v>0</v>
      </c>
      <c r="BD145" s="13">
        <f>AL10</f>
        <v>0</v>
      </c>
      <c r="BF145" s="15">
        <f>AH11</f>
        <v>0</v>
      </c>
      <c r="BG145" s="8">
        <f>AI11</f>
        <v>0</v>
      </c>
      <c r="BH145" s="6">
        <f>AJ11</f>
        <v>0</v>
      </c>
      <c r="BI145" s="6">
        <f>AK11</f>
        <v>0</v>
      </c>
      <c r="BJ145" s="13">
        <f>AL11</f>
        <v>0</v>
      </c>
    </row>
    <row r="146" spans="1:62" x14ac:dyDescent="0.25">
      <c r="A146" s="10">
        <v>225</v>
      </c>
      <c r="B146" s="17">
        <f t="shared" ref="B146:B151" si="42">SUMIFS($J$14:$J$113,$H$14:$H$113,$A$144,$I$14:$I$113,A146)</f>
        <v>0</v>
      </c>
      <c r="D146" s="10">
        <v>1000</v>
      </c>
      <c r="E146" s="17">
        <f>SUMIFS($J$14:$J$113,$H$14:$H$113,$D$144,$I$14:$I$113,D146)</f>
        <v>0</v>
      </c>
      <c r="G146" s="10">
        <v>1000</v>
      </c>
      <c r="H146" s="17">
        <f>SUMIFS($J$14:$J$113,$H$14:$H$113,$G$144,$I$14:$I$113,G146)</f>
        <v>0</v>
      </c>
      <c r="J146" s="163"/>
      <c r="K146" s="164"/>
      <c r="M146" s="163"/>
      <c r="N146" s="164"/>
      <c r="P146" s="163"/>
      <c r="Q146" s="164"/>
      <c r="S146" s="16">
        <v>300</v>
      </c>
      <c r="T146" s="11">
        <f>SUMIFS($J$14:$J$113,$I$14:$I$113,$S146,$K$14:$K$113,T$145,$H$14:$H$113,$T$144)</f>
        <v>0</v>
      </c>
      <c r="U146" s="11">
        <f>SUMIFS($J$14:$J$113,$I$14:$I$113,$S146,$K$14:$K$113,U$145,$H$14:$H$113,$T$144)</f>
        <v>0</v>
      </c>
      <c r="V146" s="16">
        <f>SUM(T146:U146)*S146</f>
        <v>0</v>
      </c>
      <c r="W146" s="16">
        <f>T146+U146</f>
        <v>0</v>
      </c>
      <c r="AH146" s="15">
        <f>AN7</f>
        <v>0</v>
      </c>
      <c r="AI146" s="8">
        <f>AO7</f>
        <v>0</v>
      </c>
      <c r="AJ146" s="6">
        <f>AP7</f>
        <v>0</v>
      </c>
      <c r="AK146" s="6">
        <f>AQ7</f>
        <v>0</v>
      </c>
      <c r="AL146" s="13">
        <f>AR7</f>
        <v>0</v>
      </c>
      <c r="AN146" s="15">
        <f>AN8</f>
        <v>0</v>
      </c>
      <c r="AO146" s="8">
        <f>AO8</f>
        <v>0</v>
      </c>
      <c r="AP146" s="6">
        <f>AP8</f>
        <v>0</v>
      </c>
      <c r="AQ146" s="6">
        <f>AQ8</f>
        <v>0</v>
      </c>
      <c r="AR146" s="13">
        <f>AR8</f>
        <v>0</v>
      </c>
      <c r="AT146" s="15">
        <f>AN9</f>
        <v>0</v>
      </c>
      <c r="AU146" s="8">
        <f>AO9</f>
        <v>0</v>
      </c>
      <c r="AV146" s="6">
        <f>AP9</f>
        <v>0</v>
      </c>
      <c r="AW146" s="6">
        <f>AQ9</f>
        <v>0</v>
      </c>
      <c r="AX146" s="13">
        <f>AR9</f>
        <v>0</v>
      </c>
      <c r="AZ146" s="15">
        <f>AN10</f>
        <v>0</v>
      </c>
      <c r="BA146" s="8">
        <f>AO10</f>
        <v>0</v>
      </c>
      <c r="BB146" s="6">
        <f>AP10</f>
        <v>0</v>
      </c>
      <c r="BC146" s="6">
        <f>AQ10</f>
        <v>0</v>
      </c>
      <c r="BD146" s="13">
        <f>AR10</f>
        <v>0</v>
      </c>
      <c r="BF146" s="15">
        <f>AN11</f>
        <v>0</v>
      </c>
      <c r="BG146" s="8">
        <f>AO11</f>
        <v>0</v>
      </c>
      <c r="BH146" s="6">
        <f>AP11</f>
        <v>0</v>
      </c>
      <c r="BI146" s="6">
        <f>AQ11</f>
        <v>0</v>
      </c>
      <c r="BJ146" s="13">
        <f>AR11</f>
        <v>0</v>
      </c>
    </row>
    <row r="147" spans="1:62" ht="15.75" thickBot="1" x14ac:dyDescent="0.3">
      <c r="A147" s="8">
        <v>325</v>
      </c>
      <c r="B147" s="17">
        <f t="shared" si="42"/>
        <v>0</v>
      </c>
      <c r="D147" s="9">
        <v>3000</v>
      </c>
      <c r="E147" s="17">
        <f>SUMIFS($J$14:$J$113,$H$14:$H$113,$D$144,$I$14:$I$113,D147)</f>
        <v>0</v>
      </c>
      <c r="G147" s="31">
        <v>2000</v>
      </c>
      <c r="H147" s="17">
        <f>SUMIFS($J$14:$J$113,$H$14:$H$113,$G$144,$I$14:$I$113,G147)</f>
        <v>0</v>
      </c>
      <c r="J147" s="165"/>
      <c r="K147" s="166"/>
      <c r="M147" s="165"/>
      <c r="N147" s="166"/>
      <c r="P147" s="165"/>
      <c r="Q147" s="166"/>
      <c r="S147" s="16">
        <v>500</v>
      </c>
      <c r="T147" s="11">
        <f t="shared" ref="T147:U154" si="43">SUMIFS($J$14:$J$113,$I$14:$I$113,$S147,$K$14:$K$113,T$145,$H$14:$H$113,$T$144)</f>
        <v>0</v>
      </c>
      <c r="U147" s="11">
        <f t="shared" si="43"/>
        <v>0</v>
      </c>
      <c r="V147" s="16">
        <f t="shared" ref="V147:V154" si="44">SUM(T147:U147)*S147</f>
        <v>0</v>
      </c>
      <c r="W147" s="16">
        <f t="shared" ref="W147:W154" si="45">T147+U147</f>
        <v>0</v>
      </c>
      <c r="AA147" s="167" t="s">
        <v>37</v>
      </c>
      <c r="AB147" s="167"/>
      <c r="AC147" s="167"/>
      <c r="AD147" s="167" t="s">
        <v>113</v>
      </c>
      <c r="AE147" s="167"/>
      <c r="AF147" s="167"/>
      <c r="AH147" s="15">
        <f>AT7</f>
        <v>0</v>
      </c>
      <c r="AI147" s="8">
        <f>AU7</f>
        <v>0</v>
      </c>
      <c r="AJ147" s="6">
        <f>AV7</f>
        <v>0</v>
      </c>
      <c r="AK147" s="6">
        <f>AW7</f>
        <v>0</v>
      </c>
      <c r="AL147" s="13">
        <f>AX7</f>
        <v>0</v>
      </c>
      <c r="AN147" s="15">
        <f>AT8</f>
        <v>0</v>
      </c>
      <c r="AO147" s="8">
        <f>AU8</f>
        <v>0</v>
      </c>
      <c r="AP147" s="6">
        <f>AV8</f>
        <v>0</v>
      </c>
      <c r="AQ147" s="6">
        <f>AW8</f>
        <v>0</v>
      </c>
      <c r="AR147" s="13">
        <f>AX8</f>
        <v>0</v>
      </c>
      <c r="AT147" s="15">
        <f>AT9</f>
        <v>0</v>
      </c>
      <c r="AU147" s="8">
        <f>AU9</f>
        <v>0</v>
      </c>
      <c r="AV147" s="6">
        <f>AV9</f>
        <v>0</v>
      </c>
      <c r="AW147" s="6">
        <f>AW9</f>
        <v>0</v>
      </c>
      <c r="AX147" s="13">
        <f>AX9</f>
        <v>0</v>
      </c>
      <c r="AZ147" s="15">
        <f>AT10</f>
        <v>0</v>
      </c>
      <c r="BA147" s="8">
        <f>AU10</f>
        <v>0</v>
      </c>
      <c r="BB147" s="6">
        <f>AV10</f>
        <v>0</v>
      </c>
      <c r="BC147" s="6">
        <f>AW10</f>
        <v>0</v>
      </c>
      <c r="BD147" s="13">
        <f>AX10</f>
        <v>0</v>
      </c>
      <c r="BF147" s="15">
        <f>AT11</f>
        <v>0</v>
      </c>
      <c r="BG147" s="8">
        <f>AU11</f>
        <v>0</v>
      </c>
      <c r="BH147" s="6">
        <f>AV11</f>
        <v>0</v>
      </c>
      <c r="BI147" s="6">
        <f>AW11</f>
        <v>0</v>
      </c>
      <c r="BJ147" s="13">
        <f>AX11</f>
        <v>0</v>
      </c>
    </row>
    <row r="148" spans="1:62" ht="15.75" thickBot="1" x14ac:dyDescent="0.3">
      <c r="A148" s="8">
        <v>400</v>
      </c>
      <c r="B148" s="17">
        <f t="shared" si="42"/>
        <v>0</v>
      </c>
      <c r="D148" s="60" t="s">
        <v>24</v>
      </c>
      <c r="E148" s="62">
        <f>SUMPRODUCT(D146:D147,E146:E147)</f>
        <v>0</v>
      </c>
      <c r="G148" s="60" t="s">
        <v>24</v>
      </c>
      <c r="H148" s="62">
        <f>SUMPRODUCT(G146:G147,H146:H147)</f>
        <v>0</v>
      </c>
      <c r="J148" s="60" t="s">
        <v>29</v>
      </c>
      <c r="K148" s="62" t="s">
        <v>102</v>
      </c>
      <c r="M148" s="60" t="s">
        <v>29</v>
      </c>
      <c r="N148" s="62" t="s">
        <v>102</v>
      </c>
      <c r="P148" s="60" t="s">
        <v>29</v>
      </c>
      <c r="Q148" s="62" t="s">
        <v>102</v>
      </c>
      <c r="S148" s="15">
        <v>750</v>
      </c>
      <c r="T148" s="11">
        <f t="shared" si="43"/>
        <v>0</v>
      </c>
      <c r="U148" s="11">
        <f t="shared" si="43"/>
        <v>0</v>
      </c>
      <c r="V148" s="16">
        <f t="shared" si="44"/>
        <v>0</v>
      </c>
      <c r="W148" s="16">
        <f t="shared" si="45"/>
        <v>0</v>
      </c>
      <c r="AA148" s="167" t="str">
        <f>"TANKS: " &amp; SUM(B128:AE128,B146:B151,E146:E147,H146:H147,B142:AE142,W155)</f>
        <v>TANKS: 48</v>
      </c>
      <c r="AB148" s="167"/>
      <c r="AC148" s="167"/>
      <c r="AD148" s="167" t="str">
        <f>"LTRS: " &amp;SUM(AF128,B152,E148,H148,AF142,V155)</f>
        <v>LTRS: 39500</v>
      </c>
      <c r="AE148" s="167"/>
      <c r="AF148" s="167"/>
      <c r="AH148" s="15">
        <f>AZ7</f>
        <v>0</v>
      </c>
      <c r="AI148" s="8">
        <f>BA7</f>
        <v>0</v>
      </c>
      <c r="AJ148" s="6">
        <f>BB7</f>
        <v>0</v>
      </c>
      <c r="AK148" s="6">
        <f>BC7</f>
        <v>0</v>
      </c>
      <c r="AL148" s="13">
        <f>BD7</f>
        <v>0</v>
      </c>
      <c r="AN148" s="15">
        <f>AZ8</f>
        <v>0</v>
      </c>
      <c r="AO148" s="8">
        <f>BA8</f>
        <v>0</v>
      </c>
      <c r="AP148" s="6">
        <f>BB8</f>
        <v>0</v>
      </c>
      <c r="AQ148" s="6">
        <f>BC8</f>
        <v>0</v>
      </c>
      <c r="AR148" s="13">
        <f>BD8</f>
        <v>0</v>
      </c>
      <c r="AT148" s="15">
        <f>AZ9</f>
        <v>0</v>
      </c>
      <c r="AU148" s="8">
        <f>BA9</f>
        <v>0</v>
      </c>
      <c r="AV148" s="6">
        <f>BB9</f>
        <v>0</v>
      </c>
      <c r="AW148" s="6">
        <f>BC9</f>
        <v>0</v>
      </c>
      <c r="AX148" s="13">
        <f>BD9</f>
        <v>0</v>
      </c>
      <c r="AZ148" s="15">
        <f>AZ10</f>
        <v>0</v>
      </c>
      <c r="BA148" s="8">
        <f>BA10</f>
        <v>0</v>
      </c>
      <c r="BB148" s="6">
        <f>BB10</f>
        <v>0</v>
      </c>
      <c r="BC148" s="6">
        <f>BC10</f>
        <v>0</v>
      </c>
      <c r="BD148" s="13">
        <f>BD10</f>
        <v>0</v>
      </c>
      <c r="BF148" s="15">
        <f>AZ11</f>
        <v>0</v>
      </c>
      <c r="BG148" s="8">
        <f>BA11</f>
        <v>0</v>
      </c>
      <c r="BH148" s="6">
        <f>BB11</f>
        <v>0</v>
      </c>
      <c r="BI148" s="6">
        <f>BC11</f>
        <v>0</v>
      </c>
      <c r="BJ148" s="13">
        <f>BD11</f>
        <v>0</v>
      </c>
    </row>
    <row r="149" spans="1:62" x14ac:dyDescent="0.25">
      <c r="A149" s="8">
        <v>500</v>
      </c>
      <c r="B149" s="17">
        <f t="shared" si="42"/>
        <v>0</v>
      </c>
      <c r="J149" s="10" t="s">
        <v>17</v>
      </c>
      <c r="K149" s="17">
        <f>SUMIFS($J$14:$J$113,$H$14:$H$113,"CAP16_1",$K$14:$K$113,J149)</f>
        <v>0</v>
      </c>
      <c r="M149" s="10" t="s">
        <v>17</v>
      </c>
      <c r="N149" s="17">
        <f>SUMIFS($J$14:$J$113,$H$14:$H$113,"CAP16_2",$K$14:$K$113,M149)</f>
        <v>0</v>
      </c>
      <c r="P149" s="10" t="s">
        <v>17</v>
      </c>
      <c r="Q149" s="17">
        <f>SUMIFS($J$14:$J$113,$H$14:$H$113,"CAP19",$K$14:$K$113,P149)</f>
        <v>0</v>
      </c>
      <c r="S149" s="15">
        <v>1000</v>
      </c>
      <c r="T149" s="11">
        <f t="shared" si="43"/>
        <v>0</v>
      </c>
      <c r="U149" s="11">
        <f t="shared" si="43"/>
        <v>0</v>
      </c>
      <c r="V149" s="16">
        <f t="shared" si="44"/>
        <v>0</v>
      </c>
      <c r="W149" s="16">
        <f t="shared" si="45"/>
        <v>0</v>
      </c>
      <c r="AA149" s="167" t="s">
        <v>76</v>
      </c>
      <c r="AB149" s="167"/>
      <c r="AC149" s="167"/>
      <c r="AD149" s="176">
        <f>D114</f>
        <v>46008</v>
      </c>
      <c r="AE149" s="176"/>
      <c r="AF149" s="176"/>
      <c r="AH149" s="15">
        <f>BF7</f>
        <v>0</v>
      </c>
      <c r="AI149" s="8">
        <f>BG7</f>
        <v>0</v>
      </c>
      <c r="AJ149" s="6">
        <f>BH7</f>
        <v>0</v>
      </c>
      <c r="AK149" s="6">
        <f>BI7</f>
        <v>0</v>
      </c>
      <c r="AL149" s="13">
        <f>BJ7</f>
        <v>0</v>
      </c>
      <c r="AN149" s="15">
        <f>BF8</f>
        <v>0</v>
      </c>
      <c r="AO149" s="8">
        <f>BG8</f>
        <v>0</v>
      </c>
      <c r="AP149" s="6">
        <f>BH8</f>
        <v>0</v>
      </c>
      <c r="AQ149" s="6">
        <f>BI8</f>
        <v>0</v>
      </c>
      <c r="AR149" s="13">
        <f>BJ8</f>
        <v>0</v>
      </c>
      <c r="AT149" s="15">
        <f>BF9</f>
        <v>0</v>
      </c>
      <c r="AU149" s="8">
        <f>BG9</f>
        <v>0</v>
      </c>
      <c r="AV149" s="6">
        <f>BH9</f>
        <v>0</v>
      </c>
      <c r="AW149" s="6">
        <f>BI9</f>
        <v>0</v>
      </c>
      <c r="AX149" s="13">
        <f>BJ9</f>
        <v>0</v>
      </c>
      <c r="AZ149" s="15">
        <f>BF10</f>
        <v>0</v>
      </c>
      <c r="BA149" s="8">
        <f>BG10</f>
        <v>0</v>
      </c>
      <c r="BB149" s="6">
        <f>BH10</f>
        <v>0</v>
      </c>
      <c r="BC149" s="6">
        <f>BI10</f>
        <v>0</v>
      </c>
      <c r="BD149" s="13">
        <f>BJ10</f>
        <v>0</v>
      </c>
      <c r="BF149" s="15">
        <f>BF11</f>
        <v>0</v>
      </c>
      <c r="BG149" s="8">
        <f>BG11</f>
        <v>0</v>
      </c>
      <c r="BH149" s="6">
        <f>BH11</f>
        <v>0</v>
      </c>
      <c r="BI149" s="6">
        <f>BI11</f>
        <v>0</v>
      </c>
      <c r="BJ149" s="13">
        <f>BJ11</f>
        <v>0</v>
      </c>
    </row>
    <row r="150" spans="1:62" ht="15.75" thickBot="1" x14ac:dyDescent="0.3">
      <c r="A150" s="8">
        <v>750</v>
      </c>
      <c r="B150" s="17">
        <f t="shared" si="42"/>
        <v>0</v>
      </c>
      <c r="J150" s="8" t="s">
        <v>19</v>
      </c>
      <c r="K150" s="17">
        <f t="shared" ref="K150:K153" si="46">SUMIFS($J$14:$J$113,$H$14:$H$113,"CAP16_1",$K$14:$K$113,J150)</f>
        <v>0</v>
      </c>
      <c r="M150" s="8" t="s">
        <v>19</v>
      </c>
      <c r="N150" s="17">
        <f t="shared" ref="N150:N153" si="47">SUMIFS($J$14:$J$113,$H$14:$H$113,"CAP16_2",$K$14:$K$113,M150)</f>
        <v>0</v>
      </c>
      <c r="P150" s="8" t="s">
        <v>19</v>
      </c>
      <c r="Q150" s="17">
        <f t="shared" ref="Q150:Q153" si="48">SUMIFS($J$14:$J$113,$H$14:$H$113,"CAP19",$K$14:$K$113,P150)</f>
        <v>0</v>
      </c>
      <c r="S150" s="15">
        <v>1500</v>
      </c>
      <c r="T150" s="11">
        <f t="shared" si="43"/>
        <v>0</v>
      </c>
      <c r="U150" s="11">
        <f t="shared" si="43"/>
        <v>0</v>
      </c>
      <c r="V150" s="16">
        <f t="shared" si="44"/>
        <v>0</v>
      </c>
      <c r="W150" s="16">
        <f t="shared" si="45"/>
        <v>0</v>
      </c>
      <c r="AH150" s="59">
        <f>BL7</f>
        <v>0</v>
      </c>
      <c r="AI150" s="31">
        <f>BM7</f>
        <v>0</v>
      </c>
      <c r="AJ150" s="32">
        <f>BN7</f>
        <v>0</v>
      </c>
      <c r="AK150" s="32">
        <f>BO7</f>
        <v>0</v>
      </c>
      <c r="AL150" s="33">
        <f>BP7</f>
        <v>0</v>
      </c>
      <c r="AN150" s="59">
        <f>BL8</f>
        <v>0</v>
      </c>
      <c r="AO150" s="31">
        <f>BM8</f>
        <v>0</v>
      </c>
      <c r="AP150" s="32">
        <f>BN8</f>
        <v>0</v>
      </c>
      <c r="AQ150" s="32">
        <f>BO8</f>
        <v>0</v>
      </c>
      <c r="AR150" s="33">
        <f>BP8</f>
        <v>0</v>
      </c>
      <c r="AT150" s="59">
        <f>BL9</f>
        <v>0</v>
      </c>
      <c r="AU150" s="31">
        <f>BM9</f>
        <v>0</v>
      </c>
      <c r="AV150" s="32">
        <f>BN9</f>
        <v>0</v>
      </c>
      <c r="AW150" s="32">
        <f>BO9</f>
        <v>0</v>
      </c>
      <c r="AX150" s="33">
        <f>BP9</f>
        <v>0</v>
      </c>
      <c r="AZ150" s="59">
        <f>BL10</f>
        <v>0</v>
      </c>
      <c r="BA150" s="31">
        <f>BM10</f>
        <v>0</v>
      </c>
      <c r="BB150" s="32">
        <f>BN10</f>
        <v>0</v>
      </c>
      <c r="BC150" s="32">
        <f>BO10</f>
        <v>0</v>
      </c>
      <c r="BD150" s="33">
        <f>BP10</f>
        <v>0</v>
      </c>
      <c r="BF150" s="59">
        <f>BL11</f>
        <v>0</v>
      </c>
      <c r="BG150" s="31">
        <f>BM11</f>
        <v>0</v>
      </c>
      <c r="BH150" s="32">
        <f>BN11</f>
        <v>0</v>
      </c>
      <c r="BI150" s="32">
        <f>BO11</f>
        <v>0</v>
      </c>
      <c r="BJ150" s="33">
        <f>BP11</f>
        <v>0</v>
      </c>
    </row>
    <row r="151" spans="1:62" ht="15.75" thickBot="1" x14ac:dyDescent="0.3">
      <c r="A151" s="9">
        <v>1000</v>
      </c>
      <c r="B151" s="17">
        <f t="shared" si="42"/>
        <v>0</v>
      </c>
      <c r="J151" s="8" t="s">
        <v>32</v>
      </c>
      <c r="K151" s="17">
        <f t="shared" si="46"/>
        <v>0</v>
      </c>
      <c r="M151" s="8" t="s">
        <v>32</v>
      </c>
      <c r="N151" s="17">
        <f t="shared" si="47"/>
        <v>0</v>
      </c>
      <c r="P151" s="8" t="s">
        <v>32</v>
      </c>
      <c r="Q151" s="17">
        <f t="shared" si="48"/>
        <v>0</v>
      </c>
      <c r="S151" s="15">
        <v>2000</v>
      </c>
      <c r="T151" s="11">
        <f t="shared" si="43"/>
        <v>0</v>
      </c>
      <c r="U151" s="11">
        <f t="shared" si="43"/>
        <v>0</v>
      </c>
      <c r="V151" s="16">
        <f t="shared" si="44"/>
        <v>0</v>
      </c>
      <c r="W151" s="16">
        <f t="shared" si="45"/>
        <v>0</v>
      </c>
      <c r="AH151" s="35">
        <f>C7</f>
        <v>0</v>
      </c>
      <c r="AI151" s="158">
        <f>SUM(AI141:AI150)</f>
        <v>0</v>
      </c>
      <c r="AJ151" s="159"/>
      <c r="AK151" s="158">
        <f>BT7</f>
        <v>0</v>
      </c>
      <c r="AL151" s="159"/>
      <c r="AN151" s="35">
        <f>C8</f>
        <v>0</v>
      </c>
      <c r="AO151" s="158">
        <f>SUM(AO141:AO150)</f>
        <v>0</v>
      </c>
      <c r="AP151" s="159"/>
      <c r="AQ151" s="158">
        <f>BT8</f>
        <v>0</v>
      </c>
      <c r="AR151" s="159"/>
      <c r="AT151" s="35">
        <f>C9</f>
        <v>0</v>
      </c>
      <c r="AU151" s="158">
        <f>SUM(AU141:AU150)</f>
        <v>0</v>
      </c>
      <c r="AV151" s="159"/>
      <c r="AW151" s="158">
        <f>BT9</f>
        <v>0</v>
      </c>
      <c r="AX151" s="159"/>
      <c r="AZ151" s="35">
        <f>C10</f>
        <v>0</v>
      </c>
      <c r="BA151" s="158">
        <f>SUM(BA141:BA150)</f>
        <v>0</v>
      </c>
      <c r="BB151" s="159"/>
      <c r="BC151" s="158">
        <f>BT10</f>
        <v>0</v>
      </c>
      <c r="BD151" s="159"/>
      <c r="BF151" s="35">
        <f>C11</f>
        <v>0</v>
      </c>
      <c r="BG151" s="158">
        <f>SUM(BG141:BG150)</f>
        <v>0</v>
      </c>
      <c r="BH151" s="159"/>
      <c r="BI151" s="158">
        <f>BT11</f>
        <v>0</v>
      </c>
      <c r="BJ151" s="159"/>
    </row>
    <row r="152" spans="1:62" ht="15.75" thickBot="1" x14ac:dyDescent="0.3">
      <c r="A152" s="60" t="s">
        <v>24</v>
      </c>
      <c r="B152" s="62">
        <f>SUMPRODUCT(A146:A151,B146:B151)</f>
        <v>0</v>
      </c>
      <c r="J152" s="8" t="s">
        <v>33</v>
      </c>
      <c r="K152" s="17">
        <f t="shared" si="46"/>
        <v>0</v>
      </c>
      <c r="M152" s="8" t="s">
        <v>33</v>
      </c>
      <c r="N152" s="17">
        <f t="shared" si="47"/>
        <v>0</v>
      </c>
      <c r="P152" s="8" t="s">
        <v>33</v>
      </c>
      <c r="Q152" s="17">
        <f t="shared" si="48"/>
        <v>0</v>
      </c>
      <c r="S152" s="15">
        <v>3000</v>
      </c>
      <c r="T152" s="11">
        <f t="shared" si="43"/>
        <v>0</v>
      </c>
      <c r="U152" s="11">
        <f t="shared" si="43"/>
        <v>0</v>
      </c>
      <c r="V152" s="16">
        <f t="shared" si="44"/>
        <v>0</v>
      </c>
      <c r="W152" s="16">
        <f t="shared" si="45"/>
        <v>0</v>
      </c>
      <c r="AH152" s="35" t="s">
        <v>25</v>
      </c>
      <c r="AI152" s="158">
        <f>A7</f>
        <v>0</v>
      </c>
      <c r="AJ152" s="160"/>
      <c r="AK152" s="158">
        <f>BR7</f>
        <v>0</v>
      </c>
      <c r="AL152" s="159"/>
      <c r="AN152" s="35" t="s">
        <v>25</v>
      </c>
      <c r="AO152" s="158">
        <f>A8</f>
        <v>0</v>
      </c>
      <c r="AP152" s="160"/>
      <c r="AQ152" s="158">
        <f>BR8</f>
        <v>0</v>
      </c>
      <c r="AR152" s="159"/>
      <c r="AT152" s="35" t="s">
        <v>25</v>
      </c>
      <c r="AU152" s="158">
        <f>A9</f>
        <v>0</v>
      </c>
      <c r="AV152" s="160"/>
      <c r="AW152" s="158">
        <f>BR9</f>
        <v>0</v>
      </c>
      <c r="AX152" s="159"/>
      <c r="AZ152" s="35" t="s">
        <v>25</v>
      </c>
      <c r="BA152" s="158">
        <f>A10</f>
        <v>0</v>
      </c>
      <c r="BB152" s="160"/>
      <c r="BC152" s="158">
        <f>BR10</f>
        <v>0</v>
      </c>
      <c r="BD152" s="159"/>
      <c r="BF152" s="35" t="s">
        <v>25</v>
      </c>
      <c r="BG152" s="158">
        <f>A11</f>
        <v>0</v>
      </c>
      <c r="BH152" s="160"/>
      <c r="BI152" s="158">
        <f>BR11</f>
        <v>0</v>
      </c>
      <c r="BJ152" s="159"/>
    </row>
    <row r="153" spans="1:62" ht="15.75" thickBot="1" x14ac:dyDescent="0.3">
      <c r="J153" s="9" t="s">
        <v>80</v>
      </c>
      <c r="K153" s="17">
        <f t="shared" si="46"/>
        <v>0</v>
      </c>
      <c r="M153" s="9" t="s">
        <v>80</v>
      </c>
      <c r="N153" s="17">
        <f t="shared" si="47"/>
        <v>0</v>
      </c>
      <c r="P153" s="9" t="s">
        <v>80</v>
      </c>
      <c r="Q153" s="17">
        <f t="shared" si="48"/>
        <v>0</v>
      </c>
      <c r="S153" s="15">
        <v>5000</v>
      </c>
      <c r="T153" s="11">
        <f t="shared" si="43"/>
        <v>0</v>
      </c>
      <c r="U153" s="11">
        <f t="shared" si="43"/>
        <v>0</v>
      </c>
      <c r="V153" s="16">
        <f t="shared" si="44"/>
        <v>0</v>
      </c>
      <c r="W153" s="16">
        <f t="shared" si="45"/>
        <v>0</v>
      </c>
      <c r="AH153" s="58" t="s">
        <v>130</v>
      </c>
      <c r="AI153" s="58" t="s">
        <v>131</v>
      </c>
      <c r="AJ153" s="58" t="s">
        <v>132</v>
      </c>
      <c r="AK153" s="58" t="s">
        <v>166</v>
      </c>
      <c r="AL153" s="58" t="s">
        <v>33</v>
      </c>
      <c r="AN153" s="58" t="s">
        <v>130</v>
      </c>
      <c r="AO153" s="58" t="s">
        <v>131</v>
      </c>
      <c r="AP153" s="58" t="s">
        <v>132</v>
      </c>
      <c r="AQ153" s="58" t="s">
        <v>166</v>
      </c>
      <c r="AR153" s="58" t="s">
        <v>33</v>
      </c>
      <c r="AT153" s="58" t="s">
        <v>130</v>
      </c>
      <c r="AU153" s="58" t="s">
        <v>131</v>
      </c>
      <c r="AV153" s="58" t="s">
        <v>132</v>
      </c>
      <c r="AW153" s="58" t="s">
        <v>166</v>
      </c>
      <c r="AX153" s="58" t="s">
        <v>33</v>
      </c>
      <c r="AZ153" s="58" t="s">
        <v>130</v>
      </c>
      <c r="BA153" s="58" t="s">
        <v>131</v>
      </c>
      <c r="BB153" s="58" t="s">
        <v>132</v>
      </c>
      <c r="BC153" s="58" t="s">
        <v>166</v>
      </c>
      <c r="BD153" s="58" t="s">
        <v>33</v>
      </c>
      <c r="BF153" s="58" t="s">
        <v>130</v>
      </c>
      <c r="BG153" s="58" t="s">
        <v>131</v>
      </c>
      <c r="BH153" s="58" t="s">
        <v>132</v>
      </c>
      <c r="BI153" s="58" t="s">
        <v>166</v>
      </c>
      <c r="BJ153" s="58" t="s">
        <v>33</v>
      </c>
    </row>
    <row r="154" spans="1:62" ht="15.75" thickBot="1" x14ac:dyDescent="0.3">
      <c r="J154" s="60" t="s">
        <v>24</v>
      </c>
      <c r="K154" s="62">
        <f>SUM(K149:K153)</f>
        <v>0</v>
      </c>
      <c r="M154" s="60" t="s">
        <v>24</v>
      </c>
      <c r="N154" s="62">
        <f>SUM(N149:N153)</f>
        <v>0</v>
      </c>
      <c r="P154" s="60" t="s">
        <v>24</v>
      </c>
      <c r="Q154" s="62">
        <f>SUM(Q149:Q153)</f>
        <v>0</v>
      </c>
      <c r="S154" s="59">
        <v>10000</v>
      </c>
      <c r="T154" s="11">
        <f t="shared" si="43"/>
        <v>0</v>
      </c>
      <c r="U154" s="11">
        <f t="shared" si="43"/>
        <v>0</v>
      </c>
      <c r="V154" s="16">
        <f t="shared" si="44"/>
        <v>0</v>
      </c>
      <c r="W154" s="16">
        <f t="shared" si="45"/>
        <v>0</v>
      </c>
      <c r="AH154" s="34" t="str">
        <f>AZ19</f>
        <v/>
      </c>
      <c r="AI154" s="34" t="str">
        <f>BA19</f>
        <v/>
      </c>
      <c r="AJ154" s="34" t="str">
        <f>BB19</f>
        <v/>
      </c>
      <c r="AK154" s="35" t="str">
        <f>BC19</f>
        <v/>
      </c>
      <c r="AL154" s="35" t="str">
        <f>BD19</f>
        <v/>
      </c>
      <c r="AN154" s="34" t="str">
        <f>AZ20</f>
        <v/>
      </c>
      <c r="AO154" s="34" t="str">
        <f>BA20</f>
        <v/>
      </c>
      <c r="AP154" s="34" t="str">
        <f>BB20</f>
        <v/>
      </c>
      <c r="AQ154" s="35" t="str">
        <f>BC20</f>
        <v/>
      </c>
      <c r="AR154" s="35" t="str">
        <f>BD20</f>
        <v/>
      </c>
      <c r="AT154" s="34" t="str">
        <f>AZ21</f>
        <v/>
      </c>
      <c r="AU154" s="34" t="str">
        <f>BA21</f>
        <v/>
      </c>
      <c r="AV154" s="34" t="str">
        <f>BB21</f>
        <v/>
      </c>
      <c r="AW154" s="35" t="str">
        <f>BC21</f>
        <v/>
      </c>
      <c r="AX154" s="35" t="str">
        <f>BD21</f>
        <v/>
      </c>
      <c r="AZ154" s="34" t="str">
        <f>AZ22</f>
        <v/>
      </c>
      <c r="BA154" s="34" t="str">
        <f>BA22</f>
        <v/>
      </c>
      <c r="BB154" s="34" t="str">
        <f>BB22</f>
        <v/>
      </c>
      <c r="BC154" s="35" t="str">
        <f>BC22</f>
        <v/>
      </c>
      <c r="BD154" s="35" t="str">
        <f>BD22</f>
        <v/>
      </c>
      <c r="BF154" s="34" t="str">
        <f>AZ23</f>
        <v/>
      </c>
      <c r="BG154" s="34" t="str">
        <f>BA23</f>
        <v/>
      </c>
      <c r="BH154" s="34" t="str">
        <f>BB23</f>
        <v/>
      </c>
      <c r="BI154" s="35" t="str">
        <f>BC23</f>
        <v/>
      </c>
      <c r="BJ154" s="35" t="str">
        <f>BD23</f>
        <v/>
      </c>
    </row>
    <row r="155" spans="1:62" ht="15.75" thickBot="1" x14ac:dyDescent="0.3">
      <c r="S155" s="35"/>
      <c r="T155" s="61">
        <f>SUM(T146:T154)</f>
        <v>0</v>
      </c>
      <c r="U155" s="61">
        <f t="shared" ref="U155:W155" si="49">SUM(U146:U154)</f>
        <v>0</v>
      </c>
      <c r="V155" s="35">
        <f t="shared" si="49"/>
        <v>0</v>
      </c>
      <c r="W155" s="35">
        <f t="shared" si="49"/>
        <v>0</v>
      </c>
      <c r="AH155" s="58" t="s">
        <v>22</v>
      </c>
      <c r="AI155" s="58" t="s">
        <v>20</v>
      </c>
      <c r="AJ155" s="58" t="s">
        <v>34</v>
      </c>
      <c r="AK155" s="58" t="s">
        <v>127</v>
      </c>
      <c r="AL155" s="58" t="s">
        <v>129</v>
      </c>
      <c r="AN155" s="58" t="s">
        <v>22</v>
      </c>
      <c r="AO155" s="58" t="s">
        <v>20</v>
      </c>
      <c r="AP155" s="58" t="s">
        <v>34</v>
      </c>
      <c r="AQ155" s="58" t="s">
        <v>127</v>
      </c>
      <c r="AR155" s="58" t="s">
        <v>129</v>
      </c>
      <c r="AT155" s="58" t="s">
        <v>22</v>
      </c>
      <c r="AU155" s="58" t="s">
        <v>20</v>
      </c>
      <c r="AV155" s="58" t="s">
        <v>34</v>
      </c>
      <c r="AW155" s="58" t="s">
        <v>127</v>
      </c>
      <c r="AX155" s="58" t="s">
        <v>129</v>
      </c>
      <c r="AZ155" s="58" t="s">
        <v>22</v>
      </c>
      <c r="BA155" s="58" t="s">
        <v>20</v>
      </c>
      <c r="BB155" s="58" t="s">
        <v>34</v>
      </c>
      <c r="BC155" s="58" t="s">
        <v>127</v>
      </c>
      <c r="BD155" s="58" t="s">
        <v>129</v>
      </c>
      <c r="BF155" s="58" t="s">
        <v>22</v>
      </c>
      <c r="BG155" s="58" t="s">
        <v>20</v>
      </c>
      <c r="BH155" s="58" t="s">
        <v>34</v>
      </c>
      <c r="BI155" s="58" t="s">
        <v>127</v>
      </c>
      <c r="BJ155" s="58" t="s">
        <v>129</v>
      </c>
    </row>
    <row r="156" spans="1:62" ht="15.75" thickBot="1" x14ac:dyDescent="0.3">
      <c r="AH156" s="34" t="str">
        <f>AU19</f>
        <v/>
      </c>
      <c r="AI156" s="34" t="str">
        <f>AV19</f>
        <v/>
      </c>
      <c r="AJ156" s="34" t="str">
        <f>AW19</f>
        <v/>
      </c>
      <c r="AK156" s="35" t="str">
        <f>AX19</f>
        <v/>
      </c>
      <c r="AL156" s="35" t="str">
        <f>AY19</f>
        <v/>
      </c>
      <c r="AN156" s="34" t="str">
        <f>AU20</f>
        <v/>
      </c>
      <c r="AO156" s="34" t="str">
        <f>AV20</f>
        <v/>
      </c>
      <c r="AP156" s="34" t="str">
        <f>AW20</f>
        <v/>
      </c>
      <c r="AQ156" s="35" t="str">
        <f>AX20</f>
        <v/>
      </c>
      <c r="AR156" s="35" t="str">
        <f>AY20</f>
        <v/>
      </c>
      <c r="AT156" s="34" t="str">
        <f>AU21</f>
        <v/>
      </c>
      <c r="AU156" s="34" t="str">
        <f>AV21</f>
        <v/>
      </c>
      <c r="AV156" s="34" t="str">
        <f>AW21</f>
        <v/>
      </c>
      <c r="AW156" s="35" t="str">
        <f>AX21</f>
        <v/>
      </c>
      <c r="AX156" s="35" t="str">
        <f>AY21</f>
        <v/>
      </c>
      <c r="AZ156" s="34" t="str">
        <f>AU22</f>
        <v/>
      </c>
      <c r="BA156" s="34" t="str">
        <f>AV22</f>
        <v/>
      </c>
      <c r="BB156" s="34" t="str">
        <f>AW22</f>
        <v/>
      </c>
      <c r="BC156" s="35" t="str">
        <f>AX22</f>
        <v/>
      </c>
      <c r="BD156" s="35" t="str">
        <f>AY22</f>
        <v/>
      </c>
      <c r="BF156" s="34" t="str">
        <f>AU23</f>
        <v/>
      </c>
      <c r="BG156" s="34" t="str">
        <f>AV23</f>
        <v/>
      </c>
      <c r="BH156" s="34" t="str">
        <f>AW23</f>
        <v/>
      </c>
      <c r="BI156" s="35" t="str">
        <f>AX23</f>
        <v/>
      </c>
      <c r="BJ156" s="35" t="str">
        <f>AY23</f>
        <v/>
      </c>
    </row>
    <row r="157" spans="1:62" ht="13.7" customHeight="1" thickBot="1" x14ac:dyDescent="0.3"/>
    <row r="158" spans="1:62" ht="15.75" thickBot="1" x14ac:dyDescent="0.3">
      <c r="AH158" s="149" t="s">
        <v>37</v>
      </c>
      <c r="AI158" s="150"/>
      <c r="AJ158" s="150"/>
      <c r="AK158" s="151" t="str">
        <f>AD147</f>
        <v>KA41C4059</v>
      </c>
      <c r="AL158" s="151"/>
      <c r="AM158" s="152"/>
      <c r="AN158" s="157" t="str">
        <f>AA148</f>
        <v>TANKS: 48</v>
      </c>
      <c r="AO158" s="153"/>
      <c r="AP158" s="153" t="str">
        <f>AD148</f>
        <v>LTRS: 39500</v>
      </c>
      <c r="AQ158" s="153"/>
      <c r="AR158" s="154"/>
      <c r="AS158" s="150" t="s">
        <v>76</v>
      </c>
      <c r="AT158" s="150"/>
      <c r="AU158" s="155">
        <f>AD149</f>
        <v>46008</v>
      </c>
      <c r="AV158" s="155"/>
      <c r="AW158" s="156"/>
    </row>
    <row r="159" spans="1:62" ht="13.7" customHeight="1" x14ac:dyDescent="0.25"/>
    <row r="160" spans="1:62" ht="13.7" customHeight="1" thickBot="1" x14ac:dyDescent="0.3"/>
    <row r="161" spans="1:52" ht="13.7" customHeight="1" x14ac:dyDescent="0.25">
      <c r="A161" s="123" t="s">
        <v>31</v>
      </c>
      <c r="B161" s="113" t="s">
        <v>84</v>
      </c>
      <c r="C161" s="115"/>
      <c r="D161" s="113" t="s">
        <v>22</v>
      </c>
      <c r="E161" s="114"/>
      <c r="F161" s="114"/>
      <c r="G161" s="114"/>
      <c r="H161" s="115"/>
      <c r="I161" s="113" t="s">
        <v>20</v>
      </c>
      <c r="J161" s="114"/>
      <c r="K161" s="114"/>
      <c r="L161" s="114"/>
      <c r="M161" s="115"/>
      <c r="N161" s="113" t="s">
        <v>34</v>
      </c>
      <c r="O161" s="114"/>
      <c r="P161" s="114"/>
      <c r="Q161" s="114"/>
      <c r="R161" s="115"/>
      <c r="S161" s="113" t="s">
        <v>127</v>
      </c>
      <c r="T161" s="114"/>
      <c r="U161" s="114"/>
      <c r="V161" s="114"/>
      <c r="W161" s="115"/>
      <c r="X161" s="113" t="s">
        <v>129</v>
      </c>
      <c r="Y161" s="114"/>
      <c r="Z161" s="114"/>
      <c r="AA161" s="114"/>
      <c r="AB161" s="115"/>
      <c r="AC161" s="113" t="s">
        <v>26</v>
      </c>
      <c r="AD161" s="114"/>
      <c r="AE161" s="114"/>
      <c r="AF161" s="114"/>
      <c r="AG161" s="115"/>
      <c r="AH161" s="116" t="s">
        <v>24</v>
      </c>
      <c r="AI161" s="116" t="s">
        <v>86</v>
      </c>
      <c r="AJ161" s="81"/>
    </row>
    <row r="162" spans="1:52" ht="13.7" customHeight="1" thickBot="1" x14ac:dyDescent="0.3">
      <c r="A162" s="124"/>
      <c r="B162" s="12" t="s">
        <v>17</v>
      </c>
      <c r="C162" s="12" t="s">
        <v>19</v>
      </c>
      <c r="D162" s="9" t="s">
        <v>32</v>
      </c>
      <c r="E162" s="12" t="s">
        <v>17</v>
      </c>
      <c r="F162" s="12" t="s">
        <v>19</v>
      </c>
      <c r="G162" s="12" t="s">
        <v>33</v>
      </c>
      <c r="H162" s="14" t="s">
        <v>80</v>
      </c>
      <c r="I162" s="9" t="s">
        <v>32</v>
      </c>
      <c r="J162" s="12" t="s">
        <v>17</v>
      </c>
      <c r="K162" s="12" t="s">
        <v>19</v>
      </c>
      <c r="L162" s="12" t="s">
        <v>33</v>
      </c>
      <c r="M162" s="14" t="s">
        <v>80</v>
      </c>
      <c r="N162" s="9" t="s">
        <v>32</v>
      </c>
      <c r="O162" s="12" t="s">
        <v>17</v>
      </c>
      <c r="P162" s="12" t="s">
        <v>19</v>
      </c>
      <c r="Q162" s="12" t="s">
        <v>33</v>
      </c>
      <c r="R162" s="14" t="s">
        <v>80</v>
      </c>
      <c r="S162" s="9" t="s">
        <v>32</v>
      </c>
      <c r="T162" s="12" t="s">
        <v>17</v>
      </c>
      <c r="U162" s="12" t="s">
        <v>19</v>
      </c>
      <c r="V162" s="12" t="s">
        <v>33</v>
      </c>
      <c r="W162" s="14" t="s">
        <v>80</v>
      </c>
      <c r="X162" s="9" t="s">
        <v>32</v>
      </c>
      <c r="Y162" s="12" t="s">
        <v>17</v>
      </c>
      <c r="Z162" s="12" t="s">
        <v>19</v>
      </c>
      <c r="AA162" s="12" t="s">
        <v>33</v>
      </c>
      <c r="AB162" s="14" t="s">
        <v>80</v>
      </c>
      <c r="AC162" s="9" t="s">
        <v>32</v>
      </c>
      <c r="AD162" s="12" t="s">
        <v>17</v>
      </c>
      <c r="AE162" s="12" t="s">
        <v>19</v>
      </c>
      <c r="AF162" s="12" t="s">
        <v>33</v>
      </c>
      <c r="AG162" s="14" t="s">
        <v>80</v>
      </c>
      <c r="AH162" s="117"/>
      <c r="AI162" s="117"/>
      <c r="AJ162" s="81"/>
    </row>
    <row r="163" spans="1:52" ht="13.7" customHeight="1" x14ac:dyDescent="0.25">
      <c r="A163" s="16">
        <v>300</v>
      </c>
      <c r="B163" s="11">
        <f>T146</f>
        <v>0</v>
      </c>
      <c r="C163" s="11">
        <f>U146</f>
        <v>0</v>
      </c>
      <c r="D163" s="10">
        <f>B119+B133</f>
        <v>0</v>
      </c>
      <c r="E163" s="11">
        <f t="shared" ref="E163:AG171" si="50">C119+C133</f>
        <v>0</v>
      </c>
      <c r="F163" s="11">
        <f t="shared" si="50"/>
        <v>0</v>
      </c>
      <c r="G163" s="11">
        <f t="shared" si="50"/>
        <v>0</v>
      </c>
      <c r="H163" s="17">
        <f t="shared" si="50"/>
        <v>0</v>
      </c>
      <c r="I163" s="10">
        <f t="shared" si="50"/>
        <v>0</v>
      </c>
      <c r="J163" s="11">
        <f t="shared" si="50"/>
        <v>0</v>
      </c>
      <c r="K163" s="11">
        <f t="shared" si="50"/>
        <v>0</v>
      </c>
      <c r="L163" s="11">
        <f t="shared" si="50"/>
        <v>0</v>
      </c>
      <c r="M163" s="17">
        <f t="shared" si="50"/>
        <v>0</v>
      </c>
      <c r="N163" s="10">
        <f t="shared" si="50"/>
        <v>0</v>
      </c>
      <c r="O163" s="11">
        <f t="shared" si="50"/>
        <v>0</v>
      </c>
      <c r="P163" s="11">
        <f t="shared" si="50"/>
        <v>0</v>
      </c>
      <c r="Q163" s="11">
        <f t="shared" si="50"/>
        <v>0</v>
      </c>
      <c r="R163" s="17">
        <f t="shared" si="50"/>
        <v>0</v>
      </c>
      <c r="S163" s="10">
        <f t="shared" si="50"/>
        <v>0</v>
      </c>
      <c r="T163" s="11">
        <f t="shared" si="50"/>
        <v>0</v>
      </c>
      <c r="U163" s="11">
        <f t="shared" si="50"/>
        <v>0</v>
      </c>
      <c r="V163" s="11">
        <f t="shared" si="50"/>
        <v>0</v>
      </c>
      <c r="W163" s="17">
        <f t="shared" si="50"/>
        <v>0</v>
      </c>
      <c r="X163" s="10">
        <f t="shared" si="50"/>
        <v>0</v>
      </c>
      <c r="Y163" s="11">
        <f t="shared" si="50"/>
        <v>0</v>
      </c>
      <c r="Z163" s="11">
        <f t="shared" si="50"/>
        <v>0</v>
      </c>
      <c r="AA163" s="11">
        <f t="shared" si="50"/>
        <v>0</v>
      </c>
      <c r="AB163" s="17">
        <f t="shared" si="50"/>
        <v>0</v>
      </c>
      <c r="AC163" s="10">
        <f t="shared" si="50"/>
        <v>0</v>
      </c>
      <c r="AD163" s="11">
        <f t="shared" si="50"/>
        <v>0</v>
      </c>
      <c r="AE163" s="11">
        <f t="shared" si="50"/>
        <v>0</v>
      </c>
      <c r="AF163" s="11">
        <f t="shared" si="50"/>
        <v>0</v>
      </c>
      <c r="AG163" s="17">
        <f t="shared" si="50"/>
        <v>0</v>
      </c>
      <c r="AH163" s="16">
        <f>SUM(D163:AG163)*A163</f>
        <v>0</v>
      </c>
      <c r="AI163" s="16">
        <f>SUM(D163:AG163)</f>
        <v>0</v>
      </c>
      <c r="AJ163" s="82"/>
    </row>
    <row r="164" spans="1:52" ht="13.7" customHeight="1" x14ac:dyDescent="0.25">
      <c r="A164" s="16">
        <v>500</v>
      </c>
      <c r="B164" s="11">
        <f t="shared" ref="B164:C171" si="51">T147</f>
        <v>0</v>
      </c>
      <c r="C164" s="11">
        <f t="shared" si="51"/>
        <v>0</v>
      </c>
      <c r="D164" s="10">
        <f t="shared" ref="D164:D171" si="52">B120+B134</f>
        <v>0</v>
      </c>
      <c r="E164" s="11">
        <f t="shared" si="50"/>
        <v>20</v>
      </c>
      <c r="F164" s="11">
        <f t="shared" si="50"/>
        <v>0</v>
      </c>
      <c r="G164" s="11">
        <f t="shared" si="50"/>
        <v>0</v>
      </c>
      <c r="H164" s="17">
        <f t="shared" si="50"/>
        <v>0</v>
      </c>
      <c r="I164" s="10">
        <f t="shared" si="50"/>
        <v>0</v>
      </c>
      <c r="J164" s="11">
        <f t="shared" si="50"/>
        <v>0</v>
      </c>
      <c r="K164" s="11">
        <f t="shared" si="50"/>
        <v>0</v>
      </c>
      <c r="L164" s="11">
        <f t="shared" si="50"/>
        <v>0</v>
      </c>
      <c r="M164" s="17">
        <f t="shared" si="50"/>
        <v>0</v>
      </c>
      <c r="N164" s="10">
        <f t="shared" si="50"/>
        <v>0</v>
      </c>
      <c r="O164" s="11">
        <f t="shared" si="50"/>
        <v>0</v>
      </c>
      <c r="P164" s="11">
        <f t="shared" si="50"/>
        <v>0</v>
      </c>
      <c r="Q164" s="11">
        <f t="shared" si="50"/>
        <v>0</v>
      </c>
      <c r="R164" s="17">
        <f t="shared" si="50"/>
        <v>0</v>
      </c>
      <c r="S164" s="10">
        <f t="shared" si="50"/>
        <v>0</v>
      </c>
      <c r="T164" s="11">
        <f t="shared" si="50"/>
        <v>0</v>
      </c>
      <c r="U164" s="11">
        <f t="shared" si="50"/>
        <v>0</v>
      </c>
      <c r="V164" s="11">
        <f t="shared" si="50"/>
        <v>0</v>
      </c>
      <c r="W164" s="17">
        <f t="shared" si="50"/>
        <v>0</v>
      </c>
      <c r="X164" s="10">
        <f t="shared" si="50"/>
        <v>0</v>
      </c>
      <c r="Y164" s="11">
        <f t="shared" si="50"/>
        <v>0</v>
      </c>
      <c r="Z164" s="11">
        <f t="shared" si="50"/>
        <v>0</v>
      </c>
      <c r="AA164" s="11">
        <f t="shared" si="50"/>
        <v>0</v>
      </c>
      <c r="AB164" s="17">
        <f t="shared" si="50"/>
        <v>0</v>
      </c>
      <c r="AC164" s="10">
        <f t="shared" si="50"/>
        <v>0</v>
      </c>
      <c r="AD164" s="11">
        <f t="shared" si="50"/>
        <v>0</v>
      </c>
      <c r="AE164" s="11">
        <f t="shared" si="50"/>
        <v>0</v>
      </c>
      <c r="AF164" s="11">
        <f t="shared" si="50"/>
        <v>0</v>
      </c>
      <c r="AG164" s="17">
        <f t="shared" si="50"/>
        <v>0</v>
      </c>
      <c r="AH164" s="16">
        <f>SUM(D164:AG164)*A164</f>
        <v>10000</v>
      </c>
      <c r="AI164" s="16">
        <f t="shared" ref="AI164:AI172" si="53">SUM(D164:AG164)</f>
        <v>20</v>
      </c>
    </row>
    <row r="165" spans="1:52" ht="13.7" customHeight="1" x14ac:dyDescent="0.25">
      <c r="A165" s="15">
        <v>750</v>
      </c>
      <c r="B165" s="11">
        <f t="shared" si="51"/>
        <v>0</v>
      </c>
      <c r="C165" s="11">
        <f t="shared" si="51"/>
        <v>0</v>
      </c>
      <c r="D165" s="8">
        <f t="shared" si="52"/>
        <v>0</v>
      </c>
      <c r="E165" s="6">
        <f t="shared" si="50"/>
        <v>10</v>
      </c>
      <c r="F165" s="6">
        <f t="shared" si="50"/>
        <v>0</v>
      </c>
      <c r="G165" s="6">
        <f t="shared" si="50"/>
        <v>0</v>
      </c>
      <c r="H165" s="13">
        <f t="shared" si="50"/>
        <v>0</v>
      </c>
      <c r="I165" s="8">
        <f t="shared" si="50"/>
        <v>0</v>
      </c>
      <c r="J165" s="6">
        <f t="shared" si="50"/>
        <v>0</v>
      </c>
      <c r="K165" s="6">
        <f t="shared" si="50"/>
        <v>0</v>
      </c>
      <c r="L165" s="6">
        <f t="shared" si="50"/>
        <v>0</v>
      </c>
      <c r="M165" s="13">
        <f t="shared" si="50"/>
        <v>0</v>
      </c>
      <c r="N165" s="8">
        <f t="shared" si="50"/>
        <v>0</v>
      </c>
      <c r="O165" s="6">
        <f t="shared" si="50"/>
        <v>0</v>
      </c>
      <c r="P165" s="6">
        <f t="shared" si="50"/>
        <v>0</v>
      </c>
      <c r="Q165" s="6">
        <f t="shared" si="50"/>
        <v>0</v>
      </c>
      <c r="R165" s="13">
        <f t="shared" si="50"/>
        <v>0</v>
      </c>
      <c r="S165" s="8">
        <f t="shared" si="50"/>
        <v>0</v>
      </c>
      <c r="T165" s="6">
        <f t="shared" si="50"/>
        <v>0</v>
      </c>
      <c r="U165" s="6">
        <f t="shared" si="50"/>
        <v>0</v>
      </c>
      <c r="V165" s="6">
        <f t="shared" si="50"/>
        <v>0</v>
      </c>
      <c r="W165" s="13">
        <f t="shared" si="50"/>
        <v>0</v>
      </c>
      <c r="X165" s="8">
        <f t="shared" si="50"/>
        <v>0</v>
      </c>
      <c r="Y165" s="6">
        <f t="shared" si="50"/>
        <v>0</v>
      </c>
      <c r="Z165" s="6">
        <f t="shared" si="50"/>
        <v>0</v>
      </c>
      <c r="AA165" s="6">
        <f t="shared" si="50"/>
        <v>0</v>
      </c>
      <c r="AB165" s="13">
        <f t="shared" si="50"/>
        <v>0</v>
      </c>
      <c r="AC165" s="8">
        <f t="shared" si="50"/>
        <v>0</v>
      </c>
      <c r="AD165" s="6">
        <f t="shared" si="50"/>
        <v>0</v>
      </c>
      <c r="AE165" s="6">
        <f t="shared" si="50"/>
        <v>0</v>
      </c>
      <c r="AF165" s="6">
        <f t="shared" si="50"/>
        <v>0</v>
      </c>
      <c r="AG165" s="13">
        <f t="shared" si="50"/>
        <v>0</v>
      </c>
      <c r="AH165" s="16">
        <f>SUM(D165:AG165)*A165</f>
        <v>7500</v>
      </c>
      <c r="AI165" s="16">
        <f t="shared" si="53"/>
        <v>10</v>
      </c>
    </row>
    <row r="166" spans="1:52" ht="13.7" customHeight="1" x14ac:dyDescent="0.25">
      <c r="A166" s="15">
        <v>1000</v>
      </c>
      <c r="B166" s="11">
        <f t="shared" si="51"/>
        <v>0</v>
      </c>
      <c r="C166" s="11">
        <f t="shared" si="51"/>
        <v>0</v>
      </c>
      <c r="D166" s="8">
        <f t="shared" si="52"/>
        <v>0</v>
      </c>
      <c r="E166" s="6">
        <f t="shared" si="50"/>
        <v>10</v>
      </c>
      <c r="F166" s="6">
        <f t="shared" si="50"/>
        <v>0</v>
      </c>
      <c r="G166" s="6">
        <f t="shared" si="50"/>
        <v>0</v>
      </c>
      <c r="H166" s="13">
        <f t="shared" si="50"/>
        <v>0</v>
      </c>
      <c r="I166" s="8">
        <f t="shared" si="50"/>
        <v>0</v>
      </c>
      <c r="J166" s="6">
        <f t="shared" si="50"/>
        <v>0</v>
      </c>
      <c r="K166" s="6">
        <f t="shared" si="50"/>
        <v>0</v>
      </c>
      <c r="L166" s="6">
        <f t="shared" si="50"/>
        <v>0</v>
      </c>
      <c r="M166" s="13">
        <f t="shared" si="50"/>
        <v>0</v>
      </c>
      <c r="N166" s="8">
        <f t="shared" si="50"/>
        <v>0</v>
      </c>
      <c r="O166" s="6">
        <f t="shared" si="50"/>
        <v>0</v>
      </c>
      <c r="P166" s="6">
        <f t="shared" si="50"/>
        <v>0</v>
      </c>
      <c r="Q166" s="6">
        <f t="shared" si="50"/>
        <v>0</v>
      </c>
      <c r="R166" s="13">
        <f t="shared" si="50"/>
        <v>0</v>
      </c>
      <c r="S166" s="8">
        <f t="shared" si="50"/>
        <v>0</v>
      </c>
      <c r="T166" s="6">
        <f t="shared" si="50"/>
        <v>0</v>
      </c>
      <c r="U166" s="6">
        <f t="shared" si="50"/>
        <v>0</v>
      </c>
      <c r="V166" s="6">
        <f t="shared" si="50"/>
        <v>0</v>
      </c>
      <c r="W166" s="13">
        <f t="shared" si="50"/>
        <v>0</v>
      </c>
      <c r="X166" s="8">
        <f t="shared" si="50"/>
        <v>0</v>
      </c>
      <c r="Y166" s="6">
        <f t="shared" si="50"/>
        <v>0</v>
      </c>
      <c r="Z166" s="6">
        <f t="shared" si="50"/>
        <v>0</v>
      </c>
      <c r="AA166" s="6">
        <f t="shared" si="50"/>
        <v>0</v>
      </c>
      <c r="AB166" s="13">
        <f t="shared" si="50"/>
        <v>0</v>
      </c>
      <c r="AC166" s="8">
        <f t="shared" si="50"/>
        <v>0</v>
      </c>
      <c r="AD166" s="6">
        <f t="shared" si="50"/>
        <v>0</v>
      </c>
      <c r="AE166" s="6">
        <f t="shared" si="50"/>
        <v>0</v>
      </c>
      <c r="AF166" s="6">
        <f t="shared" si="50"/>
        <v>0</v>
      </c>
      <c r="AG166" s="13">
        <f t="shared" si="50"/>
        <v>0</v>
      </c>
      <c r="AH166" s="16">
        <f>SUM(D166:AG166)*A166</f>
        <v>10000</v>
      </c>
      <c r="AI166" s="16">
        <f t="shared" si="53"/>
        <v>10</v>
      </c>
    </row>
    <row r="167" spans="1:52" ht="13.7" customHeight="1" x14ac:dyDescent="0.25">
      <c r="A167" s="15">
        <v>1500</v>
      </c>
      <c r="B167" s="11">
        <f t="shared" si="51"/>
        <v>0</v>
      </c>
      <c r="C167" s="11">
        <f t="shared" si="51"/>
        <v>0</v>
      </c>
      <c r="D167" s="8">
        <f t="shared" si="52"/>
        <v>0</v>
      </c>
      <c r="E167" s="6">
        <f t="shared" si="50"/>
        <v>8</v>
      </c>
      <c r="F167" s="6">
        <f t="shared" si="50"/>
        <v>0</v>
      </c>
      <c r="G167" s="6">
        <f t="shared" si="50"/>
        <v>0</v>
      </c>
      <c r="H167" s="13">
        <f t="shared" si="50"/>
        <v>0</v>
      </c>
      <c r="I167" s="8">
        <f t="shared" si="50"/>
        <v>0</v>
      </c>
      <c r="J167" s="6">
        <f t="shared" si="50"/>
        <v>0</v>
      </c>
      <c r="K167" s="6">
        <f t="shared" si="50"/>
        <v>0</v>
      </c>
      <c r="L167" s="6">
        <f t="shared" si="50"/>
        <v>0</v>
      </c>
      <c r="M167" s="13">
        <f t="shared" si="50"/>
        <v>0</v>
      </c>
      <c r="N167" s="8">
        <f t="shared" si="50"/>
        <v>0</v>
      </c>
      <c r="O167" s="6">
        <f t="shared" si="50"/>
        <v>0</v>
      </c>
      <c r="P167" s="6">
        <f t="shared" si="50"/>
        <v>0</v>
      </c>
      <c r="Q167" s="6">
        <f t="shared" si="50"/>
        <v>0</v>
      </c>
      <c r="R167" s="13">
        <f t="shared" si="50"/>
        <v>0</v>
      </c>
      <c r="S167" s="8">
        <f t="shared" si="50"/>
        <v>0</v>
      </c>
      <c r="T167" s="6">
        <f t="shared" si="50"/>
        <v>0</v>
      </c>
      <c r="U167" s="6">
        <f t="shared" si="50"/>
        <v>0</v>
      </c>
      <c r="V167" s="6">
        <f t="shared" si="50"/>
        <v>0</v>
      </c>
      <c r="W167" s="13">
        <f t="shared" si="50"/>
        <v>0</v>
      </c>
      <c r="X167" s="8">
        <f t="shared" si="50"/>
        <v>0</v>
      </c>
      <c r="Y167" s="6">
        <f t="shared" si="50"/>
        <v>0</v>
      </c>
      <c r="Z167" s="6">
        <f t="shared" si="50"/>
        <v>0</v>
      </c>
      <c r="AA167" s="6">
        <f t="shared" si="50"/>
        <v>0</v>
      </c>
      <c r="AB167" s="13">
        <f t="shared" si="50"/>
        <v>0</v>
      </c>
      <c r="AC167" s="8">
        <f t="shared" si="50"/>
        <v>0</v>
      </c>
      <c r="AD167" s="6">
        <f t="shared" si="50"/>
        <v>0</v>
      </c>
      <c r="AE167" s="6">
        <f t="shared" si="50"/>
        <v>0</v>
      </c>
      <c r="AF167" s="6">
        <f t="shared" si="50"/>
        <v>0</v>
      </c>
      <c r="AG167" s="13">
        <f t="shared" si="50"/>
        <v>0</v>
      </c>
      <c r="AH167" s="16">
        <f>SUM(D167:AG167)*A167</f>
        <v>12000</v>
      </c>
      <c r="AI167" s="16">
        <f t="shared" si="53"/>
        <v>8</v>
      </c>
    </row>
    <row r="168" spans="1:52" ht="13.7" customHeight="1" x14ac:dyDescent="0.25">
      <c r="A168" s="15">
        <v>2000</v>
      </c>
      <c r="B168" s="11">
        <f t="shared" si="51"/>
        <v>0</v>
      </c>
      <c r="C168" s="11">
        <f t="shared" si="51"/>
        <v>0</v>
      </c>
      <c r="D168" s="8">
        <f t="shared" si="52"/>
        <v>0</v>
      </c>
      <c r="E168" s="6">
        <f t="shared" si="50"/>
        <v>0</v>
      </c>
      <c r="F168" s="6">
        <f t="shared" si="50"/>
        <v>0</v>
      </c>
      <c r="G168" s="6">
        <f t="shared" si="50"/>
        <v>0</v>
      </c>
      <c r="H168" s="13">
        <f t="shared" si="50"/>
        <v>0</v>
      </c>
      <c r="I168" s="8">
        <f t="shared" si="50"/>
        <v>0</v>
      </c>
      <c r="J168" s="6">
        <f t="shared" si="50"/>
        <v>0</v>
      </c>
      <c r="K168" s="6">
        <f t="shared" si="50"/>
        <v>0</v>
      </c>
      <c r="L168" s="6">
        <f t="shared" si="50"/>
        <v>0</v>
      </c>
      <c r="M168" s="13">
        <f t="shared" si="50"/>
        <v>0</v>
      </c>
      <c r="N168" s="8">
        <f t="shared" si="50"/>
        <v>0</v>
      </c>
      <c r="O168" s="6">
        <f t="shared" si="50"/>
        <v>0</v>
      </c>
      <c r="P168" s="6">
        <f t="shared" si="50"/>
        <v>0</v>
      </c>
      <c r="Q168" s="6">
        <f t="shared" si="50"/>
        <v>0</v>
      </c>
      <c r="R168" s="13">
        <f t="shared" si="50"/>
        <v>0</v>
      </c>
      <c r="S168" s="8">
        <f t="shared" si="50"/>
        <v>0</v>
      </c>
      <c r="T168" s="6">
        <f t="shared" si="50"/>
        <v>0</v>
      </c>
      <c r="U168" s="6">
        <f t="shared" si="50"/>
        <v>0</v>
      </c>
      <c r="V168" s="6">
        <f t="shared" si="50"/>
        <v>0</v>
      </c>
      <c r="W168" s="13">
        <f t="shared" si="50"/>
        <v>0</v>
      </c>
      <c r="X168" s="8">
        <f t="shared" si="50"/>
        <v>0</v>
      </c>
      <c r="Y168" s="6">
        <f t="shared" si="50"/>
        <v>0</v>
      </c>
      <c r="Z168" s="6">
        <f t="shared" si="50"/>
        <v>0</v>
      </c>
      <c r="AA168" s="6">
        <f t="shared" si="50"/>
        <v>0</v>
      </c>
      <c r="AB168" s="13">
        <f t="shared" si="50"/>
        <v>0</v>
      </c>
      <c r="AC168" s="8">
        <f t="shared" si="50"/>
        <v>0</v>
      </c>
      <c r="AD168" s="6">
        <f t="shared" si="50"/>
        <v>0</v>
      </c>
      <c r="AE168" s="6">
        <f t="shared" si="50"/>
        <v>0</v>
      </c>
      <c r="AF168" s="6">
        <f t="shared" si="50"/>
        <v>0</v>
      </c>
      <c r="AG168" s="13">
        <f t="shared" si="50"/>
        <v>0</v>
      </c>
      <c r="AH168" s="16">
        <f>SUM(D168:AG168)*A168</f>
        <v>0</v>
      </c>
      <c r="AI168" s="16">
        <f t="shared" si="53"/>
        <v>0</v>
      </c>
    </row>
    <row r="169" spans="1:52" ht="13.7" customHeight="1" x14ac:dyDescent="0.25">
      <c r="A169" s="15">
        <v>3000</v>
      </c>
      <c r="B169" s="11">
        <f t="shared" si="51"/>
        <v>0</v>
      </c>
      <c r="C169" s="11">
        <f t="shared" si="51"/>
        <v>0</v>
      </c>
      <c r="D169" s="8">
        <f t="shared" si="52"/>
        <v>0</v>
      </c>
      <c r="E169" s="6">
        <f t="shared" si="50"/>
        <v>0</v>
      </c>
      <c r="F169" s="6">
        <f t="shared" si="50"/>
        <v>0</v>
      </c>
      <c r="G169" s="6">
        <f t="shared" si="50"/>
        <v>0</v>
      </c>
      <c r="H169" s="13">
        <f t="shared" si="50"/>
        <v>0</v>
      </c>
      <c r="I169" s="8">
        <f t="shared" si="50"/>
        <v>0</v>
      </c>
      <c r="J169" s="6">
        <f t="shared" si="50"/>
        <v>0</v>
      </c>
      <c r="K169" s="6">
        <f t="shared" si="50"/>
        <v>0</v>
      </c>
      <c r="L169" s="6">
        <f t="shared" si="50"/>
        <v>0</v>
      </c>
      <c r="M169" s="13">
        <f t="shared" si="50"/>
        <v>0</v>
      </c>
      <c r="N169" s="8">
        <f t="shared" si="50"/>
        <v>0</v>
      </c>
      <c r="O169" s="6">
        <f t="shared" si="50"/>
        <v>0</v>
      </c>
      <c r="P169" s="6">
        <f t="shared" si="50"/>
        <v>0</v>
      </c>
      <c r="Q169" s="6">
        <f t="shared" si="50"/>
        <v>0</v>
      </c>
      <c r="R169" s="13">
        <f t="shared" si="50"/>
        <v>0</v>
      </c>
      <c r="S169" s="8">
        <f t="shared" si="50"/>
        <v>0</v>
      </c>
      <c r="T169" s="6">
        <f t="shared" si="50"/>
        <v>0</v>
      </c>
      <c r="U169" s="6">
        <f t="shared" si="50"/>
        <v>0</v>
      </c>
      <c r="V169" s="6">
        <f t="shared" si="50"/>
        <v>0</v>
      </c>
      <c r="W169" s="13">
        <f t="shared" si="50"/>
        <v>0</v>
      </c>
      <c r="X169" s="8">
        <f t="shared" si="50"/>
        <v>0</v>
      </c>
      <c r="Y169" s="6">
        <f t="shared" si="50"/>
        <v>0</v>
      </c>
      <c r="Z169" s="6">
        <f t="shared" si="50"/>
        <v>0</v>
      </c>
      <c r="AA169" s="6">
        <f t="shared" si="50"/>
        <v>0</v>
      </c>
      <c r="AB169" s="13">
        <f t="shared" si="50"/>
        <v>0</v>
      </c>
      <c r="AC169" s="8">
        <f t="shared" si="50"/>
        <v>0</v>
      </c>
      <c r="AD169" s="6">
        <f t="shared" si="50"/>
        <v>0</v>
      </c>
      <c r="AE169" s="6">
        <f t="shared" si="50"/>
        <v>0</v>
      </c>
      <c r="AF169" s="6">
        <f t="shared" si="50"/>
        <v>0</v>
      </c>
      <c r="AG169" s="13">
        <f t="shared" si="50"/>
        <v>0</v>
      </c>
      <c r="AH169" s="16">
        <f>SUM(D169:AG169)*A169</f>
        <v>0</v>
      </c>
      <c r="AI169" s="16">
        <f t="shared" si="53"/>
        <v>0</v>
      </c>
    </row>
    <row r="170" spans="1:52" ht="13.7" customHeight="1" x14ac:dyDescent="0.25">
      <c r="A170" s="15">
        <v>5000</v>
      </c>
      <c r="B170" s="11">
        <f t="shared" si="51"/>
        <v>0</v>
      </c>
      <c r="C170" s="11">
        <f t="shared" si="51"/>
        <v>0</v>
      </c>
      <c r="D170" s="8">
        <f t="shared" si="52"/>
        <v>0</v>
      </c>
      <c r="E170" s="6">
        <f t="shared" si="50"/>
        <v>0</v>
      </c>
      <c r="F170" s="6">
        <f t="shared" si="50"/>
        <v>0</v>
      </c>
      <c r="G170" s="6">
        <f t="shared" si="50"/>
        <v>0</v>
      </c>
      <c r="H170" s="13">
        <f t="shared" si="50"/>
        <v>0</v>
      </c>
      <c r="I170" s="8">
        <f t="shared" si="50"/>
        <v>0</v>
      </c>
      <c r="J170" s="6">
        <f t="shared" si="50"/>
        <v>0</v>
      </c>
      <c r="K170" s="6">
        <f t="shared" si="50"/>
        <v>0</v>
      </c>
      <c r="L170" s="6">
        <f t="shared" si="50"/>
        <v>0</v>
      </c>
      <c r="M170" s="13">
        <f t="shared" si="50"/>
        <v>0</v>
      </c>
      <c r="N170" s="8">
        <f t="shared" si="50"/>
        <v>0</v>
      </c>
      <c r="O170" s="6">
        <f t="shared" si="50"/>
        <v>0</v>
      </c>
      <c r="P170" s="6">
        <f t="shared" si="50"/>
        <v>0</v>
      </c>
      <c r="Q170" s="6">
        <f t="shared" si="50"/>
        <v>0</v>
      </c>
      <c r="R170" s="13">
        <f t="shared" si="50"/>
        <v>0</v>
      </c>
      <c r="S170" s="8">
        <f t="shared" si="50"/>
        <v>0</v>
      </c>
      <c r="T170" s="6">
        <f t="shared" si="50"/>
        <v>0</v>
      </c>
      <c r="U170" s="6">
        <f t="shared" si="50"/>
        <v>0</v>
      </c>
      <c r="V170" s="6">
        <f t="shared" si="50"/>
        <v>0</v>
      </c>
      <c r="W170" s="13">
        <f t="shared" si="50"/>
        <v>0</v>
      </c>
      <c r="X170" s="8">
        <f t="shared" si="50"/>
        <v>0</v>
      </c>
      <c r="Y170" s="6">
        <f t="shared" si="50"/>
        <v>0</v>
      </c>
      <c r="Z170" s="6">
        <f t="shared" si="50"/>
        <v>0</v>
      </c>
      <c r="AA170" s="6">
        <f t="shared" si="50"/>
        <v>0</v>
      </c>
      <c r="AB170" s="13">
        <f t="shared" si="50"/>
        <v>0</v>
      </c>
      <c r="AC170" s="8">
        <f t="shared" si="50"/>
        <v>0</v>
      </c>
      <c r="AD170" s="6">
        <f t="shared" si="50"/>
        <v>0</v>
      </c>
      <c r="AE170" s="6">
        <f t="shared" si="50"/>
        <v>0</v>
      </c>
      <c r="AF170" s="6">
        <f t="shared" si="50"/>
        <v>0</v>
      </c>
      <c r="AG170" s="13">
        <f t="shared" si="50"/>
        <v>0</v>
      </c>
      <c r="AH170" s="16">
        <f>SUM(D170:AG170)*A170</f>
        <v>0</v>
      </c>
      <c r="AI170" s="16">
        <f t="shared" si="53"/>
        <v>0</v>
      </c>
    </row>
    <row r="171" spans="1:52" ht="15" customHeight="1" thickBot="1" x14ac:dyDescent="0.3">
      <c r="A171" s="59">
        <v>10000</v>
      </c>
      <c r="B171" s="11">
        <f t="shared" si="51"/>
        <v>0</v>
      </c>
      <c r="C171" s="11">
        <f t="shared" si="51"/>
        <v>0</v>
      </c>
      <c r="D171" s="31">
        <f t="shared" si="52"/>
        <v>0</v>
      </c>
      <c r="E171" s="32">
        <f t="shared" si="50"/>
        <v>0</v>
      </c>
      <c r="F171" s="32">
        <f t="shared" si="50"/>
        <v>0</v>
      </c>
      <c r="G171" s="32">
        <f t="shared" si="50"/>
        <v>0</v>
      </c>
      <c r="H171" s="33">
        <f t="shared" si="50"/>
        <v>0</v>
      </c>
      <c r="I171" s="31">
        <f t="shared" si="50"/>
        <v>0</v>
      </c>
      <c r="J171" s="32">
        <f t="shared" si="50"/>
        <v>0</v>
      </c>
      <c r="K171" s="32">
        <f t="shared" si="50"/>
        <v>0</v>
      </c>
      <c r="L171" s="32">
        <f t="shared" si="50"/>
        <v>0</v>
      </c>
      <c r="M171" s="33">
        <f t="shared" si="50"/>
        <v>0</v>
      </c>
      <c r="N171" s="31">
        <f t="shared" si="50"/>
        <v>0</v>
      </c>
      <c r="O171" s="32">
        <f t="shared" si="50"/>
        <v>0</v>
      </c>
      <c r="P171" s="32">
        <f t="shared" si="50"/>
        <v>0</v>
      </c>
      <c r="Q171" s="32">
        <f t="shared" si="50"/>
        <v>0</v>
      </c>
      <c r="R171" s="33">
        <f t="shared" si="50"/>
        <v>0</v>
      </c>
      <c r="S171" s="31">
        <f t="shared" si="50"/>
        <v>0</v>
      </c>
      <c r="T171" s="32">
        <f t="shared" si="50"/>
        <v>0</v>
      </c>
      <c r="U171" s="32">
        <f t="shared" si="50"/>
        <v>0</v>
      </c>
      <c r="V171" s="32">
        <f t="shared" si="50"/>
        <v>0</v>
      </c>
      <c r="W171" s="33">
        <f t="shared" si="50"/>
        <v>0</v>
      </c>
      <c r="X171" s="31">
        <f t="shared" si="50"/>
        <v>0</v>
      </c>
      <c r="Y171" s="32">
        <f t="shared" si="50"/>
        <v>0</v>
      </c>
      <c r="Z171" s="32">
        <f t="shared" si="50"/>
        <v>0</v>
      </c>
      <c r="AA171" s="32">
        <f t="shared" si="50"/>
        <v>0</v>
      </c>
      <c r="AB171" s="33">
        <f t="shared" ref="AB171:AG171" si="54">Z127+Z141</f>
        <v>0</v>
      </c>
      <c r="AC171" s="31">
        <f t="shared" si="54"/>
        <v>0</v>
      </c>
      <c r="AD171" s="32">
        <f t="shared" si="54"/>
        <v>0</v>
      </c>
      <c r="AE171" s="32">
        <f t="shared" si="54"/>
        <v>0</v>
      </c>
      <c r="AF171" s="32">
        <f t="shared" si="54"/>
        <v>0</v>
      </c>
      <c r="AG171" s="33">
        <f t="shared" si="54"/>
        <v>0</v>
      </c>
      <c r="AH171" s="16">
        <f>SUM(D171:AG171)*A171</f>
        <v>0</v>
      </c>
      <c r="AI171" s="43">
        <f t="shared" si="53"/>
        <v>0</v>
      </c>
    </row>
    <row r="172" spans="1:52" ht="15" customHeight="1" thickBot="1" x14ac:dyDescent="0.3">
      <c r="A172" s="35"/>
      <c r="B172" s="61">
        <f>SUM(B163:B171)</f>
        <v>0</v>
      </c>
      <c r="C172" s="61">
        <f t="shared" ref="C172" si="55">SUM(C163:C171)</f>
        <v>0</v>
      </c>
      <c r="D172" s="60">
        <f t="shared" ref="D172:AI172" si="56">SUM(D163:D171)</f>
        <v>0</v>
      </c>
      <c r="E172" s="61">
        <f t="shared" si="56"/>
        <v>48</v>
      </c>
      <c r="F172" s="61">
        <f t="shared" si="56"/>
        <v>0</v>
      </c>
      <c r="G172" s="61">
        <f t="shared" si="56"/>
        <v>0</v>
      </c>
      <c r="H172" s="62">
        <f t="shared" si="56"/>
        <v>0</v>
      </c>
      <c r="I172" s="60">
        <f t="shared" si="56"/>
        <v>0</v>
      </c>
      <c r="J172" s="61">
        <f t="shared" si="56"/>
        <v>0</v>
      </c>
      <c r="K172" s="61">
        <f t="shared" si="56"/>
        <v>0</v>
      </c>
      <c r="L172" s="61">
        <f t="shared" si="56"/>
        <v>0</v>
      </c>
      <c r="M172" s="62">
        <f t="shared" si="56"/>
        <v>0</v>
      </c>
      <c r="N172" s="60">
        <f t="shared" si="56"/>
        <v>0</v>
      </c>
      <c r="O172" s="61">
        <f t="shared" si="56"/>
        <v>0</v>
      </c>
      <c r="P172" s="61">
        <f t="shared" si="56"/>
        <v>0</v>
      </c>
      <c r="Q172" s="61">
        <f t="shared" si="56"/>
        <v>0</v>
      </c>
      <c r="R172" s="62">
        <f t="shared" si="56"/>
        <v>0</v>
      </c>
      <c r="S172" s="60">
        <f t="shared" si="56"/>
        <v>0</v>
      </c>
      <c r="T172" s="61">
        <f t="shared" si="56"/>
        <v>0</v>
      </c>
      <c r="U172" s="61">
        <f t="shared" si="56"/>
        <v>0</v>
      </c>
      <c r="V172" s="61">
        <f t="shared" si="56"/>
        <v>0</v>
      </c>
      <c r="W172" s="62">
        <f t="shared" si="56"/>
        <v>0</v>
      </c>
      <c r="X172" s="60">
        <f t="shared" si="56"/>
        <v>0</v>
      </c>
      <c r="Y172" s="61">
        <f t="shared" si="56"/>
        <v>0</v>
      </c>
      <c r="Z172" s="61">
        <f t="shared" si="56"/>
        <v>0</v>
      </c>
      <c r="AA172" s="61">
        <f t="shared" si="56"/>
        <v>0</v>
      </c>
      <c r="AB172" s="62">
        <f t="shared" si="56"/>
        <v>0</v>
      </c>
      <c r="AC172" s="60">
        <f t="shared" si="56"/>
        <v>0</v>
      </c>
      <c r="AD172" s="61">
        <f t="shared" si="56"/>
        <v>0</v>
      </c>
      <c r="AE172" s="61">
        <f t="shared" si="56"/>
        <v>0</v>
      </c>
      <c r="AF172" s="61">
        <f t="shared" si="56"/>
        <v>0</v>
      </c>
      <c r="AG172" s="62">
        <f t="shared" si="56"/>
        <v>0</v>
      </c>
      <c r="AH172" s="35">
        <f>SUM(AH163:AH171)</f>
        <v>39500</v>
      </c>
      <c r="AI172" s="35">
        <f t="shared" si="53"/>
        <v>48</v>
      </c>
    </row>
    <row r="173" spans="1:52" ht="15.75" customHeight="1" x14ac:dyDescent="0.25"/>
    <row r="174" spans="1:52" ht="15.75" customHeight="1" x14ac:dyDescent="0.25"/>
    <row r="175" spans="1:52" ht="15" customHeight="1" x14ac:dyDescent="0.25">
      <c r="AX175" s="44"/>
      <c r="AY175" s="44"/>
      <c r="AZ175" s="44"/>
    </row>
    <row r="176" spans="1:52" ht="15" customHeight="1" x14ac:dyDescent="0.25">
      <c r="AX176" s="44"/>
      <c r="AY176" s="44"/>
      <c r="AZ176" s="44"/>
    </row>
    <row r="177" spans="50:54" ht="15" customHeight="1" x14ac:dyDescent="0.25">
      <c r="AX177" s="44"/>
      <c r="AY177" s="44"/>
      <c r="AZ177" s="44"/>
    </row>
    <row r="178" spans="50:54" ht="15" customHeight="1" x14ac:dyDescent="0.25">
      <c r="AX178" s="44"/>
      <c r="AY178" s="44"/>
      <c r="AZ178" s="44"/>
    </row>
    <row r="179" spans="50:54" ht="15" customHeight="1" x14ac:dyDescent="0.25">
      <c r="AX179" s="44"/>
      <c r="AY179" s="44"/>
      <c r="AZ179" s="44"/>
    </row>
    <row r="180" spans="50:54" ht="15" customHeight="1" x14ac:dyDescent="0.25">
      <c r="AX180" s="44"/>
      <c r="AY180" s="44"/>
      <c r="AZ180" s="44"/>
    </row>
    <row r="181" spans="50:54" ht="15" customHeight="1" x14ac:dyDescent="0.25">
      <c r="AX181" s="44"/>
    </row>
    <row r="182" spans="50:54" ht="15" customHeight="1" x14ac:dyDescent="0.25">
      <c r="AX182" s="44"/>
    </row>
    <row r="183" spans="50:54" ht="15" customHeight="1" x14ac:dyDescent="0.25">
      <c r="AX183" s="44"/>
    </row>
    <row r="184" spans="50:54" ht="15.75" customHeight="1" x14ac:dyDescent="0.25"/>
    <row r="186" spans="50:54" x14ac:dyDescent="0.25">
      <c r="BB186" s="44"/>
    </row>
    <row r="187" spans="50:54" ht="15" customHeight="1" x14ac:dyDescent="0.25"/>
    <row r="188" spans="50:54" ht="15" customHeight="1" x14ac:dyDescent="0.25"/>
    <row r="189" spans="50:54" ht="15" customHeight="1" x14ac:dyDescent="0.25"/>
  </sheetData>
  <mergeCells count="134">
    <mergeCell ref="AK158:AM158"/>
    <mergeCell ref="AN158:AO158"/>
    <mergeCell ref="AP158:AR158"/>
    <mergeCell ref="AS158:AT158"/>
    <mergeCell ref="AU158:AW158"/>
    <mergeCell ref="A161:A162"/>
    <mergeCell ref="B161:C161"/>
    <mergeCell ref="D161:H161"/>
    <mergeCell ref="I161:M161"/>
    <mergeCell ref="N161:R161"/>
    <mergeCell ref="S161:W161"/>
    <mergeCell ref="X161:AB161"/>
    <mergeCell ref="AC161:AG161"/>
    <mergeCell ref="AH161:AH162"/>
    <mergeCell ref="AI161:AI162"/>
    <mergeCell ref="AU151:AV151"/>
    <mergeCell ref="AW151:AX151"/>
    <mergeCell ref="BA151:BB151"/>
    <mergeCell ref="BC151:BD151"/>
    <mergeCell ref="BG151:BH151"/>
    <mergeCell ref="BI151:BJ151"/>
    <mergeCell ref="AI152:AJ152"/>
    <mergeCell ref="AK152:AL152"/>
    <mergeCell ref="AO152:AP152"/>
    <mergeCell ref="AQ152:AR152"/>
    <mergeCell ref="AU152:AV152"/>
    <mergeCell ref="AW152:AX152"/>
    <mergeCell ref="BA152:BB152"/>
    <mergeCell ref="BC152:BD152"/>
    <mergeCell ref="BG152:BH152"/>
    <mergeCell ref="BI152:BJ152"/>
    <mergeCell ref="AD147:AF147"/>
    <mergeCell ref="AA148:AC148"/>
    <mergeCell ref="AD148:AF148"/>
    <mergeCell ref="AA149:AC149"/>
    <mergeCell ref="AD149:AF149"/>
    <mergeCell ref="AI151:AJ151"/>
    <mergeCell ref="AK151:AL151"/>
    <mergeCell ref="AO151:AP151"/>
    <mergeCell ref="AQ151:AR151"/>
    <mergeCell ref="BH137:BJ137"/>
    <mergeCell ref="AH138:AL138"/>
    <mergeCell ref="AN138:AR138"/>
    <mergeCell ref="AT138:AX138"/>
    <mergeCell ref="AZ138:BD138"/>
    <mergeCell ref="BF138:BJ138"/>
    <mergeCell ref="AH139:AL139"/>
    <mergeCell ref="AN139:AR139"/>
    <mergeCell ref="AT139:AX139"/>
    <mergeCell ref="AZ139:BD139"/>
    <mergeCell ref="BF139:BJ139"/>
    <mergeCell ref="AH137:AI137"/>
    <mergeCell ref="AJ137:AL137"/>
    <mergeCell ref="AN137:AO137"/>
    <mergeCell ref="AP137:AR137"/>
    <mergeCell ref="AT137:AU137"/>
    <mergeCell ref="AV137:AX137"/>
    <mergeCell ref="AZ137:BA137"/>
    <mergeCell ref="BB137:BD137"/>
    <mergeCell ref="BF137:BG137"/>
    <mergeCell ref="BI130:BJ130"/>
    <mergeCell ref="A131:A132"/>
    <mergeCell ref="B131:F131"/>
    <mergeCell ref="L131:P131"/>
    <mergeCell ref="Q131:U131"/>
    <mergeCell ref="V131:Z131"/>
    <mergeCell ref="AA131:AE131"/>
    <mergeCell ref="AF131:AF132"/>
    <mergeCell ref="AG131:AG132"/>
    <mergeCell ref="AI131:AJ131"/>
    <mergeCell ref="AK131:AL131"/>
    <mergeCell ref="AO131:AP131"/>
    <mergeCell ref="AQ131:AR131"/>
    <mergeCell ref="AU131:AV131"/>
    <mergeCell ref="AW131:AX131"/>
    <mergeCell ref="BA131:BB131"/>
    <mergeCell ref="BC131:BD131"/>
    <mergeCell ref="BG131:BH131"/>
    <mergeCell ref="BI131:BJ131"/>
    <mergeCell ref="AI130:AJ130"/>
    <mergeCell ref="AK130:AL130"/>
    <mergeCell ref="AO130:AP130"/>
    <mergeCell ref="AQ130:AR130"/>
    <mergeCell ref="AU130:AV130"/>
    <mergeCell ref="AW130:AX130"/>
    <mergeCell ref="BA130:BB130"/>
    <mergeCell ref="BC130:BD130"/>
    <mergeCell ref="BG130:BH130"/>
    <mergeCell ref="BH116:BJ116"/>
    <mergeCell ref="A117:A118"/>
    <mergeCell ref="B117:F117"/>
    <mergeCell ref="G117:K117"/>
    <mergeCell ref="L117:P117"/>
    <mergeCell ref="Q117:U117"/>
    <mergeCell ref="V117:Z117"/>
    <mergeCell ref="AA117:AE117"/>
    <mergeCell ref="AF117:AF118"/>
    <mergeCell ref="AG117:AG118"/>
    <mergeCell ref="AH117:AL117"/>
    <mergeCell ref="AN117:AR117"/>
    <mergeCell ref="AT117:AX117"/>
    <mergeCell ref="AZ117:BD117"/>
    <mergeCell ref="BF117:BJ117"/>
    <mergeCell ref="AH118:AL118"/>
    <mergeCell ref="AN118:AR118"/>
    <mergeCell ref="AT118:AX118"/>
    <mergeCell ref="AZ118:BD118"/>
    <mergeCell ref="BF118:BJ118"/>
    <mergeCell ref="AH116:AI116"/>
    <mergeCell ref="AJ116:AL116"/>
    <mergeCell ref="AN116:AO116"/>
    <mergeCell ref="AP116:AR116"/>
    <mergeCell ref="AT116:AU116"/>
    <mergeCell ref="AV116:AX116"/>
    <mergeCell ref="AZ116:BA116"/>
    <mergeCell ref="BB116:BD116"/>
    <mergeCell ref="BF116:BG116"/>
    <mergeCell ref="AH158:AJ158"/>
    <mergeCell ref="A144:B144"/>
    <mergeCell ref="G144:H144"/>
    <mergeCell ref="J144:K147"/>
    <mergeCell ref="M144:N147"/>
    <mergeCell ref="P144:Q147"/>
    <mergeCell ref="S144:S145"/>
    <mergeCell ref="V144:V145"/>
    <mergeCell ref="W144:W145"/>
    <mergeCell ref="T144:U144"/>
    <mergeCell ref="D144:E144"/>
    <mergeCell ref="A116:AG116"/>
    <mergeCell ref="A130:AG130"/>
    <mergeCell ref="AA147:AC147"/>
    <mergeCell ref="A114:C114"/>
    <mergeCell ref="D114:G114"/>
    <mergeCell ref="G131:K131"/>
  </mergeCells>
  <pageMargins left="0" right="0" top="0" bottom="0" header="0.31496062992125984" footer="0.31496062992125984"/>
  <pageSetup paperSize="9" scale="85" orientation="landscape" verticalDpi="300" r:id="rId1"/>
  <headerFooter>
    <oddFooter>&amp;RPRINTED ON &amp;D AT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BY189"/>
  <sheetViews>
    <sheetView showZeros="0" zoomScaleNormal="100" workbookViewId="0">
      <selection sqref="A1:XFD1048576"/>
    </sheetView>
  </sheetViews>
  <sheetFormatPr defaultColWidth="9.140625" defaultRowHeight="15" x14ac:dyDescent="0.25"/>
  <cols>
    <col min="1" max="1" width="6.28515625" style="28" customWidth="1"/>
    <col min="2" max="2" width="5.85546875" style="28" customWidth="1"/>
    <col min="3" max="3" width="4.42578125" style="28" customWidth="1"/>
    <col min="4" max="4" width="6.28515625" style="28" customWidth="1"/>
    <col min="5" max="5" width="5.85546875" style="28" customWidth="1"/>
    <col min="6" max="6" width="4.42578125" style="28" customWidth="1"/>
    <col min="7" max="7" width="6.28515625" style="28" customWidth="1"/>
    <col min="8" max="8" width="5.85546875" style="28" customWidth="1"/>
    <col min="9" max="9" width="4.42578125" style="28" customWidth="1"/>
    <col min="10" max="10" width="6.28515625" style="28" customWidth="1"/>
    <col min="11" max="12" width="4.42578125" style="28" customWidth="1"/>
    <col min="13" max="13" width="6.28515625" style="28" customWidth="1"/>
    <col min="14" max="15" width="4.42578125" style="28" customWidth="1"/>
    <col min="16" max="16" width="6.28515625" style="28" customWidth="1"/>
    <col min="17" max="18" width="4.42578125" style="28" customWidth="1"/>
    <col min="19" max="19" width="6.28515625" style="28" customWidth="1"/>
    <col min="20" max="21" width="4.7109375" style="28" customWidth="1"/>
    <col min="22" max="22" width="6.28515625" style="28" customWidth="1"/>
    <col min="23" max="23" width="5.42578125" style="28" customWidth="1"/>
    <col min="24" max="31" width="4.42578125" style="28" customWidth="1"/>
    <col min="32" max="33" width="6.28515625" style="28" customWidth="1"/>
    <col min="34" max="62" width="5.85546875" style="28" customWidth="1"/>
    <col min="63" max="63" width="5.140625" style="28" bestFit="1" customWidth="1"/>
    <col min="64" max="64" width="5.7109375" style="28" bestFit="1" customWidth="1"/>
    <col min="65" max="65" width="5" style="28" bestFit="1" customWidth="1"/>
    <col min="66" max="67" width="4.140625" style="28" bestFit="1" customWidth="1"/>
    <col min="68" max="68" width="4.28515625" style="28" bestFit="1" customWidth="1"/>
    <col min="69" max="69" width="5.140625" style="28" bestFit="1" customWidth="1"/>
    <col min="70" max="70" width="7.42578125" style="28" bestFit="1" customWidth="1"/>
    <col min="71" max="71" width="12.5703125" style="28" bestFit="1" customWidth="1"/>
    <col min="72" max="72" width="6.140625" style="28" bestFit="1" customWidth="1"/>
    <col min="73" max="16384" width="9.140625" style="28"/>
  </cols>
  <sheetData>
    <row r="1" spans="1:77" ht="16.5" customHeight="1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15</v>
      </c>
      <c r="J1" s="24" t="s">
        <v>133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133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133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12</v>
      </c>
      <c r="AB1" s="24" t="s">
        <v>133</v>
      </c>
      <c r="AC1" s="24" t="s">
        <v>8</v>
      </c>
      <c r="AD1" s="24" t="s">
        <v>9</v>
      </c>
      <c r="AE1" s="24" t="s">
        <v>10</v>
      </c>
      <c r="AF1" s="24" t="s">
        <v>11</v>
      </c>
      <c r="AG1" s="24" t="s">
        <v>12</v>
      </c>
      <c r="AH1" s="24" t="s">
        <v>133</v>
      </c>
      <c r="AI1" s="24" t="s">
        <v>8</v>
      </c>
      <c r="AJ1" s="24" t="s">
        <v>9</v>
      </c>
      <c r="AK1" s="24" t="s">
        <v>10</v>
      </c>
      <c r="AL1" s="24" t="s">
        <v>11</v>
      </c>
      <c r="AM1" s="24" t="s">
        <v>12</v>
      </c>
      <c r="AN1" s="24" t="s">
        <v>133</v>
      </c>
      <c r="AO1" s="24" t="s">
        <v>8</v>
      </c>
      <c r="AP1" s="24" t="s">
        <v>9</v>
      </c>
      <c r="AQ1" s="24" t="s">
        <v>10</v>
      </c>
      <c r="AR1" s="24" t="s">
        <v>11</v>
      </c>
      <c r="AS1" s="24" t="s">
        <v>12</v>
      </c>
      <c r="AT1" s="24" t="s">
        <v>133</v>
      </c>
      <c r="AU1" s="24" t="s">
        <v>8</v>
      </c>
      <c r="AV1" s="24" t="s">
        <v>9</v>
      </c>
      <c r="AW1" s="24" t="s">
        <v>10</v>
      </c>
      <c r="AX1" s="24" t="s">
        <v>11</v>
      </c>
      <c r="AY1" s="24" t="s">
        <v>12</v>
      </c>
      <c r="AZ1" s="24" t="s">
        <v>133</v>
      </c>
      <c r="BA1" s="24" t="s">
        <v>8</v>
      </c>
      <c r="BB1" s="24" t="s">
        <v>9</v>
      </c>
      <c r="BC1" s="24" t="s">
        <v>10</v>
      </c>
      <c r="BD1" s="24" t="s">
        <v>11</v>
      </c>
      <c r="BE1" s="24" t="s">
        <v>12</v>
      </c>
      <c r="BF1" s="24" t="s">
        <v>133</v>
      </c>
      <c r="BG1" s="24" t="s">
        <v>8</v>
      </c>
      <c r="BH1" s="24" t="s">
        <v>9</v>
      </c>
      <c r="BI1" s="24" t="s">
        <v>10</v>
      </c>
      <c r="BJ1" s="24" t="s">
        <v>11</v>
      </c>
      <c r="BK1" s="24" t="s">
        <v>12</v>
      </c>
      <c r="BL1" s="24" t="s">
        <v>133</v>
      </c>
      <c r="BM1" s="24" t="s">
        <v>8</v>
      </c>
      <c r="BN1" s="24" t="s">
        <v>9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36</v>
      </c>
      <c r="BU1" s="26"/>
      <c r="BV1" s="27"/>
      <c r="BW1" s="27"/>
      <c r="BX1" s="27"/>
      <c r="BY1" s="27"/>
    </row>
    <row r="2" spans="1:77" s="56" customFormat="1" ht="78" thickBot="1" x14ac:dyDescent="0.3">
      <c r="A2" s="188">
        <v>21420</v>
      </c>
      <c r="B2" s="189">
        <v>46031</v>
      </c>
      <c r="C2" s="41" t="s">
        <v>239</v>
      </c>
      <c r="D2" s="41" t="s">
        <v>90</v>
      </c>
      <c r="E2" s="41" t="s">
        <v>42</v>
      </c>
      <c r="F2" s="41" t="s">
        <v>121</v>
      </c>
      <c r="G2" s="41" t="s">
        <v>122</v>
      </c>
      <c r="H2" s="41" t="s">
        <v>123</v>
      </c>
      <c r="I2" s="41"/>
      <c r="J2" s="41" t="s">
        <v>134</v>
      </c>
      <c r="K2" s="188">
        <v>1500</v>
      </c>
      <c r="L2" s="188">
        <v>8</v>
      </c>
      <c r="M2" s="41" t="s">
        <v>17</v>
      </c>
      <c r="N2" s="41" t="s">
        <v>22</v>
      </c>
      <c r="O2" s="188">
        <v>3.5</v>
      </c>
      <c r="P2" s="41" t="s">
        <v>134</v>
      </c>
      <c r="Q2" s="188">
        <v>1000</v>
      </c>
      <c r="R2" s="188">
        <v>10</v>
      </c>
      <c r="S2" s="41" t="s">
        <v>17</v>
      </c>
      <c r="T2" s="41" t="s">
        <v>22</v>
      </c>
      <c r="U2" s="188">
        <v>3.5</v>
      </c>
      <c r="V2" s="41" t="s">
        <v>134</v>
      </c>
      <c r="W2" s="188">
        <v>750</v>
      </c>
      <c r="X2" s="188">
        <v>10</v>
      </c>
      <c r="Y2" s="41" t="s">
        <v>17</v>
      </c>
      <c r="Z2" s="41" t="s">
        <v>22</v>
      </c>
      <c r="AA2" s="188">
        <v>3.5</v>
      </c>
      <c r="AB2" s="41" t="s">
        <v>134</v>
      </c>
      <c r="AC2" s="188">
        <v>500</v>
      </c>
      <c r="AD2" s="188">
        <v>20</v>
      </c>
      <c r="AE2" s="41" t="s">
        <v>17</v>
      </c>
      <c r="AF2" s="41" t="s">
        <v>22</v>
      </c>
      <c r="AG2" s="188">
        <v>3.5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 t="s">
        <v>91</v>
      </c>
      <c r="BS2" s="41" t="s">
        <v>253</v>
      </c>
      <c r="BT2" s="108">
        <f t="shared" ref="BT2" si="0">K2*L2+Q2*R2+W2*X2+AC2*AD2+AI2*AJ2+AO2*AP2+AU2*AV2+BA2*BB2+BG2*BH2+BM2*BN2</f>
        <v>39500</v>
      </c>
    </row>
    <row r="3" spans="1:77" s="56" customFormat="1" ht="15.75" thickBot="1" x14ac:dyDescent="0.3">
      <c r="A3" s="80"/>
      <c r="B3" s="49"/>
      <c r="C3" s="20"/>
      <c r="D3" s="20"/>
      <c r="E3" s="20"/>
      <c r="F3" s="20"/>
      <c r="G3" s="20"/>
      <c r="H3" s="20"/>
      <c r="I3" s="20"/>
      <c r="J3" s="48"/>
      <c r="K3" s="48"/>
      <c r="L3" s="48"/>
      <c r="M3" s="20"/>
      <c r="N3" s="20"/>
      <c r="O3" s="48"/>
      <c r="P3" s="48"/>
      <c r="Q3" s="48"/>
      <c r="R3" s="48"/>
      <c r="S3" s="20"/>
      <c r="T3" s="20"/>
      <c r="U3" s="48"/>
      <c r="V3" s="48"/>
      <c r="W3" s="48"/>
      <c r="X3" s="48"/>
      <c r="Y3" s="48"/>
      <c r="Z3" s="20"/>
      <c r="AA3" s="48"/>
      <c r="AB3" s="48"/>
      <c r="AC3" s="48"/>
      <c r="AD3" s="48"/>
      <c r="AE3" s="20"/>
      <c r="AF3" s="20"/>
      <c r="AG3" s="48"/>
      <c r="AH3" s="48"/>
      <c r="AI3" s="48"/>
      <c r="AJ3" s="48"/>
      <c r="AK3" s="20"/>
      <c r="AL3" s="20"/>
      <c r="AM3" s="48"/>
      <c r="AN3" s="48"/>
      <c r="AO3" s="48"/>
      <c r="AP3" s="48"/>
      <c r="AQ3" s="20"/>
      <c r="AR3" s="20"/>
      <c r="AS3" s="48"/>
      <c r="AT3" s="48"/>
      <c r="AU3" s="48"/>
      <c r="AV3" s="48"/>
      <c r="AW3" s="20"/>
      <c r="AX3" s="20"/>
      <c r="AY3" s="48"/>
      <c r="AZ3" s="48"/>
      <c r="BA3" s="48"/>
      <c r="BB3" s="48"/>
      <c r="BC3" s="20"/>
      <c r="BD3" s="20"/>
      <c r="BE3" s="48"/>
      <c r="BF3" s="48"/>
      <c r="BG3" s="48"/>
      <c r="BH3" s="48"/>
      <c r="BI3" s="20"/>
      <c r="BJ3" s="20"/>
      <c r="BK3" s="48"/>
      <c r="BL3" s="48"/>
      <c r="BM3" s="48"/>
      <c r="BN3" s="48"/>
      <c r="BO3" s="20"/>
      <c r="BP3" s="20"/>
      <c r="BQ3" s="48"/>
      <c r="BR3" s="20"/>
      <c r="BS3" s="20"/>
      <c r="BT3" s="55"/>
      <c r="BU3" s="20"/>
      <c r="BV3" s="20"/>
      <c r="BW3" s="20"/>
      <c r="BX3" s="20"/>
      <c r="BY3" s="20"/>
    </row>
    <row r="4" spans="1:77" s="56" customFormat="1" ht="15.75" thickBot="1" x14ac:dyDescent="0.3">
      <c r="A4" s="80"/>
      <c r="B4" s="49"/>
      <c r="C4" s="20"/>
      <c r="D4" s="20"/>
      <c r="E4" s="20"/>
      <c r="F4" s="20"/>
      <c r="G4" s="20"/>
      <c r="H4" s="20"/>
      <c r="I4" s="20"/>
      <c r="J4" s="48"/>
      <c r="K4" s="48"/>
      <c r="L4" s="48"/>
      <c r="M4" s="20"/>
      <c r="N4" s="20"/>
      <c r="O4" s="48"/>
      <c r="P4" s="48"/>
      <c r="Q4" s="48"/>
      <c r="R4" s="48"/>
      <c r="S4" s="20"/>
      <c r="T4" s="20"/>
      <c r="U4" s="48"/>
      <c r="V4" s="48"/>
      <c r="W4" s="48"/>
      <c r="X4" s="48"/>
      <c r="Y4" s="48"/>
      <c r="Z4" s="20"/>
      <c r="AA4" s="48"/>
      <c r="AB4" s="48"/>
      <c r="AC4" s="48"/>
      <c r="AD4" s="48"/>
      <c r="AE4" s="20"/>
      <c r="AF4" s="20"/>
      <c r="AG4" s="48"/>
      <c r="AH4" s="48"/>
      <c r="AI4" s="48"/>
      <c r="AJ4" s="48"/>
      <c r="AK4" s="20"/>
      <c r="AL4" s="20"/>
      <c r="AM4" s="48"/>
      <c r="AN4" s="48"/>
      <c r="AO4" s="48"/>
      <c r="AP4" s="48"/>
      <c r="AQ4" s="20"/>
      <c r="AR4" s="20"/>
      <c r="AS4" s="48"/>
      <c r="AT4" s="48"/>
      <c r="AU4" s="48"/>
      <c r="AV4" s="48"/>
      <c r="AW4" s="20"/>
      <c r="AX4" s="20"/>
      <c r="AY4" s="48"/>
      <c r="AZ4" s="48"/>
      <c r="BA4" s="48"/>
      <c r="BB4" s="48"/>
      <c r="BC4" s="20"/>
      <c r="BD4" s="20"/>
      <c r="BE4" s="48"/>
      <c r="BF4" s="48"/>
      <c r="BG4" s="48"/>
      <c r="BH4" s="48"/>
      <c r="BI4" s="20"/>
      <c r="BJ4" s="20"/>
      <c r="BK4" s="48"/>
      <c r="BL4" s="48"/>
      <c r="BM4" s="48"/>
      <c r="BN4" s="48"/>
      <c r="BO4" s="20"/>
      <c r="BP4" s="20"/>
      <c r="BQ4" s="48"/>
      <c r="BR4" s="20"/>
      <c r="BS4" s="20"/>
      <c r="BT4" s="55"/>
      <c r="BU4" s="20"/>
      <c r="BV4" s="20"/>
      <c r="BW4" s="20"/>
      <c r="BX4" s="20"/>
      <c r="BY4" s="20"/>
    </row>
    <row r="5" spans="1:77" s="56" customFormat="1" ht="15.75" thickBot="1" x14ac:dyDescent="0.3">
      <c r="A5" s="80"/>
      <c r="B5" s="49"/>
      <c r="C5" s="20"/>
      <c r="D5" s="20"/>
      <c r="E5" s="20"/>
      <c r="F5" s="20"/>
      <c r="G5" s="20"/>
      <c r="H5" s="20"/>
      <c r="I5" s="20"/>
      <c r="J5" s="48"/>
      <c r="K5" s="48"/>
      <c r="L5" s="48"/>
      <c r="M5" s="20"/>
      <c r="N5" s="20"/>
      <c r="O5" s="48"/>
      <c r="P5" s="48"/>
      <c r="Q5" s="48"/>
      <c r="R5" s="48"/>
      <c r="S5" s="20"/>
      <c r="T5" s="20"/>
      <c r="U5" s="48"/>
      <c r="V5" s="48"/>
      <c r="W5" s="48"/>
      <c r="X5" s="48"/>
      <c r="Y5" s="48"/>
      <c r="Z5" s="20"/>
      <c r="AA5" s="48"/>
      <c r="AB5" s="48"/>
      <c r="AC5" s="48"/>
      <c r="AD5" s="48"/>
      <c r="AE5" s="20"/>
      <c r="AF5" s="20"/>
      <c r="AG5" s="48"/>
      <c r="AH5" s="48"/>
      <c r="AI5" s="48"/>
      <c r="AJ5" s="48"/>
      <c r="AK5" s="20"/>
      <c r="AL5" s="20"/>
      <c r="AM5" s="48"/>
      <c r="AN5" s="48"/>
      <c r="AO5" s="48"/>
      <c r="AP5" s="48"/>
      <c r="AQ5" s="20"/>
      <c r="AR5" s="20"/>
      <c r="AS5" s="48"/>
      <c r="AT5" s="48"/>
      <c r="AU5" s="48"/>
      <c r="AV5" s="48"/>
      <c r="AW5" s="20"/>
      <c r="AX5" s="20"/>
      <c r="AY5" s="48"/>
      <c r="AZ5" s="48"/>
      <c r="BA5" s="48"/>
      <c r="BB5" s="48"/>
      <c r="BC5" s="20"/>
      <c r="BD5" s="20"/>
      <c r="BE5" s="48"/>
      <c r="BF5" s="48"/>
      <c r="BG5" s="48"/>
      <c r="BH5" s="48"/>
      <c r="BI5" s="20"/>
      <c r="BJ5" s="20"/>
      <c r="BK5" s="48"/>
      <c r="BL5" s="48"/>
      <c r="BM5" s="48"/>
      <c r="BN5" s="48"/>
      <c r="BO5" s="20"/>
      <c r="BP5" s="20"/>
      <c r="BQ5" s="48"/>
      <c r="BR5" s="20"/>
      <c r="BS5" s="20"/>
      <c r="BT5" s="55"/>
      <c r="BU5" s="20"/>
      <c r="BV5" s="20"/>
      <c r="BW5" s="20"/>
      <c r="BX5" s="20"/>
      <c r="BY5" s="20"/>
    </row>
    <row r="6" spans="1:77" s="56" customFormat="1" ht="15.75" thickBot="1" x14ac:dyDescent="0.3">
      <c r="A6" s="80"/>
      <c r="B6" s="49"/>
      <c r="C6" s="20"/>
      <c r="D6" s="20"/>
      <c r="E6" s="20"/>
      <c r="F6" s="20"/>
      <c r="G6" s="20"/>
      <c r="H6" s="20"/>
      <c r="I6" s="20"/>
      <c r="J6" s="48"/>
      <c r="K6" s="48"/>
      <c r="L6" s="48"/>
      <c r="M6" s="20"/>
      <c r="N6" s="20"/>
      <c r="O6" s="48"/>
      <c r="P6" s="48"/>
      <c r="Q6" s="48"/>
      <c r="R6" s="48"/>
      <c r="S6" s="20"/>
      <c r="T6" s="20"/>
      <c r="U6" s="48"/>
      <c r="V6" s="48"/>
      <c r="W6" s="48"/>
      <c r="X6" s="48"/>
      <c r="Y6" s="48"/>
      <c r="Z6" s="20"/>
      <c r="AA6" s="48"/>
      <c r="AB6" s="48"/>
      <c r="AC6" s="48"/>
      <c r="AD6" s="48"/>
      <c r="AE6" s="20"/>
      <c r="AF6" s="20"/>
      <c r="AG6" s="48"/>
      <c r="AH6" s="48"/>
      <c r="AI6" s="48"/>
      <c r="AJ6" s="48"/>
      <c r="AK6" s="20"/>
      <c r="AL6" s="20"/>
      <c r="AM6" s="48"/>
      <c r="AN6" s="48"/>
      <c r="AO6" s="48"/>
      <c r="AP6" s="48"/>
      <c r="AQ6" s="20"/>
      <c r="AR6" s="20"/>
      <c r="AS6" s="48"/>
      <c r="AT6" s="48"/>
      <c r="AU6" s="48"/>
      <c r="AV6" s="48"/>
      <c r="AW6" s="20"/>
      <c r="AX6" s="20"/>
      <c r="AY6" s="48"/>
      <c r="AZ6" s="48"/>
      <c r="BA6" s="48"/>
      <c r="BB6" s="48"/>
      <c r="BC6" s="20"/>
      <c r="BD6" s="20"/>
      <c r="BE6" s="48"/>
      <c r="BF6" s="48"/>
      <c r="BG6" s="48"/>
      <c r="BH6" s="48"/>
      <c r="BI6" s="20"/>
      <c r="BJ6" s="20"/>
      <c r="BK6" s="48"/>
      <c r="BL6" s="48"/>
      <c r="BM6" s="48"/>
      <c r="BN6" s="48"/>
      <c r="BO6" s="20"/>
      <c r="BP6" s="20"/>
      <c r="BQ6" s="48"/>
      <c r="BR6" s="20"/>
      <c r="BS6" s="20"/>
      <c r="BT6" s="55"/>
      <c r="BU6" s="20"/>
      <c r="BV6" s="20"/>
      <c r="BW6" s="20"/>
      <c r="BX6" s="20"/>
      <c r="BY6" s="20"/>
    </row>
    <row r="7" spans="1:77" s="56" customFormat="1" ht="15.75" thickBot="1" x14ac:dyDescent="0.3">
      <c r="A7" s="80"/>
      <c r="B7" s="49"/>
      <c r="C7" s="20"/>
      <c r="D7" s="20"/>
      <c r="E7" s="20"/>
      <c r="F7" s="20"/>
      <c r="G7" s="20"/>
      <c r="H7" s="20"/>
      <c r="I7" s="20"/>
      <c r="J7" s="48"/>
      <c r="K7" s="48"/>
      <c r="L7" s="48"/>
      <c r="M7" s="20"/>
      <c r="N7" s="20"/>
      <c r="O7" s="48"/>
      <c r="P7" s="48"/>
      <c r="Q7" s="48"/>
      <c r="R7" s="48"/>
      <c r="S7" s="20"/>
      <c r="T7" s="20"/>
      <c r="U7" s="48"/>
      <c r="V7" s="48"/>
      <c r="W7" s="48"/>
      <c r="X7" s="48"/>
      <c r="Y7" s="48"/>
      <c r="Z7" s="20"/>
      <c r="AA7" s="48"/>
      <c r="AB7" s="48"/>
      <c r="AC7" s="48"/>
      <c r="AD7" s="48"/>
      <c r="AE7" s="20"/>
      <c r="AF7" s="20"/>
      <c r="AG7" s="48"/>
      <c r="AH7" s="48"/>
      <c r="AI7" s="48"/>
      <c r="AJ7" s="48"/>
      <c r="AK7" s="20"/>
      <c r="AL7" s="20"/>
      <c r="AM7" s="48"/>
      <c r="AN7" s="48"/>
      <c r="AO7" s="48"/>
      <c r="AP7" s="48"/>
      <c r="AQ7" s="20"/>
      <c r="AR7" s="20"/>
      <c r="AS7" s="48"/>
      <c r="AT7" s="48"/>
      <c r="AU7" s="48"/>
      <c r="AV7" s="48"/>
      <c r="AW7" s="20"/>
      <c r="AX7" s="20"/>
      <c r="AY7" s="48"/>
      <c r="AZ7" s="48"/>
      <c r="BA7" s="48"/>
      <c r="BB7" s="48"/>
      <c r="BC7" s="20"/>
      <c r="BD7" s="20"/>
      <c r="BE7" s="48"/>
      <c r="BF7" s="48"/>
      <c r="BG7" s="48"/>
      <c r="BH7" s="48"/>
      <c r="BI7" s="20"/>
      <c r="BJ7" s="20"/>
      <c r="BK7" s="48"/>
      <c r="BL7" s="48"/>
      <c r="BM7" s="48"/>
      <c r="BN7" s="48"/>
      <c r="BO7" s="20"/>
      <c r="BP7" s="20"/>
      <c r="BQ7" s="48"/>
      <c r="BR7" s="20"/>
      <c r="BS7" s="20"/>
      <c r="BT7" s="55"/>
      <c r="BU7" s="20"/>
      <c r="BV7" s="20"/>
      <c r="BW7" s="20"/>
      <c r="BX7" s="20"/>
      <c r="BY7" s="20"/>
    </row>
    <row r="8" spans="1:77" s="56" customFormat="1" ht="15.75" thickBot="1" x14ac:dyDescent="0.3">
      <c r="A8" s="80"/>
      <c r="B8" s="49"/>
      <c r="C8" s="20"/>
      <c r="D8" s="20"/>
      <c r="E8" s="20"/>
      <c r="F8" s="20"/>
      <c r="G8" s="20"/>
      <c r="H8" s="20"/>
      <c r="I8" s="20"/>
      <c r="J8" s="48"/>
      <c r="K8" s="48"/>
      <c r="L8" s="48"/>
      <c r="M8" s="20"/>
      <c r="N8" s="20"/>
      <c r="O8" s="48"/>
      <c r="P8" s="48"/>
      <c r="Q8" s="48"/>
      <c r="R8" s="48"/>
      <c r="S8" s="20"/>
      <c r="T8" s="20"/>
      <c r="U8" s="48"/>
      <c r="V8" s="48"/>
      <c r="W8" s="48"/>
      <c r="X8" s="48"/>
      <c r="Y8" s="48"/>
      <c r="Z8" s="20"/>
      <c r="AA8" s="48"/>
      <c r="AB8" s="48"/>
      <c r="AC8" s="48"/>
      <c r="AD8" s="48"/>
      <c r="AE8" s="20"/>
      <c r="AF8" s="20"/>
      <c r="AG8" s="48"/>
      <c r="AH8" s="48"/>
      <c r="AI8" s="48"/>
      <c r="AJ8" s="48"/>
      <c r="AK8" s="20"/>
      <c r="AL8" s="20"/>
      <c r="AM8" s="48"/>
      <c r="AN8" s="48"/>
      <c r="AO8" s="48"/>
      <c r="AP8" s="48"/>
      <c r="AQ8" s="20"/>
      <c r="AR8" s="20"/>
      <c r="AS8" s="48"/>
      <c r="AT8" s="48"/>
      <c r="AU8" s="48"/>
      <c r="AV8" s="48"/>
      <c r="AW8" s="20"/>
      <c r="AX8" s="20"/>
      <c r="AY8" s="48"/>
      <c r="AZ8" s="48"/>
      <c r="BA8" s="48"/>
      <c r="BB8" s="48"/>
      <c r="BC8" s="20"/>
      <c r="BD8" s="20"/>
      <c r="BE8" s="48"/>
      <c r="BF8" s="48"/>
      <c r="BG8" s="48"/>
      <c r="BH8" s="48"/>
      <c r="BI8" s="20"/>
      <c r="BJ8" s="20"/>
      <c r="BK8" s="48"/>
      <c r="BL8" s="48"/>
      <c r="BM8" s="48"/>
      <c r="BN8" s="48"/>
      <c r="BO8" s="20"/>
      <c r="BP8" s="20"/>
      <c r="BQ8" s="48"/>
      <c r="BR8" s="20"/>
      <c r="BS8" s="20"/>
      <c r="BT8" s="55"/>
      <c r="BU8" s="20"/>
      <c r="BV8" s="20"/>
      <c r="BW8" s="20"/>
      <c r="BX8" s="20"/>
      <c r="BY8" s="20"/>
    </row>
    <row r="9" spans="1:77" s="56" customFormat="1" ht="15.75" thickBot="1" x14ac:dyDescent="0.3">
      <c r="A9" s="80"/>
      <c r="B9" s="49"/>
      <c r="C9" s="20"/>
      <c r="D9" s="20"/>
      <c r="E9" s="20"/>
      <c r="F9" s="20"/>
      <c r="G9" s="20"/>
      <c r="H9" s="20"/>
      <c r="I9" s="20"/>
      <c r="J9" s="48"/>
      <c r="K9" s="48"/>
      <c r="L9" s="48"/>
      <c r="M9" s="20"/>
      <c r="N9" s="20"/>
      <c r="O9" s="48"/>
      <c r="P9" s="48"/>
      <c r="Q9" s="48"/>
      <c r="R9" s="48"/>
      <c r="S9" s="20"/>
      <c r="T9" s="20"/>
      <c r="U9" s="48"/>
      <c r="V9" s="48"/>
      <c r="W9" s="48"/>
      <c r="X9" s="48"/>
      <c r="Y9" s="48"/>
      <c r="Z9" s="20"/>
      <c r="AA9" s="48"/>
      <c r="AB9" s="48"/>
      <c r="AC9" s="48"/>
      <c r="AD9" s="48"/>
      <c r="AE9" s="20"/>
      <c r="AF9" s="20"/>
      <c r="AG9" s="48"/>
      <c r="AH9" s="48"/>
      <c r="AI9" s="48"/>
      <c r="AJ9" s="48"/>
      <c r="AK9" s="20"/>
      <c r="AL9" s="20"/>
      <c r="AM9" s="48"/>
      <c r="AN9" s="48"/>
      <c r="AO9" s="48"/>
      <c r="AP9" s="48"/>
      <c r="AQ9" s="20"/>
      <c r="AR9" s="20"/>
      <c r="AS9" s="48"/>
      <c r="AT9" s="48"/>
      <c r="AU9" s="48"/>
      <c r="AV9" s="48"/>
      <c r="AW9" s="20"/>
      <c r="AX9" s="20"/>
      <c r="AY9" s="48"/>
      <c r="AZ9" s="48"/>
      <c r="BA9" s="48"/>
      <c r="BB9" s="48"/>
      <c r="BC9" s="20"/>
      <c r="BD9" s="20"/>
      <c r="BE9" s="48"/>
      <c r="BF9" s="48"/>
      <c r="BG9" s="48"/>
      <c r="BH9" s="48"/>
      <c r="BI9" s="20"/>
      <c r="BJ9" s="20"/>
      <c r="BK9" s="48"/>
      <c r="BL9" s="48"/>
      <c r="BM9" s="48"/>
      <c r="BN9" s="48"/>
      <c r="BO9" s="20"/>
      <c r="BP9" s="20"/>
      <c r="BQ9" s="48"/>
      <c r="BR9" s="20"/>
      <c r="BS9" s="20"/>
      <c r="BT9" s="55"/>
      <c r="BU9" s="20"/>
      <c r="BV9" s="20"/>
      <c r="BW9" s="20"/>
      <c r="BX9" s="20"/>
      <c r="BY9" s="20"/>
    </row>
    <row r="10" spans="1:77" s="56" customFormat="1" ht="15.75" thickBot="1" x14ac:dyDescent="0.3">
      <c r="A10" s="80"/>
      <c r="B10" s="49"/>
      <c r="C10" s="20"/>
      <c r="D10" s="20"/>
      <c r="E10" s="20"/>
      <c r="F10" s="20"/>
      <c r="G10" s="20"/>
      <c r="H10" s="20"/>
      <c r="I10" s="20"/>
      <c r="J10" s="48"/>
      <c r="K10" s="48"/>
      <c r="L10" s="48"/>
      <c r="M10" s="20"/>
      <c r="N10" s="20"/>
      <c r="O10" s="48"/>
      <c r="P10" s="48"/>
      <c r="Q10" s="48"/>
      <c r="R10" s="48"/>
      <c r="S10" s="20"/>
      <c r="T10" s="20"/>
      <c r="U10" s="48"/>
      <c r="V10" s="48"/>
      <c r="W10" s="48"/>
      <c r="X10" s="48"/>
      <c r="Y10" s="48"/>
      <c r="Z10" s="20"/>
      <c r="AA10" s="48"/>
      <c r="AB10" s="48"/>
      <c r="AC10" s="48"/>
      <c r="AD10" s="48"/>
      <c r="AE10" s="20"/>
      <c r="AF10" s="20"/>
      <c r="AG10" s="48"/>
      <c r="AH10" s="48"/>
      <c r="AI10" s="48"/>
      <c r="AJ10" s="48"/>
      <c r="AK10" s="20"/>
      <c r="AL10" s="20"/>
      <c r="AM10" s="48"/>
      <c r="AN10" s="48"/>
      <c r="AO10" s="48"/>
      <c r="AP10" s="48"/>
      <c r="AQ10" s="20"/>
      <c r="AR10" s="20"/>
      <c r="AS10" s="48"/>
      <c r="AT10" s="48"/>
      <c r="AU10" s="48"/>
      <c r="AV10" s="48"/>
      <c r="AW10" s="20"/>
      <c r="AX10" s="20"/>
      <c r="AY10" s="48"/>
      <c r="AZ10" s="48"/>
      <c r="BA10" s="48"/>
      <c r="BB10" s="48"/>
      <c r="BC10" s="20"/>
      <c r="BD10" s="20"/>
      <c r="BE10" s="48"/>
      <c r="BF10" s="48"/>
      <c r="BG10" s="48"/>
      <c r="BH10" s="48"/>
      <c r="BI10" s="20"/>
      <c r="BJ10" s="20"/>
      <c r="BK10" s="48"/>
      <c r="BL10" s="48"/>
      <c r="BM10" s="48"/>
      <c r="BN10" s="48"/>
      <c r="BO10" s="20"/>
      <c r="BP10" s="20"/>
      <c r="BQ10" s="48"/>
      <c r="BR10" s="20"/>
      <c r="BS10" s="20"/>
      <c r="BT10" s="55"/>
      <c r="BU10" s="20"/>
      <c r="BV10" s="20"/>
      <c r="BW10" s="20"/>
      <c r="BX10" s="20"/>
      <c r="BY10" s="20"/>
    </row>
    <row r="11" spans="1:77" s="56" customFormat="1" ht="15.75" thickBot="1" x14ac:dyDescent="0.3">
      <c r="A11" s="80"/>
      <c r="B11" s="49"/>
      <c r="C11" s="20"/>
      <c r="D11" s="20"/>
      <c r="E11" s="20"/>
      <c r="F11" s="20"/>
      <c r="G11" s="20"/>
      <c r="H11" s="20"/>
      <c r="I11" s="20"/>
      <c r="J11" s="48"/>
      <c r="K11" s="48"/>
      <c r="L11" s="48"/>
      <c r="M11" s="20"/>
      <c r="N11" s="20"/>
      <c r="O11" s="48"/>
      <c r="P11" s="48"/>
      <c r="Q11" s="48"/>
      <c r="R11" s="48"/>
      <c r="S11" s="20"/>
      <c r="T11" s="20"/>
      <c r="U11" s="48"/>
      <c r="V11" s="48"/>
      <c r="W11" s="48"/>
      <c r="X11" s="48"/>
      <c r="Y11" s="48"/>
      <c r="Z11" s="20"/>
      <c r="AA11" s="48"/>
      <c r="AB11" s="48"/>
      <c r="AC11" s="48"/>
      <c r="AD11" s="48"/>
      <c r="AE11" s="20"/>
      <c r="AF11" s="20"/>
      <c r="AG11" s="48"/>
      <c r="AH11" s="48"/>
      <c r="AI11" s="48"/>
      <c r="AJ11" s="48"/>
      <c r="AK11" s="20"/>
      <c r="AL11" s="20"/>
      <c r="AM11" s="48"/>
      <c r="AN11" s="48"/>
      <c r="AO11" s="48"/>
      <c r="AP11" s="48"/>
      <c r="AQ11" s="20"/>
      <c r="AR11" s="20"/>
      <c r="AS11" s="48"/>
      <c r="AT11" s="48"/>
      <c r="AU11" s="48"/>
      <c r="AV11" s="48"/>
      <c r="AW11" s="20"/>
      <c r="AX11" s="20"/>
      <c r="AY11" s="48"/>
      <c r="AZ11" s="48"/>
      <c r="BA11" s="48"/>
      <c r="BB11" s="48"/>
      <c r="BC11" s="20"/>
      <c r="BD11" s="20"/>
      <c r="BE11" s="48"/>
      <c r="BF11" s="48"/>
      <c r="BG11" s="48"/>
      <c r="BH11" s="48"/>
      <c r="BI11" s="20"/>
      <c r="BJ11" s="20"/>
      <c r="BK11" s="48"/>
      <c r="BL11" s="48"/>
      <c r="BM11" s="48"/>
      <c r="BN11" s="48"/>
      <c r="BO11" s="20"/>
      <c r="BP11" s="20"/>
      <c r="BQ11" s="48"/>
      <c r="BR11" s="20"/>
      <c r="BS11" s="20"/>
      <c r="BT11" s="55"/>
      <c r="BU11" s="20"/>
      <c r="BV11" s="20"/>
      <c r="BW11" s="20"/>
      <c r="BX11" s="20"/>
      <c r="BY11" s="20"/>
    </row>
    <row r="12" spans="1:77" s="40" customFormat="1" ht="15.75" thickBot="1" x14ac:dyDescent="0.3">
      <c r="A12" s="75"/>
      <c r="B12" s="2"/>
      <c r="C12" s="1"/>
      <c r="D12" s="1"/>
      <c r="E12" s="1"/>
      <c r="F12" s="25"/>
      <c r="G12" s="1"/>
      <c r="H12" s="1"/>
      <c r="I12" s="1"/>
      <c r="J12" s="3"/>
      <c r="K12" s="3"/>
      <c r="L12" s="3"/>
      <c r="M12" s="1"/>
      <c r="N12" s="1"/>
      <c r="O12" s="3"/>
      <c r="P12" s="3"/>
      <c r="Q12" s="3"/>
      <c r="R12" s="3"/>
      <c r="S12" s="1"/>
      <c r="T12" s="1"/>
      <c r="U12" s="3"/>
      <c r="V12" s="3"/>
      <c r="W12" s="1"/>
      <c r="X12" s="1"/>
      <c r="Y12" s="1"/>
      <c r="Z12" s="1"/>
      <c r="AA12" s="1"/>
      <c r="AB12" s="3"/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3"/>
      <c r="AO12" s="1"/>
      <c r="AP12" s="1"/>
      <c r="AQ12" s="1"/>
      <c r="AR12" s="1"/>
      <c r="AS12" s="1"/>
      <c r="AT12" s="3"/>
      <c r="AU12" s="1"/>
      <c r="AV12" s="1"/>
      <c r="AW12" s="1"/>
      <c r="AX12" s="1"/>
      <c r="AY12" s="1"/>
      <c r="AZ12" s="3"/>
      <c r="BA12" s="1"/>
      <c r="BB12" s="1"/>
      <c r="BC12" s="1"/>
      <c r="BD12" s="1"/>
      <c r="BE12" s="1"/>
      <c r="BF12" s="3"/>
      <c r="BG12" s="1"/>
      <c r="BH12" s="1"/>
      <c r="BI12" s="1"/>
      <c r="BJ12" s="1"/>
      <c r="BK12" s="1"/>
      <c r="BL12" s="3"/>
      <c r="BM12" s="1"/>
      <c r="BN12" s="1"/>
      <c r="BO12" s="1"/>
      <c r="BP12" s="1"/>
      <c r="BQ12" s="1"/>
      <c r="BR12" s="19"/>
      <c r="BS12" s="1"/>
      <c r="BT12" s="37"/>
      <c r="BU12" s="1"/>
      <c r="BV12" s="1"/>
      <c r="BW12" s="1"/>
      <c r="BX12" s="1"/>
      <c r="BY12" s="39"/>
    </row>
    <row r="13" spans="1:77" s="40" customFormat="1" ht="15.75" thickBot="1" x14ac:dyDescent="0.3">
      <c r="A13" s="48"/>
      <c r="B13" s="49"/>
      <c r="C13" s="20"/>
      <c r="D13" s="20"/>
      <c r="E13" s="20"/>
      <c r="F13" s="20"/>
      <c r="G13" s="20"/>
      <c r="H13" s="20"/>
      <c r="I13" s="20"/>
      <c r="J13" s="48"/>
      <c r="K13" s="48"/>
      <c r="L13" s="48"/>
      <c r="M13" s="20"/>
      <c r="N13" s="20"/>
      <c r="O13" s="48"/>
      <c r="P13" s="48"/>
      <c r="Q13" s="20"/>
      <c r="R13" s="20"/>
      <c r="S13" s="20"/>
      <c r="T13" s="20"/>
      <c r="U13" s="20"/>
      <c r="V13" s="48"/>
      <c r="W13" s="20"/>
      <c r="X13" s="20"/>
      <c r="Y13" s="20"/>
      <c r="Z13" s="20"/>
      <c r="AA13" s="20"/>
      <c r="AB13" s="48"/>
      <c r="AC13" s="20"/>
      <c r="AD13" s="20"/>
      <c r="AE13" s="20"/>
      <c r="AF13" s="20"/>
      <c r="AG13" s="20"/>
      <c r="AH13" s="48"/>
      <c r="AI13" s="20"/>
      <c r="AJ13" s="20"/>
      <c r="AK13" s="20"/>
      <c r="AL13" s="20"/>
      <c r="AM13" s="20"/>
      <c r="AN13" s="48"/>
      <c r="AO13" s="20"/>
      <c r="AP13" s="20"/>
      <c r="AQ13" s="20"/>
      <c r="AR13" s="20"/>
      <c r="AS13" s="20"/>
      <c r="AT13" s="48"/>
      <c r="AU13" s="20"/>
      <c r="AV13" s="20"/>
      <c r="AW13" s="20"/>
      <c r="AX13" s="20"/>
      <c r="AY13" s="20"/>
      <c r="AZ13" s="48"/>
      <c r="BA13" s="20"/>
      <c r="BB13" s="20"/>
      <c r="BC13" s="20"/>
      <c r="BD13" s="20"/>
      <c r="BE13" s="20"/>
      <c r="BF13" s="48"/>
      <c r="BG13" s="20"/>
      <c r="BH13" s="20"/>
      <c r="BI13" s="20"/>
      <c r="BJ13" s="20"/>
      <c r="BK13" s="20"/>
      <c r="BL13" s="48"/>
      <c r="BM13" s="20"/>
      <c r="BN13" s="20"/>
      <c r="BO13" s="20"/>
      <c r="BP13" s="20"/>
      <c r="BQ13" s="20"/>
      <c r="BR13" s="20"/>
      <c r="BS13" s="20"/>
      <c r="BT13" s="50"/>
      <c r="BU13" s="20"/>
      <c r="BV13" s="20"/>
      <c r="BW13" s="20"/>
      <c r="BX13" s="20"/>
      <c r="BY13" s="39"/>
    </row>
    <row r="14" spans="1:77" hidden="1" x14ac:dyDescent="0.25">
      <c r="H14" s="4" t="str">
        <f t="shared" ref="H14:L23" si="1">J2</f>
        <v>AG</v>
      </c>
      <c r="I14" s="4">
        <f t="shared" si="1"/>
        <v>1500</v>
      </c>
      <c r="J14" s="4">
        <f t="shared" si="1"/>
        <v>8</v>
      </c>
      <c r="K14" s="4" t="str">
        <f t="shared" si="1"/>
        <v>Y</v>
      </c>
      <c r="L14" s="4" t="str">
        <f t="shared" si="1"/>
        <v>3L</v>
      </c>
      <c r="O14" s="28" t="str">
        <f>J2</f>
        <v>AG</v>
      </c>
      <c r="P14" s="4" t="str">
        <f t="shared" ref="P14:R23" si="2">N2</f>
        <v>3L</v>
      </c>
      <c r="Q14" s="4">
        <f t="shared" si="2"/>
        <v>3.5</v>
      </c>
      <c r="R14" s="4" t="str">
        <f t="shared" si="2"/>
        <v>AG</v>
      </c>
      <c r="S14" s="4" t="str">
        <f t="shared" ref="S14:U23" si="3">T2</f>
        <v>3L</v>
      </c>
      <c r="T14" s="4">
        <f t="shared" si="3"/>
        <v>3.5</v>
      </c>
      <c r="U14" s="4" t="str">
        <f t="shared" si="3"/>
        <v>AG</v>
      </c>
      <c r="V14" s="4" t="str">
        <f t="shared" ref="V14:X23" si="4">Z2</f>
        <v>3L</v>
      </c>
      <c r="W14" s="4">
        <f t="shared" si="4"/>
        <v>3.5</v>
      </c>
      <c r="X14" s="4" t="str">
        <f t="shared" si="4"/>
        <v>AG</v>
      </c>
      <c r="Y14" s="4" t="str">
        <f t="shared" ref="Y14:AA23" si="5">AF2</f>
        <v>3L</v>
      </c>
      <c r="Z14" s="4">
        <f t="shared" si="5"/>
        <v>3.5</v>
      </c>
      <c r="AA14" s="4">
        <f t="shared" si="5"/>
        <v>0</v>
      </c>
      <c r="AB14" s="4">
        <f t="shared" ref="AB14:AD23" si="6">AL2</f>
        <v>0</v>
      </c>
      <c r="AC14" s="4">
        <f t="shared" si="6"/>
        <v>0</v>
      </c>
      <c r="AD14" s="4">
        <f t="shared" si="6"/>
        <v>0</v>
      </c>
      <c r="AE14" s="4">
        <f t="shared" ref="AE14:AG23" si="7">AR2</f>
        <v>0</v>
      </c>
      <c r="AF14" s="4">
        <f t="shared" si="7"/>
        <v>0</v>
      </c>
      <c r="AG14" s="4">
        <f t="shared" si="7"/>
        <v>0</v>
      </c>
      <c r="AH14" s="4">
        <f t="shared" ref="AH14:AJ23" si="8">AX2</f>
        <v>0</v>
      </c>
      <c r="AI14" s="4">
        <f t="shared" si="8"/>
        <v>0</v>
      </c>
      <c r="AJ14" s="4">
        <f t="shared" si="8"/>
        <v>0</v>
      </c>
      <c r="AK14" s="4">
        <f t="shared" ref="AK14:AM23" si="9">BD2</f>
        <v>0</v>
      </c>
      <c r="AL14" s="4">
        <f t="shared" si="9"/>
        <v>0</v>
      </c>
      <c r="AM14" s="4">
        <f t="shared" si="9"/>
        <v>0</v>
      </c>
      <c r="AN14" s="4">
        <f t="shared" ref="AN14:AP23" si="10">BJ2</f>
        <v>0</v>
      </c>
      <c r="AO14" s="4">
        <f t="shared" si="10"/>
        <v>0</v>
      </c>
      <c r="AP14" s="4">
        <f t="shared" si="10"/>
        <v>0</v>
      </c>
      <c r="AQ14" s="4">
        <f t="shared" ref="AQ14:AR23" si="11">BP2</f>
        <v>0</v>
      </c>
      <c r="AR14" s="4">
        <f t="shared" si="11"/>
        <v>0</v>
      </c>
      <c r="AT14" s="28">
        <v>1</v>
      </c>
      <c r="AU14" s="29">
        <f>IF($P$14="3L",$Q$14,IF($S$14="3L",$T$14,IF($V$14="3L",$W$14,IF($Y$14="3L",$Z$14,IF($AB$14="3L",$AC$14,IF($AE$14="3L",$AF$14,IF($AH$14="3L",$AI$14,IF($AK$14="3L",$AL$14,IF($AN$14="3L",$AO$14,IF($AQ$14="3L",$AR$14,""))))))))))</f>
        <v>3.5</v>
      </c>
      <c r="AV14" s="29" t="str">
        <f>IF($P$14="4L",$Q$14,IF($S$14="4L",$T$14,IF($V$14="4L",$W$14,IF($Y$14="4L",$Z$14,IF($AB$14="4L",$AC$14,IF($AE$14="4L",$AF$14,IF($AH$14="4L",$AI$14,IF($AK$14="4L",$AL$14,IF($AN$14="4L",$AO$14,IF($AQ$14="4L",$AR$14,""))))))))))</f>
        <v/>
      </c>
      <c r="AW14" s="29" t="str">
        <f>IF($P$14="5L",$Q$14,IF($S$14="5L",$T$14,IF($V$14="5L",$W$14,IF($Y$14="5L",$Z$14,IF($AB$14="5L",$AC$14,IF($AE$14="5L",$AF$14,IF($AH$14="5L",$AI$14,IF($AK$14="5L",$AL$14,IF($AN$14="5L",$AO$14,IF($AQ$14="5L",$AR$14,""))))))))))</f>
        <v/>
      </c>
      <c r="AX14" s="29" t="str">
        <f>IF($P$14="6L",$Q$14,IF($S$14="6L",$T$14,IF($V$14="6L",$W$14,IF($Y$14="6L",$Z$14,IF($AB$14="6L",$AC$14,IF($AE$14="6L",$AF$14,IF($AH$14="6L",$AI$14,IF($AK$14="6L",$AL$14,IF($AN$14="6L",$AO$14,IF($AQ$14="6L",$AR$14,""))))))))))</f>
        <v/>
      </c>
      <c r="AY14" s="29" t="str">
        <f>IF($P$14="7L",$Q$14,IF($S$14="7L",$T$14,IF($V$14="7L",$W$14,IF($Y$14="7L",$Z$14,IF($AB$14="7L",$AC$14,IF($AE$14="7L",$AF$14,IF($AH$14="7L",$AI$14,IF($AK$14="7L",$AL$14,IF($AN$14="7L",$AO$14,IF($AQ$14="7L",$AR$14,""))))))))))</f>
        <v/>
      </c>
      <c r="AZ14" s="29" t="str">
        <f t="shared" ref="AZ14:AZ23" si="12">IF($O$14="LOFT",$Q$14,IF($R$14="LOFT",$T$14,IF($U$14="LOFT",$W$14,IF($X$14="LOFT",$Z$14,IF($AA$14="LOFT",$AC$14,IF($AD$14="LOFT",$AF$14,IF($AG$14="LOFT",$AI$14,IF($AJ$14="LOFT",$AL$14,IF($AM$14="LOFT",$AO$14,IF($AP$14="LOFT",$AR$14,""))))))))))</f>
        <v/>
      </c>
      <c r="BA14" s="29" t="str">
        <f t="shared" ref="BA14:BA23" si="13">IF($O$14="UT",$Q$14,IF($R$14="UT",$T$14,IF($U$14="UT",$W$14,IF($X$14="UT",$Z$14,IF($AA$14="UT",$AC$14,IF($AD$14="UT",$AF$14,IF($AG$14="UT",$AI$14,IF($AJ$14="UT",$AL$14,IF($AM$14="UT",$AO$14,IF($AP$14="UT",$AR$14,""))))))))))</f>
        <v/>
      </c>
      <c r="BB14" s="29" t="str">
        <f t="shared" ref="BB14:BB23" si="14">IF($O$14="HT",$Q$14,IF($R$14="HT",$T$14,IF($U$14="HT",$W$14,IF($X$14="HT",$Z$14,IF($AA$14="HT",$AC$14,IF($AD$14="HT",$AF$14,IF($AG$14="HT",$AI$14,IF($AJ$14="HT",$AL$14,IF($AM$14="HT",$AO$14,IF($AP$14="HT",$AR$14,""))))))))))</f>
        <v/>
      </c>
      <c r="BC14" s="29" t="str">
        <f t="shared" ref="BC14:BC23" si="15">IF($O$14="PURE",$Q$14,IF($R$14="PURE",$T$14,IF($U$14="PURE",$W$14,IF($X$14="PURE",$Z$14,IF($AA$14="PURE",$AC$14,IF($AD$14="PURE",$AF$14,IF($AG$14="PURE",$AI$14,IF($AJ$14="PURE",$AL$14,IF($AM$14="PURE",$AO$14,IF($AP$14="PURE",$AR$14,""))))))))))</f>
        <v/>
      </c>
      <c r="BD14" s="29" t="str">
        <f>IF($P$14="FUM",$Q$14,IF($S$14="FUM",$T$14,IF($V$14="FUM",$W$14,IF($Y$14="FUM",$Z$14,IF($AB$14="FUM",$AC$14,IF($AE$14="FUM",$AF$14,IF($AH$14="FUM",$AI$14,IF($AK$14="FUM",$AL$14,IF($AN$14="FUM",$AO$14,IF($AQ$14="FUM",$AR$14,""))))))))))</f>
        <v/>
      </c>
    </row>
    <row r="15" spans="1:77" hidden="1" x14ac:dyDescent="0.25">
      <c r="H15" s="4">
        <f t="shared" si="1"/>
        <v>0</v>
      </c>
      <c r="I15" s="4">
        <f t="shared" si="1"/>
        <v>0</v>
      </c>
      <c r="J15" s="4">
        <f t="shared" si="1"/>
        <v>0</v>
      </c>
      <c r="K15" s="4">
        <f t="shared" si="1"/>
        <v>0</v>
      </c>
      <c r="L15" s="4">
        <f t="shared" si="1"/>
        <v>0</v>
      </c>
      <c r="O15" s="28">
        <f t="shared" ref="O15:O23" si="16">J3</f>
        <v>0</v>
      </c>
      <c r="P15" s="4">
        <f t="shared" si="2"/>
        <v>0</v>
      </c>
      <c r="Q15" s="4">
        <f t="shared" si="2"/>
        <v>0</v>
      </c>
      <c r="R15" s="4">
        <f t="shared" si="2"/>
        <v>0</v>
      </c>
      <c r="S15" s="4">
        <f t="shared" si="3"/>
        <v>0</v>
      </c>
      <c r="T15" s="4">
        <f t="shared" si="3"/>
        <v>0</v>
      </c>
      <c r="U15" s="4">
        <f t="shared" si="3"/>
        <v>0</v>
      </c>
      <c r="V15" s="4">
        <f t="shared" si="4"/>
        <v>0</v>
      </c>
      <c r="W15" s="4">
        <f t="shared" si="4"/>
        <v>0</v>
      </c>
      <c r="X15" s="4">
        <f t="shared" si="4"/>
        <v>0</v>
      </c>
      <c r="Y15" s="4">
        <f t="shared" si="5"/>
        <v>0</v>
      </c>
      <c r="Z15" s="4">
        <f t="shared" si="5"/>
        <v>0</v>
      </c>
      <c r="AA15" s="4">
        <f t="shared" si="5"/>
        <v>0</v>
      </c>
      <c r="AB15" s="4">
        <f t="shared" si="6"/>
        <v>0</v>
      </c>
      <c r="AC15" s="4">
        <f t="shared" si="6"/>
        <v>0</v>
      </c>
      <c r="AD15" s="4">
        <f t="shared" si="6"/>
        <v>0</v>
      </c>
      <c r="AE15" s="4">
        <f t="shared" si="7"/>
        <v>0</v>
      </c>
      <c r="AF15" s="4">
        <f t="shared" si="7"/>
        <v>0</v>
      </c>
      <c r="AG15" s="4">
        <f t="shared" si="7"/>
        <v>0</v>
      </c>
      <c r="AH15" s="4">
        <f t="shared" si="8"/>
        <v>0</v>
      </c>
      <c r="AI15" s="4">
        <f t="shared" si="8"/>
        <v>0</v>
      </c>
      <c r="AJ15" s="4">
        <f t="shared" si="8"/>
        <v>0</v>
      </c>
      <c r="AK15" s="4">
        <f t="shared" si="9"/>
        <v>0</v>
      </c>
      <c r="AL15" s="4">
        <f t="shared" si="9"/>
        <v>0</v>
      </c>
      <c r="AM15" s="4">
        <f t="shared" si="9"/>
        <v>0</v>
      </c>
      <c r="AN15" s="4">
        <f t="shared" si="10"/>
        <v>0</v>
      </c>
      <c r="AO15" s="4">
        <f t="shared" si="10"/>
        <v>0</v>
      </c>
      <c r="AP15" s="4">
        <f t="shared" si="10"/>
        <v>0</v>
      </c>
      <c r="AQ15" s="4">
        <f t="shared" si="11"/>
        <v>0</v>
      </c>
      <c r="AR15" s="4">
        <f t="shared" si="11"/>
        <v>0</v>
      </c>
      <c r="AT15" s="28">
        <v>2</v>
      </c>
      <c r="AU15" s="29" t="str">
        <f>IF($P$15="3L",$Q$15,IF($S$15="3L",$T$15,IF($V$15="3L",$W$15,IF($Y$15="3L",$Z$15,IF($AB$15="3L",$AC$15,IF($AE$15="3L",$AF$15,IF($AH$15="3L",$AI$15,IF($AK$15="3L",$AL$15,IF($AN$15="3L",$AO$15,IF($AQ$15="3L",$AR$15,""))))))))))</f>
        <v/>
      </c>
      <c r="AV15" s="29" t="str">
        <f>IF($P$15="4L",$Q$15,IF($S$15="4L",$T$15,IF($V$15="4L",$W$15,IF($Y$15="4L",$Z$15,IF($AB$15="4L",$AC$15,IF($AE$15="4L",$AF$15,IF($AH$15="4L",$AI$15,IF($AK$15="4L",$AL$15,IF($AN$15="4L",$AO$15,IF($AQ$15="4L",$AR$15,""))))))))))</f>
        <v/>
      </c>
      <c r="AW15" s="29" t="str">
        <f>IF($P$15="5L",$Q$15,IF($S$15="5L",$T$15,IF($V$15="5L",$W$15,IF($Y$15="5L",$Z$15,IF($AB$15="5L",$AC$15,IF($AE$15="5L",$AF$15,IF($AH$15="5L",$AI$15,IF($AK$15="5L",$AL$15,IF($AN$15="5L",$AO$15,IF($AQ$15="5L",$AR$15,""))))))))))</f>
        <v/>
      </c>
      <c r="AX15" s="29" t="str">
        <f>IF($P$15="6L",$Q$15,IF($S$15="6L",$T$15,IF($V$15="6L",$W$15,IF($Y$15="6L",$Z$15,IF($AB$15="6L",$AC$15,IF($AE$15="6L",$AF$15,IF($AH$15="6L",$AI$15,IF($AK$15="6L",$AL$15,IF($AN$15="6L",$AO$15,IF($AQ$15="6L",$AR$15,""))))))))))</f>
        <v/>
      </c>
      <c r="AY15" s="29" t="str">
        <f>IF($P$15="7L",$Q$15,IF($S$15="7L",$T$15,IF($V$15="7L",$W$15,IF($Y$15="7L",$Z$15,IF($AB$15="7L",$AC$15,IF($AE$15="7L",$AF$15,IF($AH$15="7L",$AI$15,IF($AK$15="7L",$AL$15,IF($AN$15="7L",$AO$15,IF($AQ$15="7L",$AR$15,""))))))))))</f>
        <v/>
      </c>
      <c r="AZ15" s="29" t="str">
        <f t="shared" si="12"/>
        <v/>
      </c>
      <c r="BA15" s="29" t="str">
        <f t="shared" si="13"/>
        <v/>
      </c>
      <c r="BB15" s="29" t="str">
        <f t="shared" si="14"/>
        <v/>
      </c>
      <c r="BC15" s="29" t="str">
        <f t="shared" si="15"/>
        <v/>
      </c>
      <c r="BD15" s="29" t="str">
        <f>IF($P$15="FUM",$Q$15,IF($S$15="FUM",$T$15,IF($V$15="FUM",$W$15,IF($Y$15="FUM",$Z$15,IF($AB$15="FUM",$AC$15,IF($AE$15="FUM",$AF$15,IF($AH$15="FUM",$AI$15,IF($AK$15="FUM",$AL$15,IF($AN$15="FUM",$AO$15,IF($AQ$15="FUM",$AR$15,""))))))))))</f>
        <v/>
      </c>
    </row>
    <row r="16" spans="1:77" hidden="1" x14ac:dyDescent="0.25">
      <c r="H16" s="4">
        <f t="shared" si="1"/>
        <v>0</v>
      </c>
      <c r="I16" s="4">
        <f t="shared" si="1"/>
        <v>0</v>
      </c>
      <c r="J16" s="4">
        <f t="shared" si="1"/>
        <v>0</v>
      </c>
      <c r="K16" s="4">
        <f t="shared" si="1"/>
        <v>0</v>
      </c>
      <c r="L16" s="4">
        <f t="shared" si="1"/>
        <v>0</v>
      </c>
      <c r="O16" s="28">
        <f t="shared" si="16"/>
        <v>0</v>
      </c>
      <c r="P16" s="4">
        <f t="shared" si="2"/>
        <v>0</v>
      </c>
      <c r="Q16" s="4">
        <f t="shared" si="2"/>
        <v>0</v>
      </c>
      <c r="R16" s="4">
        <f t="shared" si="2"/>
        <v>0</v>
      </c>
      <c r="S16" s="4">
        <f t="shared" si="3"/>
        <v>0</v>
      </c>
      <c r="T16" s="4">
        <f t="shared" si="3"/>
        <v>0</v>
      </c>
      <c r="U16" s="4">
        <f t="shared" si="3"/>
        <v>0</v>
      </c>
      <c r="V16" s="4">
        <f t="shared" si="4"/>
        <v>0</v>
      </c>
      <c r="W16" s="4">
        <f t="shared" si="4"/>
        <v>0</v>
      </c>
      <c r="X16" s="4">
        <f t="shared" si="4"/>
        <v>0</v>
      </c>
      <c r="Y16" s="4">
        <f t="shared" si="5"/>
        <v>0</v>
      </c>
      <c r="Z16" s="4">
        <f t="shared" si="5"/>
        <v>0</v>
      </c>
      <c r="AA16" s="4">
        <f t="shared" si="5"/>
        <v>0</v>
      </c>
      <c r="AB16" s="4">
        <f t="shared" si="6"/>
        <v>0</v>
      </c>
      <c r="AC16" s="4">
        <f t="shared" si="6"/>
        <v>0</v>
      </c>
      <c r="AD16" s="4">
        <f t="shared" si="6"/>
        <v>0</v>
      </c>
      <c r="AE16" s="4">
        <f t="shared" si="7"/>
        <v>0</v>
      </c>
      <c r="AF16" s="4">
        <f t="shared" si="7"/>
        <v>0</v>
      </c>
      <c r="AG16" s="4">
        <f t="shared" si="7"/>
        <v>0</v>
      </c>
      <c r="AH16" s="4">
        <f t="shared" si="8"/>
        <v>0</v>
      </c>
      <c r="AI16" s="4">
        <f t="shared" si="8"/>
        <v>0</v>
      </c>
      <c r="AJ16" s="4">
        <f t="shared" si="8"/>
        <v>0</v>
      </c>
      <c r="AK16" s="4">
        <f t="shared" si="9"/>
        <v>0</v>
      </c>
      <c r="AL16" s="4">
        <f t="shared" si="9"/>
        <v>0</v>
      </c>
      <c r="AM16" s="4">
        <f t="shared" si="9"/>
        <v>0</v>
      </c>
      <c r="AN16" s="4">
        <f t="shared" si="10"/>
        <v>0</v>
      </c>
      <c r="AO16" s="4">
        <f t="shared" si="10"/>
        <v>0</v>
      </c>
      <c r="AP16" s="4">
        <f t="shared" si="10"/>
        <v>0</v>
      </c>
      <c r="AQ16" s="4">
        <f t="shared" si="11"/>
        <v>0</v>
      </c>
      <c r="AR16" s="4">
        <f t="shared" si="11"/>
        <v>0</v>
      </c>
      <c r="AT16" s="28">
        <v>3</v>
      </c>
      <c r="AU16" s="29" t="str">
        <f>IF($P$16="3L",$Q$16,IF($S$16="3L",$T$16,IF($V$16="3L",$W$16,IF($Y$16="3L",$Z$16,IF($AB$16="3L",$AC$16,IF($AE$16="3L",$AF$16,IF($AH$16="3L",$AI$16,IF($AK$16="3L",$AL$16,IF($AN$16="3L",$AO$16,IF($AQ$16="3L",$AR$16,""))))))))))</f>
        <v/>
      </c>
      <c r="AV16" s="29" t="str">
        <f>IF($P$16="4L",$Q$16,IF($S$16="4L",$T$16,IF($V$16="4L",$W$16,IF($Y$16="4L",$Z$16,IF($AB$16="4L",$AC$16,IF($AE$16="4L",$AF$16,IF($AH$16="4L",$AI$16,IF($AK$16="4L",$AL$16,IF($AN$16="4L",$AO$16,IF($AQ$16="4L",$AR$16,""))))))))))</f>
        <v/>
      </c>
      <c r="AW16" s="29" t="str">
        <f>IF($P$16="5L",$Q$16,IF($S$16="5L",$T$16,IF($V$16="5L",$W$16,IF($Y$16="5L",$Z$16,IF($AB$16="5L",$AC$16,IF($AE$16="5L",$AF$16,IF($AH$16="5L",$AI$16,IF($AK$16="5L",$AL$16,IF($AN$16="5L",$AO$16,IF($AQ$16="5L",$AR$16,""))))))))))</f>
        <v/>
      </c>
      <c r="AX16" s="29" t="str">
        <f>IF($P$16="6L",$Q$16,IF($S$16="6L",$T$16,IF($V$16="6L",$W$16,IF($Y$16="6L",$Z$16,IF($AB$16="6L",$AC$16,IF($AE$16="6L",$AF$16,IF($AH$16="6L",$AI$16,IF($AK$16="6L",$AL$16,IF($AN$16="6L",$AO$16,IF($AQ$16="6L",$AR$16,""))))))))))</f>
        <v/>
      </c>
      <c r="AY16" s="29" t="str">
        <f>IF($P$16="7L",$Q$16,IF($S$16="7L",$T$16,IF($V$16="7L",$W$16,IF($Y$16="7L",$Z$16,IF($AB$16="7L",$AC$16,IF($AE$16="7L",$AF$16,IF($AH$16="7L",$AI$16,IF($AK$16="7L",$AL$16,IF($AN$16="7L",$AO$16,IF($AQ$16="7L",$AR$16,""))))))))))</f>
        <v/>
      </c>
      <c r="AZ16" s="29" t="str">
        <f t="shared" si="12"/>
        <v/>
      </c>
      <c r="BA16" s="29" t="str">
        <f t="shared" si="13"/>
        <v/>
      </c>
      <c r="BB16" s="29" t="str">
        <f t="shared" si="14"/>
        <v/>
      </c>
      <c r="BC16" s="29" t="str">
        <f t="shared" si="15"/>
        <v/>
      </c>
      <c r="BD16" s="29" t="str">
        <f>IF($P$16="FUM",$Q$16,IF($S$16="FUM",$T$16,IF($V$16="FUM",$W$16,IF($Y$16="FUM",$Z$16,IF($AB$16="FUM",$AC$16,IF($AE$16="FUM",$AF$16,IF($AH$16="FUM",$AI$16,IF($AK$16="FUM",$AL$16,IF($AN$16="FUM",$AO$16,IF($AQ$16="FUM",$AR$16,""))))))))))</f>
        <v/>
      </c>
    </row>
    <row r="17" spans="8:56" hidden="1" x14ac:dyDescent="0.25">
      <c r="H17" s="4">
        <f t="shared" si="1"/>
        <v>0</v>
      </c>
      <c r="I17" s="4">
        <f t="shared" si="1"/>
        <v>0</v>
      </c>
      <c r="J17" s="4">
        <f t="shared" si="1"/>
        <v>0</v>
      </c>
      <c r="K17" s="4">
        <f t="shared" si="1"/>
        <v>0</v>
      </c>
      <c r="L17" s="4">
        <f t="shared" si="1"/>
        <v>0</v>
      </c>
      <c r="O17" s="28">
        <f t="shared" si="16"/>
        <v>0</v>
      </c>
      <c r="P17" s="4">
        <f t="shared" si="2"/>
        <v>0</v>
      </c>
      <c r="Q17" s="4">
        <f t="shared" si="2"/>
        <v>0</v>
      </c>
      <c r="R17" s="4">
        <f t="shared" si="2"/>
        <v>0</v>
      </c>
      <c r="S17" s="4">
        <f t="shared" si="3"/>
        <v>0</v>
      </c>
      <c r="T17" s="4">
        <f t="shared" si="3"/>
        <v>0</v>
      </c>
      <c r="U17" s="4">
        <f t="shared" si="3"/>
        <v>0</v>
      </c>
      <c r="V17" s="4">
        <f t="shared" si="4"/>
        <v>0</v>
      </c>
      <c r="W17" s="4">
        <f t="shared" si="4"/>
        <v>0</v>
      </c>
      <c r="X17" s="4">
        <f t="shared" si="4"/>
        <v>0</v>
      </c>
      <c r="Y17" s="4">
        <f t="shared" si="5"/>
        <v>0</v>
      </c>
      <c r="Z17" s="4">
        <f t="shared" si="5"/>
        <v>0</v>
      </c>
      <c r="AA17" s="4">
        <f t="shared" si="5"/>
        <v>0</v>
      </c>
      <c r="AB17" s="4">
        <f t="shared" si="6"/>
        <v>0</v>
      </c>
      <c r="AC17" s="4">
        <f t="shared" si="6"/>
        <v>0</v>
      </c>
      <c r="AD17" s="4">
        <f t="shared" si="6"/>
        <v>0</v>
      </c>
      <c r="AE17" s="4">
        <f t="shared" si="7"/>
        <v>0</v>
      </c>
      <c r="AF17" s="4">
        <f t="shared" si="7"/>
        <v>0</v>
      </c>
      <c r="AG17" s="4">
        <f t="shared" si="7"/>
        <v>0</v>
      </c>
      <c r="AH17" s="4">
        <f t="shared" si="8"/>
        <v>0</v>
      </c>
      <c r="AI17" s="4">
        <f t="shared" si="8"/>
        <v>0</v>
      </c>
      <c r="AJ17" s="4">
        <f t="shared" si="8"/>
        <v>0</v>
      </c>
      <c r="AK17" s="4">
        <f t="shared" si="9"/>
        <v>0</v>
      </c>
      <c r="AL17" s="4">
        <f t="shared" si="9"/>
        <v>0</v>
      </c>
      <c r="AM17" s="4">
        <f t="shared" si="9"/>
        <v>0</v>
      </c>
      <c r="AN17" s="4">
        <f t="shared" si="10"/>
        <v>0</v>
      </c>
      <c r="AO17" s="4">
        <f t="shared" si="10"/>
        <v>0</v>
      </c>
      <c r="AP17" s="4">
        <f t="shared" si="10"/>
        <v>0</v>
      </c>
      <c r="AQ17" s="4">
        <f t="shared" si="11"/>
        <v>0</v>
      </c>
      <c r="AR17" s="4">
        <f t="shared" si="11"/>
        <v>0</v>
      </c>
      <c r="AT17" s="28">
        <v>4</v>
      </c>
      <c r="AU17" s="29" t="str">
        <f>IF($P$17="3L",$Q$17,IF($S$17="3L",$T$17,IF($V$17="3L",$W$17,IF($Y$17="3L",$Z$17,IF($AB$17="3L",$AC$17,IF($AE$17="3L",$AF$17,IF($AH$17="3L",$AI$17,IF($AK$17="3L",$AL$17,IF($AN$17="3L",$AO$17,IF($AQ$17="3L",$AR$17,""))))))))))</f>
        <v/>
      </c>
      <c r="AV17" s="29" t="str">
        <f>IF($P$17="4L",$Q$17,IF($S$17="4L",$T$17,IF($V$17="4L",$W$17,IF($Y$17="4L",$Z$17,IF($AB$17="4L",$AC$17,IF($AE$17="4L",$AF$17,IF($AH$17="4L",$AI$17,IF($AK$17="4L",$AL$17,IF($AN$17="4L",$AO$17,IF($AQ$17="4L",$AR$17,""))))))))))</f>
        <v/>
      </c>
      <c r="AW17" s="29" t="str">
        <f>IF($P$17="5L",$Q$17,IF($S$17="5L",$T$17,IF($V$17="5L",$W$17,IF($Y$17="5L",$Z$17,IF($AB$17="5L",$AC$17,IF($AE$17="5L",$AF$17,IF($AH$17="5L",$AI$17,IF($AK$17="5L",$AL$17,IF($AN$17="5L",$AO$17,IF($AQ$17="5L",$AR$17,""))))))))))</f>
        <v/>
      </c>
      <c r="AX17" s="29" t="str">
        <f>IF($P$17="6L",$Q$17,IF($S$17="6L",$T$17,IF($V$17="6L",$W$17,IF($Y$17="6L",$Z$17,IF($AB$17="6L",$AC$17,IF($AE$17="6L",$AF$17,IF($AH$17="6L",$AI$17,IF($AK$17="6L",$AL$17,IF($AN$17="6L",$AO$17,IF($AQ$17="6L",$AR$17,""))))))))))</f>
        <v/>
      </c>
      <c r="AY17" s="29" t="str">
        <f>IF($P$17="7L",$Q$17,IF($S$17="7L",$T$17,IF($V$17="7L",$W$17,IF($Y$17="7L",$Z$17,IF($AB$17="7L",$AC$17,IF($AE$17="7L",$AF$17,IF($AH$17="7L",$AI$17,IF($AK$17="7L",$AL$17,IF($AN$17="7L",$AO$17,IF($AQ$17="7L",$AR$17,""))))))))))</f>
        <v/>
      </c>
      <c r="AZ17" s="29" t="str">
        <f t="shared" si="12"/>
        <v/>
      </c>
      <c r="BA17" s="29" t="str">
        <f t="shared" si="13"/>
        <v/>
      </c>
      <c r="BB17" s="29" t="str">
        <f t="shared" si="14"/>
        <v/>
      </c>
      <c r="BC17" s="29" t="str">
        <f t="shared" si="15"/>
        <v/>
      </c>
      <c r="BD17" s="29" t="str">
        <f>IF($P$17="FUM",$Q$17,IF($S$17="FUM",$T$17,IF($V$17="FUM",$W$17,IF($Y$17="FUM",$Z$17,IF($AB$17="FUM",$AC$17,IF($AE$17="FUM",$AF$17,IF($AH$17="FUM",$AI$17,IF($AK$17="FUM",$AL$17,IF($AN$17="FUM",$AO$17,IF($AQ$17="FUM",$AR$17,""))))))))))</f>
        <v/>
      </c>
    </row>
    <row r="18" spans="8:56" hidden="1" x14ac:dyDescent="0.25">
      <c r="H18" s="4">
        <f t="shared" si="1"/>
        <v>0</v>
      </c>
      <c r="I18" s="4">
        <f t="shared" si="1"/>
        <v>0</v>
      </c>
      <c r="J18" s="4">
        <f t="shared" si="1"/>
        <v>0</v>
      </c>
      <c r="K18" s="4">
        <f t="shared" si="1"/>
        <v>0</v>
      </c>
      <c r="L18" s="4">
        <f t="shared" si="1"/>
        <v>0</v>
      </c>
      <c r="O18" s="28">
        <f t="shared" si="16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3"/>
        <v>0</v>
      </c>
      <c r="T18" s="4">
        <f t="shared" si="3"/>
        <v>0</v>
      </c>
      <c r="U18" s="4">
        <f t="shared" si="3"/>
        <v>0</v>
      </c>
      <c r="V18" s="4">
        <f t="shared" si="4"/>
        <v>0</v>
      </c>
      <c r="W18" s="4">
        <f t="shared" si="4"/>
        <v>0</v>
      </c>
      <c r="X18" s="4">
        <f t="shared" si="4"/>
        <v>0</v>
      </c>
      <c r="Y18" s="4">
        <f t="shared" si="5"/>
        <v>0</v>
      </c>
      <c r="Z18" s="4">
        <f t="shared" si="5"/>
        <v>0</v>
      </c>
      <c r="AA18" s="4">
        <f t="shared" si="5"/>
        <v>0</v>
      </c>
      <c r="AB18" s="4">
        <f t="shared" si="6"/>
        <v>0</v>
      </c>
      <c r="AC18" s="4">
        <f t="shared" si="6"/>
        <v>0</v>
      </c>
      <c r="AD18" s="4">
        <f t="shared" si="6"/>
        <v>0</v>
      </c>
      <c r="AE18" s="4">
        <f t="shared" si="7"/>
        <v>0</v>
      </c>
      <c r="AF18" s="4">
        <f t="shared" si="7"/>
        <v>0</v>
      </c>
      <c r="AG18" s="4">
        <f t="shared" si="7"/>
        <v>0</v>
      </c>
      <c r="AH18" s="4">
        <f t="shared" si="8"/>
        <v>0</v>
      </c>
      <c r="AI18" s="4">
        <f t="shared" si="8"/>
        <v>0</v>
      </c>
      <c r="AJ18" s="4">
        <f t="shared" si="8"/>
        <v>0</v>
      </c>
      <c r="AK18" s="4">
        <f t="shared" si="9"/>
        <v>0</v>
      </c>
      <c r="AL18" s="4">
        <f t="shared" si="9"/>
        <v>0</v>
      </c>
      <c r="AM18" s="4">
        <f t="shared" si="9"/>
        <v>0</v>
      </c>
      <c r="AN18" s="4">
        <f t="shared" si="10"/>
        <v>0</v>
      </c>
      <c r="AO18" s="4">
        <f t="shared" si="10"/>
        <v>0</v>
      </c>
      <c r="AP18" s="4">
        <f t="shared" si="10"/>
        <v>0</v>
      </c>
      <c r="AQ18" s="4">
        <f t="shared" si="11"/>
        <v>0</v>
      </c>
      <c r="AR18" s="4">
        <f t="shared" si="11"/>
        <v>0</v>
      </c>
      <c r="AT18" s="28">
        <v>5</v>
      </c>
      <c r="AU18" s="29" t="str">
        <f>IF($P$18="3L",$Q$18,IF($S$18="3L",$T$18,IF($V$18="3L",$W$18,IF($Y$18="3L",$Z$18,IF($AB$18="3L",$AC$18,IF($AE$18="3L",$AF$18,IF($AH$18="3L",$AI$18,IF($AK$18="3L",$AL$18,IF($AN$18="3L",$AO$18,IF($AQ$18="3L",$AR$18,""))))))))))</f>
        <v/>
      </c>
      <c r="AV18" s="29" t="str">
        <f>IF($P$18="4L",$Q$18,IF($S$18="4L",$T$18,IF($V$18="4L",$W$18,IF($Y$18="4L",$Z$18,IF($AB$18="4L",$AC$18,IF($AE$18="4L",$AF$18,IF($AH$18="4L",$AI$18,IF($AK$18="4L",$AL$18,IF($AN$18="4L",$AO$18,IF($AQ$18="4L",$AR$18,""))))))))))</f>
        <v/>
      </c>
      <c r="AW18" s="29" t="str">
        <f>IF($P$18="5L",$Q$18,IF($S$18="5L",$T$18,IF($V$18="5L",$W$18,IF($Y$18="5L",$Z$18,IF($AB$18="5L",$AC$18,IF($AE$18="5L",$AF$18,IF($AH$18="5L",$AI$18,IF($AK$18="5L",$AL$18,IF($AN$18="5L",$AO$18,IF($AQ$18="5L",$AR$18,""))))))))))</f>
        <v/>
      </c>
      <c r="AX18" s="29" t="str">
        <f>IF($P$18="6L",$Q$18,IF($S$18="6L",$T$18,IF($V$18="6L",$W$18,IF($Y$18="6L",$Z$18,IF($AB$18="6L",$AC$18,IF($AE$18="6L",$AF$18,IF($AH$18="6L",$AI$18,IF($AK$18="6L",$AL$18,IF($AN$18="6L",$AO$18,IF($AQ$18="6L",$AR$18,""))))))))))</f>
        <v/>
      </c>
      <c r="AY18" s="29" t="str">
        <f>IF($P$18="7L",$Q$18,IF($S$18="7L",$T$18,IF($V$18="7L",$W$18,IF($Y$18="7L",$Z$18,IF($AB$18="7L",$AC$18,IF($AE$18="7L",$AF$18,IF($AH$18="7L",$AI$18,IF($AK$18="7L",$AL$18,IF($AN$18="7L",$AO$18,IF($AQ$18="7L",$AR$18,""))))))))))</f>
        <v/>
      </c>
      <c r="AZ18" s="29" t="str">
        <f t="shared" si="12"/>
        <v/>
      </c>
      <c r="BA18" s="29" t="str">
        <f t="shared" si="13"/>
        <v/>
      </c>
      <c r="BB18" s="29" t="str">
        <f t="shared" si="14"/>
        <v/>
      </c>
      <c r="BC18" s="29" t="str">
        <f t="shared" si="15"/>
        <v/>
      </c>
      <c r="BD18" s="29" t="str">
        <f>IF($P$18="FUM",$Q$18,IF($S$18="FUM",$T$18,IF($V$18="FUM",$W$18,IF($Y$18="FUM",$Z$18,IF($AB$18="FUM",$AC$18,IF($AE$18="FUM",$AF$18,IF($AH$18="FUM",$AI$18,IF($AK$18="FUM",$AL$18,IF($AN$18="FUM",$AO$18,IF($AQ$18="FUM",$AR$18,""))))))))))</f>
        <v/>
      </c>
    </row>
    <row r="19" spans="8:56" hidden="1" x14ac:dyDescent="0.25"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0</v>
      </c>
      <c r="L19" s="4">
        <f t="shared" si="1"/>
        <v>0</v>
      </c>
      <c r="O19" s="28">
        <f t="shared" si="16"/>
        <v>0</v>
      </c>
      <c r="P19" s="4">
        <f t="shared" si="2"/>
        <v>0</v>
      </c>
      <c r="Q19" s="4">
        <f t="shared" si="2"/>
        <v>0</v>
      </c>
      <c r="R19" s="4">
        <f t="shared" si="2"/>
        <v>0</v>
      </c>
      <c r="S19" s="4">
        <f t="shared" si="3"/>
        <v>0</v>
      </c>
      <c r="T19" s="4">
        <f t="shared" si="3"/>
        <v>0</v>
      </c>
      <c r="U19" s="4">
        <f t="shared" si="3"/>
        <v>0</v>
      </c>
      <c r="V19" s="4">
        <f t="shared" si="4"/>
        <v>0</v>
      </c>
      <c r="W19" s="4">
        <f t="shared" si="4"/>
        <v>0</v>
      </c>
      <c r="X19" s="4">
        <f t="shared" si="4"/>
        <v>0</v>
      </c>
      <c r="Y19" s="4">
        <f t="shared" si="5"/>
        <v>0</v>
      </c>
      <c r="Z19" s="4">
        <f t="shared" si="5"/>
        <v>0</v>
      </c>
      <c r="AA19" s="4">
        <f t="shared" si="5"/>
        <v>0</v>
      </c>
      <c r="AB19" s="4">
        <f t="shared" si="6"/>
        <v>0</v>
      </c>
      <c r="AC19" s="4">
        <f t="shared" si="6"/>
        <v>0</v>
      </c>
      <c r="AD19" s="4">
        <f t="shared" si="6"/>
        <v>0</v>
      </c>
      <c r="AE19" s="4">
        <f t="shared" si="7"/>
        <v>0</v>
      </c>
      <c r="AF19" s="4">
        <f t="shared" si="7"/>
        <v>0</v>
      </c>
      <c r="AG19" s="4">
        <f t="shared" si="7"/>
        <v>0</v>
      </c>
      <c r="AH19" s="4">
        <f t="shared" si="8"/>
        <v>0</v>
      </c>
      <c r="AI19" s="4">
        <f t="shared" si="8"/>
        <v>0</v>
      </c>
      <c r="AJ19" s="4">
        <f t="shared" si="8"/>
        <v>0</v>
      </c>
      <c r="AK19" s="4">
        <f t="shared" si="9"/>
        <v>0</v>
      </c>
      <c r="AL19" s="4">
        <f t="shared" si="9"/>
        <v>0</v>
      </c>
      <c r="AM19" s="4">
        <f t="shared" si="9"/>
        <v>0</v>
      </c>
      <c r="AN19" s="4">
        <f t="shared" si="10"/>
        <v>0</v>
      </c>
      <c r="AO19" s="4">
        <f t="shared" si="10"/>
        <v>0</v>
      </c>
      <c r="AP19" s="4">
        <f t="shared" si="10"/>
        <v>0</v>
      </c>
      <c r="AQ19" s="4">
        <f t="shared" si="11"/>
        <v>0</v>
      </c>
      <c r="AR19" s="4">
        <f t="shared" si="11"/>
        <v>0</v>
      </c>
      <c r="AT19" s="28">
        <v>6</v>
      </c>
      <c r="AU19" s="29" t="str">
        <f>IF($P$19="3L",$Q$19,IF($S$19="3L",$T$19,IF($V$19="3L",$W$19,IF($Y$19="3L",$Z$19,IF($AB$19="3L",$AC$19,IF($AE$19="3L",$AF$19,IF($AH$19="3L",$AI$19,IF($AK$19="3L",$AL$19,IF($AN$19="3L",$AO$19,IF($AQ$19="3L",$AR$19,""))))))))))</f>
        <v/>
      </c>
      <c r="AV19" s="29" t="str">
        <f>IF($P$19="4L",$Q$19,IF($S$19="4L",$T$19,IF($V$19="4L",$W$19,IF($Y$19="4L",$Z$19,IF($AB$19="4L",$AC$19,IF($AE$19="4L",$AF$19,IF($AH$19="4L",$AI$19,IF($AK$19="4L",$AL$19,IF($AN$19="4L",$AO$19,IF($AQ$19="4L",$AR$19,""))))))))))</f>
        <v/>
      </c>
      <c r="AW19" s="29" t="str">
        <f>IF($P$19="5L",$Q$19,IF($S$19="5L",$T$19,IF($V$19="5L",$W$19,IF($Y$19="5L",$Z$19,IF($AB$19="5L",$AC$19,IF($AE$19="5L",$AF$19,IF($AH$19="5L",$AI$19,IF($AK$19="5L",$AL$19,IF($AN$19="5L",$AO$19,IF($AQ$19="5L",$AR$19,""))))))))))</f>
        <v/>
      </c>
      <c r="AX19" s="29" t="str">
        <f>IF($P$19="6L",$Q$19,IF($S$19="6L",$T$19,IF($V$19="6L",$W$19,IF($Y$19="6L",$Z$19,IF($AB$19="6L",$AC$19,IF($AE$19="6L",$AF$19,IF($AH$19="6L",$AI$19,IF($AK$19="6L",$AL$19,IF($AN$19="6L",$AO$19,IF($AQ$19="6L",$AR$19,""))))))))))</f>
        <v/>
      </c>
      <c r="AY19" s="29" t="str">
        <f>IF($P$19="7L",$Q$19,IF($S$19="7L",$T$19,IF($V$19="7L",$W$19,IF($Y$19="7L",$Z$19,IF($AB$19="7L",$AC$19,IF($AE$19="7L",$AF$19,IF($AH$19="7L",$AI$19,IF($AK$19="7L",$AL$19,IF($AN$19="7L",$AO$19,IF($AQ$19="7L",$AR$19,""))))))))))</f>
        <v/>
      </c>
      <c r="AZ19" s="29" t="str">
        <f t="shared" si="12"/>
        <v/>
      </c>
      <c r="BA19" s="29" t="str">
        <f t="shared" si="13"/>
        <v/>
      </c>
      <c r="BB19" s="29" t="str">
        <f t="shared" si="14"/>
        <v/>
      </c>
      <c r="BC19" s="29" t="str">
        <f t="shared" si="15"/>
        <v/>
      </c>
      <c r="BD19" s="29" t="str">
        <f>IF($P$19="FUM",$Q$19,IF($S$19="FUM",$T$19,IF($V$19="FUM",$W$19,IF($Y$19="FUM",$Z$19,IF($AB$19="FUM",$AC$19,IF($AE$19="FUM",$AF$19,IF($AH$19="FUM",$AI$19,IF($AK$19="FUM",$AL$19,IF($AN$19="FUM",$AO$19,IF($AQ$19="FUM",$AR$19,""))))))))))</f>
        <v/>
      </c>
    </row>
    <row r="20" spans="8:56" hidden="1" x14ac:dyDescent="0.25"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0</v>
      </c>
      <c r="O20" s="28">
        <f t="shared" si="16"/>
        <v>0</v>
      </c>
      <c r="P20" s="4">
        <f t="shared" si="2"/>
        <v>0</v>
      </c>
      <c r="Q20" s="4">
        <f t="shared" si="2"/>
        <v>0</v>
      </c>
      <c r="R20" s="4">
        <f t="shared" si="2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4"/>
        <v>0</v>
      </c>
      <c r="W20" s="4">
        <f t="shared" si="4"/>
        <v>0</v>
      </c>
      <c r="X20" s="4">
        <f t="shared" si="4"/>
        <v>0</v>
      </c>
      <c r="Y20" s="4">
        <f t="shared" si="5"/>
        <v>0</v>
      </c>
      <c r="Z20" s="4">
        <f t="shared" si="5"/>
        <v>0</v>
      </c>
      <c r="AA20" s="4">
        <f t="shared" si="5"/>
        <v>0</v>
      </c>
      <c r="AB20" s="4">
        <f t="shared" si="6"/>
        <v>0</v>
      </c>
      <c r="AC20" s="4">
        <f t="shared" si="6"/>
        <v>0</v>
      </c>
      <c r="AD20" s="4">
        <f t="shared" si="6"/>
        <v>0</v>
      </c>
      <c r="AE20" s="4">
        <f t="shared" si="7"/>
        <v>0</v>
      </c>
      <c r="AF20" s="4">
        <f t="shared" si="7"/>
        <v>0</v>
      </c>
      <c r="AG20" s="4">
        <f t="shared" si="7"/>
        <v>0</v>
      </c>
      <c r="AH20" s="4">
        <f t="shared" si="8"/>
        <v>0</v>
      </c>
      <c r="AI20" s="4">
        <f t="shared" si="8"/>
        <v>0</v>
      </c>
      <c r="AJ20" s="4">
        <f t="shared" si="8"/>
        <v>0</v>
      </c>
      <c r="AK20" s="4">
        <f t="shared" si="9"/>
        <v>0</v>
      </c>
      <c r="AL20" s="4">
        <f t="shared" si="9"/>
        <v>0</v>
      </c>
      <c r="AM20" s="4">
        <f t="shared" si="9"/>
        <v>0</v>
      </c>
      <c r="AN20" s="4">
        <f t="shared" si="10"/>
        <v>0</v>
      </c>
      <c r="AO20" s="4">
        <f t="shared" si="10"/>
        <v>0</v>
      </c>
      <c r="AP20" s="4">
        <f t="shared" si="10"/>
        <v>0</v>
      </c>
      <c r="AQ20" s="4">
        <f t="shared" si="11"/>
        <v>0</v>
      </c>
      <c r="AR20" s="4">
        <f t="shared" si="11"/>
        <v>0</v>
      </c>
      <c r="AT20" s="28">
        <v>7</v>
      </c>
      <c r="AU20" s="29" t="str">
        <f>IF($P$20="3L",$Q$20,IF($S$20="3L",$T$20,IF($V$20="3L",$W$20,IF($Y$20="3L",$Z$20,IF($AB$20="3L",$AC$20,IF($AE$20="3L",$AF$20,IF($AH$20="3L",$AI$20,IF($AK$20="3L",$AL$20,IF($AN$20="3L",$AO$20,IF($AQ$20="3L",$AR$20,""))))))))))</f>
        <v/>
      </c>
      <c r="AV20" s="29" t="str">
        <f>IF($P$20="4L",$Q$20,IF($S$20="4L",$T$20,IF($V$20="4L",$W$20,IF($Y$20="4L",$Z$20,IF($AB$20="4L",$AC$20,IF($AE$20="4L",$AF$20,IF($AH$20="4L",$AI$20,IF($AK$20="4L",$AL$20,IF($AN$20="4L",$AO$20,IF($AQ$20="4L",$AR$20,""))))))))))</f>
        <v/>
      </c>
      <c r="AW20" s="29" t="str">
        <f>IF($P$20="5L",$Q$20,IF($S$20="5L",$T$20,IF($V$20="5L",$W$20,IF($Y$20="5L",$Z$20,IF($AB$20="5L",$AC$20,IF($AE$20="5L",$AF$20,IF($AH$20="5L",$AI$20,IF($AK$20="5L",$AL$20,IF($AN$20="5L",$AO$20,IF($AQ$20="5L",$AR$20,""))))))))))</f>
        <v/>
      </c>
      <c r="AX20" s="29" t="str">
        <f>IF($P$20="6L",$Q$20,IF($S$20="6L",$T$20,IF($V$20="6L",$W$20,IF($Y$20="6L",$Z$20,IF($AB$20="6L",$AC$20,IF($AE$20="6L",$AF$20,IF($AH$20="6L",$AI$20,IF($AK$20="6L",$AL$20,IF($AN$20="6L",$AO$20,IF($AQ$20="6L",$AR$20,""))))))))))</f>
        <v/>
      </c>
      <c r="AY20" s="29" t="str">
        <f>IF($P$20="7L",$Q$20,IF($S$20="7L",$T$20,IF($V$20="7L",$W$20,IF($Y$20="7L",$Z$20,IF($AB$20="7L",$AC$20,IF($AE$20="7L",$AF$20,IF($AH$20="7L",$AI$20,IF($AK$20="7L",$AL$20,IF($AN$20="7L",$AO$20,IF($AQ$20="7L",$AR$20,""))))))))))</f>
        <v/>
      </c>
      <c r="AZ20" s="29" t="str">
        <f t="shared" si="12"/>
        <v/>
      </c>
      <c r="BA20" s="29" t="str">
        <f t="shared" si="13"/>
        <v/>
      </c>
      <c r="BB20" s="29" t="str">
        <f t="shared" si="14"/>
        <v/>
      </c>
      <c r="BC20" s="29" t="str">
        <f t="shared" si="15"/>
        <v/>
      </c>
      <c r="BD20" s="29" t="str">
        <f>IF($P$20="FUM",$Q$20,IF($S$20="FUM",$T$20,IF($V$20="FUM",$W$20,IF($Y$20="FUM",$Z$20,IF($AB$20="FUM",$AC$20,IF($AE$20="FUM",$AF$20,IF($AH$20="FUM",$AI$20,IF($AK$20="FUM",$AL$20,IF($AN$20="FUM",$AO$20,IF($AQ$20="FUM",$AR$20,""))))))))))</f>
        <v/>
      </c>
    </row>
    <row r="21" spans="8:56" hidden="1" x14ac:dyDescent="0.25">
      <c r="H21" s="4">
        <f t="shared" si="1"/>
        <v>0</v>
      </c>
      <c r="I21" s="4">
        <f t="shared" si="1"/>
        <v>0</v>
      </c>
      <c r="J21" s="4">
        <f t="shared" si="1"/>
        <v>0</v>
      </c>
      <c r="K21" s="4">
        <f t="shared" si="1"/>
        <v>0</v>
      </c>
      <c r="L21" s="4">
        <f t="shared" si="1"/>
        <v>0</v>
      </c>
      <c r="O21" s="28">
        <f t="shared" si="16"/>
        <v>0</v>
      </c>
      <c r="P21" s="4">
        <f t="shared" si="2"/>
        <v>0</v>
      </c>
      <c r="Q21" s="4">
        <f t="shared" si="2"/>
        <v>0</v>
      </c>
      <c r="R21" s="4">
        <f t="shared" si="2"/>
        <v>0</v>
      </c>
      <c r="S21" s="4">
        <f t="shared" si="3"/>
        <v>0</v>
      </c>
      <c r="T21" s="4">
        <f t="shared" si="3"/>
        <v>0</v>
      </c>
      <c r="U21" s="4">
        <f t="shared" si="3"/>
        <v>0</v>
      </c>
      <c r="V21" s="4">
        <f t="shared" si="4"/>
        <v>0</v>
      </c>
      <c r="W21" s="4">
        <f t="shared" si="4"/>
        <v>0</v>
      </c>
      <c r="X21" s="4">
        <f t="shared" si="4"/>
        <v>0</v>
      </c>
      <c r="Y21" s="4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6"/>
        <v>0</v>
      </c>
      <c r="AC21" s="4">
        <f t="shared" si="6"/>
        <v>0</v>
      </c>
      <c r="AD21" s="4">
        <f t="shared" si="6"/>
        <v>0</v>
      </c>
      <c r="AE21" s="4">
        <f t="shared" si="7"/>
        <v>0</v>
      </c>
      <c r="AF21" s="4">
        <f t="shared" si="7"/>
        <v>0</v>
      </c>
      <c r="AG21" s="4">
        <f t="shared" si="7"/>
        <v>0</v>
      </c>
      <c r="AH21" s="4">
        <f t="shared" si="8"/>
        <v>0</v>
      </c>
      <c r="AI21" s="4">
        <f t="shared" si="8"/>
        <v>0</v>
      </c>
      <c r="AJ21" s="4">
        <f t="shared" si="8"/>
        <v>0</v>
      </c>
      <c r="AK21" s="4">
        <f t="shared" si="9"/>
        <v>0</v>
      </c>
      <c r="AL21" s="4">
        <f t="shared" si="9"/>
        <v>0</v>
      </c>
      <c r="AM21" s="4">
        <f t="shared" si="9"/>
        <v>0</v>
      </c>
      <c r="AN21" s="4">
        <f t="shared" si="10"/>
        <v>0</v>
      </c>
      <c r="AO21" s="4">
        <f t="shared" si="10"/>
        <v>0</v>
      </c>
      <c r="AP21" s="4">
        <f t="shared" si="10"/>
        <v>0</v>
      </c>
      <c r="AQ21" s="4">
        <f t="shared" si="11"/>
        <v>0</v>
      </c>
      <c r="AR21" s="4">
        <f t="shared" si="11"/>
        <v>0</v>
      </c>
      <c r="AT21" s="28">
        <v>8</v>
      </c>
      <c r="AU21" s="29" t="str">
        <f>IF($P$21="3L",$Q$21,IF($S$21="3L",$T$21,IF($V$21="3L",$W$21,IF($Y$21="3L",$Z$21,IF($AB$21="3L",$AC$21,IF($AE$21="3L",$AF$21,IF($AH$21="3L",$AI$21,IF($AK$21="3L",$AL$21,IF($AN$21="3L",$AO$21,IF($AQ$21="3L",$AR$21,""))))))))))</f>
        <v/>
      </c>
      <c r="AV21" s="29" t="str">
        <f>IF($P$21="4L",$Q$21,IF($S$21="4L",$T$21,IF($V$21="4L",$W$21,IF($Y$21="4L",$Z$21,IF($AB$21="4L",$AC$21,IF($AE$21="4L",$AF$21,IF($AH$21="4L",$AI$21,IF($AK$21="4L",$AL$21,IF($AN$21="4L",$AO$21,IF($AQ$21="4L",$AR$21,""))))))))))</f>
        <v/>
      </c>
      <c r="AW21" s="29" t="str">
        <f>IF($P$21="5L",$Q$21,IF($S$21="5L",$T$21,IF($V$21="5L",$W$21,IF($Y$21="5L",$Z$21,IF($AB$21="5L",$AC$21,IF($AE$21="5L",$AF$21,IF($AH$21="5L",$AI$21,IF($AK$21="5L",$AL$21,IF($AN$21="5L",$AO$21,IF($AQ$21="5L",$AR$21,""))))))))))</f>
        <v/>
      </c>
      <c r="AX21" s="29" t="str">
        <f>IF($P$21="6L",$Q$21,IF($S$21="6L",$T$21,IF($V$21="6L",$W$21,IF($Y$21="6L",$Z$21,IF($AB$21="6L",$AC$21,IF($AE$21="6L",$AF$21,IF($AH$21="6L",$AI$21,IF($AK$21="6L",$AL$21,IF($AN$21="6L",$AO$21,IF($AQ$21="6L",$AR$21,""))))))))))</f>
        <v/>
      </c>
      <c r="AY21" s="29" t="str">
        <f>IF($P$21="7L",$Q$21,IF($S$21="7L",$T$21,IF($V$21="7L",$W$21,IF($Y$21="7L",$Z$21,IF($AB$21="7L",$AC$21,IF($AE$21="7L",$AF$21,IF($AH$21="7L",$AI$21,IF($AK$21="7L",$AL$21,IF($AN$21="7L",$AO$21,IF($AQ$21="7L",$AR$21,""))))))))))</f>
        <v/>
      </c>
      <c r="AZ21" s="29" t="str">
        <f t="shared" si="12"/>
        <v/>
      </c>
      <c r="BA21" s="29" t="str">
        <f t="shared" si="13"/>
        <v/>
      </c>
      <c r="BB21" s="29" t="str">
        <f t="shared" si="14"/>
        <v/>
      </c>
      <c r="BC21" s="29" t="str">
        <f t="shared" si="15"/>
        <v/>
      </c>
      <c r="BD21" s="29" t="str">
        <f>IF($P$21="FUM",$Q$21,IF($S$21="FUM",$T$21,IF($V$21="FUM",$W$21,IF($Y$21="FUM",$Z$21,IF($AB$21="FUM",$AC$21,IF($AE$21="FUM",$AF$21,IF($AH$21="FUM",$AI$21,IF($AK$21="FUM",$AL$21,IF($AN$21="FUM",$AO$21,IF($AQ$21="FUM",$AR$21,""))))))))))</f>
        <v/>
      </c>
    </row>
    <row r="22" spans="8:56" hidden="1" x14ac:dyDescent="0.25">
      <c r="H22" s="4">
        <f t="shared" si="1"/>
        <v>0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O22" s="28">
        <f t="shared" si="16"/>
        <v>0</v>
      </c>
      <c r="P22" s="4">
        <f t="shared" si="2"/>
        <v>0</v>
      </c>
      <c r="Q22" s="4">
        <f t="shared" si="2"/>
        <v>0</v>
      </c>
      <c r="R22" s="4">
        <f t="shared" si="2"/>
        <v>0</v>
      </c>
      <c r="S22" s="4">
        <f t="shared" si="3"/>
        <v>0</v>
      </c>
      <c r="T22" s="4">
        <f t="shared" si="3"/>
        <v>0</v>
      </c>
      <c r="U22" s="4">
        <f t="shared" si="3"/>
        <v>0</v>
      </c>
      <c r="V22" s="4">
        <f t="shared" si="4"/>
        <v>0</v>
      </c>
      <c r="W22" s="4">
        <f t="shared" si="4"/>
        <v>0</v>
      </c>
      <c r="X22" s="4">
        <f t="shared" si="4"/>
        <v>0</v>
      </c>
      <c r="Y22" s="4">
        <f t="shared" si="5"/>
        <v>0</v>
      </c>
      <c r="Z22" s="4">
        <f t="shared" si="5"/>
        <v>0</v>
      </c>
      <c r="AA22" s="4">
        <f t="shared" si="5"/>
        <v>0</v>
      </c>
      <c r="AB22" s="4">
        <f t="shared" si="6"/>
        <v>0</v>
      </c>
      <c r="AC22" s="4">
        <f t="shared" si="6"/>
        <v>0</v>
      </c>
      <c r="AD22" s="4">
        <f t="shared" si="6"/>
        <v>0</v>
      </c>
      <c r="AE22" s="4">
        <f t="shared" si="7"/>
        <v>0</v>
      </c>
      <c r="AF22" s="4">
        <f t="shared" si="7"/>
        <v>0</v>
      </c>
      <c r="AG22" s="4">
        <f t="shared" si="7"/>
        <v>0</v>
      </c>
      <c r="AH22" s="4">
        <f t="shared" si="8"/>
        <v>0</v>
      </c>
      <c r="AI22" s="4">
        <f t="shared" si="8"/>
        <v>0</v>
      </c>
      <c r="AJ22" s="4">
        <f t="shared" si="8"/>
        <v>0</v>
      </c>
      <c r="AK22" s="4">
        <f t="shared" si="9"/>
        <v>0</v>
      </c>
      <c r="AL22" s="4">
        <f t="shared" si="9"/>
        <v>0</v>
      </c>
      <c r="AM22" s="4">
        <f t="shared" si="9"/>
        <v>0</v>
      </c>
      <c r="AN22" s="4">
        <f t="shared" si="10"/>
        <v>0</v>
      </c>
      <c r="AO22" s="4">
        <f t="shared" si="10"/>
        <v>0</v>
      </c>
      <c r="AP22" s="4">
        <f t="shared" si="10"/>
        <v>0</v>
      </c>
      <c r="AQ22" s="4">
        <f t="shared" si="11"/>
        <v>0</v>
      </c>
      <c r="AR22" s="4">
        <f t="shared" si="11"/>
        <v>0</v>
      </c>
      <c r="AT22" s="28">
        <v>9</v>
      </c>
      <c r="AU22" s="29" t="str">
        <f>IF($P$22="3L",$Q$22,IF($S$22="3L",$T$22,IF($V$22="3L",$W$22,IF($Y$22="3L",$Z$22,IF($AB$22="3L",$AC$22,IF($AE$22="3L",$AF$22,IF($AH$22="3L",$AI$22,IF($AK$22="3L",$AL$22,IF($AN$22="3L",$AO$22,IF($AQ$22="3L",$AR$22,""))))))))))</f>
        <v/>
      </c>
      <c r="AV22" s="29" t="str">
        <f>IF($P$22="4L",$Q$22,IF($S$22="4L",$T$22,IF($V$22="4L",$W$22,IF($Y$22="4L",$Z$22,IF($AB$22="4L",$AC$22,IF($AE$22="4L",$AF$22,IF($AH$22="4L",$AI$22,IF($AK$22="4L",$AL$22,IF($AN$22="4L",$AO$22,IF($AQ$22="4L",$AR$22,""))))))))))</f>
        <v/>
      </c>
      <c r="AW22" s="29" t="str">
        <f>IF($P$22="5L",$Q$22,IF($S$22="5L",$T$22,IF($V$22="5L",$W$22,IF($Y$22="5L",$Z$22,IF($AB$22="5L",$AC$22,IF($AE$22="5L",$AF$22,IF($AH$22="5L",$AI$22,IF($AK$22="5L",$AL$22,IF($AN$22="5L",$AO$22,IF($AQ$22="5L",$AR$22,""))))))))))</f>
        <v/>
      </c>
      <c r="AX22" s="29" t="str">
        <f>IF($P$22="6L",$Q$22,IF($S$22="6L",$T$22,IF($V$22="6L",$W$22,IF($Y$22="6L",$Z$22,IF($AB$22="6L",$AC$22,IF($AE$22="6L",$AF$22,IF($AH$22="6L",$AI$22,IF($AK$22="6L",$AL$22,IF($AN$22="6L",$AO$22,IF($AQ$22="6L",$AR$22,""))))))))))</f>
        <v/>
      </c>
      <c r="AY22" s="29" t="str">
        <f>IF($P$22="7L",$Q$22,IF($S$22="7L",$T$22,IF($V$22="7L",$W$22,IF($Y$22="7L",$Z$22,IF($AB$22="7L",$AC$22,IF($AE$22="7L",$AF$22,IF($AH$22="7L",$AI$22,IF($AK$22="7L",$AL$22,IF($AN$22="7L",$AO$22,IF($AQ$22="7L",$AR$22,""))))))))))</f>
        <v/>
      </c>
      <c r="AZ22" s="29" t="str">
        <f t="shared" si="12"/>
        <v/>
      </c>
      <c r="BA22" s="29" t="str">
        <f t="shared" si="13"/>
        <v/>
      </c>
      <c r="BB22" s="29" t="str">
        <f t="shared" si="14"/>
        <v/>
      </c>
      <c r="BC22" s="29" t="str">
        <f t="shared" si="15"/>
        <v/>
      </c>
      <c r="BD22" s="29" t="str">
        <f>IF($P$22="FUM",$Q$22,IF($S$22="FUM",$T$22,IF($V$22="FUM",$W$22,IF($Y$22="FUM",$Z$22,IF($AB$22="FUM",$AC$22,IF($AE$22="FUM",$AF$22,IF($AH$22="FUM",$AI$22,IF($AK$22="FUM",$AL$22,IF($AN$22="FUM",$AO$22,IF($AQ$22="FUM",$AR$22,""))))))))))</f>
        <v/>
      </c>
    </row>
    <row r="23" spans="8:56" hidden="1" x14ac:dyDescent="0.25">
      <c r="H23" s="4">
        <f t="shared" si="1"/>
        <v>0</v>
      </c>
      <c r="I23" s="4">
        <f t="shared" si="1"/>
        <v>0</v>
      </c>
      <c r="J23" s="4">
        <f t="shared" si="1"/>
        <v>0</v>
      </c>
      <c r="K23" s="4">
        <f t="shared" si="1"/>
        <v>0</v>
      </c>
      <c r="L23" s="4">
        <f t="shared" si="1"/>
        <v>0</v>
      </c>
      <c r="O23" s="28">
        <f t="shared" si="16"/>
        <v>0</v>
      </c>
      <c r="P23" s="4">
        <f t="shared" si="2"/>
        <v>0</v>
      </c>
      <c r="Q23" s="4">
        <f t="shared" si="2"/>
        <v>0</v>
      </c>
      <c r="R23" s="4">
        <f t="shared" si="2"/>
        <v>0</v>
      </c>
      <c r="S23" s="4">
        <f t="shared" si="3"/>
        <v>0</v>
      </c>
      <c r="T23" s="4">
        <f t="shared" si="3"/>
        <v>0</v>
      </c>
      <c r="U23" s="4">
        <f t="shared" si="3"/>
        <v>0</v>
      </c>
      <c r="V23" s="4">
        <f t="shared" si="4"/>
        <v>0</v>
      </c>
      <c r="W23" s="4">
        <f t="shared" si="4"/>
        <v>0</v>
      </c>
      <c r="X23" s="4">
        <f t="shared" si="4"/>
        <v>0</v>
      </c>
      <c r="Y23" s="4">
        <f t="shared" si="5"/>
        <v>0</v>
      </c>
      <c r="Z23" s="4">
        <f t="shared" si="5"/>
        <v>0</v>
      </c>
      <c r="AA23" s="4">
        <f t="shared" si="5"/>
        <v>0</v>
      </c>
      <c r="AB23" s="4">
        <f t="shared" si="6"/>
        <v>0</v>
      </c>
      <c r="AC23" s="4">
        <f t="shared" si="6"/>
        <v>0</v>
      </c>
      <c r="AD23" s="4">
        <f t="shared" si="6"/>
        <v>0</v>
      </c>
      <c r="AE23" s="4">
        <f t="shared" si="7"/>
        <v>0</v>
      </c>
      <c r="AF23" s="4">
        <f t="shared" si="7"/>
        <v>0</v>
      </c>
      <c r="AG23" s="4">
        <f t="shared" si="7"/>
        <v>0</v>
      </c>
      <c r="AH23" s="4">
        <f t="shared" si="8"/>
        <v>0</v>
      </c>
      <c r="AI23" s="4">
        <f t="shared" si="8"/>
        <v>0</v>
      </c>
      <c r="AJ23" s="4">
        <f t="shared" si="8"/>
        <v>0</v>
      </c>
      <c r="AK23" s="4">
        <f t="shared" si="9"/>
        <v>0</v>
      </c>
      <c r="AL23" s="4">
        <f t="shared" si="9"/>
        <v>0</v>
      </c>
      <c r="AM23" s="4">
        <f t="shared" si="9"/>
        <v>0</v>
      </c>
      <c r="AN23" s="4">
        <f t="shared" si="10"/>
        <v>0</v>
      </c>
      <c r="AO23" s="4">
        <f t="shared" si="10"/>
        <v>0</v>
      </c>
      <c r="AP23" s="4">
        <f t="shared" si="10"/>
        <v>0</v>
      </c>
      <c r="AQ23" s="4">
        <f t="shared" si="11"/>
        <v>0</v>
      </c>
      <c r="AR23" s="4">
        <f t="shared" si="11"/>
        <v>0</v>
      </c>
      <c r="AT23" s="28">
        <v>10</v>
      </c>
      <c r="AU23" s="29" t="str">
        <f>IF($P$23="3L",$Q$23,IF($S$23="3L",$T$23,IF($V$23="3L",$W$23,IF($Y$23="3L",$Z$23,IF($AB$23="3L",$AC$23,IF($AE$23="3L",$AF$23,IF($AH$23="3L",$AI$23,IF($AK$23="3L",$AL$23,IF($AN$23="3L",$AO$23,IF($AQ$23="3L",$AR$23,""))))))))))</f>
        <v/>
      </c>
      <c r="AV23" s="29" t="str">
        <f>IF($P$23="4L",$Q$23,IF($S$23="4L",$T$23,IF($V$23="4L",$W$23,IF($Y$23="4L",$Z$23,IF($AB$23="4L",$AC$23,IF($AE$23="4L",$AF$23,IF($AH$23="4L",$AI$23,IF($AK$23="4L",$AL$23,IF($AN$23="4L",$AO$23,IF($AQ$23="4L",$AR$23,""))))))))))</f>
        <v/>
      </c>
      <c r="AW23" s="29" t="str">
        <f>IF($P$23="5L",$Q$23,IF($S$23="5L",$T$23,IF($V$23="5L",$W$23,IF($Y$23="5L",$Z$23,IF($AB$23="5L",$AC$23,IF($AE$23="5L",$AF$23,IF($AH$23="5L",$AI$23,IF($AK$23="5L",$AL$23,IF($AN$23="5L",$AO$23,IF($AQ$23="5L",$AR$23,""))))))))))</f>
        <v/>
      </c>
      <c r="AX23" s="29" t="str">
        <f>IF($P$23="6L",$Q$23,IF($S$23="6L",$T$23,IF($V$23="6L",$W$23,IF($Y$23="6L",$Z$23,IF($AB$23="6L",$AC$23,IF($AE$23="6L",$AF$23,IF($AH$23="6L",$AI$23,IF($AK$23="6L",$AL$23,IF($AN$23="6L",$AO$23,IF($AQ$23="6L",$AR$23,""))))))))))</f>
        <v/>
      </c>
      <c r="AY23" s="29" t="str">
        <f>IF($P$23="7L",$Q$23,IF($S$23="7L",$T$23,IF($V$23="7L",$W$23,IF($Y$23="7L",$Z$23,IF($AB$23="7L",$AC$23,IF($AE$23="7L",$AF$23,IF($AH$23="7L",$AI$23,IF($AK$23="7L",$AL$23,IF($AN$23="7L",$AO$23,IF($AQ$23="7L",$AR$23,""))))))))))</f>
        <v/>
      </c>
      <c r="AZ23" s="29" t="str">
        <f t="shared" si="12"/>
        <v/>
      </c>
      <c r="BA23" s="29" t="str">
        <f t="shared" si="13"/>
        <v/>
      </c>
      <c r="BB23" s="29" t="str">
        <f t="shared" si="14"/>
        <v/>
      </c>
      <c r="BC23" s="29" t="str">
        <f t="shared" si="15"/>
        <v/>
      </c>
      <c r="BD23" s="29" t="str">
        <f>IF($P$23="FUM",$Q$23,IF($S$23="FUM",$T$23,IF($V$23="FUM",$W$23,IF($Y$23="FUM",$Z$23,IF($AB$23="FUM",$AC$23,IF($AE$23="FUM",$AF$23,IF($AH$23="FUM",$AI$23,IF($AK$23="FUM",$AL$23,IF($AN$23="FUM",$AO$23,IF($AQ$23="FUM",$AR$23,""))))))))))</f>
        <v/>
      </c>
    </row>
    <row r="24" spans="8:56" hidden="1" x14ac:dyDescent="0.25">
      <c r="H24" s="4" t="str">
        <f t="shared" ref="H24:L33" si="17">P2</f>
        <v>AG</v>
      </c>
      <c r="I24" s="4">
        <f t="shared" si="17"/>
        <v>1000</v>
      </c>
      <c r="J24" s="4">
        <f t="shared" si="17"/>
        <v>10</v>
      </c>
      <c r="K24" s="4" t="str">
        <f t="shared" si="17"/>
        <v>Y</v>
      </c>
      <c r="L24" s="4" t="str">
        <f t="shared" si="17"/>
        <v>3L</v>
      </c>
    </row>
    <row r="25" spans="8:56" hidden="1" x14ac:dyDescent="0.25">
      <c r="H25" s="4">
        <f t="shared" si="17"/>
        <v>0</v>
      </c>
      <c r="I25" s="4">
        <f t="shared" si="17"/>
        <v>0</v>
      </c>
      <c r="J25" s="4">
        <f t="shared" si="17"/>
        <v>0</v>
      </c>
      <c r="K25" s="4">
        <f t="shared" si="17"/>
        <v>0</v>
      </c>
      <c r="L25" s="4">
        <f t="shared" si="17"/>
        <v>0</v>
      </c>
    </row>
    <row r="26" spans="8:56" hidden="1" x14ac:dyDescent="0.25">
      <c r="H26" s="4">
        <f t="shared" si="17"/>
        <v>0</v>
      </c>
      <c r="I26" s="4">
        <f t="shared" si="17"/>
        <v>0</v>
      </c>
      <c r="J26" s="4">
        <f t="shared" si="17"/>
        <v>0</v>
      </c>
      <c r="K26" s="4">
        <f t="shared" si="17"/>
        <v>0</v>
      </c>
      <c r="L26" s="4">
        <f t="shared" si="17"/>
        <v>0</v>
      </c>
    </row>
    <row r="27" spans="8:56" hidden="1" x14ac:dyDescent="0.25">
      <c r="H27" s="4">
        <f t="shared" si="17"/>
        <v>0</v>
      </c>
      <c r="I27" s="4">
        <f t="shared" si="17"/>
        <v>0</v>
      </c>
      <c r="J27" s="4">
        <f t="shared" si="17"/>
        <v>0</v>
      </c>
      <c r="K27" s="4">
        <f t="shared" si="17"/>
        <v>0</v>
      </c>
      <c r="L27" s="4">
        <f t="shared" si="17"/>
        <v>0</v>
      </c>
    </row>
    <row r="28" spans="8:56" hidden="1" x14ac:dyDescent="0.25">
      <c r="H28" s="4">
        <f t="shared" si="17"/>
        <v>0</v>
      </c>
      <c r="I28" s="4">
        <f t="shared" si="17"/>
        <v>0</v>
      </c>
      <c r="J28" s="4">
        <f t="shared" si="17"/>
        <v>0</v>
      </c>
      <c r="K28" s="4">
        <f t="shared" si="17"/>
        <v>0</v>
      </c>
      <c r="L28" s="4">
        <f t="shared" si="17"/>
        <v>0</v>
      </c>
    </row>
    <row r="29" spans="8:56" hidden="1" x14ac:dyDescent="0.25"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</row>
    <row r="30" spans="8:56" hidden="1" x14ac:dyDescent="0.25">
      <c r="H30" s="4">
        <f t="shared" si="17"/>
        <v>0</v>
      </c>
      <c r="I30" s="4">
        <f t="shared" si="17"/>
        <v>0</v>
      </c>
      <c r="J30" s="4">
        <f t="shared" si="17"/>
        <v>0</v>
      </c>
      <c r="K30" s="4">
        <f t="shared" si="17"/>
        <v>0</v>
      </c>
      <c r="L30" s="4">
        <f t="shared" si="17"/>
        <v>0</v>
      </c>
    </row>
    <row r="31" spans="8:56" hidden="1" x14ac:dyDescent="0.25">
      <c r="H31" s="4">
        <f t="shared" si="17"/>
        <v>0</v>
      </c>
      <c r="I31" s="4">
        <f t="shared" si="17"/>
        <v>0</v>
      </c>
      <c r="J31" s="4">
        <f t="shared" si="17"/>
        <v>0</v>
      </c>
      <c r="K31" s="4">
        <f t="shared" si="17"/>
        <v>0</v>
      </c>
      <c r="L31" s="4">
        <f t="shared" si="17"/>
        <v>0</v>
      </c>
    </row>
    <row r="32" spans="8:56" hidden="1" x14ac:dyDescent="0.25">
      <c r="H32" s="4">
        <f t="shared" si="17"/>
        <v>0</v>
      </c>
      <c r="I32" s="4">
        <f t="shared" si="17"/>
        <v>0</v>
      </c>
      <c r="J32" s="4">
        <f t="shared" si="17"/>
        <v>0</v>
      </c>
      <c r="K32" s="4">
        <f t="shared" si="17"/>
        <v>0</v>
      </c>
      <c r="L32" s="4">
        <f t="shared" si="17"/>
        <v>0</v>
      </c>
    </row>
    <row r="33" spans="8:12" hidden="1" x14ac:dyDescent="0.25">
      <c r="H33" s="4">
        <f t="shared" si="17"/>
        <v>0</v>
      </c>
      <c r="I33" s="4">
        <f t="shared" si="17"/>
        <v>0</v>
      </c>
      <c r="J33" s="4">
        <f t="shared" si="17"/>
        <v>0</v>
      </c>
      <c r="K33" s="4">
        <f t="shared" si="17"/>
        <v>0</v>
      </c>
      <c r="L33" s="4">
        <f t="shared" si="17"/>
        <v>0</v>
      </c>
    </row>
    <row r="34" spans="8:12" hidden="1" x14ac:dyDescent="0.25">
      <c r="H34" s="4" t="str">
        <f t="shared" ref="H34:L43" si="18">V2</f>
        <v>AG</v>
      </c>
      <c r="I34" s="4">
        <f t="shared" si="18"/>
        <v>750</v>
      </c>
      <c r="J34" s="4">
        <f t="shared" si="18"/>
        <v>10</v>
      </c>
      <c r="K34" s="4" t="str">
        <f t="shared" si="18"/>
        <v>Y</v>
      </c>
      <c r="L34" s="4" t="str">
        <f t="shared" si="18"/>
        <v>3L</v>
      </c>
    </row>
    <row r="35" spans="8:12" hidden="1" x14ac:dyDescent="0.25">
      <c r="H35" s="4">
        <f t="shared" si="18"/>
        <v>0</v>
      </c>
      <c r="I35" s="4">
        <f t="shared" si="18"/>
        <v>0</v>
      </c>
      <c r="J35" s="4">
        <f t="shared" si="18"/>
        <v>0</v>
      </c>
      <c r="K35" s="4">
        <f t="shared" si="18"/>
        <v>0</v>
      </c>
      <c r="L35" s="4">
        <f t="shared" si="18"/>
        <v>0</v>
      </c>
    </row>
    <row r="36" spans="8:12" hidden="1" x14ac:dyDescent="0.25">
      <c r="H36" s="4">
        <f t="shared" si="18"/>
        <v>0</v>
      </c>
      <c r="I36" s="4">
        <f t="shared" si="18"/>
        <v>0</v>
      </c>
      <c r="J36" s="4">
        <f t="shared" si="18"/>
        <v>0</v>
      </c>
      <c r="K36" s="4">
        <f t="shared" si="18"/>
        <v>0</v>
      </c>
      <c r="L36" s="4">
        <f t="shared" si="18"/>
        <v>0</v>
      </c>
    </row>
    <row r="37" spans="8:12" hidden="1" x14ac:dyDescent="0.25">
      <c r="H37" s="4">
        <f t="shared" si="18"/>
        <v>0</v>
      </c>
      <c r="I37" s="4">
        <f t="shared" si="18"/>
        <v>0</v>
      </c>
      <c r="J37" s="4">
        <f t="shared" si="18"/>
        <v>0</v>
      </c>
      <c r="K37" s="4">
        <f t="shared" si="18"/>
        <v>0</v>
      </c>
      <c r="L37" s="4">
        <f t="shared" si="18"/>
        <v>0</v>
      </c>
    </row>
    <row r="38" spans="8:12" hidden="1" x14ac:dyDescent="0.25">
      <c r="H38" s="4">
        <f t="shared" si="18"/>
        <v>0</v>
      </c>
      <c r="I38" s="4">
        <f t="shared" si="18"/>
        <v>0</v>
      </c>
      <c r="J38" s="4">
        <f t="shared" si="18"/>
        <v>0</v>
      </c>
      <c r="K38" s="4">
        <f t="shared" si="18"/>
        <v>0</v>
      </c>
      <c r="L38" s="4">
        <f t="shared" si="18"/>
        <v>0</v>
      </c>
    </row>
    <row r="39" spans="8:12" hidden="1" x14ac:dyDescent="0.25">
      <c r="H39" s="4">
        <f t="shared" si="18"/>
        <v>0</v>
      </c>
      <c r="I39" s="4">
        <f t="shared" si="18"/>
        <v>0</v>
      </c>
      <c r="J39" s="4">
        <f t="shared" si="18"/>
        <v>0</v>
      </c>
      <c r="K39" s="4">
        <f t="shared" si="18"/>
        <v>0</v>
      </c>
      <c r="L39" s="4">
        <f t="shared" si="18"/>
        <v>0</v>
      </c>
    </row>
    <row r="40" spans="8:12" hidden="1" x14ac:dyDescent="0.25">
      <c r="H40" s="4">
        <f t="shared" si="18"/>
        <v>0</v>
      </c>
      <c r="I40" s="4">
        <f t="shared" si="18"/>
        <v>0</v>
      </c>
      <c r="J40" s="4">
        <f t="shared" si="18"/>
        <v>0</v>
      </c>
      <c r="K40" s="4">
        <f t="shared" si="18"/>
        <v>0</v>
      </c>
      <c r="L40" s="4">
        <f t="shared" si="18"/>
        <v>0</v>
      </c>
    </row>
    <row r="41" spans="8:12" hidden="1" x14ac:dyDescent="0.25">
      <c r="H41" s="4">
        <f t="shared" si="18"/>
        <v>0</v>
      </c>
      <c r="I41" s="4">
        <f t="shared" si="18"/>
        <v>0</v>
      </c>
      <c r="J41" s="4">
        <f t="shared" si="18"/>
        <v>0</v>
      </c>
      <c r="K41" s="4">
        <f t="shared" si="18"/>
        <v>0</v>
      </c>
      <c r="L41" s="4">
        <f t="shared" si="18"/>
        <v>0</v>
      </c>
    </row>
    <row r="42" spans="8:12" hidden="1" x14ac:dyDescent="0.25">
      <c r="H42" s="4">
        <f t="shared" si="18"/>
        <v>0</v>
      </c>
      <c r="I42" s="4">
        <f t="shared" si="18"/>
        <v>0</v>
      </c>
      <c r="J42" s="4">
        <f t="shared" si="18"/>
        <v>0</v>
      </c>
      <c r="K42" s="4">
        <f t="shared" si="18"/>
        <v>0</v>
      </c>
      <c r="L42" s="4">
        <f t="shared" si="18"/>
        <v>0</v>
      </c>
    </row>
    <row r="43" spans="8:12" hidden="1" x14ac:dyDescent="0.25">
      <c r="H43" s="4">
        <f t="shared" si="18"/>
        <v>0</v>
      </c>
      <c r="I43" s="4">
        <f t="shared" si="18"/>
        <v>0</v>
      </c>
      <c r="J43" s="4">
        <f t="shared" si="18"/>
        <v>0</v>
      </c>
      <c r="K43" s="4">
        <f t="shared" si="18"/>
        <v>0</v>
      </c>
      <c r="L43" s="4">
        <f t="shared" si="18"/>
        <v>0</v>
      </c>
    </row>
    <row r="44" spans="8:12" hidden="1" x14ac:dyDescent="0.25">
      <c r="H44" s="4" t="str">
        <f t="shared" ref="H44:L53" si="19">AB2</f>
        <v>AG</v>
      </c>
      <c r="I44" s="4">
        <f t="shared" si="19"/>
        <v>500</v>
      </c>
      <c r="J44" s="4">
        <f t="shared" si="19"/>
        <v>20</v>
      </c>
      <c r="K44" s="4" t="str">
        <f t="shared" si="19"/>
        <v>Y</v>
      </c>
      <c r="L44" s="4" t="str">
        <f t="shared" si="19"/>
        <v>3L</v>
      </c>
    </row>
    <row r="45" spans="8:12" hidden="1" x14ac:dyDescent="0.25">
      <c r="H45" s="4">
        <f t="shared" si="19"/>
        <v>0</v>
      </c>
      <c r="I45" s="4">
        <f t="shared" si="19"/>
        <v>0</v>
      </c>
      <c r="J45" s="4">
        <f t="shared" si="19"/>
        <v>0</v>
      </c>
      <c r="K45" s="4">
        <f t="shared" si="19"/>
        <v>0</v>
      </c>
      <c r="L45" s="4">
        <f t="shared" si="19"/>
        <v>0</v>
      </c>
    </row>
    <row r="46" spans="8:12" hidden="1" x14ac:dyDescent="0.25">
      <c r="H46" s="4">
        <f t="shared" si="19"/>
        <v>0</v>
      </c>
      <c r="I46" s="4">
        <f t="shared" si="19"/>
        <v>0</v>
      </c>
      <c r="J46" s="4">
        <f t="shared" si="19"/>
        <v>0</v>
      </c>
      <c r="K46" s="4">
        <f t="shared" si="19"/>
        <v>0</v>
      </c>
      <c r="L46" s="4">
        <f t="shared" si="19"/>
        <v>0</v>
      </c>
    </row>
    <row r="47" spans="8:12" hidden="1" x14ac:dyDescent="0.25">
      <c r="H47" s="4">
        <f t="shared" si="19"/>
        <v>0</v>
      </c>
      <c r="I47" s="4">
        <f t="shared" si="19"/>
        <v>0</v>
      </c>
      <c r="J47" s="4">
        <f t="shared" si="19"/>
        <v>0</v>
      </c>
      <c r="K47" s="4">
        <f t="shared" si="19"/>
        <v>0</v>
      </c>
      <c r="L47" s="4">
        <f t="shared" si="19"/>
        <v>0</v>
      </c>
    </row>
    <row r="48" spans="8:12" hidden="1" x14ac:dyDescent="0.25">
      <c r="H48" s="4">
        <f t="shared" si="19"/>
        <v>0</v>
      </c>
      <c r="I48" s="4">
        <f t="shared" si="19"/>
        <v>0</v>
      </c>
      <c r="J48" s="4">
        <f t="shared" si="19"/>
        <v>0</v>
      </c>
      <c r="K48" s="4">
        <f t="shared" si="19"/>
        <v>0</v>
      </c>
      <c r="L48" s="4">
        <f t="shared" si="19"/>
        <v>0</v>
      </c>
    </row>
    <row r="49" spans="8:12" hidden="1" x14ac:dyDescent="0.25">
      <c r="H49" s="4">
        <f t="shared" si="19"/>
        <v>0</v>
      </c>
      <c r="I49" s="4">
        <f t="shared" si="19"/>
        <v>0</v>
      </c>
      <c r="J49" s="4">
        <f t="shared" si="19"/>
        <v>0</v>
      </c>
      <c r="K49" s="4">
        <f t="shared" si="19"/>
        <v>0</v>
      </c>
      <c r="L49" s="4">
        <f t="shared" si="19"/>
        <v>0</v>
      </c>
    </row>
    <row r="50" spans="8:12" hidden="1" x14ac:dyDescent="0.25">
      <c r="H50" s="4">
        <f t="shared" si="19"/>
        <v>0</v>
      </c>
      <c r="I50" s="4">
        <f t="shared" si="19"/>
        <v>0</v>
      </c>
      <c r="J50" s="4">
        <f t="shared" si="19"/>
        <v>0</v>
      </c>
      <c r="K50" s="4">
        <f t="shared" si="19"/>
        <v>0</v>
      </c>
      <c r="L50" s="4">
        <f t="shared" si="19"/>
        <v>0</v>
      </c>
    </row>
    <row r="51" spans="8:12" hidden="1" x14ac:dyDescent="0.25">
      <c r="H51" s="4">
        <f t="shared" si="19"/>
        <v>0</v>
      </c>
      <c r="I51" s="4">
        <f t="shared" si="19"/>
        <v>0</v>
      </c>
      <c r="J51" s="4">
        <f t="shared" si="19"/>
        <v>0</v>
      </c>
      <c r="K51" s="4">
        <f t="shared" si="19"/>
        <v>0</v>
      </c>
      <c r="L51" s="4">
        <f t="shared" si="19"/>
        <v>0</v>
      </c>
    </row>
    <row r="52" spans="8:12" hidden="1" x14ac:dyDescent="0.25">
      <c r="H52" s="4">
        <f t="shared" si="19"/>
        <v>0</v>
      </c>
      <c r="I52" s="4">
        <f t="shared" si="19"/>
        <v>0</v>
      </c>
      <c r="J52" s="4">
        <f t="shared" si="19"/>
        <v>0</v>
      </c>
      <c r="K52" s="4">
        <f t="shared" si="19"/>
        <v>0</v>
      </c>
      <c r="L52" s="4">
        <f t="shared" si="19"/>
        <v>0</v>
      </c>
    </row>
    <row r="53" spans="8:12" hidden="1" x14ac:dyDescent="0.25">
      <c r="H53" s="4">
        <f t="shared" si="19"/>
        <v>0</v>
      </c>
      <c r="I53" s="4">
        <f t="shared" si="19"/>
        <v>0</v>
      </c>
      <c r="J53" s="4">
        <f t="shared" si="19"/>
        <v>0</v>
      </c>
      <c r="K53" s="4">
        <f t="shared" si="19"/>
        <v>0</v>
      </c>
      <c r="L53" s="4">
        <f t="shared" si="19"/>
        <v>0</v>
      </c>
    </row>
    <row r="54" spans="8:12" hidden="1" x14ac:dyDescent="0.25">
      <c r="H54" s="4">
        <f t="shared" ref="H54:L63" si="20">AH2</f>
        <v>0</v>
      </c>
      <c r="I54" s="4">
        <f t="shared" si="20"/>
        <v>0</v>
      </c>
      <c r="J54" s="4">
        <f t="shared" si="20"/>
        <v>0</v>
      </c>
      <c r="K54" s="4">
        <f t="shared" si="20"/>
        <v>0</v>
      </c>
      <c r="L54" s="4">
        <f t="shared" si="20"/>
        <v>0</v>
      </c>
    </row>
    <row r="55" spans="8:12" hidden="1" x14ac:dyDescent="0.25">
      <c r="H55" s="4">
        <f t="shared" si="20"/>
        <v>0</v>
      </c>
      <c r="I55" s="4">
        <f t="shared" si="20"/>
        <v>0</v>
      </c>
      <c r="J55" s="4">
        <f t="shared" si="20"/>
        <v>0</v>
      </c>
      <c r="K55" s="4">
        <f t="shared" si="20"/>
        <v>0</v>
      </c>
      <c r="L55" s="4">
        <f t="shared" si="20"/>
        <v>0</v>
      </c>
    </row>
    <row r="56" spans="8:12" hidden="1" x14ac:dyDescent="0.25">
      <c r="H56" s="4">
        <f t="shared" si="20"/>
        <v>0</v>
      </c>
      <c r="I56" s="4">
        <f t="shared" si="20"/>
        <v>0</v>
      </c>
      <c r="J56" s="4">
        <f t="shared" si="20"/>
        <v>0</v>
      </c>
      <c r="K56" s="4">
        <f t="shared" si="20"/>
        <v>0</v>
      </c>
      <c r="L56" s="4">
        <f t="shared" si="20"/>
        <v>0</v>
      </c>
    </row>
    <row r="57" spans="8:12" hidden="1" x14ac:dyDescent="0.25">
      <c r="H57" s="4">
        <f t="shared" si="20"/>
        <v>0</v>
      </c>
      <c r="I57" s="4">
        <f t="shared" si="20"/>
        <v>0</v>
      </c>
      <c r="J57" s="4">
        <f t="shared" si="20"/>
        <v>0</v>
      </c>
      <c r="K57" s="4">
        <f t="shared" si="20"/>
        <v>0</v>
      </c>
      <c r="L57" s="4">
        <f t="shared" si="20"/>
        <v>0</v>
      </c>
    </row>
    <row r="58" spans="8:12" hidden="1" x14ac:dyDescent="0.25">
      <c r="H58" s="4">
        <f t="shared" si="20"/>
        <v>0</v>
      </c>
      <c r="I58" s="4">
        <f t="shared" si="20"/>
        <v>0</v>
      </c>
      <c r="J58" s="4">
        <f t="shared" si="20"/>
        <v>0</v>
      </c>
      <c r="K58" s="4">
        <f t="shared" si="20"/>
        <v>0</v>
      </c>
      <c r="L58" s="4">
        <f t="shared" si="20"/>
        <v>0</v>
      </c>
    </row>
    <row r="59" spans="8:12" hidden="1" x14ac:dyDescent="0.25">
      <c r="H59" s="4">
        <f t="shared" si="20"/>
        <v>0</v>
      </c>
      <c r="I59" s="4">
        <f t="shared" si="20"/>
        <v>0</v>
      </c>
      <c r="J59" s="4">
        <f t="shared" si="20"/>
        <v>0</v>
      </c>
      <c r="K59" s="4">
        <f t="shared" si="20"/>
        <v>0</v>
      </c>
      <c r="L59" s="4">
        <f t="shared" si="20"/>
        <v>0</v>
      </c>
    </row>
    <row r="60" spans="8:12" hidden="1" x14ac:dyDescent="0.25">
      <c r="H60" s="4">
        <f t="shared" si="20"/>
        <v>0</v>
      </c>
      <c r="I60" s="4">
        <f t="shared" si="20"/>
        <v>0</v>
      </c>
      <c r="J60" s="4">
        <f t="shared" si="20"/>
        <v>0</v>
      </c>
      <c r="K60" s="4">
        <f t="shared" si="20"/>
        <v>0</v>
      </c>
      <c r="L60" s="4">
        <f t="shared" si="20"/>
        <v>0</v>
      </c>
    </row>
    <row r="61" spans="8:12" hidden="1" x14ac:dyDescent="0.25">
      <c r="H61" s="4">
        <f t="shared" si="20"/>
        <v>0</v>
      </c>
      <c r="I61" s="4">
        <f t="shared" si="20"/>
        <v>0</v>
      </c>
      <c r="J61" s="4">
        <f t="shared" si="20"/>
        <v>0</v>
      </c>
      <c r="K61" s="4">
        <f t="shared" si="20"/>
        <v>0</v>
      </c>
      <c r="L61" s="4">
        <f t="shared" si="20"/>
        <v>0</v>
      </c>
    </row>
    <row r="62" spans="8:12" hidden="1" x14ac:dyDescent="0.25">
      <c r="H62" s="4">
        <f t="shared" si="20"/>
        <v>0</v>
      </c>
      <c r="I62" s="4">
        <f t="shared" si="20"/>
        <v>0</v>
      </c>
      <c r="J62" s="4">
        <f t="shared" si="20"/>
        <v>0</v>
      </c>
      <c r="K62" s="4">
        <f t="shared" si="20"/>
        <v>0</v>
      </c>
      <c r="L62" s="4">
        <f t="shared" si="20"/>
        <v>0</v>
      </c>
    </row>
    <row r="63" spans="8:12" hidden="1" x14ac:dyDescent="0.25">
      <c r="H63" s="4">
        <f t="shared" si="20"/>
        <v>0</v>
      </c>
      <c r="I63" s="4">
        <f t="shared" si="20"/>
        <v>0</v>
      </c>
      <c r="J63" s="4">
        <f t="shared" si="20"/>
        <v>0</v>
      </c>
      <c r="K63" s="4">
        <f t="shared" si="20"/>
        <v>0</v>
      </c>
      <c r="L63" s="4">
        <f t="shared" si="20"/>
        <v>0</v>
      </c>
    </row>
    <row r="64" spans="8:12" hidden="1" x14ac:dyDescent="0.25">
      <c r="H64" s="4">
        <f t="shared" ref="H64:L73" si="21">AN2</f>
        <v>0</v>
      </c>
      <c r="I64" s="4">
        <f t="shared" si="21"/>
        <v>0</v>
      </c>
      <c r="J64" s="4">
        <f t="shared" si="21"/>
        <v>0</v>
      </c>
      <c r="K64" s="4">
        <f t="shared" si="21"/>
        <v>0</v>
      </c>
      <c r="L64" s="4">
        <f t="shared" si="21"/>
        <v>0</v>
      </c>
    </row>
    <row r="65" spans="8:12" hidden="1" x14ac:dyDescent="0.25">
      <c r="H65" s="4">
        <f t="shared" si="21"/>
        <v>0</v>
      </c>
      <c r="I65" s="4">
        <f t="shared" si="21"/>
        <v>0</v>
      </c>
      <c r="J65" s="4">
        <f t="shared" si="21"/>
        <v>0</v>
      </c>
      <c r="K65" s="4">
        <f t="shared" si="21"/>
        <v>0</v>
      </c>
      <c r="L65" s="4">
        <f t="shared" si="21"/>
        <v>0</v>
      </c>
    </row>
    <row r="66" spans="8:12" hidden="1" x14ac:dyDescent="0.25">
      <c r="H66" s="4">
        <f t="shared" si="21"/>
        <v>0</v>
      </c>
      <c r="I66" s="4">
        <f t="shared" si="21"/>
        <v>0</v>
      </c>
      <c r="J66" s="4">
        <f t="shared" si="21"/>
        <v>0</v>
      </c>
      <c r="K66" s="4">
        <f t="shared" si="21"/>
        <v>0</v>
      </c>
      <c r="L66" s="4">
        <f t="shared" si="21"/>
        <v>0</v>
      </c>
    </row>
    <row r="67" spans="8:12" hidden="1" x14ac:dyDescent="0.25">
      <c r="H67" s="4">
        <f t="shared" si="21"/>
        <v>0</v>
      </c>
      <c r="I67" s="4">
        <f t="shared" si="21"/>
        <v>0</v>
      </c>
      <c r="J67" s="4">
        <f t="shared" si="21"/>
        <v>0</v>
      </c>
      <c r="K67" s="4">
        <f t="shared" si="21"/>
        <v>0</v>
      </c>
      <c r="L67" s="4">
        <f t="shared" si="21"/>
        <v>0</v>
      </c>
    </row>
    <row r="68" spans="8:12" hidden="1" x14ac:dyDescent="0.25">
      <c r="H68" s="4">
        <f t="shared" si="21"/>
        <v>0</v>
      </c>
      <c r="I68" s="4">
        <f t="shared" si="21"/>
        <v>0</v>
      </c>
      <c r="J68" s="4">
        <f t="shared" si="21"/>
        <v>0</v>
      </c>
      <c r="K68" s="4">
        <f t="shared" si="21"/>
        <v>0</v>
      </c>
      <c r="L68" s="4">
        <f t="shared" si="21"/>
        <v>0</v>
      </c>
    </row>
    <row r="69" spans="8:12" hidden="1" x14ac:dyDescent="0.25">
      <c r="H69" s="4">
        <f t="shared" si="21"/>
        <v>0</v>
      </c>
      <c r="I69" s="4">
        <f t="shared" si="21"/>
        <v>0</v>
      </c>
      <c r="J69" s="4">
        <f t="shared" si="21"/>
        <v>0</v>
      </c>
      <c r="K69" s="4">
        <f t="shared" si="21"/>
        <v>0</v>
      </c>
      <c r="L69" s="4">
        <f t="shared" si="21"/>
        <v>0</v>
      </c>
    </row>
    <row r="70" spans="8:12" hidden="1" x14ac:dyDescent="0.25">
      <c r="H70" s="4">
        <f t="shared" si="21"/>
        <v>0</v>
      </c>
      <c r="I70" s="4">
        <f t="shared" si="21"/>
        <v>0</v>
      </c>
      <c r="J70" s="4">
        <f t="shared" si="21"/>
        <v>0</v>
      </c>
      <c r="K70" s="4">
        <f t="shared" si="21"/>
        <v>0</v>
      </c>
      <c r="L70" s="4">
        <f t="shared" si="21"/>
        <v>0</v>
      </c>
    </row>
    <row r="71" spans="8:12" hidden="1" x14ac:dyDescent="0.25">
      <c r="H71" s="4">
        <f t="shared" si="21"/>
        <v>0</v>
      </c>
      <c r="I71" s="4">
        <f t="shared" si="21"/>
        <v>0</v>
      </c>
      <c r="J71" s="4">
        <f t="shared" si="21"/>
        <v>0</v>
      </c>
      <c r="K71" s="4">
        <f t="shared" si="21"/>
        <v>0</v>
      </c>
      <c r="L71" s="4">
        <f t="shared" si="21"/>
        <v>0</v>
      </c>
    </row>
    <row r="72" spans="8:12" hidden="1" x14ac:dyDescent="0.25">
      <c r="H72" s="4">
        <f t="shared" si="21"/>
        <v>0</v>
      </c>
      <c r="I72" s="4">
        <f t="shared" si="21"/>
        <v>0</v>
      </c>
      <c r="J72" s="4">
        <f t="shared" si="21"/>
        <v>0</v>
      </c>
      <c r="K72" s="4">
        <f t="shared" si="21"/>
        <v>0</v>
      </c>
      <c r="L72" s="4">
        <f t="shared" si="21"/>
        <v>0</v>
      </c>
    </row>
    <row r="73" spans="8:12" hidden="1" x14ac:dyDescent="0.25">
      <c r="H73" s="4">
        <f t="shared" si="21"/>
        <v>0</v>
      </c>
      <c r="I73" s="4">
        <f t="shared" si="21"/>
        <v>0</v>
      </c>
      <c r="J73" s="4">
        <f t="shared" si="21"/>
        <v>0</v>
      </c>
      <c r="K73" s="4">
        <f t="shared" si="21"/>
        <v>0</v>
      </c>
      <c r="L73" s="4">
        <f t="shared" si="21"/>
        <v>0</v>
      </c>
    </row>
    <row r="74" spans="8:12" hidden="1" x14ac:dyDescent="0.25">
      <c r="H74" s="4">
        <f t="shared" ref="H74:L83" si="22">AT2</f>
        <v>0</v>
      </c>
      <c r="I74" s="4">
        <f t="shared" si="22"/>
        <v>0</v>
      </c>
      <c r="J74" s="4">
        <f t="shared" si="22"/>
        <v>0</v>
      </c>
      <c r="K74" s="4">
        <f t="shared" si="22"/>
        <v>0</v>
      </c>
      <c r="L74" s="4">
        <f t="shared" si="22"/>
        <v>0</v>
      </c>
    </row>
    <row r="75" spans="8:12" hidden="1" x14ac:dyDescent="0.25">
      <c r="H75" s="4">
        <f t="shared" si="22"/>
        <v>0</v>
      </c>
      <c r="I75" s="4">
        <f t="shared" si="22"/>
        <v>0</v>
      </c>
      <c r="J75" s="4">
        <f t="shared" si="22"/>
        <v>0</v>
      </c>
      <c r="K75" s="4">
        <f t="shared" si="22"/>
        <v>0</v>
      </c>
      <c r="L75" s="4">
        <f t="shared" si="22"/>
        <v>0</v>
      </c>
    </row>
    <row r="76" spans="8:12" hidden="1" x14ac:dyDescent="0.25"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0</v>
      </c>
    </row>
    <row r="77" spans="8:12" hidden="1" x14ac:dyDescent="0.25">
      <c r="H77" s="4">
        <f t="shared" si="22"/>
        <v>0</v>
      </c>
      <c r="I77" s="4">
        <f t="shared" si="22"/>
        <v>0</v>
      </c>
      <c r="J77" s="4">
        <f t="shared" si="22"/>
        <v>0</v>
      </c>
      <c r="K77" s="4">
        <f t="shared" si="22"/>
        <v>0</v>
      </c>
      <c r="L77" s="4">
        <f t="shared" si="22"/>
        <v>0</v>
      </c>
    </row>
    <row r="78" spans="8:12" hidden="1" x14ac:dyDescent="0.25">
      <c r="H78" s="4">
        <f t="shared" si="22"/>
        <v>0</v>
      </c>
      <c r="I78" s="4">
        <f t="shared" si="22"/>
        <v>0</v>
      </c>
      <c r="J78" s="4">
        <f t="shared" si="22"/>
        <v>0</v>
      </c>
      <c r="K78" s="4">
        <f t="shared" si="22"/>
        <v>0</v>
      </c>
      <c r="L78" s="4">
        <f t="shared" si="22"/>
        <v>0</v>
      </c>
    </row>
    <row r="79" spans="8:12" hidden="1" x14ac:dyDescent="0.25">
      <c r="H79" s="4">
        <f t="shared" si="22"/>
        <v>0</v>
      </c>
      <c r="I79" s="4">
        <f t="shared" si="22"/>
        <v>0</v>
      </c>
      <c r="J79" s="4">
        <f t="shared" si="22"/>
        <v>0</v>
      </c>
      <c r="K79" s="4">
        <f t="shared" si="22"/>
        <v>0</v>
      </c>
      <c r="L79" s="4">
        <f t="shared" si="22"/>
        <v>0</v>
      </c>
    </row>
    <row r="80" spans="8:12" hidden="1" x14ac:dyDescent="0.25">
      <c r="H80" s="4">
        <f t="shared" si="22"/>
        <v>0</v>
      </c>
      <c r="I80" s="4">
        <f t="shared" si="22"/>
        <v>0</v>
      </c>
      <c r="J80" s="4">
        <f t="shared" si="22"/>
        <v>0</v>
      </c>
      <c r="K80" s="4">
        <f t="shared" si="22"/>
        <v>0</v>
      </c>
      <c r="L80" s="4">
        <f t="shared" si="22"/>
        <v>0</v>
      </c>
    </row>
    <row r="81" spans="8:12" hidden="1" x14ac:dyDescent="0.25">
      <c r="H81" s="4">
        <f t="shared" si="22"/>
        <v>0</v>
      </c>
      <c r="I81" s="4">
        <f t="shared" si="22"/>
        <v>0</v>
      </c>
      <c r="J81" s="4">
        <f t="shared" si="22"/>
        <v>0</v>
      </c>
      <c r="K81" s="4">
        <f t="shared" si="22"/>
        <v>0</v>
      </c>
      <c r="L81" s="4">
        <f t="shared" si="22"/>
        <v>0</v>
      </c>
    </row>
    <row r="82" spans="8:12" hidden="1" x14ac:dyDescent="0.25"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</row>
    <row r="83" spans="8:12" hidden="1" x14ac:dyDescent="0.25">
      <c r="H83" s="4">
        <f t="shared" si="22"/>
        <v>0</v>
      </c>
      <c r="I83" s="4">
        <f t="shared" si="22"/>
        <v>0</v>
      </c>
      <c r="J83" s="4">
        <f t="shared" si="22"/>
        <v>0</v>
      </c>
      <c r="K83" s="4">
        <f t="shared" si="22"/>
        <v>0</v>
      </c>
      <c r="L83" s="4">
        <f t="shared" si="22"/>
        <v>0</v>
      </c>
    </row>
    <row r="84" spans="8:12" hidden="1" x14ac:dyDescent="0.25">
      <c r="H84" s="4">
        <f t="shared" ref="H84:L93" si="23">AZ2</f>
        <v>0</v>
      </c>
      <c r="I84" s="4">
        <f t="shared" si="23"/>
        <v>0</v>
      </c>
      <c r="J84" s="4">
        <f t="shared" si="23"/>
        <v>0</v>
      </c>
      <c r="K84" s="4">
        <f t="shared" si="23"/>
        <v>0</v>
      </c>
      <c r="L84" s="4">
        <f t="shared" si="23"/>
        <v>0</v>
      </c>
    </row>
    <row r="85" spans="8:12" hidden="1" x14ac:dyDescent="0.25">
      <c r="H85" s="4">
        <f t="shared" si="23"/>
        <v>0</v>
      </c>
      <c r="I85" s="4">
        <f t="shared" si="23"/>
        <v>0</v>
      </c>
      <c r="J85" s="4">
        <f t="shared" si="23"/>
        <v>0</v>
      </c>
      <c r="K85" s="4">
        <f t="shared" si="23"/>
        <v>0</v>
      </c>
      <c r="L85" s="4">
        <f t="shared" si="23"/>
        <v>0</v>
      </c>
    </row>
    <row r="86" spans="8:12" hidden="1" x14ac:dyDescent="0.25">
      <c r="H86" s="4">
        <f t="shared" si="23"/>
        <v>0</v>
      </c>
      <c r="I86" s="4">
        <f t="shared" si="23"/>
        <v>0</v>
      </c>
      <c r="J86" s="4">
        <f t="shared" si="23"/>
        <v>0</v>
      </c>
      <c r="K86" s="4">
        <f t="shared" si="23"/>
        <v>0</v>
      </c>
      <c r="L86" s="4">
        <f t="shared" si="23"/>
        <v>0</v>
      </c>
    </row>
    <row r="87" spans="8:12" hidden="1" x14ac:dyDescent="0.25">
      <c r="H87" s="4">
        <f t="shared" si="23"/>
        <v>0</v>
      </c>
      <c r="I87" s="4">
        <f t="shared" si="23"/>
        <v>0</v>
      </c>
      <c r="J87" s="4">
        <f t="shared" si="23"/>
        <v>0</v>
      </c>
      <c r="K87" s="4">
        <f t="shared" si="23"/>
        <v>0</v>
      </c>
      <c r="L87" s="4">
        <f t="shared" si="23"/>
        <v>0</v>
      </c>
    </row>
    <row r="88" spans="8:12" hidden="1" x14ac:dyDescent="0.25">
      <c r="H88" s="4">
        <f t="shared" si="23"/>
        <v>0</v>
      </c>
      <c r="I88" s="4">
        <f t="shared" si="23"/>
        <v>0</v>
      </c>
      <c r="J88" s="4">
        <f t="shared" si="23"/>
        <v>0</v>
      </c>
      <c r="K88" s="4">
        <f t="shared" si="23"/>
        <v>0</v>
      </c>
      <c r="L88" s="4">
        <f t="shared" si="23"/>
        <v>0</v>
      </c>
    </row>
    <row r="89" spans="8:12" hidden="1" x14ac:dyDescent="0.25">
      <c r="H89" s="4">
        <f t="shared" si="23"/>
        <v>0</v>
      </c>
      <c r="I89" s="4">
        <f t="shared" si="23"/>
        <v>0</v>
      </c>
      <c r="J89" s="4">
        <f t="shared" si="23"/>
        <v>0</v>
      </c>
      <c r="K89" s="4">
        <f t="shared" si="23"/>
        <v>0</v>
      </c>
      <c r="L89" s="4">
        <f t="shared" si="23"/>
        <v>0</v>
      </c>
    </row>
    <row r="90" spans="8:12" hidden="1" x14ac:dyDescent="0.25">
      <c r="H90" s="4">
        <f t="shared" si="23"/>
        <v>0</v>
      </c>
      <c r="I90" s="4">
        <f t="shared" si="23"/>
        <v>0</v>
      </c>
      <c r="J90" s="4">
        <f t="shared" si="23"/>
        <v>0</v>
      </c>
      <c r="K90" s="4">
        <f t="shared" si="23"/>
        <v>0</v>
      </c>
      <c r="L90" s="4">
        <f t="shared" si="23"/>
        <v>0</v>
      </c>
    </row>
    <row r="91" spans="8:12" hidden="1" x14ac:dyDescent="0.25">
      <c r="H91" s="4">
        <f t="shared" si="23"/>
        <v>0</v>
      </c>
      <c r="I91" s="4">
        <f t="shared" si="23"/>
        <v>0</v>
      </c>
      <c r="J91" s="4">
        <f t="shared" si="23"/>
        <v>0</v>
      </c>
      <c r="K91" s="4">
        <f t="shared" si="23"/>
        <v>0</v>
      </c>
      <c r="L91" s="4">
        <f t="shared" si="23"/>
        <v>0</v>
      </c>
    </row>
    <row r="92" spans="8:12" hidden="1" x14ac:dyDescent="0.25">
      <c r="H92" s="4">
        <f t="shared" si="23"/>
        <v>0</v>
      </c>
      <c r="I92" s="4">
        <f t="shared" si="23"/>
        <v>0</v>
      </c>
      <c r="J92" s="4">
        <f t="shared" si="23"/>
        <v>0</v>
      </c>
      <c r="K92" s="4">
        <f t="shared" si="23"/>
        <v>0</v>
      </c>
      <c r="L92" s="4">
        <f t="shared" si="23"/>
        <v>0</v>
      </c>
    </row>
    <row r="93" spans="8:12" hidden="1" x14ac:dyDescent="0.25">
      <c r="H93" s="4">
        <f t="shared" si="23"/>
        <v>0</v>
      </c>
      <c r="I93" s="4">
        <f t="shared" si="23"/>
        <v>0</v>
      </c>
      <c r="J93" s="4">
        <f t="shared" si="23"/>
        <v>0</v>
      </c>
      <c r="K93" s="4">
        <f t="shared" si="23"/>
        <v>0</v>
      </c>
      <c r="L93" s="4">
        <f t="shared" si="23"/>
        <v>0</v>
      </c>
    </row>
    <row r="94" spans="8:12" hidden="1" x14ac:dyDescent="0.25">
      <c r="H94" s="4">
        <f t="shared" ref="H94:L103" si="24">BF2</f>
        <v>0</v>
      </c>
      <c r="I94" s="4">
        <f t="shared" si="24"/>
        <v>0</v>
      </c>
      <c r="J94" s="4">
        <f t="shared" si="24"/>
        <v>0</v>
      </c>
      <c r="K94" s="4">
        <f t="shared" si="24"/>
        <v>0</v>
      </c>
      <c r="L94" s="4">
        <f t="shared" si="24"/>
        <v>0</v>
      </c>
    </row>
    <row r="95" spans="8:12" hidden="1" x14ac:dyDescent="0.25">
      <c r="H95" s="4">
        <f t="shared" si="24"/>
        <v>0</v>
      </c>
      <c r="I95" s="4">
        <f t="shared" si="24"/>
        <v>0</v>
      </c>
      <c r="J95" s="4">
        <f t="shared" si="24"/>
        <v>0</v>
      </c>
      <c r="K95" s="4">
        <f t="shared" si="24"/>
        <v>0</v>
      </c>
      <c r="L95" s="4">
        <f t="shared" si="24"/>
        <v>0</v>
      </c>
    </row>
    <row r="96" spans="8:12" hidden="1" x14ac:dyDescent="0.25">
      <c r="H96" s="4">
        <f t="shared" si="24"/>
        <v>0</v>
      </c>
      <c r="I96" s="4">
        <f t="shared" si="24"/>
        <v>0</v>
      </c>
      <c r="J96" s="4">
        <f t="shared" si="24"/>
        <v>0</v>
      </c>
      <c r="K96" s="4">
        <f t="shared" si="24"/>
        <v>0</v>
      </c>
      <c r="L96" s="4">
        <f t="shared" si="24"/>
        <v>0</v>
      </c>
    </row>
    <row r="97" spans="8:12" hidden="1" x14ac:dyDescent="0.25">
      <c r="H97" s="4">
        <f t="shared" si="24"/>
        <v>0</v>
      </c>
      <c r="I97" s="4">
        <f t="shared" si="24"/>
        <v>0</v>
      </c>
      <c r="J97" s="4">
        <f t="shared" si="24"/>
        <v>0</v>
      </c>
      <c r="K97" s="4">
        <f t="shared" si="24"/>
        <v>0</v>
      </c>
      <c r="L97" s="4">
        <f t="shared" si="24"/>
        <v>0</v>
      </c>
    </row>
    <row r="98" spans="8:12" hidden="1" x14ac:dyDescent="0.25">
      <c r="H98" s="4">
        <f t="shared" si="24"/>
        <v>0</v>
      </c>
      <c r="I98" s="4">
        <f t="shared" si="24"/>
        <v>0</v>
      </c>
      <c r="J98" s="4">
        <f t="shared" si="24"/>
        <v>0</v>
      </c>
      <c r="K98" s="4">
        <f t="shared" si="24"/>
        <v>0</v>
      </c>
      <c r="L98" s="4">
        <f t="shared" si="24"/>
        <v>0</v>
      </c>
    </row>
    <row r="99" spans="8:12" hidden="1" x14ac:dyDescent="0.25">
      <c r="H99" s="4">
        <f t="shared" si="24"/>
        <v>0</v>
      </c>
      <c r="I99" s="4">
        <f t="shared" si="24"/>
        <v>0</v>
      </c>
      <c r="J99" s="4">
        <f t="shared" si="24"/>
        <v>0</v>
      </c>
      <c r="K99" s="4">
        <f t="shared" si="24"/>
        <v>0</v>
      </c>
      <c r="L99" s="4">
        <f t="shared" si="24"/>
        <v>0</v>
      </c>
    </row>
    <row r="100" spans="8:12" hidden="1" x14ac:dyDescent="0.25">
      <c r="H100" s="4">
        <f t="shared" si="24"/>
        <v>0</v>
      </c>
      <c r="I100" s="4">
        <f t="shared" si="24"/>
        <v>0</v>
      </c>
      <c r="J100" s="4">
        <f t="shared" si="24"/>
        <v>0</v>
      </c>
      <c r="K100" s="4">
        <f t="shared" si="24"/>
        <v>0</v>
      </c>
      <c r="L100" s="4">
        <f t="shared" si="24"/>
        <v>0</v>
      </c>
    </row>
    <row r="101" spans="8:12" hidden="1" x14ac:dyDescent="0.25">
      <c r="H101" s="4">
        <f t="shared" si="24"/>
        <v>0</v>
      </c>
      <c r="I101" s="4">
        <f t="shared" si="24"/>
        <v>0</v>
      </c>
      <c r="J101" s="4">
        <f t="shared" si="24"/>
        <v>0</v>
      </c>
      <c r="K101" s="4">
        <f t="shared" si="24"/>
        <v>0</v>
      </c>
      <c r="L101" s="4">
        <f t="shared" si="24"/>
        <v>0</v>
      </c>
    </row>
    <row r="102" spans="8:12" hidden="1" x14ac:dyDescent="0.25">
      <c r="H102" s="4">
        <f t="shared" si="24"/>
        <v>0</v>
      </c>
      <c r="I102" s="4">
        <f t="shared" si="24"/>
        <v>0</v>
      </c>
      <c r="J102" s="4">
        <f t="shared" si="24"/>
        <v>0</v>
      </c>
      <c r="K102" s="4">
        <f t="shared" si="24"/>
        <v>0</v>
      </c>
      <c r="L102" s="4">
        <f t="shared" si="24"/>
        <v>0</v>
      </c>
    </row>
    <row r="103" spans="8:12" hidden="1" x14ac:dyDescent="0.25">
      <c r="H103" s="4">
        <f t="shared" si="24"/>
        <v>0</v>
      </c>
      <c r="I103" s="4">
        <f t="shared" si="24"/>
        <v>0</v>
      </c>
      <c r="J103" s="4">
        <f t="shared" si="24"/>
        <v>0</v>
      </c>
      <c r="K103" s="4">
        <f t="shared" si="24"/>
        <v>0</v>
      </c>
      <c r="L103" s="4">
        <f t="shared" si="24"/>
        <v>0</v>
      </c>
    </row>
    <row r="104" spans="8:12" hidden="1" x14ac:dyDescent="0.25">
      <c r="H104" s="4">
        <f t="shared" ref="H104:L113" si="25">BL2</f>
        <v>0</v>
      </c>
      <c r="I104" s="4">
        <f t="shared" si="25"/>
        <v>0</v>
      </c>
      <c r="J104" s="4">
        <f t="shared" si="25"/>
        <v>0</v>
      </c>
      <c r="K104" s="4">
        <f t="shared" si="25"/>
        <v>0</v>
      </c>
      <c r="L104" s="4">
        <f t="shared" si="25"/>
        <v>0</v>
      </c>
    </row>
    <row r="105" spans="8:12" hidden="1" x14ac:dyDescent="0.25">
      <c r="H105" s="4">
        <f t="shared" si="25"/>
        <v>0</v>
      </c>
      <c r="I105" s="4">
        <f t="shared" si="25"/>
        <v>0</v>
      </c>
      <c r="J105" s="4">
        <f t="shared" si="25"/>
        <v>0</v>
      </c>
      <c r="K105" s="4">
        <f t="shared" si="25"/>
        <v>0</v>
      </c>
      <c r="L105" s="4">
        <f t="shared" si="25"/>
        <v>0</v>
      </c>
    </row>
    <row r="106" spans="8:12" hidden="1" x14ac:dyDescent="0.25">
      <c r="H106" s="4">
        <f t="shared" si="25"/>
        <v>0</v>
      </c>
      <c r="I106" s="4">
        <f t="shared" si="25"/>
        <v>0</v>
      </c>
      <c r="J106" s="4">
        <f t="shared" si="25"/>
        <v>0</v>
      </c>
      <c r="K106" s="4">
        <f t="shared" si="25"/>
        <v>0</v>
      </c>
      <c r="L106" s="4">
        <f t="shared" si="25"/>
        <v>0</v>
      </c>
    </row>
    <row r="107" spans="8:12" hidden="1" x14ac:dyDescent="0.25">
      <c r="H107" s="4">
        <f t="shared" si="25"/>
        <v>0</v>
      </c>
      <c r="I107" s="4">
        <f t="shared" si="25"/>
        <v>0</v>
      </c>
      <c r="J107" s="4">
        <f t="shared" si="25"/>
        <v>0</v>
      </c>
      <c r="K107" s="4">
        <f t="shared" si="25"/>
        <v>0</v>
      </c>
      <c r="L107" s="4">
        <f t="shared" si="25"/>
        <v>0</v>
      </c>
    </row>
    <row r="108" spans="8:12" hidden="1" x14ac:dyDescent="0.25">
      <c r="H108" s="4">
        <f t="shared" si="25"/>
        <v>0</v>
      </c>
      <c r="I108" s="4">
        <f t="shared" si="25"/>
        <v>0</v>
      </c>
      <c r="J108" s="4">
        <f t="shared" si="25"/>
        <v>0</v>
      </c>
      <c r="K108" s="4">
        <f t="shared" si="25"/>
        <v>0</v>
      </c>
      <c r="L108" s="4">
        <f t="shared" si="25"/>
        <v>0</v>
      </c>
    </row>
    <row r="109" spans="8:12" hidden="1" x14ac:dyDescent="0.25">
      <c r="H109" s="4">
        <f t="shared" si="25"/>
        <v>0</v>
      </c>
      <c r="I109" s="4">
        <f t="shared" si="25"/>
        <v>0</v>
      </c>
      <c r="J109" s="4">
        <f t="shared" si="25"/>
        <v>0</v>
      </c>
      <c r="K109" s="4">
        <f t="shared" si="25"/>
        <v>0</v>
      </c>
      <c r="L109" s="4">
        <f t="shared" si="25"/>
        <v>0</v>
      </c>
    </row>
    <row r="110" spans="8:12" hidden="1" x14ac:dyDescent="0.25">
      <c r="H110" s="4">
        <f t="shared" si="25"/>
        <v>0</v>
      </c>
      <c r="I110" s="4">
        <f t="shared" si="25"/>
        <v>0</v>
      </c>
      <c r="J110" s="4">
        <f t="shared" si="25"/>
        <v>0</v>
      </c>
      <c r="K110" s="4">
        <f t="shared" si="25"/>
        <v>0</v>
      </c>
      <c r="L110" s="4">
        <f t="shared" si="25"/>
        <v>0</v>
      </c>
    </row>
    <row r="111" spans="8:12" hidden="1" x14ac:dyDescent="0.25">
      <c r="H111" s="4">
        <f t="shared" si="25"/>
        <v>0</v>
      </c>
      <c r="I111" s="4">
        <f t="shared" si="25"/>
        <v>0</v>
      </c>
      <c r="J111" s="4">
        <f t="shared" si="25"/>
        <v>0</v>
      </c>
      <c r="K111" s="4">
        <f t="shared" si="25"/>
        <v>0</v>
      </c>
      <c r="L111" s="4">
        <f t="shared" si="25"/>
        <v>0</v>
      </c>
    </row>
    <row r="112" spans="8:12" hidden="1" x14ac:dyDescent="0.25">
      <c r="H112" s="4">
        <f t="shared" si="25"/>
        <v>0</v>
      </c>
      <c r="I112" s="4">
        <f t="shared" si="25"/>
        <v>0</v>
      </c>
      <c r="J112" s="4">
        <f t="shared" si="25"/>
        <v>0</v>
      </c>
      <c r="K112" s="4">
        <f t="shared" si="25"/>
        <v>0</v>
      </c>
      <c r="L112" s="4">
        <f t="shared" si="25"/>
        <v>0</v>
      </c>
    </row>
    <row r="113" spans="1:62" hidden="1" x14ac:dyDescent="0.25">
      <c r="H113" s="45">
        <f t="shared" si="25"/>
        <v>0</v>
      </c>
      <c r="I113" s="45">
        <f t="shared" si="25"/>
        <v>0</v>
      </c>
      <c r="J113" s="4">
        <f t="shared" si="25"/>
        <v>0</v>
      </c>
      <c r="K113" s="4">
        <f t="shared" si="25"/>
        <v>0</v>
      </c>
      <c r="L113" s="4">
        <f t="shared" si="25"/>
        <v>0</v>
      </c>
    </row>
    <row r="114" spans="1:62" x14ac:dyDescent="0.25">
      <c r="A114" s="168" t="s">
        <v>85</v>
      </c>
      <c r="B114" s="169"/>
      <c r="C114" s="170"/>
      <c r="D114" s="171">
        <v>46008</v>
      </c>
      <c r="E114" s="172"/>
      <c r="F114" s="172"/>
      <c r="G114" s="172"/>
      <c r="H114" s="46"/>
      <c r="I114" s="54"/>
    </row>
    <row r="115" spans="1:62" ht="15.75" thickBot="1" x14ac:dyDescent="0.3">
      <c r="A115" s="110"/>
      <c r="B115" s="110"/>
      <c r="C115" s="110"/>
      <c r="D115" s="110"/>
      <c r="E115" s="110"/>
      <c r="F115" s="110"/>
      <c r="G115" s="110"/>
      <c r="H115" s="54"/>
      <c r="I115" s="54"/>
    </row>
    <row r="116" spans="1:62" ht="16.5" thickBot="1" x14ac:dyDescent="0.3">
      <c r="A116" s="173" t="s">
        <v>248</v>
      </c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5"/>
      <c r="AH116" s="118" t="s">
        <v>35</v>
      </c>
      <c r="AI116" s="118"/>
      <c r="AJ116" s="118" t="str">
        <f>F2</f>
        <v>AP08</v>
      </c>
      <c r="AK116" s="118"/>
      <c r="AL116" s="118"/>
      <c r="AN116" s="118" t="s">
        <v>35</v>
      </c>
      <c r="AO116" s="118"/>
      <c r="AP116" s="118">
        <f>F3</f>
        <v>0</v>
      </c>
      <c r="AQ116" s="118"/>
      <c r="AR116" s="118"/>
      <c r="AT116" s="118" t="s">
        <v>35</v>
      </c>
      <c r="AU116" s="118"/>
      <c r="AV116" s="118">
        <f>F4</f>
        <v>0</v>
      </c>
      <c r="AW116" s="118"/>
      <c r="AX116" s="118"/>
      <c r="AZ116" s="118" t="s">
        <v>35</v>
      </c>
      <c r="BA116" s="118"/>
      <c r="BB116" s="118">
        <f>F5</f>
        <v>0</v>
      </c>
      <c r="BC116" s="118"/>
      <c r="BD116" s="118"/>
      <c r="BF116" s="118" t="s">
        <v>35</v>
      </c>
      <c r="BG116" s="118"/>
      <c r="BH116" s="118">
        <f>F6</f>
        <v>0</v>
      </c>
      <c r="BI116" s="118"/>
      <c r="BJ116" s="118"/>
    </row>
    <row r="117" spans="1:62" x14ac:dyDescent="0.25">
      <c r="A117" s="123" t="s">
        <v>31</v>
      </c>
      <c r="B117" s="113" t="s">
        <v>22</v>
      </c>
      <c r="C117" s="114"/>
      <c r="D117" s="114"/>
      <c r="E117" s="114"/>
      <c r="F117" s="115"/>
      <c r="G117" s="113" t="s">
        <v>20</v>
      </c>
      <c r="H117" s="114"/>
      <c r="I117" s="114"/>
      <c r="J117" s="114"/>
      <c r="K117" s="115"/>
      <c r="L117" s="113" t="s">
        <v>34</v>
      </c>
      <c r="M117" s="114"/>
      <c r="N117" s="114"/>
      <c r="O117" s="114"/>
      <c r="P117" s="115"/>
      <c r="Q117" s="113" t="s">
        <v>127</v>
      </c>
      <c r="R117" s="114"/>
      <c r="S117" s="114"/>
      <c r="T117" s="114"/>
      <c r="U117" s="115"/>
      <c r="V117" s="113" t="s">
        <v>129</v>
      </c>
      <c r="W117" s="114"/>
      <c r="X117" s="114"/>
      <c r="Y117" s="114"/>
      <c r="Z117" s="115"/>
      <c r="AA117" s="113" t="s">
        <v>26</v>
      </c>
      <c r="AB117" s="114"/>
      <c r="AC117" s="114"/>
      <c r="AD117" s="114"/>
      <c r="AE117" s="115"/>
      <c r="AF117" s="116" t="s">
        <v>24</v>
      </c>
      <c r="AG117" s="116" t="s">
        <v>86</v>
      </c>
      <c r="AH117" s="118" t="str">
        <f>G2</f>
        <v>PAWAN PUTRA AGENCY</v>
      </c>
      <c r="AI117" s="118"/>
      <c r="AJ117" s="118"/>
      <c r="AK117" s="118"/>
      <c r="AL117" s="118"/>
      <c r="AN117" s="118">
        <f>G3</f>
        <v>0</v>
      </c>
      <c r="AO117" s="118"/>
      <c r="AP117" s="118"/>
      <c r="AQ117" s="118"/>
      <c r="AR117" s="118"/>
      <c r="AT117" s="118">
        <f>G4</f>
        <v>0</v>
      </c>
      <c r="AU117" s="118"/>
      <c r="AV117" s="118"/>
      <c r="AW117" s="118"/>
      <c r="AX117" s="118"/>
      <c r="AZ117" s="118">
        <f>G5</f>
        <v>0</v>
      </c>
      <c r="BA117" s="118"/>
      <c r="BB117" s="118"/>
      <c r="BC117" s="118"/>
      <c r="BD117" s="118"/>
      <c r="BF117" s="118">
        <f>G6</f>
        <v>0</v>
      </c>
      <c r="BG117" s="118"/>
      <c r="BH117" s="118"/>
      <c r="BI117" s="118"/>
      <c r="BJ117" s="118"/>
    </row>
    <row r="118" spans="1:62" ht="15.75" thickBot="1" x14ac:dyDescent="0.3">
      <c r="A118" s="124"/>
      <c r="B118" s="9" t="s">
        <v>32</v>
      </c>
      <c r="C118" s="12" t="s">
        <v>17</v>
      </c>
      <c r="D118" s="12" t="s">
        <v>19</v>
      </c>
      <c r="E118" s="12" t="s">
        <v>33</v>
      </c>
      <c r="F118" s="14" t="s">
        <v>80</v>
      </c>
      <c r="G118" s="9" t="s">
        <v>32</v>
      </c>
      <c r="H118" s="12" t="s">
        <v>17</v>
      </c>
      <c r="I118" s="12" t="s">
        <v>19</v>
      </c>
      <c r="J118" s="12" t="s">
        <v>33</v>
      </c>
      <c r="K118" s="14" t="s">
        <v>80</v>
      </c>
      <c r="L118" s="9" t="s">
        <v>32</v>
      </c>
      <c r="M118" s="12" t="s">
        <v>17</v>
      </c>
      <c r="N118" s="12" t="s">
        <v>19</v>
      </c>
      <c r="O118" s="12" t="s">
        <v>33</v>
      </c>
      <c r="P118" s="14" t="s">
        <v>80</v>
      </c>
      <c r="Q118" s="9" t="s">
        <v>32</v>
      </c>
      <c r="R118" s="12" t="s">
        <v>17</v>
      </c>
      <c r="S118" s="12" t="s">
        <v>19</v>
      </c>
      <c r="T118" s="12" t="s">
        <v>33</v>
      </c>
      <c r="U118" s="14" t="s">
        <v>80</v>
      </c>
      <c r="V118" s="9" t="s">
        <v>32</v>
      </c>
      <c r="W118" s="12" t="s">
        <v>17</v>
      </c>
      <c r="X118" s="12" t="s">
        <v>19</v>
      </c>
      <c r="Y118" s="12" t="s">
        <v>33</v>
      </c>
      <c r="Z118" s="14" t="s">
        <v>80</v>
      </c>
      <c r="AA118" s="9" t="s">
        <v>32</v>
      </c>
      <c r="AB118" s="12" t="s">
        <v>17</v>
      </c>
      <c r="AC118" s="12" t="s">
        <v>19</v>
      </c>
      <c r="AD118" s="12" t="s">
        <v>33</v>
      </c>
      <c r="AE118" s="14" t="s">
        <v>80</v>
      </c>
      <c r="AF118" s="117"/>
      <c r="AG118" s="117"/>
      <c r="AH118" s="118" t="str">
        <f>H2</f>
        <v>TIRUPATHI</v>
      </c>
      <c r="AI118" s="118"/>
      <c r="AJ118" s="118"/>
      <c r="AK118" s="118"/>
      <c r="AL118" s="118"/>
      <c r="AN118" s="118">
        <f>H3</f>
        <v>0</v>
      </c>
      <c r="AO118" s="118"/>
      <c r="AP118" s="118"/>
      <c r="AQ118" s="118"/>
      <c r="AR118" s="118"/>
      <c r="AT118" s="118">
        <f>H4</f>
        <v>0</v>
      </c>
      <c r="AU118" s="118"/>
      <c r="AV118" s="118"/>
      <c r="AW118" s="118"/>
      <c r="AX118" s="118"/>
      <c r="AZ118" s="118">
        <f>H5</f>
        <v>0</v>
      </c>
      <c r="BA118" s="118"/>
      <c r="BB118" s="118"/>
      <c r="BC118" s="118"/>
      <c r="BD118" s="118"/>
      <c r="BF118" s="118">
        <f>H6</f>
        <v>0</v>
      </c>
      <c r="BG118" s="118"/>
      <c r="BH118" s="118"/>
      <c r="BI118" s="118"/>
      <c r="BJ118" s="118"/>
    </row>
    <row r="119" spans="1:62" ht="15.75" thickBot="1" x14ac:dyDescent="0.3">
      <c r="A119" s="16">
        <v>300</v>
      </c>
      <c r="B119" s="10">
        <f t="shared" ref="B119:F127" si="26">SUMIFS($J$14:$J$113,$I$14:$I$113,$A119,$K$14:$K$113,B$118,$L$14:$L$113,$B$117,$H$14:$H$113,"AG")</f>
        <v>0</v>
      </c>
      <c r="C119" s="11">
        <f t="shared" si="26"/>
        <v>0</v>
      </c>
      <c r="D119" s="11">
        <f t="shared" si="26"/>
        <v>0</v>
      </c>
      <c r="E119" s="11">
        <f t="shared" si="26"/>
        <v>0</v>
      </c>
      <c r="F119" s="17">
        <f t="shared" si="26"/>
        <v>0</v>
      </c>
      <c r="G119" s="10">
        <f t="shared" ref="G119:K127" si="27">SUMIFS($J$14:$J$113,$I$14:$I$113,$A119,$K$14:$K$113,G$118,$L$14:$L$113,$G$117,$H$14:$H$113,"AG")</f>
        <v>0</v>
      </c>
      <c r="H119" s="11">
        <f t="shared" si="27"/>
        <v>0</v>
      </c>
      <c r="I119" s="11">
        <f t="shared" si="27"/>
        <v>0</v>
      </c>
      <c r="J119" s="11">
        <f t="shared" si="27"/>
        <v>0</v>
      </c>
      <c r="K119" s="17">
        <f t="shared" si="27"/>
        <v>0</v>
      </c>
      <c r="L119" s="10">
        <f t="shared" ref="L119:P127" si="28">SUMIFS($J$14:$J$113,$I$14:$I$113,$A119,$K$14:$K$113,L$118,$L$14:$L$113,$L$117,$H$14:$H$113,"AG")</f>
        <v>0</v>
      </c>
      <c r="M119" s="11">
        <f t="shared" si="28"/>
        <v>0</v>
      </c>
      <c r="N119" s="11">
        <f t="shared" si="28"/>
        <v>0</v>
      </c>
      <c r="O119" s="11">
        <f t="shared" si="28"/>
        <v>0</v>
      </c>
      <c r="P119" s="17">
        <f t="shared" si="28"/>
        <v>0</v>
      </c>
      <c r="Q119" s="10">
        <f t="shared" ref="Q119:U127" si="29">SUMIFS($J$14:$J$113,$I$14:$I$113,$A119,$K$14:$K$113,Q$118,$L$14:$L$113,$Q$117,$H$14:$H$113,"AG")</f>
        <v>0</v>
      </c>
      <c r="R119" s="11">
        <f t="shared" si="29"/>
        <v>0</v>
      </c>
      <c r="S119" s="11">
        <f t="shared" si="29"/>
        <v>0</v>
      </c>
      <c r="T119" s="11">
        <f t="shared" si="29"/>
        <v>0</v>
      </c>
      <c r="U119" s="17">
        <f t="shared" si="29"/>
        <v>0</v>
      </c>
      <c r="V119" s="10">
        <f t="shared" ref="V119:AE127" si="30">SUMIFS($J$14:$J$113,$I$14:$I$113,$A119,$K$14:$K$113,V$118,$L$14:$L$113,$L$117,$H$14:$H$113,"AG")</f>
        <v>0</v>
      </c>
      <c r="W119" s="11">
        <f t="shared" si="30"/>
        <v>0</v>
      </c>
      <c r="X119" s="11">
        <f t="shared" si="30"/>
        <v>0</v>
      </c>
      <c r="Y119" s="11">
        <f t="shared" si="30"/>
        <v>0</v>
      </c>
      <c r="Z119" s="17">
        <f t="shared" si="30"/>
        <v>0</v>
      </c>
      <c r="AA119" s="10">
        <f t="shared" si="30"/>
        <v>0</v>
      </c>
      <c r="AB119" s="11">
        <f t="shared" si="30"/>
        <v>0</v>
      </c>
      <c r="AC119" s="11">
        <f t="shared" si="30"/>
        <v>0</v>
      </c>
      <c r="AD119" s="11">
        <f t="shared" si="30"/>
        <v>0</v>
      </c>
      <c r="AE119" s="17">
        <f t="shared" si="30"/>
        <v>0</v>
      </c>
      <c r="AF119" s="16">
        <f>SUM(B119:AE119)*A119</f>
        <v>0</v>
      </c>
      <c r="AG119" s="16">
        <f>SUM(B119:AE119)</f>
        <v>0</v>
      </c>
      <c r="AH119" s="30" t="s">
        <v>136</v>
      </c>
      <c r="AI119" s="30" t="s">
        <v>27</v>
      </c>
      <c r="AJ119" s="30" t="s">
        <v>28</v>
      </c>
      <c r="AK119" s="30" t="s">
        <v>29</v>
      </c>
      <c r="AL119" s="30" t="s">
        <v>30</v>
      </c>
      <c r="AN119" s="30" t="s">
        <v>136</v>
      </c>
      <c r="AO119" s="30" t="s">
        <v>27</v>
      </c>
      <c r="AP119" s="30" t="s">
        <v>28</v>
      </c>
      <c r="AQ119" s="30" t="s">
        <v>29</v>
      </c>
      <c r="AR119" s="30" t="s">
        <v>30</v>
      </c>
      <c r="AT119" s="30" t="s">
        <v>136</v>
      </c>
      <c r="AU119" s="30" t="s">
        <v>27</v>
      </c>
      <c r="AV119" s="30" t="s">
        <v>28</v>
      </c>
      <c r="AW119" s="30" t="s">
        <v>29</v>
      </c>
      <c r="AX119" s="30" t="s">
        <v>30</v>
      </c>
      <c r="AZ119" s="30" t="s">
        <v>136</v>
      </c>
      <c r="BA119" s="30" t="s">
        <v>27</v>
      </c>
      <c r="BB119" s="30" t="s">
        <v>28</v>
      </c>
      <c r="BC119" s="30" t="s">
        <v>29</v>
      </c>
      <c r="BD119" s="30" t="s">
        <v>30</v>
      </c>
      <c r="BF119" s="30" t="s">
        <v>136</v>
      </c>
      <c r="BG119" s="30" t="s">
        <v>27</v>
      </c>
      <c r="BH119" s="30" t="s">
        <v>28</v>
      </c>
      <c r="BI119" s="30" t="s">
        <v>29</v>
      </c>
      <c r="BJ119" s="30" t="s">
        <v>30</v>
      </c>
    </row>
    <row r="120" spans="1:62" x14ac:dyDescent="0.25">
      <c r="A120" s="16">
        <v>500</v>
      </c>
      <c r="B120" s="10">
        <f t="shared" si="26"/>
        <v>0</v>
      </c>
      <c r="C120" s="11">
        <f t="shared" si="26"/>
        <v>20</v>
      </c>
      <c r="D120" s="11">
        <f t="shared" si="26"/>
        <v>0</v>
      </c>
      <c r="E120" s="11">
        <f t="shared" si="26"/>
        <v>0</v>
      </c>
      <c r="F120" s="17">
        <f t="shared" si="26"/>
        <v>0</v>
      </c>
      <c r="G120" s="10">
        <f t="shared" si="27"/>
        <v>0</v>
      </c>
      <c r="H120" s="11">
        <f t="shared" si="27"/>
        <v>0</v>
      </c>
      <c r="I120" s="11">
        <f t="shared" si="27"/>
        <v>0</v>
      </c>
      <c r="J120" s="11">
        <f t="shared" si="27"/>
        <v>0</v>
      </c>
      <c r="K120" s="17">
        <f t="shared" si="27"/>
        <v>0</v>
      </c>
      <c r="L120" s="10">
        <f t="shared" si="28"/>
        <v>0</v>
      </c>
      <c r="M120" s="11">
        <f t="shared" si="28"/>
        <v>0</v>
      </c>
      <c r="N120" s="11">
        <f t="shared" si="28"/>
        <v>0</v>
      </c>
      <c r="O120" s="11">
        <f t="shared" si="28"/>
        <v>0</v>
      </c>
      <c r="P120" s="17">
        <f t="shared" si="28"/>
        <v>0</v>
      </c>
      <c r="Q120" s="10">
        <f t="shared" si="29"/>
        <v>0</v>
      </c>
      <c r="R120" s="11">
        <f t="shared" si="29"/>
        <v>0</v>
      </c>
      <c r="S120" s="11">
        <f t="shared" si="29"/>
        <v>0</v>
      </c>
      <c r="T120" s="11">
        <f t="shared" si="29"/>
        <v>0</v>
      </c>
      <c r="U120" s="17">
        <f t="shared" si="29"/>
        <v>0</v>
      </c>
      <c r="V120" s="10">
        <f t="shared" si="30"/>
        <v>0</v>
      </c>
      <c r="W120" s="11">
        <f t="shared" si="30"/>
        <v>0</v>
      </c>
      <c r="X120" s="11">
        <f t="shared" si="30"/>
        <v>0</v>
      </c>
      <c r="Y120" s="11">
        <f t="shared" si="30"/>
        <v>0</v>
      </c>
      <c r="Z120" s="17">
        <f t="shared" si="30"/>
        <v>0</v>
      </c>
      <c r="AA120" s="10">
        <f t="shared" si="30"/>
        <v>0</v>
      </c>
      <c r="AB120" s="11">
        <f t="shared" si="30"/>
        <v>0</v>
      </c>
      <c r="AC120" s="11">
        <f t="shared" si="30"/>
        <v>0</v>
      </c>
      <c r="AD120" s="11">
        <f t="shared" si="30"/>
        <v>0</v>
      </c>
      <c r="AE120" s="17">
        <f t="shared" si="30"/>
        <v>0</v>
      </c>
      <c r="AF120" s="16">
        <f t="shared" ref="AF120:AF127" si="31">SUM(B120:AE120)*A120</f>
        <v>10000</v>
      </c>
      <c r="AG120" s="16">
        <f t="shared" ref="AG120:AG128" si="32">SUM(B120:AE120)</f>
        <v>20</v>
      </c>
      <c r="AH120" s="16" t="str">
        <f>J2</f>
        <v>AG</v>
      </c>
      <c r="AI120" s="10">
        <f>K2</f>
        <v>1500</v>
      </c>
      <c r="AJ120" s="11">
        <f>L2</f>
        <v>8</v>
      </c>
      <c r="AK120" s="11" t="str">
        <f>M2</f>
        <v>Y</v>
      </c>
      <c r="AL120" s="17" t="str">
        <f>N2</f>
        <v>3L</v>
      </c>
      <c r="AN120" s="16">
        <f>J3</f>
        <v>0</v>
      </c>
      <c r="AO120" s="10">
        <f>K3</f>
        <v>0</v>
      </c>
      <c r="AP120" s="11">
        <f>L3</f>
        <v>0</v>
      </c>
      <c r="AQ120" s="11">
        <f>M3</f>
        <v>0</v>
      </c>
      <c r="AR120" s="17">
        <f>N3</f>
        <v>0</v>
      </c>
      <c r="AT120" s="16">
        <f>J4</f>
        <v>0</v>
      </c>
      <c r="AU120" s="10">
        <f>K4</f>
        <v>0</v>
      </c>
      <c r="AV120" s="11">
        <f>L4</f>
        <v>0</v>
      </c>
      <c r="AW120" s="11">
        <f>M4</f>
        <v>0</v>
      </c>
      <c r="AX120" s="17">
        <f>N4</f>
        <v>0</v>
      </c>
      <c r="AZ120" s="16">
        <f>J5</f>
        <v>0</v>
      </c>
      <c r="BA120" s="10">
        <f>K5</f>
        <v>0</v>
      </c>
      <c r="BB120" s="11">
        <f>L5</f>
        <v>0</v>
      </c>
      <c r="BC120" s="11">
        <f>M5</f>
        <v>0</v>
      </c>
      <c r="BD120" s="17">
        <f>N5</f>
        <v>0</v>
      </c>
      <c r="BF120" s="16">
        <f>J6</f>
        <v>0</v>
      </c>
      <c r="BG120" s="10">
        <f>K6</f>
        <v>0</v>
      </c>
      <c r="BH120" s="11">
        <f>L6</f>
        <v>0</v>
      </c>
      <c r="BI120" s="11">
        <f>M6</f>
        <v>0</v>
      </c>
      <c r="BJ120" s="17">
        <f>N6</f>
        <v>0</v>
      </c>
    </row>
    <row r="121" spans="1:62" x14ac:dyDescent="0.25">
      <c r="A121" s="15">
        <v>750</v>
      </c>
      <c r="B121" s="8">
        <f t="shared" si="26"/>
        <v>0</v>
      </c>
      <c r="C121" s="6">
        <f t="shared" si="26"/>
        <v>10</v>
      </c>
      <c r="D121" s="6">
        <f t="shared" si="26"/>
        <v>0</v>
      </c>
      <c r="E121" s="6">
        <f t="shared" si="26"/>
        <v>0</v>
      </c>
      <c r="F121" s="13">
        <f t="shared" si="26"/>
        <v>0</v>
      </c>
      <c r="G121" s="8">
        <f t="shared" si="27"/>
        <v>0</v>
      </c>
      <c r="H121" s="6">
        <f t="shared" si="27"/>
        <v>0</v>
      </c>
      <c r="I121" s="6">
        <f t="shared" si="27"/>
        <v>0</v>
      </c>
      <c r="J121" s="6">
        <f t="shared" si="27"/>
        <v>0</v>
      </c>
      <c r="K121" s="13">
        <f t="shared" si="27"/>
        <v>0</v>
      </c>
      <c r="L121" s="8">
        <f t="shared" si="28"/>
        <v>0</v>
      </c>
      <c r="M121" s="6">
        <f t="shared" si="28"/>
        <v>0</v>
      </c>
      <c r="N121" s="6">
        <f t="shared" si="28"/>
        <v>0</v>
      </c>
      <c r="O121" s="6">
        <f t="shared" si="28"/>
        <v>0</v>
      </c>
      <c r="P121" s="13">
        <f t="shared" si="28"/>
        <v>0</v>
      </c>
      <c r="Q121" s="8">
        <f t="shared" si="29"/>
        <v>0</v>
      </c>
      <c r="R121" s="6">
        <f t="shared" si="29"/>
        <v>0</v>
      </c>
      <c r="S121" s="6">
        <f t="shared" si="29"/>
        <v>0</v>
      </c>
      <c r="T121" s="6">
        <f t="shared" si="29"/>
        <v>0</v>
      </c>
      <c r="U121" s="13">
        <f t="shared" si="29"/>
        <v>0</v>
      </c>
      <c r="V121" s="8">
        <f t="shared" si="30"/>
        <v>0</v>
      </c>
      <c r="W121" s="6">
        <f t="shared" si="30"/>
        <v>0</v>
      </c>
      <c r="X121" s="6">
        <f t="shared" si="30"/>
        <v>0</v>
      </c>
      <c r="Y121" s="6">
        <f t="shared" si="30"/>
        <v>0</v>
      </c>
      <c r="Z121" s="13">
        <f t="shared" si="30"/>
        <v>0</v>
      </c>
      <c r="AA121" s="8">
        <f t="shared" si="30"/>
        <v>0</v>
      </c>
      <c r="AB121" s="6">
        <f t="shared" si="30"/>
        <v>0</v>
      </c>
      <c r="AC121" s="6">
        <f t="shared" si="30"/>
        <v>0</v>
      </c>
      <c r="AD121" s="6">
        <f t="shared" si="30"/>
        <v>0</v>
      </c>
      <c r="AE121" s="13">
        <f t="shared" si="30"/>
        <v>0</v>
      </c>
      <c r="AF121" s="16">
        <f t="shared" si="31"/>
        <v>7500</v>
      </c>
      <c r="AG121" s="16">
        <f t="shared" si="32"/>
        <v>10</v>
      </c>
      <c r="AH121" s="15" t="str">
        <f>P2</f>
        <v>AG</v>
      </c>
      <c r="AI121" s="8">
        <f>Q2</f>
        <v>1000</v>
      </c>
      <c r="AJ121" s="6">
        <f>R2</f>
        <v>10</v>
      </c>
      <c r="AK121" s="6" t="str">
        <f>S2</f>
        <v>Y</v>
      </c>
      <c r="AL121" s="13" t="str">
        <f>T2</f>
        <v>3L</v>
      </c>
      <c r="AN121" s="15">
        <f>P3</f>
        <v>0</v>
      </c>
      <c r="AO121" s="8">
        <f>Q3</f>
        <v>0</v>
      </c>
      <c r="AP121" s="6">
        <f>R3</f>
        <v>0</v>
      </c>
      <c r="AQ121" s="6">
        <f>S3</f>
        <v>0</v>
      </c>
      <c r="AR121" s="13">
        <f>T3</f>
        <v>0</v>
      </c>
      <c r="AT121" s="15">
        <f>P4</f>
        <v>0</v>
      </c>
      <c r="AU121" s="8">
        <f>Q4</f>
        <v>0</v>
      </c>
      <c r="AV121" s="6">
        <f>R4</f>
        <v>0</v>
      </c>
      <c r="AW121" s="6">
        <f>S4</f>
        <v>0</v>
      </c>
      <c r="AX121" s="13">
        <f>T4</f>
        <v>0</v>
      </c>
      <c r="AZ121" s="15">
        <f>P5</f>
        <v>0</v>
      </c>
      <c r="BA121" s="8">
        <f>Q5</f>
        <v>0</v>
      </c>
      <c r="BB121" s="6">
        <f>R5</f>
        <v>0</v>
      </c>
      <c r="BC121" s="6">
        <f>S5</f>
        <v>0</v>
      </c>
      <c r="BD121" s="13">
        <f>T5</f>
        <v>0</v>
      </c>
      <c r="BF121" s="15">
        <f>P6</f>
        <v>0</v>
      </c>
      <c r="BG121" s="8">
        <f>Q6</f>
        <v>0</v>
      </c>
      <c r="BH121" s="6">
        <f>R6</f>
        <v>0</v>
      </c>
      <c r="BI121" s="6">
        <f>S6</f>
        <v>0</v>
      </c>
      <c r="BJ121" s="13">
        <f>T6</f>
        <v>0</v>
      </c>
    </row>
    <row r="122" spans="1:62" x14ac:dyDescent="0.25">
      <c r="A122" s="15">
        <v>1000</v>
      </c>
      <c r="B122" s="8">
        <f t="shared" si="26"/>
        <v>0</v>
      </c>
      <c r="C122" s="6">
        <f t="shared" si="26"/>
        <v>10</v>
      </c>
      <c r="D122" s="6">
        <f t="shared" si="26"/>
        <v>0</v>
      </c>
      <c r="E122" s="6">
        <f t="shared" si="26"/>
        <v>0</v>
      </c>
      <c r="F122" s="13">
        <f t="shared" si="26"/>
        <v>0</v>
      </c>
      <c r="G122" s="8">
        <f t="shared" si="27"/>
        <v>0</v>
      </c>
      <c r="H122" s="6">
        <f t="shared" si="27"/>
        <v>0</v>
      </c>
      <c r="I122" s="6">
        <f t="shared" si="27"/>
        <v>0</v>
      </c>
      <c r="J122" s="6">
        <f t="shared" si="27"/>
        <v>0</v>
      </c>
      <c r="K122" s="13">
        <f t="shared" si="27"/>
        <v>0</v>
      </c>
      <c r="L122" s="8">
        <f t="shared" si="28"/>
        <v>0</v>
      </c>
      <c r="M122" s="6">
        <f t="shared" si="28"/>
        <v>0</v>
      </c>
      <c r="N122" s="6">
        <f t="shared" si="28"/>
        <v>0</v>
      </c>
      <c r="O122" s="6">
        <f t="shared" si="28"/>
        <v>0</v>
      </c>
      <c r="P122" s="13">
        <f t="shared" si="28"/>
        <v>0</v>
      </c>
      <c r="Q122" s="8">
        <f t="shared" si="29"/>
        <v>0</v>
      </c>
      <c r="R122" s="6">
        <f t="shared" si="29"/>
        <v>0</v>
      </c>
      <c r="S122" s="6">
        <f t="shared" si="29"/>
        <v>0</v>
      </c>
      <c r="T122" s="6">
        <f t="shared" si="29"/>
        <v>0</v>
      </c>
      <c r="U122" s="13">
        <f t="shared" si="29"/>
        <v>0</v>
      </c>
      <c r="V122" s="8">
        <f t="shared" si="30"/>
        <v>0</v>
      </c>
      <c r="W122" s="6">
        <f t="shared" si="30"/>
        <v>0</v>
      </c>
      <c r="X122" s="6">
        <f t="shared" si="30"/>
        <v>0</v>
      </c>
      <c r="Y122" s="6">
        <f t="shared" si="30"/>
        <v>0</v>
      </c>
      <c r="Z122" s="13">
        <f t="shared" si="30"/>
        <v>0</v>
      </c>
      <c r="AA122" s="8">
        <f t="shared" si="30"/>
        <v>0</v>
      </c>
      <c r="AB122" s="6">
        <f t="shared" si="30"/>
        <v>0</v>
      </c>
      <c r="AC122" s="6">
        <f t="shared" si="30"/>
        <v>0</v>
      </c>
      <c r="AD122" s="6">
        <f t="shared" si="30"/>
        <v>0</v>
      </c>
      <c r="AE122" s="13">
        <f t="shared" si="30"/>
        <v>0</v>
      </c>
      <c r="AF122" s="16">
        <f t="shared" si="31"/>
        <v>10000</v>
      </c>
      <c r="AG122" s="16">
        <f t="shared" si="32"/>
        <v>10</v>
      </c>
      <c r="AH122" s="15" t="str">
        <f>V2</f>
        <v>AG</v>
      </c>
      <c r="AI122" s="8">
        <f>W2</f>
        <v>750</v>
      </c>
      <c r="AJ122" s="6">
        <f>X2</f>
        <v>10</v>
      </c>
      <c r="AK122" s="6" t="str">
        <f>Y2</f>
        <v>Y</v>
      </c>
      <c r="AL122" s="13" t="str">
        <f>Z2</f>
        <v>3L</v>
      </c>
      <c r="AN122" s="15">
        <f>V3</f>
        <v>0</v>
      </c>
      <c r="AO122" s="8">
        <f>W3</f>
        <v>0</v>
      </c>
      <c r="AP122" s="6">
        <f>X3</f>
        <v>0</v>
      </c>
      <c r="AQ122" s="6">
        <f>Y3</f>
        <v>0</v>
      </c>
      <c r="AR122" s="13">
        <f>Z3</f>
        <v>0</v>
      </c>
      <c r="AT122" s="15">
        <f>V4</f>
        <v>0</v>
      </c>
      <c r="AU122" s="8">
        <f>W4</f>
        <v>0</v>
      </c>
      <c r="AV122" s="6">
        <f>X4</f>
        <v>0</v>
      </c>
      <c r="AW122" s="6">
        <f>Y4</f>
        <v>0</v>
      </c>
      <c r="AX122" s="13">
        <f>Z4</f>
        <v>0</v>
      </c>
      <c r="AZ122" s="15">
        <f>V5</f>
        <v>0</v>
      </c>
      <c r="BA122" s="8">
        <f>W5</f>
        <v>0</v>
      </c>
      <c r="BB122" s="6">
        <f>X5</f>
        <v>0</v>
      </c>
      <c r="BC122" s="6">
        <f>Y5</f>
        <v>0</v>
      </c>
      <c r="BD122" s="13">
        <f>Z5</f>
        <v>0</v>
      </c>
      <c r="BF122" s="15">
        <f>V6</f>
        <v>0</v>
      </c>
      <c r="BG122" s="8">
        <f>W6</f>
        <v>0</v>
      </c>
      <c r="BH122" s="6">
        <f>X6</f>
        <v>0</v>
      </c>
      <c r="BI122" s="6">
        <f>Y6</f>
        <v>0</v>
      </c>
      <c r="BJ122" s="13">
        <f>Z6</f>
        <v>0</v>
      </c>
    </row>
    <row r="123" spans="1:62" x14ac:dyDescent="0.25">
      <c r="A123" s="15">
        <v>1500</v>
      </c>
      <c r="B123" s="8">
        <f t="shared" si="26"/>
        <v>0</v>
      </c>
      <c r="C123" s="6">
        <f t="shared" si="26"/>
        <v>8</v>
      </c>
      <c r="D123" s="6">
        <f t="shared" si="26"/>
        <v>0</v>
      </c>
      <c r="E123" s="6">
        <f t="shared" si="26"/>
        <v>0</v>
      </c>
      <c r="F123" s="13">
        <f t="shared" si="26"/>
        <v>0</v>
      </c>
      <c r="G123" s="8">
        <f t="shared" si="27"/>
        <v>0</v>
      </c>
      <c r="H123" s="6">
        <f t="shared" si="27"/>
        <v>0</v>
      </c>
      <c r="I123" s="6">
        <f t="shared" si="27"/>
        <v>0</v>
      </c>
      <c r="J123" s="6">
        <f t="shared" si="27"/>
        <v>0</v>
      </c>
      <c r="K123" s="13">
        <f t="shared" si="27"/>
        <v>0</v>
      </c>
      <c r="L123" s="8">
        <f t="shared" si="28"/>
        <v>0</v>
      </c>
      <c r="M123" s="6">
        <f t="shared" si="28"/>
        <v>0</v>
      </c>
      <c r="N123" s="6">
        <f t="shared" si="28"/>
        <v>0</v>
      </c>
      <c r="O123" s="6">
        <f t="shared" si="28"/>
        <v>0</v>
      </c>
      <c r="P123" s="13">
        <f t="shared" si="28"/>
        <v>0</v>
      </c>
      <c r="Q123" s="8">
        <f t="shared" si="29"/>
        <v>0</v>
      </c>
      <c r="R123" s="6">
        <f t="shared" si="29"/>
        <v>0</v>
      </c>
      <c r="S123" s="6">
        <f t="shared" si="29"/>
        <v>0</v>
      </c>
      <c r="T123" s="6">
        <f t="shared" si="29"/>
        <v>0</v>
      </c>
      <c r="U123" s="13">
        <f t="shared" si="29"/>
        <v>0</v>
      </c>
      <c r="V123" s="8">
        <f t="shared" si="30"/>
        <v>0</v>
      </c>
      <c r="W123" s="6">
        <f t="shared" si="30"/>
        <v>0</v>
      </c>
      <c r="X123" s="6">
        <f t="shared" si="30"/>
        <v>0</v>
      </c>
      <c r="Y123" s="6">
        <f t="shared" si="30"/>
        <v>0</v>
      </c>
      <c r="Z123" s="13">
        <f t="shared" si="30"/>
        <v>0</v>
      </c>
      <c r="AA123" s="8">
        <f t="shared" si="30"/>
        <v>0</v>
      </c>
      <c r="AB123" s="6">
        <f t="shared" si="30"/>
        <v>0</v>
      </c>
      <c r="AC123" s="6">
        <f t="shared" si="30"/>
        <v>0</v>
      </c>
      <c r="AD123" s="6">
        <f t="shared" si="30"/>
        <v>0</v>
      </c>
      <c r="AE123" s="13">
        <f t="shared" si="30"/>
        <v>0</v>
      </c>
      <c r="AF123" s="16">
        <f t="shared" si="31"/>
        <v>12000</v>
      </c>
      <c r="AG123" s="16">
        <f t="shared" si="32"/>
        <v>8</v>
      </c>
      <c r="AH123" s="15" t="str">
        <f>AB2</f>
        <v>AG</v>
      </c>
      <c r="AI123" s="8">
        <f>AC2</f>
        <v>500</v>
      </c>
      <c r="AJ123" s="6">
        <f>AD2</f>
        <v>20</v>
      </c>
      <c r="AK123" s="6" t="str">
        <f>AE2</f>
        <v>Y</v>
      </c>
      <c r="AL123" s="13" t="str">
        <f>AF2</f>
        <v>3L</v>
      </c>
      <c r="AN123" s="15">
        <f>AB3</f>
        <v>0</v>
      </c>
      <c r="AO123" s="8">
        <f>AC3</f>
        <v>0</v>
      </c>
      <c r="AP123" s="6">
        <f>AD3</f>
        <v>0</v>
      </c>
      <c r="AQ123" s="6">
        <f>AE3</f>
        <v>0</v>
      </c>
      <c r="AR123" s="13">
        <f>AF3</f>
        <v>0</v>
      </c>
      <c r="AT123" s="15">
        <f>AB4</f>
        <v>0</v>
      </c>
      <c r="AU123" s="8">
        <f>AC4</f>
        <v>0</v>
      </c>
      <c r="AV123" s="6">
        <f>AD4</f>
        <v>0</v>
      </c>
      <c r="AW123" s="6">
        <f>AE4</f>
        <v>0</v>
      </c>
      <c r="AX123" s="13">
        <f>AF4</f>
        <v>0</v>
      </c>
      <c r="AZ123" s="15">
        <f>AB5</f>
        <v>0</v>
      </c>
      <c r="BA123" s="8">
        <f>AC5</f>
        <v>0</v>
      </c>
      <c r="BB123" s="6">
        <f>AD5</f>
        <v>0</v>
      </c>
      <c r="BC123" s="6">
        <f>AE5</f>
        <v>0</v>
      </c>
      <c r="BD123" s="13">
        <f>AF5</f>
        <v>0</v>
      </c>
      <c r="BF123" s="15">
        <f>AB6</f>
        <v>0</v>
      </c>
      <c r="BG123" s="8">
        <f>AC6</f>
        <v>0</v>
      </c>
      <c r="BH123" s="6">
        <f>AD6</f>
        <v>0</v>
      </c>
      <c r="BI123" s="6">
        <f>AE6</f>
        <v>0</v>
      </c>
      <c r="BJ123" s="13">
        <f>AF6</f>
        <v>0</v>
      </c>
    </row>
    <row r="124" spans="1:62" x14ac:dyDescent="0.25">
      <c r="A124" s="15">
        <v>2000</v>
      </c>
      <c r="B124" s="8">
        <f t="shared" si="26"/>
        <v>0</v>
      </c>
      <c r="C124" s="6">
        <f t="shared" si="26"/>
        <v>0</v>
      </c>
      <c r="D124" s="6">
        <f t="shared" si="26"/>
        <v>0</v>
      </c>
      <c r="E124" s="6">
        <f t="shared" si="26"/>
        <v>0</v>
      </c>
      <c r="F124" s="13">
        <f t="shared" si="26"/>
        <v>0</v>
      </c>
      <c r="G124" s="8">
        <f t="shared" si="27"/>
        <v>0</v>
      </c>
      <c r="H124" s="6">
        <f t="shared" si="27"/>
        <v>0</v>
      </c>
      <c r="I124" s="6">
        <f t="shared" si="27"/>
        <v>0</v>
      </c>
      <c r="J124" s="6">
        <f t="shared" si="27"/>
        <v>0</v>
      </c>
      <c r="K124" s="13">
        <f t="shared" si="27"/>
        <v>0</v>
      </c>
      <c r="L124" s="8">
        <f t="shared" si="28"/>
        <v>0</v>
      </c>
      <c r="M124" s="6">
        <f t="shared" si="28"/>
        <v>0</v>
      </c>
      <c r="N124" s="6">
        <f t="shared" si="28"/>
        <v>0</v>
      </c>
      <c r="O124" s="6">
        <f t="shared" si="28"/>
        <v>0</v>
      </c>
      <c r="P124" s="13">
        <f t="shared" si="28"/>
        <v>0</v>
      </c>
      <c r="Q124" s="8">
        <f t="shared" si="29"/>
        <v>0</v>
      </c>
      <c r="R124" s="6">
        <f t="shared" si="29"/>
        <v>0</v>
      </c>
      <c r="S124" s="6">
        <f t="shared" si="29"/>
        <v>0</v>
      </c>
      <c r="T124" s="6">
        <f t="shared" si="29"/>
        <v>0</v>
      </c>
      <c r="U124" s="13">
        <f t="shared" si="29"/>
        <v>0</v>
      </c>
      <c r="V124" s="8">
        <f t="shared" si="30"/>
        <v>0</v>
      </c>
      <c r="W124" s="6">
        <f t="shared" si="30"/>
        <v>0</v>
      </c>
      <c r="X124" s="6">
        <f t="shared" si="30"/>
        <v>0</v>
      </c>
      <c r="Y124" s="6">
        <f t="shared" si="30"/>
        <v>0</v>
      </c>
      <c r="Z124" s="13">
        <f t="shared" si="30"/>
        <v>0</v>
      </c>
      <c r="AA124" s="8">
        <f t="shared" si="30"/>
        <v>0</v>
      </c>
      <c r="AB124" s="6">
        <f t="shared" si="30"/>
        <v>0</v>
      </c>
      <c r="AC124" s="6">
        <f t="shared" si="30"/>
        <v>0</v>
      </c>
      <c r="AD124" s="6">
        <f t="shared" si="30"/>
        <v>0</v>
      </c>
      <c r="AE124" s="13">
        <f t="shared" si="30"/>
        <v>0</v>
      </c>
      <c r="AF124" s="16">
        <f t="shared" si="31"/>
        <v>0</v>
      </c>
      <c r="AG124" s="16">
        <f t="shared" si="32"/>
        <v>0</v>
      </c>
      <c r="AH124" s="15">
        <f>AH2</f>
        <v>0</v>
      </c>
      <c r="AI124" s="8">
        <f>AI2</f>
        <v>0</v>
      </c>
      <c r="AJ124" s="6">
        <f>AJ2</f>
        <v>0</v>
      </c>
      <c r="AK124" s="6">
        <f>AK2</f>
        <v>0</v>
      </c>
      <c r="AL124" s="13">
        <f>AL2</f>
        <v>0</v>
      </c>
      <c r="AN124" s="15">
        <f>AH3</f>
        <v>0</v>
      </c>
      <c r="AO124" s="8">
        <f>AI3</f>
        <v>0</v>
      </c>
      <c r="AP124" s="6">
        <f>AJ3</f>
        <v>0</v>
      </c>
      <c r="AQ124" s="6">
        <f>AK3</f>
        <v>0</v>
      </c>
      <c r="AR124" s="13">
        <f>AL3</f>
        <v>0</v>
      </c>
      <c r="AT124" s="15">
        <f>AH4</f>
        <v>0</v>
      </c>
      <c r="AU124" s="8">
        <f>AI4</f>
        <v>0</v>
      </c>
      <c r="AV124" s="6">
        <f>AJ4</f>
        <v>0</v>
      </c>
      <c r="AW124" s="6">
        <f>AK4</f>
        <v>0</v>
      </c>
      <c r="AX124" s="13">
        <f>AL4</f>
        <v>0</v>
      </c>
      <c r="AZ124" s="15">
        <f>AH5</f>
        <v>0</v>
      </c>
      <c r="BA124" s="8">
        <f>AI5</f>
        <v>0</v>
      </c>
      <c r="BB124" s="6">
        <f>AJ5</f>
        <v>0</v>
      </c>
      <c r="BC124" s="6">
        <f>AK5</f>
        <v>0</v>
      </c>
      <c r="BD124" s="13">
        <f>AL5</f>
        <v>0</v>
      </c>
      <c r="BF124" s="15">
        <f>AH6</f>
        <v>0</v>
      </c>
      <c r="BG124" s="8">
        <f>AI6</f>
        <v>0</v>
      </c>
      <c r="BH124" s="6">
        <f>AJ6</f>
        <v>0</v>
      </c>
      <c r="BI124" s="6">
        <f>AK6</f>
        <v>0</v>
      </c>
      <c r="BJ124" s="13">
        <f>AL6</f>
        <v>0</v>
      </c>
    </row>
    <row r="125" spans="1:62" x14ac:dyDescent="0.25">
      <c r="A125" s="15">
        <v>3000</v>
      </c>
      <c r="B125" s="8">
        <f t="shared" si="26"/>
        <v>0</v>
      </c>
      <c r="C125" s="6">
        <f t="shared" si="26"/>
        <v>0</v>
      </c>
      <c r="D125" s="6">
        <f t="shared" si="26"/>
        <v>0</v>
      </c>
      <c r="E125" s="6">
        <f t="shared" si="26"/>
        <v>0</v>
      </c>
      <c r="F125" s="13">
        <f t="shared" si="26"/>
        <v>0</v>
      </c>
      <c r="G125" s="8">
        <f t="shared" si="27"/>
        <v>0</v>
      </c>
      <c r="H125" s="6">
        <f t="shared" si="27"/>
        <v>0</v>
      </c>
      <c r="I125" s="6">
        <f t="shared" si="27"/>
        <v>0</v>
      </c>
      <c r="J125" s="6">
        <f t="shared" si="27"/>
        <v>0</v>
      </c>
      <c r="K125" s="13">
        <f t="shared" si="27"/>
        <v>0</v>
      </c>
      <c r="L125" s="8">
        <f t="shared" si="28"/>
        <v>0</v>
      </c>
      <c r="M125" s="6">
        <f t="shared" si="28"/>
        <v>0</v>
      </c>
      <c r="N125" s="6">
        <f t="shared" si="28"/>
        <v>0</v>
      </c>
      <c r="O125" s="6">
        <f t="shared" si="28"/>
        <v>0</v>
      </c>
      <c r="P125" s="13">
        <f t="shared" si="28"/>
        <v>0</v>
      </c>
      <c r="Q125" s="8">
        <f t="shared" si="29"/>
        <v>0</v>
      </c>
      <c r="R125" s="6">
        <f t="shared" si="29"/>
        <v>0</v>
      </c>
      <c r="S125" s="6">
        <f t="shared" si="29"/>
        <v>0</v>
      </c>
      <c r="T125" s="6">
        <f t="shared" si="29"/>
        <v>0</v>
      </c>
      <c r="U125" s="13">
        <f t="shared" si="29"/>
        <v>0</v>
      </c>
      <c r="V125" s="8">
        <f t="shared" si="30"/>
        <v>0</v>
      </c>
      <c r="W125" s="6">
        <f t="shared" si="30"/>
        <v>0</v>
      </c>
      <c r="X125" s="6">
        <f t="shared" si="30"/>
        <v>0</v>
      </c>
      <c r="Y125" s="6">
        <f t="shared" si="30"/>
        <v>0</v>
      </c>
      <c r="Z125" s="13">
        <f t="shared" si="30"/>
        <v>0</v>
      </c>
      <c r="AA125" s="8">
        <f t="shared" si="30"/>
        <v>0</v>
      </c>
      <c r="AB125" s="6">
        <f t="shared" si="30"/>
        <v>0</v>
      </c>
      <c r="AC125" s="6">
        <f t="shared" si="30"/>
        <v>0</v>
      </c>
      <c r="AD125" s="6">
        <f t="shared" si="30"/>
        <v>0</v>
      </c>
      <c r="AE125" s="13">
        <f t="shared" si="30"/>
        <v>0</v>
      </c>
      <c r="AF125" s="16">
        <f t="shared" si="31"/>
        <v>0</v>
      </c>
      <c r="AG125" s="16">
        <f t="shared" si="32"/>
        <v>0</v>
      </c>
      <c r="AH125" s="15">
        <f>AN2</f>
        <v>0</v>
      </c>
      <c r="AI125" s="8">
        <f>AO2</f>
        <v>0</v>
      </c>
      <c r="AJ125" s="6">
        <f>AP2</f>
        <v>0</v>
      </c>
      <c r="AK125" s="6">
        <f>AQ2</f>
        <v>0</v>
      </c>
      <c r="AL125" s="13">
        <f>AR2</f>
        <v>0</v>
      </c>
      <c r="AN125" s="15">
        <f>AN3</f>
        <v>0</v>
      </c>
      <c r="AO125" s="8">
        <f>AO3</f>
        <v>0</v>
      </c>
      <c r="AP125" s="6">
        <f>AP3</f>
        <v>0</v>
      </c>
      <c r="AQ125" s="6">
        <f>AQ3</f>
        <v>0</v>
      </c>
      <c r="AR125" s="13">
        <f>AR3</f>
        <v>0</v>
      </c>
      <c r="AT125" s="15">
        <f>AN4</f>
        <v>0</v>
      </c>
      <c r="AU125" s="8">
        <f>AO4</f>
        <v>0</v>
      </c>
      <c r="AV125" s="6">
        <f>AP4</f>
        <v>0</v>
      </c>
      <c r="AW125" s="6">
        <f>AQ4</f>
        <v>0</v>
      </c>
      <c r="AX125" s="13">
        <f>AR4</f>
        <v>0</v>
      </c>
      <c r="AZ125" s="15">
        <f>AN5</f>
        <v>0</v>
      </c>
      <c r="BA125" s="8">
        <f>AO5</f>
        <v>0</v>
      </c>
      <c r="BB125" s="6">
        <f>AP5</f>
        <v>0</v>
      </c>
      <c r="BC125" s="6">
        <f>AQ5</f>
        <v>0</v>
      </c>
      <c r="BD125" s="13">
        <f>AR5</f>
        <v>0</v>
      </c>
      <c r="BF125" s="15">
        <f>AN6</f>
        <v>0</v>
      </c>
      <c r="BG125" s="8">
        <f>AO6</f>
        <v>0</v>
      </c>
      <c r="BH125" s="6">
        <f>AP6</f>
        <v>0</v>
      </c>
      <c r="BI125" s="6">
        <f>AQ6</f>
        <v>0</v>
      </c>
      <c r="BJ125" s="13">
        <f>AR6</f>
        <v>0</v>
      </c>
    </row>
    <row r="126" spans="1:62" x14ac:dyDescent="0.25">
      <c r="A126" s="15">
        <v>5000</v>
      </c>
      <c r="B126" s="8">
        <f t="shared" si="26"/>
        <v>0</v>
      </c>
      <c r="C126" s="6">
        <f t="shared" si="26"/>
        <v>0</v>
      </c>
      <c r="D126" s="6">
        <f t="shared" si="26"/>
        <v>0</v>
      </c>
      <c r="E126" s="6">
        <f t="shared" si="26"/>
        <v>0</v>
      </c>
      <c r="F126" s="13">
        <f t="shared" si="26"/>
        <v>0</v>
      </c>
      <c r="G126" s="8">
        <f t="shared" si="27"/>
        <v>0</v>
      </c>
      <c r="H126" s="6">
        <f t="shared" si="27"/>
        <v>0</v>
      </c>
      <c r="I126" s="6">
        <f t="shared" si="27"/>
        <v>0</v>
      </c>
      <c r="J126" s="6">
        <f t="shared" si="27"/>
        <v>0</v>
      </c>
      <c r="K126" s="13">
        <f t="shared" si="27"/>
        <v>0</v>
      </c>
      <c r="L126" s="8">
        <f t="shared" si="28"/>
        <v>0</v>
      </c>
      <c r="M126" s="6">
        <f t="shared" si="28"/>
        <v>0</v>
      </c>
      <c r="N126" s="6">
        <f t="shared" si="28"/>
        <v>0</v>
      </c>
      <c r="O126" s="6">
        <f t="shared" si="28"/>
        <v>0</v>
      </c>
      <c r="P126" s="13">
        <f t="shared" si="28"/>
        <v>0</v>
      </c>
      <c r="Q126" s="8">
        <f t="shared" si="29"/>
        <v>0</v>
      </c>
      <c r="R126" s="6">
        <f t="shared" si="29"/>
        <v>0</v>
      </c>
      <c r="S126" s="6">
        <f t="shared" si="29"/>
        <v>0</v>
      </c>
      <c r="T126" s="6">
        <f t="shared" si="29"/>
        <v>0</v>
      </c>
      <c r="U126" s="13">
        <f t="shared" si="29"/>
        <v>0</v>
      </c>
      <c r="V126" s="8">
        <f t="shared" si="30"/>
        <v>0</v>
      </c>
      <c r="W126" s="6">
        <f t="shared" si="30"/>
        <v>0</v>
      </c>
      <c r="X126" s="6">
        <f t="shared" si="30"/>
        <v>0</v>
      </c>
      <c r="Y126" s="6">
        <f t="shared" si="30"/>
        <v>0</v>
      </c>
      <c r="Z126" s="13">
        <f t="shared" si="30"/>
        <v>0</v>
      </c>
      <c r="AA126" s="8">
        <f t="shared" si="30"/>
        <v>0</v>
      </c>
      <c r="AB126" s="6">
        <f t="shared" si="30"/>
        <v>0</v>
      </c>
      <c r="AC126" s="6">
        <f t="shared" si="30"/>
        <v>0</v>
      </c>
      <c r="AD126" s="6">
        <f t="shared" si="30"/>
        <v>0</v>
      </c>
      <c r="AE126" s="13">
        <f t="shared" si="30"/>
        <v>0</v>
      </c>
      <c r="AF126" s="16">
        <f t="shared" si="31"/>
        <v>0</v>
      </c>
      <c r="AG126" s="16">
        <f t="shared" si="32"/>
        <v>0</v>
      </c>
      <c r="AH126" s="15">
        <f>AT2</f>
        <v>0</v>
      </c>
      <c r="AI126" s="8">
        <f>AU2</f>
        <v>0</v>
      </c>
      <c r="AJ126" s="6">
        <f>AV2</f>
        <v>0</v>
      </c>
      <c r="AK126" s="6">
        <f>AW2</f>
        <v>0</v>
      </c>
      <c r="AL126" s="13">
        <f>AX2</f>
        <v>0</v>
      </c>
      <c r="AN126" s="15">
        <f>AT3</f>
        <v>0</v>
      </c>
      <c r="AO126" s="8">
        <f>AU3</f>
        <v>0</v>
      </c>
      <c r="AP126" s="6">
        <f>AV3</f>
        <v>0</v>
      </c>
      <c r="AQ126" s="6">
        <f>AW3</f>
        <v>0</v>
      </c>
      <c r="AR126" s="13">
        <f>AX3</f>
        <v>0</v>
      </c>
      <c r="AT126" s="15">
        <f>AT4</f>
        <v>0</v>
      </c>
      <c r="AU126" s="8">
        <f>AU4</f>
        <v>0</v>
      </c>
      <c r="AV126" s="6">
        <f>AV4</f>
        <v>0</v>
      </c>
      <c r="AW126" s="6">
        <f>AW4</f>
        <v>0</v>
      </c>
      <c r="AX126" s="13">
        <f>AX4</f>
        <v>0</v>
      </c>
      <c r="AZ126" s="15">
        <f>AT5</f>
        <v>0</v>
      </c>
      <c r="BA126" s="8">
        <f>AU5</f>
        <v>0</v>
      </c>
      <c r="BB126" s="6">
        <f>AV5</f>
        <v>0</v>
      </c>
      <c r="BC126" s="6">
        <f>AW5</f>
        <v>0</v>
      </c>
      <c r="BD126" s="13">
        <f>AX5</f>
        <v>0</v>
      </c>
      <c r="BF126" s="15">
        <f>AT6</f>
        <v>0</v>
      </c>
      <c r="BG126" s="8">
        <f>AU6</f>
        <v>0</v>
      </c>
      <c r="BH126" s="6">
        <f>AV6</f>
        <v>0</v>
      </c>
      <c r="BI126" s="6">
        <f>AW6</f>
        <v>0</v>
      </c>
      <c r="BJ126" s="13">
        <f>AX6</f>
        <v>0</v>
      </c>
    </row>
    <row r="127" spans="1:62" ht="15.75" thickBot="1" x14ac:dyDescent="0.3">
      <c r="A127" s="59">
        <v>10000</v>
      </c>
      <c r="B127" s="31">
        <f t="shared" si="26"/>
        <v>0</v>
      </c>
      <c r="C127" s="32">
        <f t="shared" si="26"/>
        <v>0</v>
      </c>
      <c r="D127" s="32">
        <f t="shared" si="26"/>
        <v>0</v>
      </c>
      <c r="E127" s="32">
        <f t="shared" si="26"/>
        <v>0</v>
      </c>
      <c r="F127" s="33">
        <f t="shared" si="26"/>
        <v>0</v>
      </c>
      <c r="G127" s="31">
        <f t="shared" si="27"/>
        <v>0</v>
      </c>
      <c r="H127" s="32">
        <f t="shared" si="27"/>
        <v>0</v>
      </c>
      <c r="I127" s="32">
        <f t="shared" si="27"/>
        <v>0</v>
      </c>
      <c r="J127" s="32">
        <f t="shared" si="27"/>
        <v>0</v>
      </c>
      <c r="K127" s="33">
        <f t="shared" si="27"/>
        <v>0</v>
      </c>
      <c r="L127" s="31">
        <f t="shared" si="28"/>
        <v>0</v>
      </c>
      <c r="M127" s="32">
        <f t="shared" si="28"/>
        <v>0</v>
      </c>
      <c r="N127" s="32">
        <f t="shared" si="28"/>
        <v>0</v>
      </c>
      <c r="O127" s="32">
        <f t="shared" si="28"/>
        <v>0</v>
      </c>
      <c r="P127" s="33">
        <f t="shared" si="28"/>
        <v>0</v>
      </c>
      <c r="Q127" s="31">
        <f t="shared" si="29"/>
        <v>0</v>
      </c>
      <c r="R127" s="32">
        <f t="shared" si="29"/>
        <v>0</v>
      </c>
      <c r="S127" s="32">
        <f t="shared" si="29"/>
        <v>0</v>
      </c>
      <c r="T127" s="32">
        <f t="shared" si="29"/>
        <v>0</v>
      </c>
      <c r="U127" s="33">
        <f t="shared" si="29"/>
        <v>0</v>
      </c>
      <c r="V127" s="31">
        <f t="shared" si="30"/>
        <v>0</v>
      </c>
      <c r="W127" s="32">
        <f t="shared" si="30"/>
        <v>0</v>
      </c>
      <c r="X127" s="32">
        <f t="shared" si="30"/>
        <v>0</v>
      </c>
      <c r="Y127" s="32">
        <f t="shared" si="30"/>
        <v>0</v>
      </c>
      <c r="Z127" s="33">
        <f t="shared" si="30"/>
        <v>0</v>
      </c>
      <c r="AA127" s="31">
        <f t="shared" si="30"/>
        <v>0</v>
      </c>
      <c r="AB127" s="32">
        <f t="shared" si="30"/>
        <v>0</v>
      </c>
      <c r="AC127" s="32">
        <f t="shared" si="30"/>
        <v>0</v>
      </c>
      <c r="AD127" s="32">
        <f t="shared" si="30"/>
        <v>0</v>
      </c>
      <c r="AE127" s="33">
        <f t="shared" si="30"/>
        <v>0</v>
      </c>
      <c r="AF127" s="16">
        <f t="shared" si="31"/>
        <v>0</v>
      </c>
      <c r="AG127" s="43">
        <f t="shared" si="32"/>
        <v>0</v>
      </c>
      <c r="AH127" s="15">
        <f>AZ2</f>
        <v>0</v>
      </c>
      <c r="AI127" s="8">
        <f>BA2</f>
        <v>0</v>
      </c>
      <c r="AJ127" s="6">
        <f>BB2</f>
        <v>0</v>
      </c>
      <c r="AK127" s="6">
        <f>BC2</f>
        <v>0</v>
      </c>
      <c r="AL127" s="13">
        <f>BD2</f>
        <v>0</v>
      </c>
      <c r="AN127" s="15">
        <f>AZ3</f>
        <v>0</v>
      </c>
      <c r="AO127" s="8">
        <f>BA3</f>
        <v>0</v>
      </c>
      <c r="AP127" s="6">
        <f>BB3</f>
        <v>0</v>
      </c>
      <c r="AQ127" s="6">
        <f>BC3</f>
        <v>0</v>
      </c>
      <c r="AR127" s="13">
        <f>BD3</f>
        <v>0</v>
      </c>
      <c r="AT127" s="15">
        <f>AZ4</f>
        <v>0</v>
      </c>
      <c r="AU127" s="8">
        <f>BA4</f>
        <v>0</v>
      </c>
      <c r="AV127" s="6">
        <f>BB4</f>
        <v>0</v>
      </c>
      <c r="AW127" s="6">
        <f>BC4</f>
        <v>0</v>
      </c>
      <c r="AX127" s="13">
        <f>BD4</f>
        <v>0</v>
      </c>
      <c r="AZ127" s="15">
        <f>AZ5</f>
        <v>0</v>
      </c>
      <c r="BA127" s="8">
        <f>BA5</f>
        <v>0</v>
      </c>
      <c r="BB127" s="6">
        <f>BB5</f>
        <v>0</v>
      </c>
      <c r="BC127" s="6">
        <f>BC5</f>
        <v>0</v>
      </c>
      <c r="BD127" s="13">
        <f>BD5</f>
        <v>0</v>
      </c>
      <c r="BF127" s="15">
        <f>AZ6</f>
        <v>0</v>
      </c>
      <c r="BG127" s="8">
        <f>BA6</f>
        <v>0</v>
      </c>
      <c r="BH127" s="6">
        <f>BB6</f>
        <v>0</v>
      </c>
      <c r="BI127" s="6">
        <f>BC6</f>
        <v>0</v>
      </c>
      <c r="BJ127" s="13">
        <f>BD6</f>
        <v>0</v>
      </c>
    </row>
    <row r="128" spans="1:62" ht="15.75" thickBot="1" x14ac:dyDescent="0.3">
      <c r="A128" s="35"/>
      <c r="B128" s="60">
        <f t="shared" ref="B128:AG128" si="33">SUM(B119:B127)</f>
        <v>0</v>
      </c>
      <c r="C128" s="61">
        <f t="shared" si="33"/>
        <v>48</v>
      </c>
      <c r="D128" s="61">
        <f t="shared" si="33"/>
        <v>0</v>
      </c>
      <c r="E128" s="61">
        <f t="shared" si="33"/>
        <v>0</v>
      </c>
      <c r="F128" s="62">
        <f t="shared" si="33"/>
        <v>0</v>
      </c>
      <c r="G128" s="60">
        <f t="shared" si="33"/>
        <v>0</v>
      </c>
      <c r="H128" s="61">
        <f t="shared" si="33"/>
        <v>0</v>
      </c>
      <c r="I128" s="61">
        <f t="shared" si="33"/>
        <v>0</v>
      </c>
      <c r="J128" s="61">
        <f t="shared" si="33"/>
        <v>0</v>
      </c>
      <c r="K128" s="62">
        <f t="shared" si="33"/>
        <v>0</v>
      </c>
      <c r="L128" s="60">
        <f t="shared" si="33"/>
        <v>0</v>
      </c>
      <c r="M128" s="61">
        <f t="shared" si="33"/>
        <v>0</v>
      </c>
      <c r="N128" s="61">
        <f t="shared" si="33"/>
        <v>0</v>
      </c>
      <c r="O128" s="61">
        <f t="shared" si="33"/>
        <v>0</v>
      </c>
      <c r="P128" s="62">
        <f t="shared" si="33"/>
        <v>0</v>
      </c>
      <c r="Q128" s="60">
        <f t="shared" si="33"/>
        <v>0</v>
      </c>
      <c r="R128" s="61">
        <f t="shared" si="33"/>
        <v>0</v>
      </c>
      <c r="S128" s="61">
        <f t="shared" si="33"/>
        <v>0</v>
      </c>
      <c r="T128" s="61">
        <f t="shared" si="33"/>
        <v>0</v>
      </c>
      <c r="U128" s="62">
        <f t="shared" si="33"/>
        <v>0</v>
      </c>
      <c r="V128" s="60">
        <f t="shared" si="33"/>
        <v>0</v>
      </c>
      <c r="W128" s="61">
        <f t="shared" si="33"/>
        <v>0</v>
      </c>
      <c r="X128" s="61">
        <f t="shared" si="33"/>
        <v>0</v>
      </c>
      <c r="Y128" s="61">
        <f t="shared" si="33"/>
        <v>0</v>
      </c>
      <c r="Z128" s="62">
        <f t="shared" si="33"/>
        <v>0</v>
      </c>
      <c r="AA128" s="60">
        <f t="shared" si="33"/>
        <v>0</v>
      </c>
      <c r="AB128" s="61">
        <f t="shared" si="33"/>
        <v>0</v>
      </c>
      <c r="AC128" s="61">
        <f t="shared" si="33"/>
        <v>0</v>
      </c>
      <c r="AD128" s="61">
        <f t="shared" si="33"/>
        <v>0</v>
      </c>
      <c r="AE128" s="62">
        <f t="shared" si="33"/>
        <v>0</v>
      </c>
      <c r="AF128" s="35">
        <f>SUM(AF119:AF127)</f>
        <v>39500</v>
      </c>
      <c r="AG128" s="35">
        <f t="shared" si="32"/>
        <v>48</v>
      </c>
      <c r="AH128" s="15">
        <f>BF2</f>
        <v>0</v>
      </c>
      <c r="AI128" s="8">
        <f>BG2</f>
        <v>0</v>
      </c>
      <c r="AJ128" s="6">
        <f>BH2</f>
        <v>0</v>
      </c>
      <c r="AK128" s="6">
        <f>BI2</f>
        <v>0</v>
      </c>
      <c r="AL128" s="13">
        <f>BJ2</f>
        <v>0</v>
      </c>
      <c r="AN128" s="15">
        <f>BF3</f>
        <v>0</v>
      </c>
      <c r="AO128" s="8">
        <f>BG3</f>
        <v>0</v>
      </c>
      <c r="AP128" s="6">
        <f>BH3</f>
        <v>0</v>
      </c>
      <c r="AQ128" s="6">
        <f>BI3</f>
        <v>0</v>
      </c>
      <c r="AR128" s="13">
        <f>BJ3</f>
        <v>0</v>
      </c>
      <c r="AT128" s="15">
        <f>BF4</f>
        <v>0</v>
      </c>
      <c r="AU128" s="8">
        <f>BG4</f>
        <v>0</v>
      </c>
      <c r="AV128" s="6">
        <f>BH4</f>
        <v>0</v>
      </c>
      <c r="AW128" s="6">
        <f>BI4</f>
        <v>0</v>
      </c>
      <c r="AX128" s="13">
        <f>BJ4</f>
        <v>0</v>
      </c>
      <c r="AZ128" s="15">
        <f>BF5</f>
        <v>0</v>
      </c>
      <c r="BA128" s="8">
        <f>BG5</f>
        <v>0</v>
      </c>
      <c r="BB128" s="6">
        <f>BH5</f>
        <v>0</v>
      </c>
      <c r="BC128" s="6">
        <f>BI5</f>
        <v>0</v>
      </c>
      <c r="BD128" s="13">
        <f>BJ5</f>
        <v>0</v>
      </c>
      <c r="BF128" s="15">
        <f>BF6</f>
        <v>0</v>
      </c>
      <c r="BG128" s="8">
        <f>BG6</f>
        <v>0</v>
      </c>
      <c r="BH128" s="6">
        <f>BH6</f>
        <v>0</v>
      </c>
      <c r="BI128" s="6">
        <f>BI6</f>
        <v>0</v>
      </c>
      <c r="BJ128" s="13">
        <f>BJ6</f>
        <v>0</v>
      </c>
    </row>
    <row r="129" spans="1:62" ht="15.75" thickBo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9">
        <f>BL2</f>
        <v>0</v>
      </c>
      <c r="AI129" s="31">
        <f>BM2</f>
        <v>0</v>
      </c>
      <c r="AJ129" s="32">
        <f>BN2</f>
        <v>0</v>
      </c>
      <c r="AK129" s="32">
        <f>BO2</f>
        <v>0</v>
      </c>
      <c r="AL129" s="33">
        <f>BP2</f>
        <v>0</v>
      </c>
      <c r="AN129" s="59">
        <f>BL3</f>
        <v>0</v>
      </c>
      <c r="AO129" s="31">
        <f>BM3</f>
        <v>0</v>
      </c>
      <c r="AP129" s="32">
        <f>BN3</f>
        <v>0</v>
      </c>
      <c r="AQ129" s="32">
        <f>BO3</f>
        <v>0</v>
      </c>
      <c r="AR129" s="33">
        <f>BP3</f>
        <v>0</v>
      </c>
      <c r="AT129" s="59">
        <f>BL4</f>
        <v>0</v>
      </c>
      <c r="AU129" s="31">
        <f>BM4</f>
        <v>0</v>
      </c>
      <c r="AV129" s="32">
        <f>BN4</f>
        <v>0</v>
      </c>
      <c r="AW129" s="32">
        <f>BO4</f>
        <v>0</v>
      </c>
      <c r="AX129" s="33">
        <f>BP4</f>
        <v>0</v>
      </c>
      <c r="AZ129" s="59">
        <f>BL5</f>
        <v>0</v>
      </c>
      <c r="BA129" s="31">
        <f>BM5</f>
        <v>0</v>
      </c>
      <c r="BB129" s="32">
        <f>BN5</f>
        <v>0</v>
      </c>
      <c r="BC129" s="32">
        <f>BO5</f>
        <v>0</v>
      </c>
      <c r="BD129" s="33">
        <f>BP5</f>
        <v>0</v>
      </c>
      <c r="BF129" s="59">
        <f>BL6</f>
        <v>0</v>
      </c>
      <c r="BG129" s="31">
        <f>BM6</f>
        <v>0</v>
      </c>
      <c r="BH129" s="32">
        <f>BN6</f>
        <v>0</v>
      </c>
      <c r="BI129" s="32">
        <f>BO6</f>
        <v>0</v>
      </c>
      <c r="BJ129" s="33">
        <f>BP6</f>
        <v>0</v>
      </c>
    </row>
    <row r="130" spans="1:62" ht="16.5" thickBot="1" x14ac:dyDescent="0.3">
      <c r="A130" s="173" t="s">
        <v>249</v>
      </c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5"/>
      <c r="AH130" s="35" t="str">
        <f>C2</f>
        <v>A/C</v>
      </c>
      <c r="AI130" s="158">
        <f>SUM(AJ120:AJ129)</f>
        <v>48</v>
      </c>
      <c r="AJ130" s="159"/>
      <c r="AK130" s="158">
        <f>BT2</f>
        <v>39500</v>
      </c>
      <c r="AL130" s="159"/>
      <c r="AN130" s="35">
        <f>C3</f>
        <v>0</v>
      </c>
      <c r="AO130" s="158">
        <f>SUM(AP120:AP129)</f>
        <v>0</v>
      </c>
      <c r="AP130" s="159"/>
      <c r="AQ130" s="158">
        <f>BT3</f>
        <v>0</v>
      </c>
      <c r="AR130" s="159"/>
      <c r="AT130" s="35">
        <f>C4</f>
        <v>0</v>
      </c>
      <c r="AU130" s="158">
        <f>SUM(AV120:AV129)</f>
        <v>0</v>
      </c>
      <c r="AV130" s="159"/>
      <c r="AW130" s="158">
        <f>BT4</f>
        <v>0</v>
      </c>
      <c r="AX130" s="159"/>
      <c r="AZ130" s="35">
        <f>C5</f>
        <v>0</v>
      </c>
      <c r="BA130" s="158">
        <f>SUM(BB120:BB129)</f>
        <v>0</v>
      </c>
      <c r="BB130" s="159"/>
      <c r="BC130" s="158">
        <f>BT5</f>
        <v>0</v>
      </c>
      <c r="BD130" s="159"/>
      <c r="BF130" s="35">
        <f>C6</f>
        <v>0</v>
      </c>
      <c r="BG130" s="158">
        <f>SUM(BG120:BG129)</f>
        <v>0</v>
      </c>
      <c r="BH130" s="159"/>
      <c r="BI130" s="158">
        <f>BT6</f>
        <v>0</v>
      </c>
      <c r="BJ130" s="159"/>
    </row>
    <row r="131" spans="1:62" ht="15.75" thickBot="1" x14ac:dyDescent="0.3">
      <c r="A131" s="123" t="s">
        <v>31</v>
      </c>
      <c r="B131" s="113" t="s">
        <v>22</v>
      </c>
      <c r="C131" s="114"/>
      <c r="D131" s="114"/>
      <c r="E131" s="114"/>
      <c r="F131" s="115"/>
      <c r="G131" s="113" t="s">
        <v>20</v>
      </c>
      <c r="H131" s="114"/>
      <c r="I131" s="114"/>
      <c r="J131" s="114"/>
      <c r="K131" s="115"/>
      <c r="L131" s="113" t="s">
        <v>34</v>
      </c>
      <c r="M131" s="114"/>
      <c r="N131" s="114"/>
      <c r="O131" s="114"/>
      <c r="P131" s="115"/>
      <c r="Q131" s="113" t="s">
        <v>127</v>
      </c>
      <c r="R131" s="114"/>
      <c r="S131" s="114"/>
      <c r="T131" s="114"/>
      <c r="U131" s="115"/>
      <c r="V131" s="113" t="s">
        <v>129</v>
      </c>
      <c r="W131" s="114"/>
      <c r="X131" s="114"/>
      <c r="Y131" s="114"/>
      <c r="Z131" s="115"/>
      <c r="AA131" s="113" t="s">
        <v>26</v>
      </c>
      <c r="AB131" s="114"/>
      <c r="AC131" s="114"/>
      <c r="AD131" s="114"/>
      <c r="AE131" s="115"/>
      <c r="AF131" s="116" t="s">
        <v>24</v>
      </c>
      <c r="AG131" s="116" t="s">
        <v>86</v>
      </c>
      <c r="AH131" s="35" t="s">
        <v>25</v>
      </c>
      <c r="AI131" s="158">
        <f>A2</f>
        <v>21420</v>
      </c>
      <c r="AJ131" s="160"/>
      <c r="AK131" s="158" t="str">
        <f>BR2</f>
        <v>COD</v>
      </c>
      <c r="AL131" s="159"/>
      <c r="AN131" s="35" t="s">
        <v>25</v>
      </c>
      <c r="AO131" s="158">
        <f>A3</f>
        <v>0</v>
      </c>
      <c r="AP131" s="160"/>
      <c r="AQ131" s="158">
        <f>BR3</f>
        <v>0</v>
      </c>
      <c r="AR131" s="159"/>
      <c r="AT131" s="35" t="s">
        <v>25</v>
      </c>
      <c r="AU131" s="158">
        <f>A4</f>
        <v>0</v>
      </c>
      <c r="AV131" s="160"/>
      <c r="AW131" s="158">
        <f>BR4</f>
        <v>0</v>
      </c>
      <c r="AX131" s="159"/>
      <c r="AZ131" s="35" t="s">
        <v>25</v>
      </c>
      <c r="BA131" s="158">
        <f>A5</f>
        <v>0</v>
      </c>
      <c r="BB131" s="160"/>
      <c r="BC131" s="158">
        <f>BR5</f>
        <v>0</v>
      </c>
      <c r="BD131" s="159"/>
      <c r="BF131" s="35" t="s">
        <v>25</v>
      </c>
      <c r="BG131" s="158">
        <f>A6</f>
        <v>0</v>
      </c>
      <c r="BH131" s="160"/>
      <c r="BI131" s="158">
        <f>BR6</f>
        <v>0</v>
      </c>
      <c r="BJ131" s="159"/>
    </row>
    <row r="132" spans="1:62" ht="15.75" thickBot="1" x14ac:dyDescent="0.3">
      <c r="A132" s="124"/>
      <c r="B132" s="9" t="s">
        <v>32</v>
      </c>
      <c r="C132" s="12" t="s">
        <v>17</v>
      </c>
      <c r="D132" s="12" t="s">
        <v>19</v>
      </c>
      <c r="E132" s="12" t="s">
        <v>33</v>
      </c>
      <c r="F132" s="14" t="s">
        <v>80</v>
      </c>
      <c r="G132" s="9" t="s">
        <v>32</v>
      </c>
      <c r="H132" s="12" t="s">
        <v>17</v>
      </c>
      <c r="I132" s="12" t="s">
        <v>19</v>
      </c>
      <c r="J132" s="12" t="s">
        <v>33</v>
      </c>
      <c r="K132" s="14" t="s">
        <v>80</v>
      </c>
      <c r="L132" s="9" t="s">
        <v>32</v>
      </c>
      <c r="M132" s="12" t="s">
        <v>17</v>
      </c>
      <c r="N132" s="12" t="s">
        <v>19</v>
      </c>
      <c r="O132" s="12" t="s">
        <v>33</v>
      </c>
      <c r="P132" s="14" t="s">
        <v>80</v>
      </c>
      <c r="Q132" s="9" t="s">
        <v>32</v>
      </c>
      <c r="R132" s="12" t="s">
        <v>17</v>
      </c>
      <c r="S132" s="12" t="s">
        <v>19</v>
      </c>
      <c r="T132" s="12" t="s">
        <v>33</v>
      </c>
      <c r="U132" s="14" t="s">
        <v>80</v>
      </c>
      <c r="V132" s="9" t="s">
        <v>32</v>
      </c>
      <c r="W132" s="12" t="s">
        <v>17</v>
      </c>
      <c r="X132" s="12" t="s">
        <v>19</v>
      </c>
      <c r="Y132" s="12" t="s">
        <v>33</v>
      </c>
      <c r="Z132" s="14" t="s">
        <v>80</v>
      </c>
      <c r="AA132" s="9" t="s">
        <v>32</v>
      </c>
      <c r="AB132" s="12" t="s">
        <v>17</v>
      </c>
      <c r="AC132" s="12" t="s">
        <v>19</v>
      </c>
      <c r="AD132" s="12" t="s">
        <v>33</v>
      </c>
      <c r="AE132" s="14" t="s">
        <v>80</v>
      </c>
      <c r="AF132" s="117"/>
      <c r="AG132" s="117"/>
      <c r="AH132" s="58" t="s">
        <v>130</v>
      </c>
      <c r="AI132" s="58" t="s">
        <v>131</v>
      </c>
      <c r="AJ132" s="58" t="s">
        <v>132</v>
      </c>
      <c r="AK132" s="58" t="s">
        <v>166</v>
      </c>
      <c r="AL132" s="58" t="s">
        <v>33</v>
      </c>
      <c r="AN132" s="58" t="s">
        <v>130</v>
      </c>
      <c r="AO132" s="58" t="s">
        <v>131</v>
      </c>
      <c r="AP132" s="58" t="s">
        <v>132</v>
      </c>
      <c r="AQ132" s="58" t="s">
        <v>166</v>
      </c>
      <c r="AR132" s="58" t="s">
        <v>33</v>
      </c>
      <c r="AT132" s="58" t="s">
        <v>130</v>
      </c>
      <c r="AU132" s="58" t="s">
        <v>131</v>
      </c>
      <c r="AV132" s="58" t="s">
        <v>132</v>
      </c>
      <c r="AW132" s="58" t="s">
        <v>166</v>
      </c>
      <c r="AX132" s="58" t="s">
        <v>33</v>
      </c>
      <c r="AZ132" s="58" t="s">
        <v>130</v>
      </c>
      <c r="BA132" s="58" t="s">
        <v>131</v>
      </c>
      <c r="BB132" s="58" t="s">
        <v>132</v>
      </c>
      <c r="BC132" s="58" t="s">
        <v>166</v>
      </c>
      <c r="BD132" s="58" t="s">
        <v>33</v>
      </c>
      <c r="BF132" s="58" t="s">
        <v>130</v>
      </c>
      <c r="BG132" s="58" t="s">
        <v>131</v>
      </c>
      <c r="BH132" s="58" t="s">
        <v>132</v>
      </c>
      <c r="BI132" s="58" t="s">
        <v>166</v>
      </c>
      <c r="BJ132" s="58" t="s">
        <v>33</v>
      </c>
    </row>
    <row r="133" spans="1:62" ht="15.75" thickBot="1" x14ac:dyDescent="0.3">
      <c r="A133" s="16">
        <v>300</v>
      </c>
      <c r="B133" s="10">
        <f t="shared" ref="B133:F141" si="34">SUMIFS($J$14:$J$113,$I$14:$I$113,$A133,$K$14:$K$113,B$118,$L$14:$L$113,$B$117,$H$14:$H$113,"NG")</f>
        <v>0</v>
      </c>
      <c r="C133" s="11">
        <f t="shared" si="34"/>
        <v>0</v>
      </c>
      <c r="D133" s="11">
        <f t="shared" si="34"/>
        <v>0</v>
      </c>
      <c r="E133" s="11">
        <f t="shared" si="34"/>
        <v>0</v>
      </c>
      <c r="F133" s="17">
        <f t="shared" si="34"/>
        <v>0</v>
      </c>
      <c r="G133" s="10">
        <f t="shared" ref="G133:K141" si="35">SUMIFS($J$14:$J$113,$I$14:$I$113,$A133,$K$14:$K$113,G$118,$L$14:$L$113,$G$117,$H$14:$H$113,"NG")</f>
        <v>0</v>
      </c>
      <c r="H133" s="11">
        <f t="shared" si="35"/>
        <v>0</v>
      </c>
      <c r="I133" s="11">
        <f t="shared" si="35"/>
        <v>0</v>
      </c>
      <c r="J133" s="11">
        <f t="shared" si="35"/>
        <v>0</v>
      </c>
      <c r="K133" s="17">
        <f t="shared" si="35"/>
        <v>0</v>
      </c>
      <c r="L133" s="10">
        <f t="shared" ref="L133:P141" si="36">SUMIFS($J$14:$J$113,$I$14:$I$113,$A133,$K$14:$K$113,L$118,$L$14:$L$113,$L$117,$H$14:$H$113,"NG")</f>
        <v>0</v>
      </c>
      <c r="M133" s="11">
        <f t="shared" si="36"/>
        <v>0</v>
      </c>
      <c r="N133" s="11">
        <f t="shared" si="36"/>
        <v>0</v>
      </c>
      <c r="O133" s="11">
        <f t="shared" si="36"/>
        <v>0</v>
      </c>
      <c r="P133" s="17">
        <f t="shared" si="36"/>
        <v>0</v>
      </c>
      <c r="Q133" s="10">
        <f t="shared" ref="Q133:U141" si="37">SUMIFS($J$14:$J$113,$I$14:$I$113,$A133,$K$14:$K$113,Q$118,$L$14:$L$113,$Q$117,$H$14:$H$113,"NG")</f>
        <v>0</v>
      </c>
      <c r="R133" s="11">
        <f t="shared" si="37"/>
        <v>0</v>
      </c>
      <c r="S133" s="11">
        <f t="shared" si="37"/>
        <v>0</v>
      </c>
      <c r="T133" s="11">
        <f t="shared" si="37"/>
        <v>0</v>
      </c>
      <c r="U133" s="17">
        <f t="shared" si="37"/>
        <v>0</v>
      </c>
      <c r="V133" s="10">
        <f t="shared" ref="V133:AE141" si="38">SUMIFS($J$14:$J$113,$I$14:$I$113,$A133,$K$14:$K$113,V$118,$L$14:$L$113,$L$117,$H$14:$H$113,"NG")</f>
        <v>0</v>
      </c>
      <c r="W133" s="11">
        <f t="shared" si="38"/>
        <v>0</v>
      </c>
      <c r="X133" s="11">
        <f t="shared" si="38"/>
        <v>0</v>
      </c>
      <c r="Y133" s="11">
        <f t="shared" si="38"/>
        <v>0</v>
      </c>
      <c r="Z133" s="17">
        <f t="shared" si="38"/>
        <v>0</v>
      </c>
      <c r="AA133" s="10">
        <f t="shared" si="38"/>
        <v>0</v>
      </c>
      <c r="AB133" s="11">
        <f t="shared" si="38"/>
        <v>0</v>
      </c>
      <c r="AC133" s="11">
        <f t="shared" si="38"/>
        <v>0</v>
      </c>
      <c r="AD133" s="11">
        <f t="shared" si="38"/>
        <v>0</v>
      </c>
      <c r="AE133" s="17">
        <f t="shared" si="38"/>
        <v>0</v>
      </c>
      <c r="AF133" s="16">
        <f>SUM(B133:AE133)*A133</f>
        <v>0</v>
      </c>
      <c r="AG133" s="16">
        <f>SUM(B133:AE133)</f>
        <v>0</v>
      </c>
      <c r="AH133" s="34" t="str">
        <f>AZ14</f>
        <v/>
      </c>
      <c r="AI133" s="34" t="str">
        <f>BA14</f>
        <v/>
      </c>
      <c r="AJ133" s="34" t="str">
        <f>BB14</f>
        <v/>
      </c>
      <c r="AK133" s="35" t="str">
        <f>BC14</f>
        <v/>
      </c>
      <c r="AL133" s="35" t="str">
        <f>BD14</f>
        <v/>
      </c>
      <c r="AN133" s="34" t="str">
        <f>AZ15</f>
        <v/>
      </c>
      <c r="AO133" s="34" t="str">
        <f>BA15</f>
        <v/>
      </c>
      <c r="AP133" s="34" t="str">
        <f>BB15</f>
        <v/>
      </c>
      <c r="AQ133" s="35" t="str">
        <f>BC15</f>
        <v/>
      </c>
      <c r="AR133" s="35" t="str">
        <f>BD15</f>
        <v/>
      </c>
      <c r="AT133" s="34" t="str">
        <f>AZ16</f>
        <v/>
      </c>
      <c r="AU133" s="34" t="str">
        <f>BA16</f>
        <v/>
      </c>
      <c r="AV133" s="34" t="str">
        <f>BB16</f>
        <v/>
      </c>
      <c r="AW133" s="35" t="str">
        <f>BC16</f>
        <v/>
      </c>
      <c r="AX133" s="35" t="str">
        <f>BD16</f>
        <v/>
      </c>
      <c r="AZ133" s="34" t="str">
        <f>AZ17</f>
        <v/>
      </c>
      <c r="BA133" s="34" t="str">
        <f>BA17</f>
        <v/>
      </c>
      <c r="BB133" s="34" t="str">
        <f>BB17</f>
        <v/>
      </c>
      <c r="BC133" s="35" t="str">
        <f>BC17</f>
        <v/>
      </c>
      <c r="BD133" s="35" t="str">
        <f>BD17</f>
        <v/>
      </c>
      <c r="BF133" s="34" t="str">
        <f>AZ18</f>
        <v/>
      </c>
      <c r="BG133" s="34" t="str">
        <f>BA18</f>
        <v/>
      </c>
      <c r="BH133" s="34" t="str">
        <f>BB18</f>
        <v/>
      </c>
      <c r="BI133" s="35" t="str">
        <f>BC18</f>
        <v/>
      </c>
      <c r="BJ133" s="35" t="str">
        <f>BD18</f>
        <v/>
      </c>
    </row>
    <row r="134" spans="1:62" ht="15.75" thickBot="1" x14ac:dyDescent="0.3">
      <c r="A134" s="16">
        <v>500</v>
      </c>
      <c r="B134" s="10">
        <f t="shared" si="34"/>
        <v>0</v>
      </c>
      <c r="C134" s="11">
        <f t="shared" si="34"/>
        <v>0</v>
      </c>
      <c r="D134" s="11">
        <f t="shared" si="34"/>
        <v>0</v>
      </c>
      <c r="E134" s="11">
        <f t="shared" si="34"/>
        <v>0</v>
      </c>
      <c r="F134" s="17">
        <f t="shared" si="34"/>
        <v>0</v>
      </c>
      <c r="G134" s="10">
        <f t="shared" si="35"/>
        <v>0</v>
      </c>
      <c r="H134" s="11">
        <f t="shared" si="35"/>
        <v>0</v>
      </c>
      <c r="I134" s="11">
        <f t="shared" si="35"/>
        <v>0</v>
      </c>
      <c r="J134" s="11">
        <f t="shared" si="35"/>
        <v>0</v>
      </c>
      <c r="K134" s="17">
        <f t="shared" si="35"/>
        <v>0</v>
      </c>
      <c r="L134" s="10">
        <f t="shared" si="36"/>
        <v>0</v>
      </c>
      <c r="M134" s="11">
        <f t="shared" si="36"/>
        <v>0</v>
      </c>
      <c r="N134" s="11">
        <f t="shared" si="36"/>
        <v>0</v>
      </c>
      <c r="O134" s="11">
        <f t="shared" si="36"/>
        <v>0</v>
      </c>
      <c r="P134" s="17">
        <f t="shared" si="36"/>
        <v>0</v>
      </c>
      <c r="Q134" s="10">
        <f t="shared" si="37"/>
        <v>0</v>
      </c>
      <c r="R134" s="11">
        <f t="shared" si="37"/>
        <v>0</v>
      </c>
      <c r="S134" s="11">
        <f t="shared" si="37"/>
        <v>0</v>
      </c>
      <c r="T134" s="11">
        <f t="shared" si="37"/>
        <v>0</v>
      </c>
      <c r="U134" s="17">
        <f t="shared" si="37"/>
        <v>0</v>
      </c>
      <c r="V134" s="10">
        <f t="shared" si="38"/>
        <v>0</v>
      </c>
      <c r="W134" s="11">
        <f t="shared" si="38"/>
        <v>0</v>
      </c>
      <c r="X134" s="11">
        <f t="shared" si="38"/>
        <v>0</v>
      </c>
      <c r="Y134" s="11">
        <f t="shared" si="38"/>
        <v>0</v>
      </c>
      <c r="Z134" s="17">
        <f t="shared" si="38"/>
        <v>0</v>
      </c>
      <c r="AA134" s="10">
        <f t="shared" si="38"/>
        <v>0</v>
      </c>
      <c r="AB134" s="11">
        <f t="shared" si="38"/>
        <v>0</v>
      </c>
      <c r="AC134" s="11">
        <f t="shared" si="38"/>
        <v>0</v>
      </c>
      <c r="AD134" s="11">
        <f t="shared" si="38"/>
        <v>0</v>
      </c>
      <c r="AE134" s="17">
        <f t="shared" si="38"/>
        <v>0</v>
      </c>
      <c r="AF134" s="16">
        <f t="shared" ref="AF134:AF141" si="39">SUM(B134:AE134)*A134</f>
        <v>0</v>
      </c>
      <c r="AG134" s="16">
        <f t="shared" ref="AG134:AG142" si="40">SUM(B134:AE134)</f>
        <v>0</v>
      </c>
      <c r="AH134" s="58" t="s">
        <v>22</v>
      </c>
      <c r="AI134" s="58" t="s">
        <v>20</v>
      </c>
      <c r="AJ134" s="58" t="s">
        <v>34</v>
      </c>
      <c r="AK134" s="58" t="s">
        <v>127</v>
      </c>
      <c r="AL134" s="58" t="s">
        <v>129</v>
      </c>
      <c r="AN134" s="58" t="s">
        <v>22</v>
      </c>
      <c r="AO134" s="58" t="s">
        <v>20</v>
      </c>
      <c r="AP134" s="58" t="s">
        <v>34</v>
      </c>
      <c r="AQ134" s="58" t="s">
        <v>127</v>
      </c>
      <c r="AR134" s="58" t="s">
        <v>129</v>
      </c>
      <c r="AT134" s="58" t="s">
        <v>22</v>
      </c>
      <c r="AU134" s="58" t="s">
        <v>20</v>
      </c>
      <c r="AV134" s="58" t="s">
        <v>34</v>
      </c>
      <c r="AW134" s="58" t="s">
        <v>127</v>
      </c>
      <c r="AX134" s="58" t="s">
        <v>129</v>
      </c>
      <c r="AZ134" s="58" t="s">
        <v>22</v>
      </c>
      <c r="BA134" s="58" t="s">
        <v>20</v>
      </c>
      <c r="BB134" s="58" t="s">
        <v>34</v>
      </c>
      <c r="BC134" s="58" t="s">
        <v>127</v>
      </c>
      <c r="BD134" s="58" t="s">
        <v>129</v>
      </c>
      <c r="BF134" s="58" t="s">
        <v>22</v>
      </c>
      <c r="BG134" s="58" t="s">
        <v>20</v>
      </c>
      <c r="BH134" s="58" t="s">
        <v>34</v>
      </c>
      <c r="BI134" s="58" t="s">
        <v>127</v>
      </c>
      <c r="BJ134" s="58" t="s">
        <v>129</v>
      </c>
    </row>
    <row r="135" spans="1:62" ht="15.75" thickBot="1" x14ac:dyDescent="0.3">
      <c r="A135" s="15">
        <v>750</v>
      </c>
      <c r="B135" s="8">
        <f t="shared" si="34"/>
        <v>0</v>
      </c>
      <c r="C135" s="6">
        <f t="shared" si="34"/>
        <v>0</v>
      </c>
      <c r="D135" s="6">
        <f t="shared" si="34"/>
        <v>0</v>
      </c>
      <c r="E135" s="6">
        <f t="shared" si="34"/>
        <v>0</v>
      </c>
      <c r="F135" s="13">
        <f t="shared" si="34"/>
        <v>0</v>
      </c>
      <c r="G135" s="8">
        <f t="shared" si="35"/>
        <v>0</v>
      </c>
      <c r="H135" s="6">
        <f t="shared" si="35"/>
        <v>0</v>
      </c>
      <c r="I135" s="6">
        <f t="shared" si="35"/>
        <v>0</v>
      </c>
      <c r="J135" s="6">
        <f t="shared" si="35"/>
        <v>0</v>
      </c>
      <c r="K135" s="13">
        <f t="shared" si="35"/>
        <v>0</v>
      </c>
      <c r="L135" s="8">
        <f t="shared" si="36"/>
        <v>0</v>
      </c>
      <c r="M135" s="6">
        <f t="shared" si="36"/>
        <v>0</v>
      </c>
      <c r="N135" s="6">
        <f t="shared" si="36"/>
        <v>0</v>
      </c>
      <c r="O135" s="6">
        <f t="shared" si="36"/>
        <v>0</v>
      </c>
      <c r="P135" s="13">
        <f t="shared" si="36"/>
        <v>0</v>
      </c>
      <c r="Q135" s="8">
        <f t="shared" si="37"/>
        <v>0</v>
      </c>
      <c r="R135" s="6">
        <f t="shared" si="37"/>
        <v>0</v>
      </c>
      <c r="S135" s="6">
        <f t="shared" si="37"/>
        <v>0</v>
      </c>
      <c r="T135" s="6">
        <f t="shared" si="37"/>
        <v>0</v>
      </c>
      <c r="U135" s="13">
        <f t="shared" si="37"/>
        <v>0</v>
      </c>
      <c r="V135" s="8">
        <f t="shared" si="38"/>
        <v>0</v>
      </c>
      <c r="W135" s="6">
        <f t="shared" si="38"/>
        <v>0</v>
      </c>
      <c r="X135" s="6">
        <f t="shared" si="38"/>
        <v>0</v>
      </c>
      <c r="Y135" s="6">
        <f t="shared" si="38"/>
        <v>0</v>
      </c>
      <c r="Z135" s="13">
        <f t="shared" si="38"/>
        <v>0</v>
      </c>
      <c r="AA135" s="8">
        <f t="shared" si="38"/>
        <v>0</v>
      </c>
      <c r="AB135" s="6">
        <f t="shared" si="38"/>
        <v>0</v>
      </c>
      <c r="AC135" s="6">
        <f t="shared" si="38"/>
        <v>0</v>
      </c>
      <c r="AD135" s="6">
        <f t="shared" si="38"/>
        <v>0</v>
      </c>
      <c r="AE135" s="13">
        <f t="shared" si="38"/>
        <v>0</v>
      </c>
      <c r="AF135" s="16">
        <f t="shared" si="39"/>
        <v>0</v>
      </c>
      <c r="AG135" s="16">
        <f t="shared" si="40"/>
        <v>0</v>
      </c>
      <c r="AH135" s="34">
        <f>AU14</f>
        <v>3.5</v>
      </c>
      <c r="AI135" s="34" t="str">
        <f>AV14</f>
        <v/>
      </c>
      <c r="AJ135" s="34" t="str">
        <f>AW14</f>
        <v/>
      </c>
      <c r="AK135" s="35" t="str">
        <f>AX14</f>
        <v/>
      </c>
      <c r="AL135" s="35" t="str">
        <f>AY14</f>
        <v/>
      </c>
      <c r="AN135" s="34" t="str">
        <f>AU15</f>
        <v/>
      </c>
      <c r="AO135" s="34" t="str">
        <f>AV15</f>
        <v/>
      </c>
      <c r="AP135" s="34" t="str">
        <f>AW15</f>
        <v/>
      </c>
      <c r="AQ135" s="35" t="str">
        <f>AX15</f>
        <v/>
      </c>
      <c r="AR135" s="35" t="str">
        <f>AY15</f>
        <v/>
      </c>
      <c r="AT135" s="34" t="str">
        <f>AU16</f>
        <v/>
      </c>
      <c r="AU135" s="34" t="str">
        <f>AV16</f>
        <v/>
      </c>
      <c r="AV135" s="34" t="str">
        <f>AW16</f>
        <v/>
      </c>
      <c r="AW135" s="35" t="str">
        <f>AX16</f>
        <v/>
      </c>
      <c r="AX135" s="35" t="str">
        <f>AY16</f>
        <v/>
      </c>
      <c r="AZ135" s="34" t="str">
        <f>AU17</f>
        <v/>
      </c>
      <c r="BA135" s="34" t="str">
        <f>AV17</f>
        <v/>
      </c>
      <c r="BB135" s="34" t="str">
        <f>AW17</f>
        <v/>
      </c>
      <c r="BC135" s="35" t="str">
        <f>AX17</f>
        <v/>
      </c>
      <c r="BD135" s="35" t="str">
        <f>AY17</f>
        <v/>
      </c>
      <c r="BF135" s="34" t="str">
        <f>AU18</f>
        <v/>
      </c>
      <c r="BG135" s="34" t="str">
        <f>AV18</f>
        <v/>
      </c>
      <c r="BH135" s="34" t="str">
        <f>AW18</f>
        <v/>
      </c>
      <c r="BI135" s="35" t="str">
        <f>AX18</f>
        <v/>
      </c>
      <c r="BJ135" s="35" t="str">
        <f>AY18</f>
        <v/>
      </c>
    </row>
    <row r="136" spans="1:62" x14ac:dyDescent="0.25">
      <c r="A136" s="15">
        <v>1000</v>
      </c>
      <c r="B136" s="8">
        <f t="shared" si="34"/>
        <v>0</v>
      </c>
      <c r="C136" s="6">
        <f t="shared" si="34"/>
        <v>0</v>
      </c>
      <c r="D136" s="6">
        <f t="shared" si="34"/>
        <v>0</v>
      </c>
      <c r="E136" s="6">
        <f t="shared" si="34"/>
        <v>0</v>
      </c>
      <c r="F136" s="13">
        <f t="shared" si="34"/>
        <v>0</v>
      </c>
      <c r="G136" s="8">
        <f t="shared" si="35"/>
        <v>0</v>
      </c>
      <c r="H136" s="6">
        <f t="shared" si="35"/>
        <v>0</v>
      </c>
      <c r="I136" s="6">
        <f t="shared" si="35"/>
        <v>0</v>
      </c>
      <c r="J136" s="6">
        <f t="shared" si="35"/>
        <v>0</v>
      </c>
      <c r="K136" s="13">
        <f t="shared" si="35"/>
        <v>0</v>
      </c>
      <c r="L136" s="8">
        <f t="shared" si="36"/>
        <v>0</v>
      </c>
      <c r="M136" s="6">
        <f t="shared" si="36"/>
        <v>0</v>
      </c>
      <c r="N136" s="6">
        <f t="shared" si="36"/>
        <v>0</v>
      </c>
      <c r="O136" s="6">
        <f t="shared" si="36"/>
        <v>0</v>
      </c>
      <c r="P136" s="13">
        <f t="shared" si="36"/>
        <v>0</v>
      </c>
      <c r="Q136" s="8">
        <f t="shared" si="37"/>
        <v>0</v>
      </c>
      <c r="R136" s="6">
        <f t="shared" si="37"/>
        <v>0</v>
      </c>
      <c r="S136" s="6">
        <f t="shared" si="37"/>
        <v>0</v>
      </c>
      <c r="T136" s="6">
        <f t="shared" si="37"/>
        <v>0</v>
      </c>
      <c r="U136" s="13">
        <f t="shared" si="37"/>
        <v>0</v>
      </c>
      <c r="V136" s="8">
        <f t="shared" si="38"/>
        <v>0</v>
      </c>
      <c r="W136" s="6">
        <f t="shared" si="38"/>
        <v>0</v>
      </c>
      <c r="X136" s="6">
        <f t="shared" si="38"/>
        <v>0</v>
      </c>
      <c r="Y136" s="6">
        <f t="shared" si="38"/>
        <v>0</v>
      </c>
      <c r="Z136" s="13">
        <f t="shared" si="38"/>
        <v>0</v>
      </c>
      <c r="AA136" s="8">
        <f t="shared" si="38"/>
        <v>0</v>
      </c>
      <c r="AB136" s="6">
        <f t="shared" si="38"/>
        <v>0</v>
      </c>
      <c r="AC136" s="6">
        <f t="shared" si="38"/>
        <v>0</v>
      </c>
      <c r="AD136" s="6">
        <f t="shared" si="38"/>
        <v>0</v>
      </c>
      <c r="AE136" s="13">
        <f t="shared" si="38"/>
        <v>0</v>
      </c>
      <c r="AF136" s="16">
        <f t="shared" si="39"/>
        <v>0</v>
      </c>
      <c r="AG136" s="16">
        <f t="shared" si="40"/>
        <v>0</v>
      </c>
    </row>
    <row r="137" spans="1:62" x14ac:dyDescent="0.25">
      <c r="A137" s="15">
        <v>1500</v>
      </c>
      <c r="B137" s="8">
        <f t="shared" si="34"/>
        <v>0</v>
      </c>
      <c r="C137" s="6">
        <f t="shared" si="34"/>
        <v>0</v>
      </c>
      <c r="D137" s="6">
        <f t="shared" si="34"/>
        <v>0</v>
      </c>
      <c r="E137" s="6">
        <f t="shared" si="34"/>
        <v>0</v>
      </c>
      <c r="F137" s="13">
        <f t="shared" si="34"/>
        <v>0</v>
      </c>
      <c r="G137" s="8">
        <f t="shared" si="35"/>
        <v>0</v>
      </c>
      <c r="H137" s="6">
        <f t="shared" si="35"/>
        <v>0</v>
      </c>
      <c r="I137" s="6">
        <f t="shared" si="35"/>
        <v>0</v>
      </c>
      <c r="J137" s="6">
        <f t="shared" si="35"/>
        <v>0</v>
      </c>
      <c r="K137" s="13">
        <f t="shared" si="35"/>
        <v>0</v>
      </c>
      <c r="L137" s="8">
        <f t="shared" si="36"/>
        <v>0</v>
      </c>
      <c r="M137" s="6">
        <f t="shared" si="36"/>
        <v>0</v>
      </c>
      <c r="N137" s="6">
        <f t="shared" si="36"/>
        <v>0</v>
      </c>
      <c r="O137" s="6">
        <f t="shared" si="36"/>
        <v>0</v>
      </c>
      <c r="P137" s="13">
        <f t="shared" si="36"/>
        <v>0</v>
      </c>
      <c r="Q137" s="8">
        <f t="shared" si="37"/>
        <v>0</v>
      </c>
      <c r="R137" s="6">
        <f t="shared" si="37"/>
        <v>0</v>
      </c>
      <c r="S137" s="6">
        <f t="shared" si="37"/>
        <v>0</v>
      </c>
      <c r="T137" s="6">
        <f t="shared" si="37"/>
        <v>0</v>
      </c>
      <c r="U137" s="13">
        <f t="shared" si="37"/>
        <v>0</v>
      </c>
      <c r="V137" s="8">
        <f t="shared" si="38"/>
        <v>0</v>
      </c>
      <c r="W137" s="6">
        <f t="shared" si="38"/>
        <v>0</v>
      </c>
      <c r="X137" s="6">
        <f t="shared" si="38"/>
        <v>0</v>
      </c>
      <c r="Y137" s="6">
        <f t="shared" si="38"/>
        <v>0</v>
      </c>
      <c r="Z137" s="13">
        <f t="shared" si="38"/>
        <v>0</v>
      </c>
      <c r="AA137" s="8">
        <f t="shared" si="38"/>
        <v>0</v>
      </c>
      <c r="AB137" s="6">
        <f t="shared" si="38"/>
        <v>0</v>
      </c>
      <c r="AC137" s="6">
        <f t="shared" si="38"/>
        <v>0</v>
      </c>
      <c r="AD137" s="6">
        <f t="shared" si="38"/>
        <v>0</v>
      </c>
      <c r="AE137" s="13">
        <f t="shared" si="38"/>
        <v>0</v>
      </c>
      <c r="AF137" s="16">
        <f t="shared" si="39"/>
        <v>0</v>
      </c>
      <c r="AG137" s="16">
        <f t="shared" si="40"/>
        <v>0</v>
      </c>
      <c r="AH137" s="118" t="s">
        <v>35</v>
      </c>
      <c r="AI137" s="118"/>
      <c r="AJ137" s="118">
        <f>F7</f>
        <v>0</v>
      </c>
      <c r="AK137" s="118"/>
      <c r="AL137" s="118"/>
      <c r="AN137" s="118" t="s">
        <v>35</v>
      </c>
      <c r="AO137" s="118"/>
      <c r="AP137" s="118">
        <f>F8</f>
        <v>0</v>
      </c>
      <c r="AQ137" s="118"/>
      <c r="AR137" s="118"/>
      <c r="AT137" s="118" t="s">
        <v>35</v>
      </c>
      <c r="AU137" s="118"/>
      <c r="AV137" s="118">
        <f>F9</f>
        <v>0</v>
      </c>
      <c r="AW137" s="118"/>
      <c r="AX137" s="118"/>
      <c r="AZ137" s="118" t="s">
        <v>35</v>
      </c>
      <c r="BA137" s="118"/>
      <c r="BB137" s="118">
        <f>F10</f>
        <v>0</v>
      </c>
      <c r="BC137" s="118"/>
      <c r="BD137" s="118"/>
      <c r="BF137" s="118" t="s">
        <v>35</v>
      </c>
      <c r="BG137" s="118"/>
      <c r="BH137" s="118">
        <f>F11</f>
        <v>0</v>
      </c>
      <c r="BI137" s="118"/>
      <c r="BJ137" s="118"/>
    </row>
    <row r="138" spans="1:62" x14ac:dyDescent="0.25">
      <c r="A138" s="15">
        <v>2000</v>
      </c>
      <c r="B138" s="8">
        <f t="shared" si="34"/>
        <v>0</v>
      </c>
      <c r="C138" s="6">
        <f t="shared" si="34"/>
        <v>0</v>
      </c>
      <c r="D138" s="6">
        <f t="shared" si="34"/>
        <v>0</v>
      </c>
      <c r="E138" s="6">
        <f t="shared" si="34"/>
        <v>0</v>
      </c>
      <c r="F138" s="13">
        <f t="shared" si="34"/>
        <v>0</v>
      </c>
      <c r="G138" s="8">
        <f t="shared" si="35"/>
        <v>0</v>
      </c>
      <c r="H138" s="6">
        <f t="shared" si="35"/>
        <v>0</v>
      </c>
      <c r="I138" s="6">
        <f t="shared" si="35"/>
        <v>0</v>
      </c>
      <c r="J138" s="6">
        <f t="shared" si="35"/>
        <v>0</v>
      </c>
      <c r="K138" s="13">
        <f t="shared" si="35"/>
        <v>0</v>
      </c>
      <c r="L138" s="8">
        <f t="shared" si="36"/>
        <v>0</v>
      </c>
      <c r="M138" s="6">
        <f t="shared" si="36"/>
        <v>0</v>
      </c>
      <c r="N138" s="6">
        <f t="shared" si="36"/>
        <v>0</v>
      </c>
      <c r="O138" s="6">
        <f t="shared" si="36"/>
        <v>0</v>
      </c>
      <c r="P138" s="13">
        <f t="shared" si="36"/>
        <v>0</v>
      </c>
      <c r="Q138" s="8">
        <f t="shared" si="37"/>
        <v>0</v>
      </c>
      <c r="R138" s="6">
        <f t="shared" si="37"/>
        <v>0</v>
      </c>
      <c r="S138" s="6">
        <f t="shared" si="37"/>
        <v>0</v>
      </c>
      <c r="T138" s="6">
        <f t="shared" si="37"/>
        <v>0</v>
      </c>
      <c r="U138" s="13">
        <f t="shared" si="37"/>
        <v>0</v>
      </c>
      <c r="V138" s="8">
        <f t="shared" si="38"/>
        <v>0</v>
      </c>
      <c r="W138" s="6">
        <f t="shared" si="38"/>
        <v>0</v>
      </c>
      <c r="X138" s="6">
        <f t="shared" si="38"/>
        <v>0</v>
      </c>
      <c r="Y138" s="6">
        <f t="shared" si="38"/>
        <v>0</v>
      </c>
      <c r="Z138" s="13">
        <f t="shared" si="38"/>
        <v>0</v>
      </c>
      <c r="AA138" s="8">
        <f t="shared" si="38"/>
        <v>0</v>
      </c>
      <c r="AB138" s="6">
        <f t="shared" si="38"/>
        <v>0</v>
      </c>
      <c r="AC138" s="6">
        <f t="shared" si="38"/>
        <v>0</v>
      </c>
      <c r="AD138" s="6">
        <f t="shared" si="38"/>
        <v>0</v>
      </c>
      <c r="AE138" s="13">
        <f t="shared" si="38"/>
        <v>0</v>
      </c>
      <c r="AF138" s="16">
        <f t="shared" si="39"/>
        <v>0</v>
      </c>
      <c r="AG138" s="16">
        <f t="shared" si="40"/>
        <v>0</v>
      </c>
      <c r="AH138" s="118">
        <f>G7</f>
        <v>0</v>
      </c>
      <c r="AI138" s="118"/>
      <c r="AJ138" s="118"/>
      <c r="AK138" s="118"/>
      <c r="AL138" s="118"/>
      <c r="AN138" s="118">
        <f>G8</f>
        <v>0</v>
      </c>
      <c r="AO138" s="118">
        <f>G8</f>
        <v>0</v>
      </c>
      <c r="AP138" s="118"/>
      <c r="AQ138" s="118"/>
      <c r="AR138" s="118"/>
      <c r="AT138" s="118">
        <f>G9</f>
        <v>0</v>
      </c>
      <c r="AU138" s="118"/>
      <c r="AV138" s="118"/>
      <c r="AW138" s="118"/>
      <c r="AX138" s="118"/>
      <c r="AZ138" s="118">
        <f>G10</f>
        <v>0</v>
      </c>
      <c r="BA138" s="118"/>
      <c r="BB138" s="118"/>
      <c r="BC138" s="118"/>
      <c r="BD138" s="118"/>
      <c r="BF138" s="118">
        <f>G11</f>
        <v>0</v>
      </c>
      <c r="BG138" s="118"/>
      <c r="BH138" s="118"/>
      <c r="BI138" s="118"/>
      <c r="BJ138" s="118"/>
    </row>
    <row r="139" spans="1:62" ht="15.75" thickBot="1" x14ac:dyDescent="0.3">
      <c r="A139" s="15">
        <v>3000</v>
      </c>
      <c r="B139" s="8">
        <f t="shared" si="34"/>
        <v>0</v>
      </c>
      <c r="C139" s="6">
        <f t="shared" si="34"/>
        <v>0</v>
      </c>
      <c r="D139" s="6">
        <f t="shared" si="34"/>
        <v>0</v>
      </c>
      <c r="E139" s="6">
        <f t="shared" si="34"/>
        <v>0</v>
      </c>
      <c r="F139" s="13">
        <f t="shared" si="34"/>
        <v>0</v>
      </c>
      <c r="G139" s="8">
        <f t="shared" si="35"/>
        <v>0</v>
      </c>
      <c r="H139" s="6">
        <f t="shared" si="35"/>
        <v>0</v>
      </c>
      <c r="I139" s="6">
        <f t="shared" si="35"/>
        <v>0</v>
      </c>
      <c r="J139" s="6">
        <f t="shared" si="35"/>
        <v>0</v>
      </c>
      <c r="K139" s="13">
        <f t="shared" si="35"/>
        <v>0</v>
      </c>
      <c r="L139" s="8">
        <f t="shared" si="36"/>
        <v>0</v>
      </c>
      <c r="M139" s="6">
        <f t="shared" si="36"/>
        <v>0</v>
      </c>
      <c r="N139" s="6">
        <f t="shared" si="36"/>
        <v>0</v>
      </c>
      <c r="O139" s="6">
        <f t="shared" si="36"/>
        <v>0</v>
      </c>
      <c r="P139" s="13">
        <f t="shared" si="36"/>
        <v>0</v>
      </c>
      <c r="Q139" s="8">
        <f t="shared" si="37"/>
        <v>0</v>
      </c>
      <c r="R139" s="6">
        <f t="shared" si="37"/>
        <v>0</v>
      </c>
      <c r="S139" s="6">
        <f t="shared" si="37"/>
        <v>0</v>
      </c>
      <c r="T139" s="6">
        <f t="shared" si="37"/>
        <v>0</v>
      </c>
      <c r="U139" s="13">
        <f t="shared" si="37"/>
        <v>0</v>
      </c>
      <c r="V139" s="8">
        <f t="shared" si="38"/>
        <v>0</v>
      </c>
      <c r="W139" s="6">
        <f t="shared" si="38"/>
        <v>0</v>
      </c>
      <c r="X139" s="6">
        <f t="shared" si="38"/>
        <v>0</v>
      </c>
      <c r="Y139" s="6">
        <f t="shared" si="38"/>
        <v>0</v>
      </c>
      <c r="Z139" s="13">
        <f t="shared" si="38"/>
        <v>0</v>
      </c>
      <c r="AA139" s="8">
        <f t="shared" si="38"/>
        <v>0</v>
      </c>
      <c r="AB139" s="6">
        <f t="shared" si="38"/>
        <v>0</v>
      </c>
      <c r="AC139" s="6">
        <f t="shared" si="38"/>
        <v>0</v>
      </c>
      <c r="AD139" s="6">
        <f t="shared" si="38"/>
        <v>0</v>
      </c>
      <c r="AE139" s="13">
        <f t="shared" si="38"/>
        <v>0</v>
      </c>
      <c r="AF139" s="16">
        <f t="shared" si="39"/>
        <v>0</v>
      </c>
      <c r="AG139" s="16">
        <f t="shared" si="40"/>
        <v>0</v>
      </c>
      <c r="AH139" s="118">
        <f>H7</f>
        <v>0</v>
      </c>
      <c r="AI139" s="118"/>
      <c r="AJ139" s="118"/>
      <c r="AK139" s="118"/>
      <c r="AL139" s="118"/>
      <c r="AN139" s="118">
        <f>H8</f>
        <v>0</v>
      </c>
      <c r="AO139" s="118">
        <f>H8</f>
        <v>0</v>
      </c>
      <c r="AP139" s="118"/>
      <c r="AQ139" s="118"/>
      <c r="AR139" s="118"/>
      <c r="AT139" s="118">
        <f>H9</f>
        <v>0</v>
      </c>
      <c r="AU139" s="118"/>
      <c r="AV139" s="118"/>
      <c r="AW139" s="118"/>
      <c r="AX139" s="118"/>
      <c r="AZ139" s="118">
        <f>H10</f>
        <v>0</v>
      </c>
      <c r="BA139" s="118"/>
      <c r="BB139" s="118"/>
      <c r="BC139" s="118"/>
      <c r="BD139" s="118"/>
      <c r="BF139" s="118">
        <f>H11</f>
        <v>0</v>
      </c>
      <c r="BG139" s="118"/>
      <c r="BH139" s="118"/>
      <c r="BI139" s="118"/>
      <c r="BJ139" s="118"/>
    </row>
    <row r="140" spans="1:62" ht="15.75" thickBot="1" x14ac:dyDescent="0.3">
      <c r="A140" s="15">
        <v>5000</v>
      </c>
      <c r="B140" s="8">
        <f t="shared" si="34"/>
        <v>0</v>
      </c>
      <c r="C140" s="6">
        <f t="shared" si="34"/>
        <v>0</v>
      </c>
      <c r="D140" s="6">
        <f t="shared" si="34"/>
        <v>0</v>
      </c>
      <c r="E140" s="6">
        <f t="shared" si="34"/>
        <v>0</v>
      </c>
      <c r="F140" s="13">
        <f t="shared" si="34"/>
        <v>0</v>
      </c>
      <c r="G140" s="8">
        <f t="shared" si="35"/>
        <v>0</v>
      </c>
      <c r="H140" s="6">
        <f t="shared" si="35"/>
        <v>0</v>
      </c>
      <c r="I140" s="6">
        <f t="shared" si="35"/>
        <v>0</v>
      </c>
      <c r="J140" s="6">
        <f t="shared" si="35"/>
        <v>0</v>
      </c>
      <c r="K140" s="13">
        <f t="shared" si="35"/>
        <v>0</v>
      </c>
      <c r="L140" s="8">
        <f t="shared" si="36"/>
        <v>0</v>
      </c>
      <c r="M140" s="6">
        <f t="shared" si="36"/>
        <v>0</v>
      </c>
      <c r="N140" s="6">
        <f t="shared" si="36"/>
        <v>0</v>
      </c>
      <c r="O140" s="6">
        <f t="shared" si="36"/>
        <v>0</v>
      </c>
      <c r="P140" s="13">
        <f t="shared" si="36"/>
        <v>0</v>
      </c>
      <c r="Q140" s="8">
        <f t="shared" si="37"/>
        <v>0</v>
      </c>
      <c r="R140" s="6">
        <f t="shared" si="37"/>
        <v>0</v>
      </c>
      <c r="S140" s="6">
        <f t="shared" si="37"/>
        <v>0</v>
      </c>
      <c r="T140" s="6">
        <f t="shared" si="37"/>
        <v>0</v>
      </c>
      <c r="U140" s="13">
        <f t="shared" si="37"/>
        <v>0</v>
      </c>
      <c r="V140" s="8">
        <f t="shared" si="38"/>
        <v>0</v>
      </c>
      <c r="W140" s="6">
        <f t="shared" si="38"/>
        <v>0</v>
      </c>
      <c r="X140" s="6">
        <f t="shared" si="38"/>
        <v>0</v>
      </c>
      <c r="Y140" s="6">
        <f t="shared" si="38"/>
        <v>0</v>
      </c>
      <c r="Z140" s="13">
        <f t="shared" si="38"/>
        <v>0</v>
      </c>
      <c r="AA140" s="8">
        <f t="shared" si="38"/>
        <v>0</v>
      </c>
      <c r="AB140" s="6">
        <f t="shared" si="38"/>
        <v>0</v>
      </c>
      <c r="AC140" s="6">
        <f t="shared" si="38"/>
        <v>0</v>
      </c>
      <c r="AD140" s="6">
        <f t="shared" si="38"/>
        <v>0</v>
      </c>
      <c r="AE140" s="13">
        <f t="shared" si="38"/>
        <v>0</v>
      </c>
      <c r="AF140" s="16">
        <f t="shared" si="39"/>
        <v>0</v>
      </c>
      <c r="AG140" s="16">
        <f t="shared" si="40"/>
        <v>0</v>
      </c>
      <c r="AH140" s="30" t="s">
        <v>136</v>
      </c>
      <c r="AI140" s="30" t="s">
        <v>27</v>
      </c>
      <c r="AJ140" s="30" t="s">
        <v>28</v>
      </c>
      <c r="AK140" s="30" t="s">
        <v>29</v>
      </c>
      <c r="AL140" s="30" t="s">
        <v>30</v>
      </c>
      <c r="AN140" s="30" t="s">
        <v>136</v>
      </c>
      <c r="AO140" s="30" t="s">
        <v>27</v>
      </c>
      <c r="AP140" s="30" t="s">
        <v>28</v>
      </c>
      <c r="AQ140" s="30" t="s">
        <v>29</v>
      </c>
      <c r="AR140" s="30" t="s">
        <v>30</v>
      </c>
      <c r="AT140" s="30" t="s">
        <v>136</v>
      </c>
      <c r="AU140" s="30" t="s">
        <v>27</v>
      </c>
      <c r="AV140" s="30" t="s">
        <v>28</v>
      </c>
      <c r="AW140" s="30" t="s">
        <v>29</v>
      </c>
      <c r="AX140" s="30" t="s">
        <v>30</v>
      </c>
      <c r="AZ140" s="30" t="s">
        <v>136</v>
      </c>
      <c r="BA140" s="30" t="s">
        <v>27</v>
      </c>
      <c r="BB140" s="30" t="s">
        <v>28</v>
      </c>
      <c r="BC140" s="30" t="s">
        <v>29</v>
      </c>
      <c r="BD140" s="30" t="s">
        <v>30</v>
      </c>
      <c r="BF140" s="30" t="s">
        <v>136</v>
      </c>
      <c r="BG140" s="30" t="s">
        <v>27</v>
      </c>
      <c r="BH140" s="30" t="s">
        <v>28</v>
      </c>
      <c r="BI140" s="30" t="s">
        <v>29</v>
      </c>
      <c r="BJ140" s="30" t="s">
        <v>30</v>
      </c>
    </row>
    <row r="141" spans="1:62" ht="15.75" thickBot="1" x14ac:dyDescent="0.3">
      <c r="A141" s="59">
        <v>10000</v>
      </c>
      <c r="B141" s="31">
        <f t="shared" si="34"/>
        <v>0</v>
      </c>
      <c r="C141" s="32">
        <f t="shared" si="34"/>
        <v>0</v>
      </c>
      <c r="D141" s="32">
        <f t="shared" si="34"/>
        <v>0</v>
      </c>
      <c r="E141" s="32">
        <f t="shared" si="34"/>
        <v>0</v>
      </c>
      <c r="F141" s="33">
        <f t="shared" si="34"/>
        <v>0</v>
      </c>
      <c r="G141" s="31">
        <f t="shared" si="35"/>
        <v>0</v>
      </c>
      <c r="H141" s="32">
        <f t="shared" si="35"/>
        <v>0</v>
      </c>
      <c r="I141" s="32">
        <f t="shared" si="35"/>
        <v>0</v>
      </c>
      <c r="J141" s="32">
        <f t="shared" si="35"/>
        <v>0</v>
      </c>
      <c r="K141" s="33">
        <f t="shared" si="35"/>
        <v>0</v>
      </c>
      <c r="L141" s="31">
        <f t="shared" si="36"/>
        <v>0</v>
      </c>
      <c r="M141" s="32">
        <f t="shared" si="36"/>
        <v>0</v>
      </c>
      <c r="N141" s="32">
        <f t="shared" si="36"/>
        <v>0</v>
      </c>
      <c r="O141" s="32">
        <f t="shared" si="36"/>
        <v>0</v>
      </c>
      <c r="P141" s="33">
        <f t="shared" si="36"/>
        <v>0</v>
      </c>
      <c r="Q141" s="31">
        <f t="shared" si="37"/>
        <v>0</v>
      </c>
      <c r="R141" s="32">
        <f t="shared" si="37"/>
        <v>0</v>
      </c>
      <c r="S141" s="32">
        <f t="shared" si="37"/>
        <v>0</v>
      </c>
      <c r="T141" s="32">
        <f t="shared" si="37"/>
        <v>0</v>
      </c>
      <c r="U141" s="33">
        <f t="shared" si="37"/>
        <v>0</v>
      </c>
      <c r="V141" s="31">
        <f t="shared" si="38"/>
        <v>0</v>
      </c>
      <c r="W141" s="32">
        <f t="shared" si="38"/>
        <v>0</v>
      </c>
      <c r="X141" s="32">
        <f t="shared" si="38"/>
        <v>0</v>
      </c>
      <c r="Y141" s="32">
        <f t="shared" si="38"/>
        <v>0</v>
      </c>
      <c r="Z141" s="33">
        <f t="shared" si="38"/>
        <v>0</v>
      </c>
      <c r="AA141" s="31">
        <f t="shared" si="38"/>
        <v>0</v>
      </c>
      <c r="AB141" s="32">
        <f t="shared" si="38"/>
        <v>0</v>
      </c>
      <c r="AC141" s="32">
        <f t="shared" si="38"/>
        <v>0</v>
      </c>
      <c r="AD141" s="32">
        <f t="shared" si="38"/>
        <v>0</v>
      </c>
      <c r="AE141" s="33">
        <f t="shared" si="38"/>
        <v>0</v>
      </c>
      <c r="AF141" s="16">
        <f t="shared" si="39"/>
        <v>0</v>
      </c>
      <c r="AG141" s="43">
        <f t="shared" si="40"/>
        <v>0</v>
      </c>
      <c r="AH141" s="16">
        <f>J7</f>
        <v>0</v>
      </c>
      <c r="AI141" s="10">
        <f>K7</f>
        <v>0</v>
      </c>
      <c r="AJ141" s="11">
        <f>L7</f>
        <v>0</v>
      </c>
      <c r="AK141" s="11">
        <f>M7</f>
        <v>0</v>
      </c>
      <c r="AL141" s="17">
        <f>N7</f>
        <v>0</v>
      </c>
      <c r="AN141" s="16">
        <f>J8</f>
        <v>0</v>
      </c>
      <c r="AO141" s="10">
        <f>K8</f>
        <v>0</v>
      </c>
      <c r="AP141" s="11">
        <f>L8</f>
        <v>0</v>
      </c>
      <c r="AQ141" s="11">
        <f>M8</f>
        <v>0</v>
      </c>
      <c r="AR141" s="17">
        <f>N8</f>
        <v>0</v>
      </c>
      <c r="AT141" s="16">
        <f>J9</f>
        <v>0</v>
      </c>
      <c r="AU141" s="10">
        <f>K9</f>
        <v>0</v>
      </c>
      <c r="AV141" s="11">
        <f>L9</f>
        <v>0</v>
      </c>
      <c r="AW141" s="11">
        <f>M9</f>
        <v>0</v>
      </c>
      <c r="AX141" s="17">
        <f>N9</f>
        <v>0</v>
      </c>
      <c r="AZ141" s="16">
        <f>J10</f>
        <v>0</v>
      </c>
      <c r="BA141" s="10">
        <f>K10</f>
        <v>0</v>
      </c>
      <c r="BB141" s="11">
        <f>L10</f>
        <v>0</v>
      </c>
      <c r="BC141" s="11">
        <f>M10</f>
        <v>0</v>
      </c>
      <c r="BD141" s="17">
        <f>N10</f>
        <v>0</v>
      </c>
      <c r="BF141" s="16">
        <f>J11</f>
        <v>0</v>
      </c>
      <c r="BG141" s="10">
        <f>K11</f>
        <v>0</v>
      </c>
      <c r="BH141" s="11">
        <f>L11</f>
        <v>0</v>
      </c>
      <c r="BI141" s="11">
        <f>M11</f>
        <v>0</v>
      </c>
      <c r="BJ141" s="17">
        <f>N11</f>
        <v>0</v>
      </c>
    </row>
    <row r="142" spans="1:62" ht="15.75" thickBot="1" x14ac:dyDescent="0.3">
      <c r="A142" s="35"/>
      <c r="B142" s="60">
        <f t="shared" ref="B142:AG142" si="41">SUM(B133:B141)</f>
        <v>0</v>
      </c>
      <c r="C142" s="61">
        <f t="shared" si="41"/>
        <v>0</v>
      </c>
      <c r="D142" s="61">
        <f t="shared" si="41"/>
        <v>0</v>
      </c>
      <c r="E142" s="61">
        <f t="shared" si="41"/>
        <v>0</v>
      </c>
      <c r="F142" s="62">
        <f t="shared" si="41"/>
        <v>0</v>
      </c>
      <c r="G142" s="60">
        <f t="shared" si="41"/>
        <v>0</v>
      </c>
      <c r="H142" s="61">
        <f t="shared" si="41"/>
        <v>0</v>
      </c>
      <c r="I142" s="61">
        <f t="shared" si="41"/>
        <v>0</v>
      </c>
      <c r="J142" s="61">
        <f t="shared" si="41"/>
        <v>0</v>
      </c>
      <c r="K142" s="62">
        <f t="shared" si="41"/>
        <v>0</v>
      </c>
      <c r="L142" s="60">
        <f t="shared" si="41"/>
        <v>0</v>
      </c>
      <c r="M142" s="61">
        <f t="shared" si="41"/>
        <v>0</v>
      </c>
      <c r="N142" s="61">
        <f t="shared" si="41"/>
        <v>0</v>
      </c>
      <c r="O142" s="61">
        <f t="shared" si="41"/>
        <v>0</v>
      </c>
      <c r="P142" s="62">
        <f t="shared" si="41"/>
        <v>0</v>
      </c>
      <c r="Q142" s="60">
        <f t="shared" si="41"/>
        <v>0</v>
      </c>
      <c r="R142" s="61">
        <f t="shared" si="41"/>
        <v>0</v>
      </c>
      <c r="S142" s="61">
        <f t="shared" si="41"/>
        <v>0</v>
      </c>
      <c r="T142" s="61">
        <f t="shared" si="41"/>
        <v>0</v>
      </c>
      <c r="U142" s="62">
        <f t="shared" si="41"/>
        <v>0</v>
      </c>
      <c r="V142" s="60">
        <f t="shared" si="41"/>
        <v>0</v>
      </c>
      <c r="W142" s="61">
        <f t="shared" si="41"/>
        <v>0</v>
      </c>
      <c r="X142" s="61">
        <f t="shared" si="41"/>
        <v>0</v>
      </c>
      <c r="Y142" s="61">
        <f t="shared" si="41"/>
        <v>0</v>
      </c>
      <c r="Z142" s="62">
        <f t="shared" si="41"/>
        <v>0</v>
      </c>
      <c r="AA142" s="60">
        <f t="shared" si="41"/>
        <v>0</v>
      </c>
      <c r="AB142" s="61">
        <f t="shared" si="41"/>
        <v>0</v>
      </c>
      <c r="AC142" s="61">
        <f t="shared" si="41"/>
        <v>0</v>
      </c>
      <c r="AD142" s="61">
        <f t="shared" si="41"/>
        <v>0</v>
      </c>
      <c r="AE142" s="62">
        <f t="shared" si="41"/>
        <v>0</v>
      </c>
      <c r="AF142" s="35">
        <f t="shared" si="41"/>
        <v>0</v>
      </c>
      <c r="AG142" s="35">
        <f t="shared" si="40"/>
        <v>0</v>
      </c>
      <c r="AH142" s="15">
        <f>P7</f>
        <v>0</v>
      </c>
      <c r="AI142" s="8">
        <f>Q7</f>
        <v>0</v>
      </c>
      <c r="AJ142" s="6">
        <f>R7</f>
        <v>0</v>
      </c>
      <c r="AK142" s="6">
        <f>S7</f>
        <v>0</v>
      </c>
      <c r="AL142" s="13">
        <f>T7</f>
        <v>0</v>
      </c>
      <c r="AN142" s="15">
        <f>P8</f>
        <v>0</v>
      </c>
      <c r="AO142" s="8">
        <f>Q8</f>
        <v>0</v>
      </c>
      <c r="AP142" s="6">
        <f>R8</f>
        <v>0</v>
      </c>
      <c r="AQ142" s="6">
        <f>S8</f>
        <v>0</v>
      </c>
      <c r="AR142" s="13">
        <f>T8</f>
        <v>0</v>
      </c>
      <c r="AT142" s="15">
        <f>P9</f>
        <v>0</v>
      </c>
      <c r="AU142" s="8">
        <f>Q9</f>
        <v>0</v>
      </c>
      <c r="AV142" s="6">
        <f>R9</f>
        <v>0</v>
      </c>
      <c r="AW142" s="6">
        <f>S9</f>
        <v>0</v>
      </c>
      <c r="AX142" s="13">
        <f>T9</f>
        <v>0</v>
      </c>
      <c r="AZ142" s="15">
        <f>P10</f>
        <v>0</v>
      </c>
      <c r="BA142" s="8">
        <f>Q10</f>
        <v>0</v>
      </c>
      <c r="BB142" s="6">
        <f>R10</f>
        <v>0</v>
      </c>
      <c r="BC142" s="6">
        <f>S10</f>
        <v>0</v>
      </c>
      <c r="BD142" s="13">
        <f>T10</f>
        <v>0</v>
      </c>
      <c r="BF142" s="15">
        <f>P11</f>
        <v>0</v>
      </c>
      <c r="BG142" s="8">
        <f>Q11</f>
        <v>0</v>
      </c>
      <c r="BH142" s="6">
        <f>R11</f>
        <v>0</v>
      </c>
      <c r="BI142" s="6">
        <f>S11</f>
        <v>0</v>
      </c>
      <c r="BJ142" s="13">
        <f>T11</f>
        <v>0</v>
      </c>
    </row>
    <row r="143" spans="1:62" ht="15.75" thickBot="1" x14ac:dyDescent="0.3">
      <c r="AH143" s="15">
        <f>V7</f>
        <v>0</v>
      </c>
      <c r="AI143" s="8">
        <f>W7</f>
        <v>0</v>
      </c>
      <c r="AJ143" s="6">
        <f>X7</f>
        <v>0</v>
      </c>
      <c r="AK143" s="6">
        <f>Y7</f>
        <v>0</v>
      </c>
      <c r="AL143" s="13">
        <f>Z7</f>
        <v>0</v>
      </c>
      <c r="AN143" s="15">
        <f>V8</f>
        <v>0</v>
      </c>
      <c r="AO143" s="8">
        <f>W8</f>
        <v>0</v>
      </c>
      <c r="AP143" s="6">
        <f>X8</f>
        <v>0</v>
      </c>
      <c r="AQ143" s="6">
        <f>Y8</f>
        <v>0</v>
      </c>
      <c r="AR143" s="13">
        <f>Z8</f>
        <v>0</v>
      </c>
      <c r="AT143" s="15">
        <f>V9</f>
        <v>0</v>
      </c>
      <c r="AU143" s="8">
        <f>W9</f>
        <v>0</v>
      </c>
      <c r="AV143" s="6">
        <f>X9</f>
        <v>0</v>
      </c>
      <c r="AW143" s="6">
        <f>Y9</f>
        <v>0</v>
      </c>
      <c r="AX143" s="13">
        <f>Z9</f>
        <v>0</v>
      </c>
      <c r="AZ143" s="15">
        <f>V10</f>
        <v>0</v>
      </c>
      <c r="BA143" s="8">
        <f>W10</f>
        <v>0</v>
      </c>
      <c r="BB143" s="6">
        <f>X10</f>
        <v>0</v>
      </c>
      <c r="BC143" s="6">
        <f>Y10</f>
        <v>0</v>
      </c>
      <c r="BD143" s="13">
        <f>Z10</f>
        <v>0</v>
      </c>
      <c r="BF143" s="15">
        <f>V11</f>
        <v>0</v>
      </c>
      <c r="BG143" s="8">
        <f>W11</f>
        <v>0</v>
      </c>
      <c r="BH143" s="6">
        <f>X11</f>
        <v>0</v>
      </c>
      <c r="BI143" s="6">
        <f>Y11</f>
        <v>0</v>
      </c>
      <c r="BJ143" s="13">
        <f>Z11</f>
        <v>0</v>
      </c>
    </row>
    <row r="144" spans="1:62" ht="15.75" customHeight="1" thickBot="1" x14ac:dyDescent="0.3">
      <c r="A144" s="111" t="s">
        <v>130</v>
      </c>
      <c r="B144" s="112"/>
      <c r="D144" s="111" t="s">
        <v>131</v>
      </c>
      <c r="E144" s="112"/>
      <c r="G144" s="111" t="s">
        <v>132</v>
      </c>
      <c r="H144" s="112"/>
      <c r="J144" s="161" t="s">
        <v>250</v>
      </c>
      <c r="K144" s="162"/>
      <c r="M144" s="161" t="s">
        <v>251</v>
      </c>
      <c r="N144" s="162"/>
      <c r="P144" s="161" t="s">
        <v>252</v>
      </c>
      <c r="Q144" s="162"/>
      <c r="S144" s="123" t="s">
        <v>31</v>
      </c>
      <c r="T144" s="113" t="s">
        <v>84</v>
      </c>
      <c r="U144" s="115"/>
      <c r="V144" s="116" t="s">
        <v>24</v>
      </c>
      <c r="W144" s="116" t="s">
        <v>86</v>
      </c>
      <c r="AH144" s="15">
        <f>AB7</f>
        <v>0</v>
      </c>
      <c r="AI144" s="8">
        <f>AC7</f>
        <v>0</v>
      </c>
      <c r="AJ144" s="6">
        <f>AD7</f>
        <v>0</v>
      </c>
      <c r="AK144" s="6">
        <f>AE7</f>
        <v>0</v>
      </c>
      <c r="AL144" s="13">
        <f>AF7</f>
        <v>0</v>
      </c>
      <c r="AN144" s="15">
        <f>AB8</f>
        <v>0</v>
      </c>
      <c r="AO144" s="8">
        <f>AC8</f>
        <v>0</v>
      </c>
      <c r="AP144" s="6">
        <f>AD8</f>
        <v>0</v>
      </c>
      <c r="AQ144" s="6">
        <f>AE8</f>
        <v>0</v>
      </c>
      <c r="AR144" s="13">
        <f>AF8</f>
        <v>0</v>
      </c>
      <c r="AT144" s="15">
        <f>AB9</f>
        <v>0</v>
      </c>
      <c r="AU144" s="8">
        <f>AC9</f>
        <v>0</v>
      </c>
      <c r="AV144" s="6">
        <f>AD9</f>
        <v>0</v>
      </c>
      <c r="AW144" s="6">
        <f>AE9</f>
        <v>0</v>
      </c>
      <c r="AX144" s="13">
        <f>AF9</f>
        <v>0</v>
      </c>
      <c r="AZ144" s="15">
        <f>AB10</f>
        <v>0</v>
      </c>
      <c r="BA144" s="8">
        <f>AC10</f>
        <v>0</v>
      </c>
      <c r="BB144" s="6">
        <f>AD10</f>
        <v>0</v>
      </c>
      <c r="BC144" s="6">
        <f>AE10</f>
        <v>0</v>
      </c>
      <c r="BD144" s="13">
        <f>AF10</f>
        <v>0</v>
      </c>
      <c r="BF144" s="15">
        <f>AB11</f>
        <v>0</v>
      </c>
      <c r="BG144" s="8">
        <f>AC11</f>
        <v>0</v>
      </c>
      <c r="BH144" s="6">
        <f>AD11</f>
        <v>0</v>
      </c>
      <c r="BI144" s="6">
        <f>AE11</f>
        <v>0</v>
      </c>
      <c r="BJ144" s="13">
        <f>AF11</f>
        <v>0</v>
      </c>
    </row>
    <row r="145" spans="1:62" ht="15.75" thickBot="1" x14ac:dyDescent="0.3">
      <c r="A145" s="60" t="s">
        <v>27</v>
      </c>
      <c r="B145" s="62" t="s">
        <v>102</v>
      </c>
      <c r="D145" s="34" t="s">
        <v>27</v>
      </c>
      <c r="E145" s="79" t="s">
        <v>102</v>
      </c>
      <c r="G145" s="34" t="s">
        <v>27</v>
      </c>
      <c r="H145" s="79" t="s">
        <v>102</v>
      </c>
      <c r="J145" s="163"/>
      <c r="K145" s="164"/>
      <c r="M145" s="163"/>
      <c r="N145" s="164"/>
      <c r="P145" s="163"/>
      <c r="Q145" s="164"/>
      <c r="S145" s="124"/>
      <c r="T145" s="12" t="s">
        <v>17</v>
      </c>
      <c r="U145" s="12" t="s">
        <v>19</v>
      </c>
      <c r="V145" s="117"/>
      <c r="W145" s="117"/>
      <c r="AH145" s="15">
        <f>AH7</f>
        <v>0</v>
      </c>
      <c r="AI145" s="8">
        <f>AI7</f>
        <v>0</v>
      </c>
      <c r="AJ145" s="6">
        <f>AJ7</f>
        <v>0</v>
      </c>
      <c r="AK145" s="6">
        <f>AK7</f>
        <v>0</v>
      </c>
      <c r="AL145" s="13">
        <f>AL7</f>
        <v>0</v>
      </c>
      <c r="AN145" s="15">
        <f>AH8</f>
        <v>0</v>
      </c>
      <c r="AO145" s="8">
        <f>AI8</f>
        <v>0</v>
      </c>
      <c r="AP145" s="6">
        <f>AJ8</f>
        <v>0</v>
      </c>
      <c r="AQ145" s="6">
        <f>AK8</f>
        <v>0</v>
      </c>
      <c r="AR145" s="13">
        <f>AL8</f>
        <v>0</v>
      </c>
      <c r="AT145" s="15">
        <f>AH9</f>
        <v>0</v>
      </c>
      <c r="AU145" s="8">
        <f>AI9</f>
        <v>0</v>
      </c>
      <c r="AV145" s="6">
        <f>AJ9</f>
        <v>0</v>
      </c>
      <c r="AW145" s="6">
        <f>AK9</f>
        <v>0</v>
      </c>
      <c r="AX145" s="13">
        <f>AL9</f>
        <v>0</v>
      </c>
      <c r="AZ145" s="15">
        <f>AH10</f>
        <v>0</v>
      </c>
      <c r="BA145" s="8">
        <f>AI10</f>
        <v>0</v>
      </c>
      <c r="BB145" s="6">
        <f>AJ10</f>
        <v>0</v>
      </c>
      <c r="BC145" s="6">
        <f>AK10</f>
        <v>0</v>
      </c>
      <c r="BD145" s="13">
        <f>AL10</f>
        <v>0</v>
      </c>
      <c r="BF145" s="15">
        <f>AH11</f>
        <v>0</v>
      </c>
      <c r="BG145" s="8">
        <f>AI11</f>
        <v>0</v>
      </c>
      <c r="BH145" s="6">
        <f>AJ11</f>
        <v>0</v>
      </c>
      <c r="BI145" s="6">
        <f>AK11</f>
        <v>0</v>
      </c>
      <c r="BJ145" s="13">
        <f>AL11</f>
        <v>0</v>
      </c>
    </row>
    <row r="146" spans="1:62" x14ac:dyDescent="0.25">
      <c r="A146" s="10">
        <v>225</v>
      </c>
      <c r="B146" s="17">
        <f t="shared" ref="B146:B151" si="42">SUMIFS($J$14:$J$113,$H$14:$H$113,$A$144,$I$14:$I$113,A146)</f>
        <v>0</v>
      </c>
      <c r="D146" s="10">
        <v>1000</v>
      </c>
      <c r="E146" s="17">
        <f>SUMIFS($J$14:$J$113,$H$14:$H$113,$D$144,$I$14:$I$113,D146)</f>
        <v>0</v>
      </c>
      <c r="G146" s="10">
        <v>1000</v>
      </c>
      <c r="H146" s="17">
        <f>SUMIFS($J$14:$J$113,$H$14:$H$113,$G$144,$I$14:$I$113,G146)</f>
        <v>0</v>
      </c>
      <c r="J146" s="163"/>
      <c r="K146" s="164"/>
      <c r="M146" s="163"/>
      <c r="N146" s="164"/>
      <c r="P146" s="163"/>
      <c r="Q146" s="164"/>
      <c r="S146" s="16">
        <v>300</v>
      </c>
      <c r="T146" s="11">
        <f>SUMIFS($J$14:$J$113,$I$14:$I$113,$S146,$K$14:$K$113,T$145,$H$14:$H$113,$T$144)</f>
        <v>0</v>
      </c>
      <c r="U146" s="11">
        <f>SUMIFS($J$14:$J$113,$I$14:$I$113,$S146,$K$14:$K$113,U$145,$H$14:$H$113,$T$144)</f>
        <v>0</v>
      </c>
      <c r="V146" s="16">
        <f>SUM(T146:U146)*S146</f>
        <v>0</v>
      </c>
      <c r="W146" s="16">
        <f>T146+U146</f>
        <v>0</v>
      </c>
      <c r="AH146" s="15">
        <f>AN7</f>
        <v>0</v>
      </c>
      <c r="AI146" s="8">
        <f>AO7</f>
        <v>0</v>
      </c>
      <c r="AJ146" s="6">
        <f>AP7</f>
        <v>0</v>
      </c>
      <c r="AK146" s="6">
        <f>AQ7</f>
        <v>0</v>
      </c>
      <c r="AL146" s="13">
        <f>AR7</f>
        <v>0</v>
      </c>
      <c r="AN146" s="15">
        <f>AN8</f>
        <v>0</v>
      </c>
      <c r="AO146" s="8">
        <f>AO8</f>
        <v>0</v>
      </c>
      <c r="AP146" s="6">
        <f>AP8</f>
        <v>0</v>
      </c>
      <c r="AQ146" s="6">
        <f>AQ8</f>
        <v>0</v>
      </c>
      <c r="AR146" s="13">
        <f>AR8</f>
        <v>0</v>
      </c>
      <c r="AT146" s="15">
        <f>AN9</f>
        <v>0</v>
      </c>
      <c r="AU146" s="8">
        <f>AO9</f>
        <v>0</v>
      </c>
      <c r="AV146" s="6">
        <f>AP9</f>
        <v>0</v>
      </c>
      <c r="AW146" s="6">
        <f>AQ9</f>
        <v>0</v>
      </c>
      <c r="AX146" s="13">
        <f>AR9</f>
        <v>0</v>
      </c>
      <c r="AZ146" s="15">
        <f>AN10</f>
        <v>0</v>
      </c>
      <c r="BA146" s="8">
        <f>AO10</f>
        <v>0</v>
      </c>
      <c r="BB146" s="6">
        <f>AP10</f>
        <v>0</v>
      </c>
      <c r="BC146" s="6">
        <f>AQ10</f>
        <v>0</v>
      </c>
      <c r="BD146" s="13">
        <f>AR10</f>
        <v>0</v>
      </c>
      <c r="BF146" s="15">
        <f>AN11</f>
        <v>0</v>
      </c>
      <c r="BG146" s="8">
        <f>AO11</f>
        <v>0</v>
      </c>
      <c r="BH146" s="6">
        <f>AP11</f>
        <v>0</v>
      </c>
      <c r="BI146" s="6">
        <f>AQ11</f>
        <v>0</v>
      </c>
      <c r="BJ146" s="13">
        <f>AR11</f>
        <v>0</v>
      </c>
    </row>
    <row r="147" spans="1:62" ht="15.75" thickBot="1" x14ac:dyDescent="0.3">
      <c r="A147" s="8">
        <v>325</v>
      </c>
      <c r="B147" s="17">
        <f t="shared" si="42"/>
        <v>0</v>
      </c>
      <c r="D147" s="9">
        <v>3000</v>
      </c>
      <c r="E147" s="17">
        <f>SUMIFS($J$14:$J$113,$H$14:$H$113,$D$144,$I$14:$I$113,D147)</f>
        <v>0</v>
      </c>
      <c r="G147" s="31">
        <v>2000</v>
      </c>
      <c r="H147" s="17">
        <f>SUMIFS($J$14:$J$113,$H$14:$H$113,$G$144,$I$14:$I$113,G147)</f>
        <v>0</v>
      </c>
      <c r="J147" s="165"/>
      <c r="K147" s="166"/>
      <c r="M147" s="165"/>
      <c r="N147" s="166"/>
      <c r="P147" s="165"/>
      <c r="Q147" s="166"/>
      <c r="S147" s="16">
        <v>500</v>
      </c>
      <c r="T147" s="11">
        <f t="shared" ref="T147:U154" si="43">SUMIFS($J$14:$J$113,$I$14:$I$113,$S147,$K$14:$K$113,T$145,$H$14:$H$113,$T$144)</f>
        <v>0</v>
      </c>
      <c r="U147" s="11">
        <f t="shared" si="43"/>
        <v>0</v>
      </c>
      <c r="V147" s="16">
        <f t="shared" ref="V147:V154" si="44">SUM(T147:U147)*S147</f>
        <v>0</v>
      </c>
      <c r="W147" s="16">
        <f t="shared" ref="W147:W154" si="45">T147+U147</f>
        <v>0</v>
      </c>
      <c r="AA147" s="167" t="s">
        <v>37</v>
      </c>
      <c r="AB147" s="167"/>
      <c r="AC147" s="167"/>
      <c r="AD147" s="167" t="s">
        <v>113</v>
      </c>
      <c r="AE147" s="167"/>
      <c r="AF147" s="167"/>
      <c r="AH147" s="15">
        <f>AT7</f>
        <v>0</v>
      </c>
      <c r="AI147" s="8">
        <f>AU7</f>
        <v>0</v>
      </c>
      <c r="AJ147" s="6">
        <f>AV7</f>
        <v>0</v>
      </c>
      <c r="AK147" s="6">
        <f>AW7</f>
        <v>0</v>
      </c>
      <c r="AL147" s="13">
        <f>AX7</f>
        <v>0</v>
      </c>
      <c r="AN147" s="15">
        <f>AT8</f>
        <v>0</v>
      </c>
      <c r="AO147" s="8">
        <f>AU8</f>
        <v>0</v>
      </c>
      <c r="AP147" s="6">
        <f>AV8</f>
        <v>0</v>
      </c>
      <c r="AQ147" s="6">
        <f>AW8</f>
        <v>0</v>
      </c>
      <c r="AR147" s="13">
        <f>AX8</f>
        <v>0</v>
      </c>
      <c r="AT147" s="15">
        <f>AT9</f>
        <v>0</v>
      </c>
      <c r="AU147" s="8">
        <f>AU9</f>
        <v>0</v>
      </c>
      <c r="AV147" s="6">
        <f>AV9</f>
        <v>0</v>
      </c>
      <c r="AW147" s="6">
        <f>AW9</f>
        <v>0</v>
      </c>
      <c r="AX147" s="13">
        <f>AX9</f>
        <v>0</v>
      </c>
      <c r="AZ147" s="15">
        <f>AT10</f>
        <v>0</v>
      </c>
      <c r="BA147" s="8">
        <f>AU10</f>
        <v>0</v>
      </c>
      <c r="BB147" s="6">
        <f>AV10</f>
        <v>0</v>
      </c>
      <c r="BC147" s="6">
        <f>AW10</f>
        <v>0</v>
      </c>
      <c r="BD147" s="13">
        <f>AX10</f>
        <v>0</v>
      </c>
      <c r="BF147" s="15">
        <f>AT11</f>
        <v>0</v>
      </c>
      <c r="BG147" s="8">
        <f>AU11</f>
        <v>0</v>
      </c>
      <c r="BH147" s="6">
        <f>AV11</f>
        <v>0</v>
      </c>
      <c r="BI147" s="6">
        <f>AW11</f>
        <v>0</v>
      </c>
      <c r="BJ147" s="13">
        <f>AX11</f>
        <v>0</v>
      </c>
    </row>
    <row r="148" spans="1:62" ht="15.75" thickBot="1" x14ac:dyDescent="0.3">
      <c r="A148" s="8">
        <v>400</v>
      </c>
      <c r="B148" s="17">
        <f t="shared" si="42"/>
        <v>0</v>
      </c>
      <c r="D148" s="60" t="s">
        <v>24</v>
      </c>
      <c r="E148" s="62">
        <f>SUMPRODUCT(D146:D147,E146:E147)</f>
        <v>0</v>
      </c>
      <c r="G148" s="60" t="s">
        <v>24</v>
      </c>
      <c r="H148" s="62">
        <f>SUMPRODUCT(G146:G147,H146:H147)</f>
        <v>0</v>
      </c>
      <c r="J148" s="60" t="s">
        <v>29</v>
      </c>
      <c r="K148" s="62" t="s">
        <v>102</v>
      </c>
      <c r="M148" s="60" t="s">
        <v>29</v>
      </c>
      <c r="N148" s="62" t="s">
        <v>102</v>
      </c>
      <c r="P148" s="60" t="s">
        <v>29</v>
      </c>
      <c r="Q148" s="62" t="s">
        <v>102</v>
      </c>
      <c r="S148" s="15">
        <v>750</v>
      </c>
      <c r="T148" s="11">
        <f t="shared" si="43"/>
        <v>0</v>
      </c>
      <c r="U148" s="11">
        <f t="shared" si="43"/>
        <v>0</v>
      </c>
      <c r="V148" s="16">
        <f t="shared" si="44"/>
        <v>0</v>
      </c>
      <c r="W148" s="16">
        <f t="shared" si="45"/>
        <v>0</v>
      </c>
      <c r="AA148" s="167" t="str">
        <f>"TANKS: " &amp; SUM(B128:AE128,B146:B151,E146:E147,H146:H147,B142:AE142,W155)</f>
        <v>TANKS: 48</v>
      </c>
      <c r="AB148" s="167"/>
      <c r="AC148" s="167"/>
      <c r="AD148" s="167" t="str">
        <f>"LTRS: " &amp;SUM(AF128,B152,E148,H148,AF142,V155)</f>
        <v>LTRS: 39500</v>
      </c>
      <c r="AE148" s="167"/>
      <c r="AF148" s="167"/>
      <c r="AH148" s="15">
        <f>AZ7</f>
        <v>0</v>
      </c>
      <c r="AI148" s="8">
        <f>BA7</f>
        <v>0</v>
      </c>
      <c r="AJ148" s="6">
        <f>BB7</f>
        <v>0</v>
      </c>
      <c r="AK148" s="6">
        <f>BC7</f>
        <v>0</v>
      </c>
      <c r="AL148" s="13">
        <f>BD7</f>
        <v>0</v>
      </c>
      <c r="AN148" s="15">
        <f>AZ8</f>
        <v>0</v>
      </c>
      <c r="AO148" s="8">
        <f>BA8</f>
        <v>0</v>
      </c>
      <c r="AP148" s="6">
        <f>BB8</f>
        <v>0</v>
      </c>
      <c r="AQ148" s="6">
        <f>BC8</f>
        <v>0</v>
      </c>
      <c r="AR148" s="13">
        <f>BD8</f>
        <v>0</v>
      </c>
      <c r="AT148" s="15">
        <f>AZ9</f>
        <v>0</v>
      </c>
      <c r="AU148" s="8">
        <f>BA9</f>
        <v>0</v>
      </c>
      <c r="AV148" s="6">
        <f>BB9</f>
        <v>0</v>
      </c>
      <c r="AW148" s="6">
        <f>BC9</f>
        <v>0</v>
      </c>
      <c r="AX148" s="13">
        <f>BD9</f>
        <v>0</v>
      </c>
      <c r="AZ148" s="15">
        <f>AZ10</f>
        <v>0</v>
      </c>
      <c r="BA148" s="8">
        <f>BA10</f>
        <v>0</v>
      </c>
      <c r="BB148" s="6">
        <f>BB10</f>
        <v>0</v>
      </c>
      <c r="BC148" s="6">
        <f>BC10</f>
        <v>0</v>
      </c>
      <c r="BD148" s="13">
        <f>BD10</f>
        <v>0</v>
      </c>
      <c r="BF148" s="15">
        <f>AZ11</f>
        <v>0</v>
      </c>
      <c r="BG148" s="8">
        <f>BA11</f>
        <v>0</v>
      </c>
      <c r="BH148" s="6">
        <f>BB11</f>
        <v>0</v>
      </c>
      <c r="BI148" s="6">
        <f>BC11</f>
        <v>0</v>
      </c>
      <c r="BJ148" s="13">
        <f>BD11</f>
        <v>0</v>
      </c>
    </row>
    <row r="149" spans="1:62" x14ac:dyDescent="0.25">
      <c r="A149" s="8">
        <v>500</v>
      </c>
      <c r="B149" s="17">
        <f t="shared" si="42"/>
        <v>0</v>
      </c>
      <c r="J149" s="10" t="s">
        <v>17</v>
      </c>
      <c r="K149" s="17">
        <f>SUMIFS($J$14:$J$113,$H$14:$H$113,"CAP16_1",$K$14:$K$113,J149)</f>
        <v>0</v>
      </c>
      <c r="M149" s="10" t="s">
        <v>17</v>
      </c>
      <c r="N149" s="17">
        <f>SUMIFS($J$14:$J$113,$H$14:$H$113,"CAP16_2",$K$14:$K$113,M149)</f>
        <v>0</v>
      </c>
      <c r="P149" s="10" t="s">
        <v>17</v>
      </c>
      <c r="Q149" s="17">
        <f>SUMIFS($J$14:$J$113,$H$14:$H$113,"CAP19",$K$14:$K$113,P149)</f>
        <v>0</v>
      </c>
      <c r="S149" s="15">
        <v>1000</v>
      </c>
      <c r="T149" s="11">
        <f t="shared" si="43"/>
        <v>0</v>
      </c>
      <c r="U149" s="11">
        <f t="shared" si="43"/>
        <v>0</v>
      </c>
      <c r="V149" s="16">
        <f t="shared" si="44"/>
        <v>0</v>
      </c>
      <c r="W149" s="16">
        <f t="shared" si="45"/>
        <v>0</v>
      </c>
      <c r="AA149" s="167" t="s">
        <v>76</v>
      </c>
      <c r="AB149" s="167"/>
      <c r="AC149" s="167"/>
      <c r="AD149" s="176">
        <f>D114</f>
        <v>46008</v>
      </c>
      <c r="AE149" s="176"/>
      <c r="AF149" s="176"/>
      <c r="AH149" s="15">
        <f>BF7</f>
        <v>0</v>
      </c>
      <c r="AI149" s="8">
        <f>BG7</f>
        <v>0</v>
      </c>
      <c r="AJ149" s="6">
        <f>BH7</f>
        <v>0</v>
      </c>
      <c r="AK149" s="6">
        <f>BI7</f>
        <v>0</v>
      </c>
      <c r="AL149" s="13">
        <f>BJ7</f>
        <v>0</v>
      </c>
      <c r="AN149" s="15">
        <f>BF8</f>
        <v>0</v>
      </c>
      <c r="AO149" s="8">
        <f>BG8</f>
        <v>0</v>
      </c>
      <c r="AP149" s="6">
        <f>BH8</f>
        <v>0</v>
      </c>
      <c r="AQ149" s="6">
        <f>BI8</f>
        <v>0</v>
      </c>
      <c r="AR149" s="13">
        <f>BJ8</f>
        <v>0</v>
      </c>
      <c r="AT149" s="15">
        <f>BF9</f>
        <v>0</v>
      </c>
      <c r="AU149" s="8">
        <f>BG9</f>
        <v>0</v>
      </c>
      <c r="AV149" s="6">
        <f>BH9</f>
        <v>0</v>
      </c>
      <c r="AW149" s="6">
        <f>BI9</f>
        <v>0</v>
      </c>
      <c r="AX149" s="13">
        <f>BJ9</f>
        <v>0</v>
      </c>
      <c r="AZ149" s="15">
        <f>BF10</f>
        <v>0</v>
      </c>
      <c r="BA149" s="8">
        <f>BG10</f>
        <v>0</v>
      </c>
      <c r="BB149" s="6">
        <f>BH10</f>
        <v>0</v>
      </c>
      <c r="BC149" s="6">
        <f>BI10</f>
        <v>0</v>
      </c>
      <c r="BD149" s="13">
        <f>BJ10</f>
        <v>0</v>
      </c>
      <c r="BF149" s="15">
        <f>BF11</f>
        <v>0</v>
      </c>
      <c r="BG149" s="8">
        <f>BG11</f>
        <v>0</v>
      </c>
      <c r="BH149" s="6">
        <f>BH11</f>
        <v>0</v>
      </c>
      <c r="BI149" s="6">
        <f>BI11</f>
        <v>0</v>
      </c>
      <c r="BJ149" s="13">
        <f>BJ11</f>
        <v>0</v>
      </c>
    </row>
    <row r="150" spans="1:62" ht="15.75" thickBot="1" x14ac:dyDescent="0.3">
      <c r="A150" s="8">
        <v>750</v>
      </c>
      <c r="B150" s="17">
        <f t="shared" si="42"/>
        <v>0</v>
      </c>
      <c r="J150" s="8" t="s">
        <v>19</v>
      </c>
      <c r="K150" s="17">
        <f t="shared" ref="K150:K153" si="46">SUMIFS($J$14:$J$113,$H$14:$H$113,"CAP16_1",$K$14:$K$113,J150)</f>
        <v>0</v>
      </c>
      <c r="M150" s="8" t="s">
        <v>19</v>
      </c>
      <c r="N150" s="17">
        <f t="shared" ref="N150:N153" si="47">SUMIFS($J$14:$J$113,$H$14:$H$113,"CAP16_2",$K$14:$K$113,M150)</f>
        <v>0</v>
      </c>
      <c r="P150" s="8" t="s">
        <v>19</v>
      </c>
      <c r="Q150" s="17">
        <f t="shared" ref="Q150:Q153" si="48">SUMIFS($J$14:$J$113,$H$14:$H$113,"CAP19",$K$14:$K$113,P150)</f>
        <v>0</v>
      </c>
      <c r="S150" s="15">
        <v>1500</v>
      </c>
      <c r="T150" s="11">
        <f t="shared" si="43"/>
        <v>0</v>
      </c>
      <c r="U150" s="11">
        <f t="shared" si="43"/>
        <v>0</v>
      </c>
      <c r="V150" s="16">
        <f t="shared" si="44"/>
        <v>0</v>
      </c>
      <c r="W150" s="16">
        <f t="shared" si="45"/>
        <v>0</v>
      </c>
      <c r="AH150" s="59">
        <f>BL7</f>
        <v>0</v>
      </c>
      <c r="AI150" s="31">
        <f>BM7</f>
        <v>0</v>
      </c>
      <c r="AJ150" s="32">
        <f>BN7</f>
        <v>0</v>
      </c>
      <c r="AK150" s="32">
        <f>BO7</f>
        <v>0</v>
      </c>
      <c r="AL150" s="33">
        <f>BP7</f>
        <v>0</v>
      </c>
      <c r="AN150" s="59">
        <f>BL8</f>
        <v>0</v>
      </c>
      <c r="AO150" s="31">
        <f>BM8</f>
        <v>0</v>
      </c>
      <c r="AP150" s="32">
        <f>BN8</f>
        <v>0</v>
      </c>
      <c r="AQ150" s="32">
        <f>BO8</f>
        <v>0</v>
      </c>
      <c r="AR150" s="33">
        <f>BP8</f>
        <v>0</v>
      </c>
      <c r="AT150" s="59">
        <f>BL9</f>
        <v>0</v>
      </c>
      <c r="AU150" s="31">
        <f>BM9</f>
        <v>0</v>
      </c>
      <c r="AV150" s="32">
        <f>BN9</f>
        <v>0</v>
      </c>
      <c r="AW150" s="32">
        <f>BO9</f>
        <v>0</v>
      </c>
      <c r="AX150" s="33">
        <f>BP9</f>
        <v>0</v>
      </c>
      <c r="AZ150" s="59">
        <f>BL10</f>
        <v>0</v>
      </c>
      <c r="BA150" s="31">
        <f>BM10</f>
        <v>0</v>
      </c>
      <c r="BB150" s="32">
        <f>BN10</f>
        <v>0</v>
      </c>
      <c r="BC150" s="32">
        <f>BO10</f>
        <v>0</v>
      </c>
      <c r="BD150" s="33">
        <f>BP10</f>
        <v>0</v>
      </c>
      <c r="BF150" s="59">
        <f>BL11</f>
        <v>0</v>
      </c>
      <c r="BG150" s="31">
        <f>BM11</f>
        <v>0</v>
      </c>
      <c r="BH150" s="32">
        <f>BN11</f>
        <v>0</v>
      </c>
      <c r="BI150" s="32">
        <f>BO11</f>
        <v>0</v>
      </c>
      <c r="BJ150" s="33">
        <f>BP11</f>
        <v>0</v>
      </c>
    </row>
    <row r="151" spans="1:62" ht="15.75" thickBot="1" x14ac:dyDescent="0.3">
      <c r="A151" s="9">
        <v>1000</v>
      </c>
      <c r="B151" s="17">
        <f t="shared" si="42"/>
        <v>0</v>
      </c>
      <c r="J151" s="8" t="s">
        <v>32</v>
      </c>
      <c r="K151" s="17">
        <f t="shared" si="46"/>
        <v>0</v>
      </c>
      <c r="M151" s="8" t="s">
        <v>32</v>
      </c>
      <c r="N151" s="17">
        <f t="shared" si="47"/>
        <v>0</v>
      </c>
      <c r="P151" s="8" t="s">
        <v>32</v>
      </c>
      <c r="Q151" s="17">
        <f t="shared" si="48"/>
        <v>0</v>
      </c>
      <c r="S151" s="15">
        <v>2000</v>
      </c>
      <c r="T151" s="11">
        <f t="shared" si="43"/>
        <v>0</v>
      </c>
      <c r="U151" s="11">
        <f t="shared" si="43"/>
        <v>0</v>
      </c>
      <c r="V151" s="16">
        <f t="shared" si="44"/>
        <v>0</v>
      </c>
      <c r="W151" s="16">
        <f t="shared" si="45"/>
        <v>0</v>
      </c>
      <c r="AH151" s="35">
        <f>C7</f>
        <v>0</v>
      </c>
      <c r="AI151" s="158">
        <f>SUM(AI141:AI150)</f>
        <v>0</v>
      </c>
      <c r="AJ151" s="159"/>
      <c r="AK151" s="158">
        <f>BT7</f>
        <v>0</v>
      </c>
      <c r="AL151" s="159"/>
      <c r="AN151" s="35">
        <f>C8</f>
        <v>0</v>
      </c>
      <c r="AO151" s="158">
        <f>SUM(AO141:AO150)</f>
        <v>0</v>
      </c>
      <c r="AP151" s="159"/>
      <c r="AQ151" s="158">
        <f>BT8</f>
        <v>0</v>
      </c>
      <c r="AR151" s="159"/>
      <c r="AT151" s="35">
        <f>C9</f>
        <v>0</v>
      </c>
      <c r="AU151" s="158">
        <f>SUM(AU141:AU150)</f>
        <v>0</v>
      </c>
      <c r="AV151" s="159"/>
      <c r="AW151" s="158">
        <f>BT9</f>
        <v>0</v>
      </c>
      <c r="AX151" s="159"/>
      <c r="AZ151" s="35">
        <f>C10</f>
        <v>0</v>
      </c>
      <c r="BA151" s="158">
        <f>SUM(BA141:BA150)</f>
        <v>0</v>
      </c>
      <c r="BB151" s="159"/>
      <c r="BC151" s="158">
        <f>BT10</f>
        <v>0</v>
      </c>
      <c r="BD151" s="159"/>
      <c r="BF151" s="35">
        <f>C11</f>
        <v>0</v>
      </c>
      <c r="BG151" s="158">
        <f>SUM(BG141:BG150)</f>
        <v>0</v>
      </c>
      <c r="BH151" s="159"/>
      <c r="BI151" s="158">
        <f>BT11</f>
        <v>0</v>
      </c>
      <c r="BJ151" s="159"/>
    </row>
    <row r="152" spans="1:62" ht="15.75" thickBot="1" x14ac:dyDescent="0.3">
      <c r="A152" s="60" t="s">
        <v>24</v>
      </c>
      <c r="B152" s="62">
        <f>SUMPRODUCT(A146:A151,B146:B151)</f>
        <v>0</v>
      </c>
      <c r="J152" s="8" t="s">
        <v>33</v>
      </c>
      <c r="K152" s="17">
        <f t="shared" si="46"/>
        <v>0</v>
      </c>
      <c r="M152" s="8" t="s">
        <v>33</v>
      </c>
      <c r="N152" s="17">
        <f t="shared" si="47"/>
        <v>0</v>
      </c>
      <c r="P152" s="8" t="s">
        <v>33</v>
      </c>
      <c r="Q152" s="17">
        <f t="shared" si="48"/>
        <v>0</v>
      </c>
      <c r="S152" s="15">
        <v>3000</v>
      </c>
      <c r="T152" s="11">
        <f t="shared" si="43"/>
        <v>0</v>
      </c>
      <c r="U152" s="11">
        <f t="shared" si="43"/>
        <v>0</v>
      </c>
      <c r="V152" s="16">
        <f t="shared" si="44"/>
        <v>0</v>
      </c>
      <c r="W152" s="16">
        <f t="shared" si="45"/>
        <v>0</v>
      </c>
      <c r="AH152" s="35" t="s">
        <v>25</v>
      </c>
      <c r="AI152" s="158">
        <f>A7</f>
        <v>0</v>
      </c>
      <c r="AJ152" s="160"/>
      <c r="AK152" s="158">
        <f>BR7</f>
        <v>0</v>
      </c>
      <c r="AL152" s="159"/>
      <c r="AN152" s="35" t="s">
        <v>25</v>
      </c>
      <c r="AO152" s="158">
        <f>A8</f>
        <v>0</v>
      </c>
      <c r="AP152" s="160"/>
      <c r="AQ152" s="158">
        <f>BR8</f>
        <v>0</v>
      </c>
      <c r="AR152" s="159"/>
      <c r="AT152" s="35" t="s">
        <v>25</v>
      </c>
      <c r="AU152" s="158">
        <f>A9</f>
        <v>0</v>
      </c>
      <c r="AV152" s="160"/>
      <c r="AW152" s="158">
        <f>BR9</f>
        <v>0</v>
      </c>
      <c r="AX152" s="159"/>
      <c r="AZ152" s="35" t="s">
        <v>25</v>
      </c>
      <c r="BA152" s="158">
        <f>A10</f>
        <v>0</v>
      </c>
      <c r="BB152" s="160"/>
      <c r="BC152" s="158">
        <f>BR10</f>
        <v>0</v>
      </c>
      <c r="BD152" s="159"/>
      <c r="BF152" s="35" t="s">
        <v>25</v>
      </c>
      <c r="BG152" s="158">
        <f>A11</f>
        <v>0</v>
      </c>
      <c r="BH152" s="160"/>
      <c r="BI152" s="158">
        <f>BR11</f>
        <v>0</v>
      </c>
      <c r="BJ152" s="159"/>
    </row>
    <row r="153" spans="1:62" ht="15.75" thickBot="1" x14ac:dyDescent="0.3">
      <c r="J153" s="9" t="s">
        <v>80</v>
      </c>
      <c r="K153" s="17">
        <f t="shared" si="46"/>
        <v>0</v>
      </c>
      <c r="M153" s="9" t="s">
        <v>80</v>
      </c>
      <c r="N153" s="17">
        <f t="shared" si="47"/>
        <v>0</v>
      </c>
      <c r="P153" s="9" t="s">
        <v>80</v>
      </c>
      <c r="Q153" s="17">
        <f t="shared" si="48"/>
        <v>0</v>
      </c>
      <c r="S153" s="15">
        <v>5000</v>
      </c>
      <c r="T153" s="11">
        <f t="shared" si="43"/>
        <v>0</v>
      </c>
      <c r="U153" s="11">
        <f t="shared" si="43"/>
        <v>0</v>
      </c>
      <c r="V153" s="16">
        <f t="shared" si="44"/>
        <v>0</v>
      </c>
      <c r="W153" s="16">
        <f t="shared" si="45"/>
        <v>0</v>
      </c>
      <c r="AH153" s="58" t="s">
        <v>130</v>
      </c>
      <c r="AI153" s="58" t="s">
        <v>131</v>
      </c>
      <c r="AJ153" s="58" t="s">
        <v>132</v>
      </c>
      <c r="AK153" s="58" t="s">
        <v>166</v>
      </c>
      <c r="AL153" s="58" t="s">
        <v>33</v>
      </c>
      <c r="AN153" s="58" t="s">
        <v>130</v>
      </c>
      <c r="AO153" s="58" t="s">
        <v>131</v>
      </c>
      <c r="AP153" s="58" t="s">
        <v>132</v>
      </c>
      <c r="AQ153" s="58" t="s">
        <v>166</v>
      </c>
      <c r="AR153" s="58" t="s">
        <v>33</v>
      </c>
      <c r="AT153" s="58" t="s">
        <v>130</v>
      </c>
      <c r="AU153" s="58" t="s">
        <v>131</v>
      </c>
      <c r="AV153" s="58" t="s">
        <v>132</v>
      </c>
      <c r="AW153" s="58" t="s">
        <v>166</v>
      </c>
      <c r="AX153" s="58" t="s">
        <v>33</v>
      </c>
      <c r="AZ153" s="58" t="s">
        <v>130</v>
      </c>
      <c r="BA153" s="58" t="s">
        <v>131</v>
      </c>
      <c r="BB153" s="58" t="s">
        <v>132</v>
      </c>
      <c r="BC153" s="58" t="s">
        <v>166</v>
      </c>
      <c r="BD153" s="58" t="s">
        <v>33</v>
      </c>
      <c r="BF153" s="58" t="s">
        <v>130</v>
      </c>
      <c r="BG153" s="58" t="s">
        <v>131</v>
      </c>
      <c r="BH153" s="58" t="s">
        <v>132</v>
      </c>
      <c r="BI153" s="58" t="s">
        <v>166</v>
      </c>
      <c r="BJ153" s="58" t="s">
        <v>33</v>
      </c>
    </row>
    <row r="154" spans="1:62" ht="15.75" thickBot="1" x14ac:dyDescent="0.3">
      <c r="J154" s="60" t="s">
        <v>24</v>
      </c>
      <c r="K154" s="62">
        <f>SUM(K149:K153)</f>
        <v>0</v>
      </c>
      <c r="M154" s="60" t="s">
        <v>24</v>
      </c>
      <c r="N154" s="62">
        <f>SUM(N149:N153)</f>
        <v>0</v>
      </c>
      <c r="P154" s="60" t="s">
        <v>24</v>
      </c>
      <c r="Q154" s="62">
        <f>SUM(Q149:Q153)</f>
        <v>0</v>
      </c>
      <c r="S154" s="59">
        <v>10000</v>
      </c>
      <c r="T154" s="11">
        <f t="shared" si="43"/>
        <v>0</v>
      </c>
      <c r="U154" s="11">
        <f t="shared" si="43"/>
        <v>0</v>
      </c>
      <c r="V154" s="16">
        <f t="shared" si="44"/>
        <v>0</v>
      </c>
      <c r="W154" s="16">
        <f t="shared" si="45"/>
        <v>0</v>
      </c>
      <c r="AH154" s="34" t="str">
        <f>AZ19</f>
        <v/>
      </c>
      <c r="AI154" s="34" t="str">
        <f>BA19</f>
        <v/>
      </c>
      <c r="AJ154" s="34" t="str">
        <f>BB19</f>
        <v/>
      </c>
      <c r="AK154" s="35" t="str">
        <f>BC19</f>
        <v/>
      </c>
      <c r="AL154" s="35" t="str">
        <f>BD19</f>
        <v/>
      </c>
      <c r="AN154" s="34" t="str">
        <f>AZ20</f>
        <v/>
      </c>
      <c r="AO154" s="34" t="str">
        <f>BA20</f>
        <v/>
      </c>
      <c r="AP154" s="34" t="str">
        <f>BB20</f>
        <v/>
      </c>
      <c r="AQ154" s="35" t="str">
        <f>BC20</f>
        <v/>
      </c>
      <c r="AR154" s="35" t="str">
        <f>BD20</f>
        <v/>
      </c>
      <c r="AT154" s="34" t="str">
        <f>AZ21</f>
        <v/>
      </c>
      <c r="AU154" s="34" t="str">
        <f>BA21</f>
        <v/>
      </c>
      <c r="AV154" s="34" t="str">
        <f>BB21</f>
        <v/>
      </c>
      <c r="AW154" s="35" t="str">
        <f>BC21</f>
        <v/>
      </c>
      <c r="AX154" s="35" t="str">
        <f>BD21</f>
        <v/>
      </c>
      <c r="AZ154" s="34" t="str">
        <f>AZ22</f>
        <v/>
      </c>
      <c r="BA154" s="34" t="str">
        <f>BA22</f>
        <v/>
      </c>
      <c r="BB154" s="34" t="str">
        <f>BB22</f>
        <v/>
      </c>
      <c r="BC154" s="35" t="str">
        <f>BC22</f>
        <v/>
      </c>
      <c r="BD154" s="35" t="str">
        <f>BD22</f>
        <v/>
      </c>
      <c r="BF154" s="34" t="str">
        <f>AZ23</f>
        <v/>
      </c>
      <c r="BG154" s="34" t="str">
        <f>BA23</f>
        <v/>
      </c>
      <c r="BH154" s="34" t="str">
        <f>BB23</f>
        <v/>
      </c>
      <c r="BI154" s="35" t="str">
        <f>BC23</f>
        <v/>
      </c>
      <c r="BJ154" s="35" t="str">
        <f>BD23</f>
        <v/>
      </c>
    </row>
    <row r="155" spans="1:62" ht="15.75" thickBot="1" x14ac:dyDescent="0.3">
      <c r="S155" s="35"/>
      <c r="T155" s="61">
        <f>SUM(T146:T154)</f>
        <v>0</v>
      </c>
      <c r="U155" s="61">
        <f t="shared" ref="U155:W155" si="49">SUM(U146:U154)</f>
        <v>0</v>
      </c>
      <c r="V155" s="35">
        <f t="shared" si="49"/>
        <v>0</v>
      </c>
      <c r="W155" s="35">
        <f t="shared" si="49"/>
        <v>0</v>
      </c>
      <c r="AH155" s="58" t="s">
        <v>22</v>
      </c>
      <c r="AI155" s="58" t="s">
        <v>20</v>
      </c>
      <c r="AJ155" s="58" t="s">
        <v>34</v>
      </c>
      <c r="AK155" s="58" t="s">
        <v>127</v>
      </c>
      <c r="AL155" s="58" t="s">
        <v>129</v>
      </c>
      <c r="AN155" s="58" t="s">
        <v>22</v>
      </c>
      <c r="AO155" s="58" t="s">
        <v>20</v>
      </c>
      <c r="AP155" s="58" t="s">
        <v>34</v>
      </c>
      <c r="AQ155" s="58" t="s">
        <v>127</v>
      </c>
      <c r="AR155" s="58" t="s">
        <v>129</v>
      </c>
      <c r="AT155" s="58" t="s">
        <v>22</v>
      </c>
      <c r="AU155" s="58" t="s">
        <v>20</v>
      </c>
      <c r="AV155" s="58" t="s">
        <v>34</v>
      </c>
      <c r="AW155" s="58" t="s">
        <v>127</v>
      </c>
      <c r="AX155" s="58" t="s">
        <v>129</v>
      </c>
      <c r="AZ155" s="58" t="s">
        <v>22</v>
      </c>
      <c r="BA155" s="58" t="s">
        <v>20</v>
      </c>
      <c r="BB155" s="58" t="s">
        <v>34</v>
      </c>
      <c r="BC155" s="58" t="s">
        <v>127</v>
      </c>
      <c r="BD155" s="58" t="s">
        <v>129</v>
      </c>
      <c r="BF155" s="58" t="s">
        <v>22</v>
      </c>
      <c r="BG155" s="58" t="s">
        <v>20</v>
      </c>
      <c r="BH155" s="58" t="s">
        <v>34</v>
      </c>
      <c r="BI155" s="58" t="s">
        <v>127</v>
      </c>
      <c r="BJ155" s="58" t="s">
        <v>129</v>
      </c>
    </row>
    <row r="156" spans="1:62" ht="15.75" thickBot="1" x14ac:dyDescent="0.3">
      <c r="AH156" s="34" t="str">
        <f>AU19</f>
        <v/>
      </c>
      <c r="AI156" s="34" t="str">
        <f>AV19</f>
        <v/>
      </c>
      <c r="AJ156" s="34" t="str">
        <f>AW19</f>
        <v/>
      </c>
      <c r="AK156" s="35" t="str">
        <f>AX19</f>
        <v/>
      </c>
      <c r="AL156" s="35" t="str">
        <f>AY19</f>
        <v/>
      </c>
      <c r="AN156" s="34" t="str">
        <f>AU20</f>
        <v/>
      </c>
      <c r="AO156" s="34" t="str">
        <f>AV20</f>
        <v/>
      </c>
      <c r="AP156" s="34" t="str">
        <f>AW20</f>
        <v/>
      </c>
      <c r="AQ156" s="35" t="str">
        <f>AX20</f>
        <v/>
      </c>
      <c r="AR156" s="35" t="str">
        <f>AY20</f>
        <v/>
      </c>
      <c r="AT156" s="34" t="str">
        <f>AU21</f>
        <v/>
      </c>
      <c r="AU156" s="34" t="str">
        <f>AV21</f>
        <v/>
      </c>
      <c r="AV156" s="34" t="str">
        <f>AW21</f>
        <v/>
      </c>
      <c r="AW156" s="35" t="str">
        <f>AX21</f>
        <v/>
      </c>
      <c r="AX156" s="35" t="str">
        <f>AY21</f>
        <v/>
      </c>
      <c r="AZ156" s="34" t="str">
        <f>AU22</f>
        <v/>
      </c>
      <c r="BA156" s="34" t="str">
        <f>AV22</f>
        <v/>
      </c>
      <c r="BB156" s="34" t="str">
        <f>AW22</f>
        <v/>
      </c>
      <c r="BC156" s="35" t="str">
        <f>AX22</f>
        <v/>
      </c>
      <c r="BD156" s="35" t="str">
        <f>AY22</f>
        <v/>
      </c>
      <c r="BF156" s="34" t="str">
        <f>AU23</f>
        <v/>
      </c>
      <c r="BG156" s="34" t="str">
        <f>AV23</f>
        <v/>
      </c>
      <c r="BH156" s="34" t="str">
        <f>AW23</f>
        <v/>
      </c>
      <c r="BI156" s="35" t="str">
        <f>AX23</f>
        <v/>
      </c>
      <c r="BJ156" s="35" t="str">
        <f>AY23</f>
        <v/>
      </c>
    </row>
    <row r="157" spans="1:62" ht="13.7" customHeight="1" thickBot="1" x14ac:dyDescent="0.3"/>
    <row r="158" spans="1:62" ht="15.75" thickBot="1" x14ac:dyDescent="0.3">
      <c r="AH158" s="149" t="s">
        <v>37</v>
      </c>
      <c r="AI158" s="150"/>
      <c r="AJ158" s="150"/>
      <c r="AK158" s="151" t="str">
        <f>AD147</f>
        <v>KA41C4059</v>
      </c>
      <c r="AL158" s="151"/>
      <c r="AM158" s="152"/>
      <c r="AN158" s="157" t="str">
        <f>AA148</f>
        <v>TANKS: 48</v>
      </c>
      <c r="AO158" s="153"/>
      <c r="AP158" s="153" t="str">
        <f>AD148</f>
        <v>LTRS: 39500</v>
      </c>
      <c r="AQ158" s="153"/>
      <c r="AR158" s="154"/>
      <c r="AS158" s="150" t="s">
        <v>76</v>
      </c>
      <c r="AT158" s="150"/>
      <c r="AU158" s="155">
        <f>AD149</f>
        <v>46008</v>
      </c>
      <c r="AV158" s="155"/>
      <c r="AW158" s="156"/>
    </row>
    <row r="159" spans="1:62" ht="13.7" customHeight="1" x14ac:dyDescent="0.25"/>
    <row r="160" spans="1:62" ht="13.7" customHeight="1" thickBot="1" x14ac:dyDescent="0.3"/>
    <row r="161" spans="1:52" ht="13.7" customHeight="1" x14ac:dyDescent="0.25">
      <c r="A161" s="123" t="s">
        <v>31</v>
      </c>
      <c r="B161" s="113" t="s">
        <v>84</v>
      </c>
      <c r="C161" s="115"/>
      <c r="D161" s="113" t="s">
        <v>22</v>
      </c>
      <c r="E161" s="114"/>
      <c r="F161" s="114"/>
      <c r="G161" s="114"/>
      <c r="H161" s="115"/>
      <c r="I161" s="113" t="s">
        <v>20</v>
      </c>
      <c r="J161" s="114"/>
      <c r="K161" s="114"/>
      <c r="L161" s="114"/>
      <c r="M161" s="115"/>
      <c r="N161" s="113" t="s">
        <v>34</v>
      </c>
      <c r="O161" s="114"/>
      <c r="P161" s="114"/>
      <c r="Q161" s="114"/>
      <c r="R161" s="115"/>
      <c r="S161" s="113" t="s">
        <v>127</v>
      </c>
      <c r="T161" s="114"/>
      <c r="U161" s="114"/>
      <c r="V161" s="114"/>
      <c r="W161" s="115"/>
      <c r="X161" s="113" t="s">
        <v>129</v>
      </c>
      <c r="Y161" s="114"/>
      <c r="Z161" s="114"/>
      <c r="AA161" s="114"/>
      <c r="AB161" s="115"/>
      <c r="AC161" s="113" t="s">
        <v>26</v>
      </c>
      <c r="AD161" s="114"/>
      <c r="AE161" s="114"/>
      <c r="AF161" s="114"/>
      <c r="AG161" s="115"/>
      <c r="AH161" s="116" t="s">
        <v>24</v>
      </c>
      <c r="AI161" s="116" t="s">
        <v>86</v>
      </c>
      <c r="AJ161" s="81"/>
    </row>
    <row r="162" spans="1:52" ht="13.7" customHeight="1" thickBot="1" x14ac:dyDescent="0.3">
      <c r="A162" s="124"/>
      <c r="B162" s="12" t="s">
        <v>17</v>
      </c>
      <c r="C162" s="12" t="s">
        <v>19</v>
      </c>
      <c r="D162" s="9" t="s">
        <v>32</v>
      </c>
      <c r="E162" s="12" t="s">
        <v>17</v>
      </c>
      <c r="F162" s="12" t="s">
        <v>19</v>
      </c>
      <c r="G162" s="12" t="s">
        <v>33</v>
      </c>
      <c r="H162" s="14" t="s">
        <v>80</v>
      </c>
      <c r="I162" s="9" t="s">
        <v>32</v>
      </c>
      <c r="J162" s="12" t="s">
        <v>17</v>
      </c>
      <c r="K162" s="12" t="s">
        <v>19</v>
      </c>
      <c r="L162" s="12" t="s">
        <v>33</v>
      </c>
      <c r="M162" s="14" t="s">
        <v>80</v>
      </c>
      <c r="N162" s="9" t="s">
        <v>32</v>
      </c>
      <c r="O162" s="12" t="s">
        <v>17</v>
      </c>
      <c r="P162" s="12" t="s">
        <v>19</v>
      </c>
      <c r="Q162" s="12" t="s">
        <v>33</v>
      </c>
      <c r="R162" s="14" t="s">
        <v>80</v>
      </c>
      <c r="S162" s="9" t="s">
        <v>32</v>
      </c>
      <c r="T162" s="12" t="s">
        <v>17</v>
      </c>
      <c r="U162" s="12" t="s">
        <v>19</v>
      </c>
      <c r="V162" s="12" t="s">
        <v>33</v>
      </c>
      <c r="W162" s="14" t="s">
        <v>80</v>
      </c>
      <c r="X162" s="9" t="s">
        <v>32</v>
      </c>
      <c r="Y162" s="12" t="s">
        <v>17</v>
      </c>
      <c r="Z162" s="12" t="s">
        <v>19</v>
      </c>
      <c r="AA162" s="12" t="s">
        <v>33</v>
      </c>
      <c r="AB162" s="14" t="s">
        <v>80</v>
      </c>
      <c r="AC162" s="9" t="s">
        <v>32</v>
      </c>
      <c r="AD162" s="12" t="s">
        <v>17</v>
      </c>
      <c r="AE162" s="12" t="s">
        <v>19</v>
      </c>
      <c r="AF162" s="12" t="s">
        <v>33</v>
      </c>
      <c r="AG162" s="14" t="s">
        <v>80</v>
      </c>
      <c r="AH162" s="117"/>
      <c r="AI162" s="117"/>
      <c r="AJ162" s="81"/>
    </row>
    <row r="163" spans="1:52" ht="13.7" customHeight="1" x14ac:dyDescent="0.25">
      <c r="A163" s="16">
        <v>300</v>
      </c>
      <c r="B163" s="11">
        <f>T146</f>
        <v>0</v>
      </c>
      <c r="C163" s="11">
        <f>U146</f>
        <v>0</v>
      </c>
      <c r="D163" s="10">
        <f>B119+B133</f>
        <v>0</v>
      </c>
      <c r="E163" s="11">
        <f t="shared" ref="E163:AG171" si="50">C119+C133</f>
        <v>0</v>
      </c>
      <c r="F163" s="11">
        <f t="shared" si="50"/>
        <v>0</v>
      </c>
      <c r="G163" s="11">
        <f t="shared" si="50"/>
        <v>0</v>
      </c>
      <c r="H163" s="17">
        <f t="shared" si="50"/>
        <v>0</v>
      </c>
      <c r="I163" s="10">
        <f t="shared" si="50"/>
        <v>0</v>
      </c>
      <c r="J163" s="11">
        <f t="shared" si="50"/>
        <v>0</v>
      </c>
      <c r="K163" s="11">
        <f t="shared" si="50"/>
        <v>0</v>
      </c>
      <c r="L163" s="11">
        <f t="shared" si="50"/>
        <v>0</v>
      </c>
      <c r="M163" s="17">
        <f t="shared" si="50"/>
        <v>0</v>
      </c>
      <c r="N163" s="10">
        <f t="shared" si="50"/>
        <v>0</v>
      </c>
      <c r="O163" s="11">
        <f t="shared" si="50"/>
        <v>0</v>
      </c>
      <c r="P163" s="11">
        <f t="shared" si="50"/>
        <v>0</v>
      </c>
      <c r="Q163" s="11">
        <f t="shared" si="50"/>
        <v>0</v>
      </c>
      <c r="R163" s="17">
        <f t="shared" si="50"/>
        <v>0</v>
      </c>
      <c r="S163" s="10">
        <f t="shared" si="50"/>
        <v>0</v>
      </c>
      <c r="T163" s="11">
        <f t="shared" si="50"/>
        <v>0</v>
      </c>
      <c r="U163" s="11">
        <f t="shared" si="50"/>
        <v>0</v>
      </c>
      <c r="V163" s="11">
        <f t="shared" si="50"/>
        <v>0</v>
      </c>
      <c r="W163" s="17">
        <f t="shared" si="50"/>
        <v>0</v>
      </c>
      <c r="X163" s="10">
        <f t="shared" si="50"/>
        <v>0</v>
      </c>
      <c r="Y163" s="11">
        <f t="shared" si="50"/>
        <v>0</v>
      </c>
      <c r="Z163" s="11">
        <f t="shared" si="50"/>
        <v>0</v>
      </c>
      <c r="AA163" s="11">
        <f t="shared" si="50"/>
        <v>0</v>
      </c>
      <c r="AB163" s="17">
        <f t="shared" si="50"/>
        <v>0</v>
      </c>
      <c r="AC163" s="10">
        <f t="shared" si="50"/>
        <v>0</v>
      </c>
      <c r="AD163" s="11">
        <f t="shared" si="50"/>
        <v>0</v>
      </c>
      <c r="AE163" s="11">
        <f t="shared" si="50"/>
        <v>0</v>
      </c>
      <c r="AF163" s="11">
        <f t="shared" si="50"/>
        <v>0</v>
      </c>
      <c r="AG163" s="17">
        <f t="shared" si="50"/>
        <v>0</v>
      </c>
      <c r="AH163" s="16">
        <f>SUM(D163:AG163)*A163</f>
        <v>0</v>
      </c>
      <c r="AI163" s="16">
        <f>SUM(D163:AG163)</f>
        <v>0</v>
      </c>
      <c r="AJ163" s="82"/>
    </row>
    <row r="164" spans="1:52" ht="13.7" customHeight="1" x14ac:dyDescent="0.25">
      <c r="A164" s="16">
        <v>500</v>
      </c>
      <c r="B164" s="11">
        <f t="shared" ref="B164:C171" si="51">T147</f>
        <v>0</v>
      </c>
      <c r="C164" s="11">
        <f t="shared" si="51"/>
        <v>0</v>
      </c>
      <c r="D164" s="10">
        <f t="shared" ref="D164:D171" si="52">B120+B134</f>
        <v>0</v>
      </c>
      <c r="E164" s="11">
        <f t="shared" si="50"/>
        <v>20</v>
      </c>
      <c r="F164" s="11">
        <f t="shared" si="50"/>
        <v>0</v>
      </c>
      <c r="G164" s="11">
        <f t="shared" si="50"/>
        <v>0</v>
      </c>
      <c r="H164" s="17">
        <f t="shared" si="50"/>
        <v>0</v>
      </c>
      <c r="I164" s="10">
        <f t="shared" si="50"/>
        <v>0</v>
      </c>
      <c r="J164" s="11">
        <f t="shared" si="50"/>
        <v>0</v>
      </c>
      <c r="K164" s="11">
        <f t="shared" si="50"/>
        <v>0</v>
      </c>
      <c r="L164" s="11">
        <f t="shared" si="50"/>
        <v>0</v>
      </c>
      <c r="M164" s="17">
        <f t="shared" si="50"/>
        <v>0</v>
      </c>
      <c r="N164" s="10">
        <f t="shared" si="50"/>
        <v>0</v>
      </c>
      <c r="O164" s="11">
        <f t="shared" si="50"/>
        <v>0</v>
      </c>
      <c r="P164" s="11">
        <f t="shared" si="50"/>
        <v>0</v>
      </c>
      <c r="Q164" s="11">
        <f t="shared" si="50"/>
        <v>0</v>
      </c>
      <c r="R164" s="17">
        <f t="shared" si="50"/>
        <v>0</v>
      </c>
      <c r="S164" s="10">
        <f t="shared" si="50"/>
        <v>0</v>
      </c>
      <c r="T164" s="11">
        <f t="shared" si="50"/>
        <v>0</v>
      </c>
      <c r="U164" s="11">
        <f t="shared" si="50"/>
        <v>0</v>
      </c>
      <c r="V164" s="11">
        <f t="shared" si="50"/>
        <v>0</v>
      </c>
      <c r="W164" s="17">
        <f t="shared" si="50"/>
        <v>0</v>
      </c>
      <c r="X164" s="10">
        <f t="shared" si="50"/>
        <v>0</v>
      </c>
      <c r="Y164" s="11">
        <f t="shared" si="50"/>
        <v>0</v>
      </c>
      <c r="Z164" s="11">
        <f t="shared" si="50"/>
        <v>0</v>
      </c>
      <c r="AA164" s="11">
        <f t="shared" si="50"/>
        <v>0</v>
      </c>
      <c r="AB164" s="17">
        <f t="shared" si="50"/>
        <v>0</v>
      </c>
      <c r="AC164" s="10">
        <f t="shared" si="50"/>
        <v>0</v>
      </c>
      <c r="AD164" s="11">
        <f t="shared" si="50"/>
        <v>0</v>
      </c>
      <c r="AE164" s="11">
        <f t="shared" si="50"/>
        <v>0</v>
      </c>
      <c r="AF164" s="11">
        <f t="shared" si="50"/>
        <v>0</v>
      </c>
      <c r="AG164" s="17">
        <f t="shared" si="50"/>
        <v>0</v>
      </c>
      <c r="AH164" s="16">
        <f>SUM(D164:AG164)*A164</f>
        <v>10000</v>
      </c>
      <c r="AI164" s="16">
        <f t="shared" ref="AI164:AI172" si="53">SUM(D164:AG164)</f>
        <v>20</v>
      </c>
    </row>
    <row r="165" spans="1:52" ht="13.7" customHeight="1" x14ac:dyDescent="0.25">
      <c r="A165" s="15">
        <v>750</v>
      </c>
      <c r="B165" s="11">
        <f t="shared" si="51"/>
        <v>0</v>
      </c>
      <c r="C165" s="11">
        <f t="shared" si="51"/>
        <v>0</v>
      </c>
      <c r="D165" s="8">
        <f t="shared" si="52"/>
        <v>0</v>
      </c>
      <c r="E165" s="6">
        <f t="shared" si="50"/>
        <v>10</v>
      </c>
      <c r="F165" s="6">
        <f t="shared" si="50"/>
        <v>0</v>
      </c>
      <c r="G165" s="6">
        <f t="shared" si="50"/>
        <v>0</v>
      </c>
      <c r="H165" s="13">
        <f t="shared" si="50"/>
        <v>0</v>
      </c>
      <c r="I165" s="8">
        <f t="shared" si="50"/>
        <v>0</v>
      </c>
      <c r="J165" s="6">
        <f t="shared" si="50"/>
        <v>0</v>
      </c>
      <c r="K165" s="6">
        <f t="shared" si="50"/>
        <v>0</v>
      </c>
      <c r="L165" s="6">
        <f t="shared" si="50"/>
        <v>0</v>
      </c>
      <c r="M165" s="13">
        <f t="shared" si="50"/>
        <v>0</v>
      </c>
      <c r="N165" s="8">
        <f t="shared" si="50"/>
        <v>0</v>
      </c>
      <c r="O165" s="6">
        <f t="shared" si="50"/>
        <v>0</v>
      </c>
      <c r="P165" s="6">
        <f t="shared" si="50"/>
        <v>0</v>
      </c>
      <c r="Q165" s="6">
        <f t="shared" si="50"/>
        <v>0</v>
      </c>
      <c r="R165" s="13">
        <f t="shared" si="50"/>
        <v>0</v>
      </c>
      <c r="S165" s="8">
        <f t="shared" si="50"/>
        <v>0</v>
      </c>
      <c r="T165" s="6">
        <f t="shared" si="50"/>
        <v>0</v>
      </c>
      <c r="U165" s="6">
        <f t="shared" si="50"/>
        <v>0</v>
      </c>
      <c r="V165" s="6">
        <f t="shared" si="50"/>
        <v>0</v>
      </c>
      <c r="W165" s="13">
        <f t="shared" si="50"/>
        <v>0</v>
      </c>
      <c r="X165" s="8">
        <f t="shared" si="50"/>
        <v>0</v>
      </c>
      <c r="Y165" s="6">
        <f t="shared" si="50"/>
        <v>0</v>
      </c>
      <c r="Z165" s="6">
        <f t="shared" si="50"/>
        <v>0</v>
      </c>
      <c r="AA165" s="6">
        <f t="shared" si="50"/>
        <v>0</v>
      </c>
      <c r="AB165" s="13">
        <f t="shared" si="50"/>
        <v>0</v>
      </c>
      <c r="AC165" s="8">
        <f t="shared" si="50"/>
        <v>0</v>
      </c>
      <c r="AD165" s="6">
        <f t="shared" si="50"/>
        <v>0</v>
      </c>
      <c r="AE165" s="6">
        <f t="shared" si="50"/>
        <v>0</v>
      </c>
      <c r="AF165" s="6">
        <f t="shared" si="50"/>
        <v>0</v>
      </c>
      <c r="AG165" s="13">
        <f t="shared" si="50"/>
        <v>0</v>
      </c>
      <c r="AH165" s="16">
        <f>SUM(D165:AG165)*A165</f>
        <v>7500</v>
      </c>
      <c r="AI165" s="16">
        <f t="shared" si="53"/>
        <v>10</v>
      </c>
    </row>
    <row r="166" spans="1:52" ht="13.7" customHeight="1" x14ac:dyDescent="0.25">
      <c r="A166" s="15">
        <v>1000</v>
      </c>
      <c r="B166" s="11">
        <f t="shared" si="51"/>
        <v>0</v>
      </c>
      <c r="C166" s="11">
        <f t="shared" si="51"/>
        <v>0</v>
      </c>
      <c r="D166" s="8">
        <f t="shared" si="52"/>
        <v>0</v>
      </c>
      <c r="E166" s="6">
        <f t="shared" si="50"/>
        <v>10</v>
      </c>
      <c r="F166" s="6">
        <f t="shared" si="50"/>
        <v>0</v>
      </c>
      <c r="G166" s="6">
        <f t="shared" si="50"/>
        <v>0</v>
      </c>
      <c r="H166" s="13">
        <f t="shared" si="50"/>
        <v>0</v>
      </c>
      <c r="I166" s="8">
        <f t="shared" si="50"/>
        <v>0</v>
      </c>
      <c r="J166" s="6">
        <f t="shared" si="50"/>
        <v>0</v>
      </c>
      <c r="K166" s="6">
        <f t="shared" si="50"/>
        <v>0</v>
      </c>
      <c r="L166" s="6">
        <f t="shared" si="50"/>
        <v>0</v>
      </c>
      <c r="M166" s="13">
        <f t="shared" si="50"/>
        <v>0</v>
      </c>
      <c r="N166" s="8">
        <f t="shared" si="50"/>
        <v>0</v>
      </c>
      <c r="O166" s="6">
        <f t="shared" si="50"/>
        <v>0</v>
      </c>
      <c r="P166" s="6">
        <f t="shared" si="50"/>
        <v>0</v>
      </c>
      <c r="Q166" s="6">
        <f t="shared" si="50"/>
        <v>0</v>
      </c>
      <c r="R166" s="13">
        <f t="shared" si="50"/>
        <v>0</v>
      </c>
      <c r="S166" s="8">
        <f t="shared" si="50"/>
        <v>0</v>
      </c>
      <c r="T166" s="6">
        <f t="shared" si="50"/>
        <v>0</v>
      </c>
      <c r="U166" s="6">
        <f t="shared" si="50"/>
        <v>0</v>
      </c>
      <c r="V166" s="6">
        <f t="shared" si="50"/>
        <v>0</v>
      </c>
      <c r="W166" s="13">
        <f t="shared" si="50"/>
        <v>0</v>
      </c>
      <c r="X166" s="8">
        <f t="shared" si="50"/>
        <v>0</v>
      </c>
      <c r="Y166" s="6">
        <f t="shared" si="50"/>
        <v>0</v>
      </c>
      <c r="Z166" s="6">
        <f t="shared" si="50"/>
        <v>0</v>
      </c>
      <c r="AA166" s="6">
        <f t="shared" si="50"/>
        <v>0</v>
      </c>
      <c r="AB166" s="13">
        <f t="shared" si="50"/>
        <v>0</v>
      </c>
      <c r="AC166" s="8">
        <f t="shared" si="50"/>
        <v>0</v>
      </c>
      <c r="AD166" s="6">
        <f t="shared" si="50"/>
        <v>0</v>
      </c>
      <c r="AE166" s="6">
        <f t="shared" si="50"/>
        <v>0</v>
      </c>
      <c r="AF166" s="6">
        <f t="shared" si="50"/>
        <v>0</v>
      </c>
      <c r="AG166" s="13">
        <f t="shared" si="50"/>
        <v>0</v>
      </c>
      <c r="AH166" s="16">
        <f>SUM(D166:AG166)*A166</f>
        <v>10000</v>
      </c>
      <c r="AI166" s="16">
        <f t="shared" si="53"/>
        <v>10</v>
      </c>
    </row>
    <row r="167" spans="1:52" ht="13.7" customHeight="1" x14ac:dyDescent="0.25">
      <c r="A167" s="15">
        <v>1500</v>
      </c>
      <c r="B167" s="11">
        <f t="shared" si="51"/>
        <v>0</v>
      </c>
      <c r="C167" s="11">
        <f t="shared" si="51"/>
        <v>0</v>
      </c>
      <c r="D167" s="8">
        <f t="shared" si="52"/>
        <v>0</v>
      </c>
      <c r="E167" s="6">
        <f t="shared" si="50"/>
        <v>8</v>
      </c>
      <c r="F167" s="6">
        <f t="shared" si="50"/>
        <v>0</v>
      </c>
      <c r="G167" s="6">
        <f t="shared" si="50"/>
        <v>0</v>
      </c>
      <c r="H167" s="13">
        <f t="shared" si="50"/>
        <v>0</v>
      </c>
      <c r="I167" s="8">
        <f t="shared" si="50"/>
        <v>0</v>
      </c>
      <c r="J167" s="6">
        <f t="shared" si="50"/>
        <v>0</v>
      </c>
      <c r="K167" s="6">
        <f t="shared" si="50"/>
        <v>0</v>
      </c>
      <c r="L167" s="6">
        <f t="shared" si="50"/>
        <v>0</v>
      </c>
      <c r="M167" s="13">
        <f t="shared" si="50"/>
        <v>0</v>
      </c>
      <c r="N167" s="8">
        <f t="shared" si="50"/>
        <v>0</v>
      </c>
      <c r="O167" s="6">
        <f t="shared" si="50"/>
        <v>0</v>
      </c>
      <c r="P167" s="6">
        <f t="shared" si="50"/>
        <v>0</v>
      </c>
      <c r="Q167" s="6">
        <f t="shared" si="50"/>
        <v>0</v>
      </c>
      <c r="R167" s="13">
        <f t="shared" si="50"/>
        <v>0</v>
      </c>
      <c r="S167" s="8">
        <f t="shared" si="50"/>
        <v>0</v>
      </c>
      <c r="T167" s="6">
        <f t="shared" si="50"/>
        <v>0</v>
      </c>
      <c r="U167" s="6">
        <f t="shared" si="50"/>
        <v>0</v>
      </c>
      <c r="V167" s="6">
        <f t="shared" si="50"/>
        <v>0</v>
      </c>
      <c r="W167" s="13">
        <f t="shared" si="50"/>
        <v>0</v>
      </c>
      <c r="X167" s="8">
        <f t="shared" si="50"/>
        <v>0</v>
      </c>
      <c r="Y167" s="6">
        <f t="shared" si="50"/>
        <v>0</v>
      </c>
      <c r="Z167" s="6">
        <f t="shared" si="50"/>
        <v>0</v>
      </c>
      <c r="AA167" s="6">
        <f t="shared" si="50"/>
        <v>0</v>
      </c>
      <c r="AB167" s="13">
        <f t="shared" si="50"/>
        <v>0</v>
      </c>
      <c r="AC167" s="8">
        <f t="shared" si="50"/>
        <v>0</v>
      </c>
      <c r="AD167" s="6">
        <f t="shared" si="50"/>
        <v>0</v>
      </c>
      <c r="AE167" s="6">
        <f t="shared" si="50"/>
        <v>0</v>
      </c>
      <c r="AF167" s="6">
        <f t="shared" si="50"/>
        <v>0</v>
      </c>
      <c r="AG167" s="13">
        <f t="shared" si="50"/>
        <v>0</v>
      </c>
      <c r="AH167" s="16">
        <f>SUM(D167:AG167)*A167</f>
        <v>12000</v>
      </c>
      <c r="AI167" s="16">
        <f t="shared" si="53"/>
        <v>8</v>
      </c>
    </row>
    <row r="168" spans="1:52" ht="13.7" customHeight="1" x14ac:dyDescent="0.25">
      <c r="A168" s="15">
        <v>2000</v>
      </c>
      <c r="B168" s="11">
        <f t="shared" si="51"/>
        <v>0</v>
      </c>
      <c r="C168" s="11">
        <f t="shared" si="51"/>
        <v>0</v>
      </c>
      <c r="D168" s="8">
        <f t="shared" si="52"/>
        <v>0</v>
      </c>
      <c r="E168" s="6">
        <f t="shared" si="50"/>
        <v>0</v>
      </c>
      <c r="F168" s="6">
        <f t="shared" si="50"/>
        <v>0</v>
      </c>
      <c r="G168" s="6">
        <f t="shared" si="50"/>
        <v>0</v>
      </c>
      <c r="H168" s="13">
        <f t="shared" si="50"/>
        <v>0</v>
      </c>
      <c r="I168" s="8">
        <f t="shared" si="50"/>
        <v>0</v>
      </c>
      <c r="J168" s="6">
        <f t="shared" si="50"/>
        <v>0</v>
      </c>
      <c r="K168" s="6">
        <f t="shared" si="50"/>
        <v>0</v>
      </c>
      <c r="L168" s="6">
        <f t="shared" si="50"/>
        <v>0</v>
      </c>
      <c r="M168" s="13">
        <f t="shared" si="50"/>
        <v>0</v>
      </c>
      <c r="N168" s="8">
        <f t="shared" si="50"/>
        <v>0</v>
      </c>
      <c r="O168" s="6">
        <f t="shared" si="50"/>
        <v>0</v>
      </c>
      <c r="P168" s="6">
        <f t="shared" si="50"/>
        <v>0</v>
      </c>
      <c r="Q168" s="6">
        <f t="shared" si="50"/>
        <v>0</v>
      </c>
      <c r="R168" s="13">
        <f t="shared" si="50"/>
        <v>0</v>
      </c>
      <c r="S168" s="8">
        <f t="shared" si="50"/>
        <v>0</v>
      </c>
      <c r="T168" s="6">
        <f t="shared" si="50"/>
        <v>0</v>
      </c>
      <c r="U168" s="6">
        <f t="shared" si="50"/>
        <v>0</v>
      </c>
      <c r="V168" s="6">
        <f t="shared" si="50"/>
        <v>0</v>
      </c>
      <c r="W168" s="13">
        <f t="shared" si="50"/>
        <v>0</v>
      </c>
      <c r="X168" s="8">
        <f t="shared" si="50"/>
        <v>0</v>
      </c>
      <c r="Y168" s="6">
        <f t="shared" si="50"/>
        <v>0</v>
      </c>
      <c r="Z168" s="6">
        <f t="shared" si="50"/>
        <v>0</v>
      </c>
      <c r="AA168" s="6">
        <f t="shared" si="50"/>
        <v>0</v>
      </c>
      <c r="AB168" s="13">
        <f t="shared" si="50"/>
        <v>0</v>
      </c>
      <c r="AC168" s="8">
        <f t="shared" si="50"/>
        <v>0</v>
      </c>
      <c r="AD168" s="6">
        <f t="shared" si="50"/>
        <v>0</v>
      </c>
      <c r="AE168" s="6">
        <f t="shared" si="50"/>
        <v>0</v>
      </c>
      <c r="AF168" s="6">
        <f t="shared" si="50"/>
        <v>0</v>
      </c>
      <c r="AG168" s="13">
        <f t="shared" si="50"/>
        <v>0</v>
      </c>
      <c r="AH168" s="16">
        <f>SUM(D168:AG168)*A168</f>
        <v>0</v>
      </c>
      <c r="AI168" s="16">
        <f t="shared" si="53"/>
        <v>0</v>
      </c>
    </row>
    <row r="169" spans="1:52" ht="13.7" customHeight="1" x14ac:dyDescent="0.25">
      <c r="A169" s="15">
        <v>3000</v>
      </c>
      <c r="B169" s="11">
        <f t="shared" si="51"/>
        <v>0</v>
      </c>
      <c r="C169" s="11">
        <f t="shared" si="51"/>
        <v>0</v>
      </c>
      <c r="D169" s="8">
        <f t="shared" si="52"/>
        <v>0</v>
      </c>
      <c r="E169" s="6">
        <f t="shared" si="50"/>
        <v>0</v>
      </c>
      <c r="F169" s="6">
        <f t="shared" si="50"/>
        <v>0</v>
      </c>
      <c r="G169" s="6">
        <f t="shared" si="50"/>
        <v>0</v>
      </c>
      <c r="H169" s="13">
        <f t="shared" si="50"/>
        <v>0</v>
      </c>
      <c r="I169" s="8">
        <f t="shared" si="50"/>
        <v>0</v>
      </c>
      <c r="J169" s="6">
        <f t="shared" si="50"/>
        <v>0</v>
      </c>
      <c r="K169" s="6">
        <f t="shared" si="50"/>
        <v>0</v>
      </c>
      <c r="L169" s="6">
        <f t="shared" si="50"/>
        <v>0</v>
      </c>
      <c r="M169" s="13">
        <f t="shared" si="50"/>
        <v>0</v>
      </c>
      <c r="N169" s="8">
        <f t="shared" si="50"/>
        <v>0</v>
      </c>
      <c r="O169" s="6">
        <f t="shared" si="50"/>
        <v>0</v>
      </c>
      <c r="P169" s="6">
        <f t="shared" si="50"/>
        <v>0</v>
      </c>
      <c r="Q169" s="6">
        <f t="shared" si="50"/>
        <v>0</v>
      </c>
      <c r="R169" s="13">
        <f t="shared" si="50"/>
        <v>0</v>
      </c>
      <c r="S169" s="8">
        <f t="shared" si="50"/>
        <v>0</v>
      </c>
      <c r="T169" s="6">
        <f t="shared" si="50"/>
        <v>0</v>
      </c>
      <c r="U169" s="6">
        <f t="shared" si="50"/>
        <v>0</v>
      </c>
      <c r="V169" s="6">
        <f t="shared" si="50"/>
        <v>0</v>
      </c>
      <c r="W169" s="13">
        <f t="shared" si="50"/>
        <v>0</v>
      </c>
      <c r="X169" s="8">
        <f t="shared" si="50"/>
        <v>0</v>
      </c>
      <c r="Y169" s="6">
        <f t="shared" si="50"/>
        <v>0</v>
      </c>
      <c r="Z169" s="6">
        <f t="shared" si="50"/>
        <v>0</v>
      </c>
      <c r="AA169" s="6">
        <f t="shared" si="50"/>
        <v>0</v>
      </c>
      <c r="AB169" s="13">
        <f t="shared" si="50"/>
        <v>0</v>
      </c>
      <c r="AC169" s="8">
        <f t="shared" si="50"/>
        <v>0</v>
      </c>
      <c r="AD169" s="6">
        <f t="shared" si="50"/>
        <v>0</v>
      </c>
      <c r="AE169" s="6">
        <f t="shared" si="50"/>
        <v>0</v>
      </c>
      <c r="AF169" s="6">
        <f t="shared" si="50"/>
        <v>0</v>
      </c>
      <c r="AG169" s="13">
        <f t="shared" si="50"/>
        <v>0</v>
      </c>
      <c r="AH169" s="16">
        <f>SUM(D169:AG169)*A169</f>
        <v>0</v>
      </c>
      <c r="AI169" s="16">
        <f t="shared" si="53"/>
        <v>0</v>
      </c>
    </row>
    <row r="170" spans="1:52" ht="13.7" customHeight="1" x14ac:dyDescent="0.25">
      <c r="A170" s="15">
        <v>5000</v>
      </c>
      <c r="B170" s="11">
        <f t="shared" si="51"/>
        <v>0</v>
      </c>
      <c r="C170" s="11">
        <f t="shared" si="51"/>
        <v>0</v>
      </c>
      <c r="D170" s="8">
        <f t="shared" si="52"/>
        <v>0</v>
      </c>
      <c r="E170" s="6">
        <f t="shared" si="50"/>
        <v>0</v>
      </c>
      <c r="F170" s="6">
        <f t="shared" si="50"/>
        <v>0</v>
      </c>
      <c r="G170" s="6">
        <f t="shared" si="50"/>
        <v>0</v>
      </c>
      <c r="H170" s="13">
        <f t="shared" si="50"/>
        <v>0</v>
      </c>
      <c r="I170" s="8">
        <f t="shared" si="50"/>
        <v>0</v>
      </c>
      <c r="J170" s="6">
        <f t="shared" si="50"/>
        <v>0</v>
      </c>
      <c r="K170" s="6">
        <f t="shared" si="50"/>
        <v>0</v>
      </c>
      <c r="L170" s="6">
        <f t="shared" si="50"/>
        <v>0</v>
      </c>
      <c r="M170" s="13">
        <f t="shared" si="50"/>
        <v>0</v>
      </c>
      <c r="N170" s="8">
        <f t="shared" si="50"/>
        <v>0</v>
      </c>
      <c r="O170" s="6">
        <f t="shared" si="50"/>
        <v>0</v>
      </c>
      <c r="P170" s="6">
        <f t="shared" si="50"/>
        <v>0</v>
      </c>
      <c r="Q170" s="6">
        <f t="shared" si="50"/>
        <v>0</v>
      </c>
      <c r="R170" s="13">
        <f t="shared" si="50"/>
        <v>0</v>
      </c>
      <c r="S170" s="8">
        <f t="shared" si="50"/>
        <v>0</v>
      </c>
      <c r="T170" s="6">
        <f t="shared" si="50"/>
        <v>0</v>
      </c>
      <c r="U170" s="6">
        <f t="shared" si="50"/>
        <v>0</v>
      </c>
      <c r="V170" s="6">
        <f t="shared" si="50"/>
        <v>0</v>
      </c>
      <c r="W170" s="13">
        <f t="shared" si="50"/>
        <v>0</v>
      </c>
      <c r="X170" s="8">
        <f t="shared" si="50"/>
        <v>0</v>
      </c>
      <c r="Y170" s="6">
        <f t="shared" si="50"/>
        <v>0</v>
      </c>
      <c r="Z170" s="6">
        <f t="shared" si="50"/>
        <v>0</v>
      </c>
      <c r="AA170" s="6">
        <f t="shared" si="50"/>
        <v>0</v>
      </c>
      <c r="AB170" s="13">
        <f t="shared" si="50"/>
        <v>0</v>
      </c>
      <c r="AC170" s="8">
        <f t="shared" si="50"/>
        <v>0</v>
      </c>
      <c r="AD170" s="6">
        <f t="shared" si="50"/>
        <v>0</v>
      </c>
      <c r="AE170" s="6">
        <f t="shared" si="50"/>
        <v>0</v>
      </c>
      <c r="AF170" s="6">
        <f t="shared" si="50"/>
        <v>0</v>
      </c>
      <c r="AG170" s="13">
        <f t="shared" si="50"/>
        <v>0</v>
      </c>
      <c r="AH170" s="16">
        <f>SUM(D170:AG170)*A170</f>
        <v>0</v>
      </c>
      <c r="AI170" s="16">
        <f t="shared" si="53"/>
        <v>0</v>
      </c>
    </row>
    <row r="171" spans="1:52" ht="15" customHeight="1" thickBot="1" x14ac:dyDescent="0.3">
      <c r="A171" s="59">
        <v>10000</v>
      </c>
      <c r="B171" s="11">
        <f t="shared" si="51"/>
        <v>0</v>
      </c>
      <c r="C171" s="11">
        <f t="shared" si="51"/>
        <v>0</v>
      </c>
      <c r="D171" s="31">
        <f t="shared" si="52"/>
        <v>0</v>
      </c>
      <c r="E171" s="32">
        <f t="shared" si="50"/>
        <v>0</v>
      </c>
      <c r="F171" s="32">
        <f t="shared" si="50"/>
        <v>0</v>
      </c>
      <c r="G171" s="32">
        <f t="shared" si="50"/>
        <v>0</v>
      </c>
      <c r="H171" s="33">
        <f t="shared" si="50"/>
        <v>0</v>
      </c>
      <c r="I171" s="31">
        <f t="shared" si="50"/>
        <v>0</v>
      </c>
      <c r="J171" s="32">
        <f t="shared" si="50"/>
        <v>0</v>
      </c>
      <c r="K171" s="32">
        <f t="shared" si="50"/>
        <v>0</v>
      </c>
      <c r="L171" s="32">
        <f t="shared" si="50"/>
        <v>0</v>
      </c>
      <c r="M171" s="33">
        <f t="shared" si="50"/>
        <v>0</v>
      </c>
      <c r="N171" s="31">
        <f t="shared" si="50"/>
        <v>0</v>
      </c>
      <c r="O171" s="32">
        <f t="shared" si="50"/>
        <v>0</v>
      </c>
      <c r="P171" s="32">
        <f t="shared" si="50"/>
        <v>0</v>
      </c>
      <c r="Q171" s="32">
        <f t="shared" si="50"/>
        <v>0</v>
      </c>
      <c r="R171" s="33">
        <f t="shared" si="50"/>
        <v>0</v>
      </c>
      <c r="S171" s="31">
        <f t="shared" si="50"/>
        <v>0</v>
      </c>
      <c r="T171" s="32">
        <f t="shared" si="50"/>
        <v>0</v>
      </c>
      <c r="U171" s="32">
        <f t="shared" si="50"/>
        <v>0</v>
      </c>
      <c r="V171" s="32">
        <f t="shared" si="50"/>
        <v>0</v>
      </c>
      <c r="W171" s="33">
        <f t="shared" si="50"/>
        <v>0</v>
      </c>
      <c r="X171" s="31">
        <f t="shared" si="50"/>
        <v>0</v>
      </c>
      <c r="Y171" s="32">
        <f t="shared" si="50"/>
        <v>0</v>
      </c>
      <c r="Z171" s="32">
        <f t="shared" si="50"/>
        <v>0</v>
      </c>
      <c r="AA171" s="32">
        <f t="shared" si="50"/>
        <v>0</v>
      </c>
      <c r="AB171" s="33">
        <f t="shared" ref="AB171:AG171" si="54">Z127+Z141</f>
        <v>0</v>
      </c>
      <c r="AC171" s="31">
        <f t="shared" si="54"/>
        <v>0</v>
      </c>
      <c r="AD171" s="32">
        <f t="shared" si="54"/>
        <v>0</v>
      </c>
      <c r="AE171" s="32">
        <f t="shared" si="54"/>
        <v>0</v>
      </c>
      <c r="AF171" s="32">
        <f t="shared" si="54"/>
        <v>0</v>
      </c>
      <c r="AG171" s="33">
        <f t="shared" si="54"/>
        <v>0</v>
      </c>
      <c r="AH171" s="16">
        <f>SUM(D171:AG171)*A171</f>
        <v>0</v>
      </c>
      <c r="AI171" s="43">
        <f t="shared" si="53"/>
        <v>0</v>
      </c>
    </row>
    <row r="172" spans="1:52" ht="15" customHeight="1" thickBot="1" x14ac:dyDescent="0.3">
      <c r="A172" s="35"/>
      <c r="B172" s="61">
        <f>SUM(B163:B171)</f>
        <v>0</v>
      </c>
      <c r="C172" s="61">
        <f t="shared" ref="C172" si="55">SUM(C163:C171)</f>
        <v>0</v>
      </c>
      <c r="D172" s="60">
        <f t="shared" ref="D172:AI172" si="56">SUM(D163:D171)</f>
        <v>0</v>
      </c>
      <c r="E172" s="61">
        <f t="shared" si="56"/>
        <v>48</v>
      </c>
      <c r="F172" s="61">
        <f t="shared" si="56"/>
        <v>0</v>
      </c>
      <c r="G172" s="61">
        <f t="shared" si="56"/>
        <v>0</v>
      </c>
      <c r="H172" s="62">
        <f t="shared" si="56"/>
        <v>0</v>
      </c>
      <c r="I172" s="60">
        <f t="shared" si="56"/>
        <v>0</v>
      </c>
      <c r="J172" s="61">
        <f t="shared" si="56"/>
        <v>0</v>
      </c>
      <c r="K172" s="61">
        <f t="shared" si="56"/>
        <v>0</v>
      </c>
      <c r="L172" s="61">
        <f t="shared" si="56"/>
        <v>0</v>
      </c>
      <c r="M172" s="62">
        <f t="shared" si="56"/>
        <v>0</v>
      </c>
      <c r="N172" s="60">
        <f t="shared" si="56"/>
        <v>0</v>
      </c>
      <c r="O172" s="61">
        <f t="shared" si="56"/>
        <v>0</v>
      </c>
      <c r="P172" s="61">
        <f t="shared" si="56"/>
        <v>0</v>
      </c>
      <c r="Q172" s="61">
        <f t="shared" si="56"/>
        <v>0</v>
      </c>
      <c r="R172" s="62">
        <f t="shared" si="56"/>
        <v>0</v>
      </c>
      <c r="S172" s="60">
        <f t="shared" si="56"/>
        <v>0</v>
      </c>
      <c r="T172" s="61">
        <f t="shared" si="56"/>
        <v>0</v>
      </c>
      <c r="U172" s="61">
        <f t="shared" si="56"/>
        <v>0</v>
      </c>
      <c r="V172" s="61">
        <f t="shared" si="56"/>
        <v>0</v>
      </c>
      <c r="W172" s="62">
        <f t="shared" si="56"/>
        <v>0</v>
      </c>
      <c r="X172" s="60">
        <f t="shared" si="56"/>
        <v>0</v>
      </c>
      <c r="Y172" s="61">
        <f t="shared" si="56"/>
        <v>0</v>
      </c>
      <c r="Z172" s="61">
        <f t="shared" si="56"/>
        <v>0</v>
      </c>
      <c r="AA172" s="61">
        <f t="shared" si="56"/>
        <v>0</v>
      </c>
      <c r="AB172" s="62">
        <f t="shared" si="56"/>
        <v>0</v>
      </c>
      <c r="AC172" s="60">
        <f t="shared" si="56"/>
        <v>0</v>
      </c>
      <c r="AD172" s="61">
        <f t="shared" si="56"/>
        <v>0</v>
      </c>
      <c r="AE172" s="61">
        <f t="shared" si="56"/>
        <v>0</v>
      </c>
      <c r="AF172" s="61">
        <f t="shared" si="56"/>
        <v>0</v>
      </c>
      <c r="AG172" s="62">
        <f t="shared" si="56"/>
        <v>0</v>
      </c>
      <c r="AH172" s="35">
        <f>SUM(AH163:AH171)</f>
        <v>39500</v>
      </c>
      <c r="AI172" s="35">
        <f t="shared" si="53"/>
        <v>48</v>
      </c>
    </row>
    <row r="173" spans="1:52" ht="15.75" customHeight="1" x14ac:dyDescent="0.25"/>
    <row r="174" spans="1:52" ht="15.75" customHeight="1" x14ac:dyDescent="0.25"/>
    <row r="175" spans="1:52" ht="15" customHeight="1" x14ac:dyDescent="0.25">
      <c r="AX175" s="44"/>
      <c r="AY175" s="44"/>
      <c r="AZ175" s="44"/>
    </row>
    <row r="176" spans="1:52" ht="15" customHeight="1" x14ac:dyDescent="0.25">
      <c r="AX176" s="44"/>
      <c r="AY176" s="44"/>
      <c r="AZ176" s="44"/>
    </row>
    <row r="177" spans="50:54" ht="15" customHeight="1" x14ac:dyDescent="0.25">
      <c r="AX177" s="44"/>
      <c r="AY177" s="44"/>
      <c r="AZ177" s="44"/>
    </row>
    <row r="178" spans="50:54" ht="15" customHeight="1" x14ac:dyDescent="0.25">
      <c r="AX178" s="44"/>
      <c r="AY178" s="44"/>
      <c r="AZ178" s="44"/>
    </row>
    <row r="179" spans="50:54" ht="15" customHeight="1" x14ac:dyDescent="0.25">
      <c r="AX179" s="44"/>
      <c r="AY179" s="44"/>
      <c r="AZ179" s="44"/>
    </row>
    <row r="180" spans="50:54" ht="15" customHeight="1" x14ac:dyDescent="0.25">
      <c r="AX180" s="44"/>
      <c r="AY180" s="44"/>
      <c r="AZ180" s="44"/>
    </row>
    <row r="181" spans="50:54" ht="15" customHeight="1" x14ac:dyDescent="0.25">
      <c r="AX181" s="44"/>
    </row>
    <row r="182" spans="50:54" ht="15" customHeight="1" x14ac:dyDescent="0.25">
      <c r="AX182" s="44"/>
    </row>
    <row r="183" spans="50:54" ht="15" customHeight="1" x14ac:dyDescent="0.25">
      <c r="AX183" s="44"/>
    </row>
    <row r="184" spans="50:54" ht="15.75" customHeight="1" x14ac:dyDescent="0.25"/>
    <row r="186" spans="50:54" x14ac:dyDescent="0.25">
      <c r="BB186" s="44"/>
    </row>
    <row r="187" spans="50:54" ht="15" customHeight="1" x14ac:dyDescent="0.25"/>
    <row r="188" spans="50:54" ht="15" customHeight="1" x14ac:dyDescent="0.25"/>
    <row r="189" spans="50:54" ht="15" customHeight="1" x14ac:dyDescent="0.25"/>
  </sheetData>
  <mergeCells count="134">
    <mergeCell ref="AK158:AM158"/>
    <mergeCell ref="AN158:AO158"/>
    <mergeCell ref="AP158:AR158"/>
    <mergeCell ref="AS158:AT158"/>
    <mergeCell ref="AU158:AW158"/>
    <mergeCell ref="A161:A162"/>
    <mergeCell ref="B161:C161"/>
    <mergeCell ref="D161:H161"/>
    <mergeCell ref="I161:M161"/>
    <mergeCell ref="N161:R161"/>
    <mergeCell ref="S161:W161"/>
    <mergeCell ref="X161:AB161"/>
    <mergeCell ref="AC161:AG161"/>
    <mergeCell ref="AH161:AH162"/>
    <mergeCell ref="AI161:AI162"/>
    <mergeCell ref="AU151:AV151"/>
    <mergeCell ref="AW151:AX151"/>
    <mergeCell ref="BA151:BB151"/>
    <mergeCell ref="BC151:BD151"/>
    <mergeCell ref="BG151:BH151"/>
    <mergeCell ref="BI151:BJ151"/>
    <mergeCell ref="AI152:AJ152"/>
    <mergeCell ref="AK152:AL152"/>
    <mergeCell ref="AO152:AP152"/>
    <mergeCell ref="AQ152:AR152"/>
    <mergeCell ref="AU152:AV152"/>
    <mergeCell ref="AW152:AX152"/>
    <mergeCell ref="BA152:BB152"/>
    <mergeCell ref="BC152:BD152"/>
    <mergeCell ref="BG152:BH152"/>
    <mergeCell ref="BI152:BJ152"/>
    <mergeCell ref="AD147:AF147"/>
    <mergeCell ref="AA148:AC148"/>
    <mergeCell ref="AD148:AF148"/>
    <mergeCell ref="AA149:AC149"/>
    <mergeCell ref="AD149:AF149"/>
    <mergeCell ref="AI151:AJ151"/>
    <mergeCell ref="AK151:AL151"/>
    <mergeCell ref="AO151:AP151"/>
    <mergeCell ref="AQ151:AR151"/>
    <mergeCell ref="AH138:AL138"/>
    <mergeCell ref="AN138:AR138"/>
    <mergeCell ref="AT138:AX138"/>
    <mergeCell ref="AZ138:BD138"/>
    <mergeCell ref="BF138:BJ138"/>
    <mergeCell ref="AH139:AL139"/>
    <mergeCell ref="AN139:AR139"/>
    <mergeCell ref="AT139:AX139"/>
    <mergeCell ref="AZ139:BD139"/>
    <mergeCell ref="BF139:BJ139"/>
    <mergeCell ref="BG131:BH131"/>
    <mergeCell ref="BI131:BJ131"/>
    <mergeCell ref="AH137:AI137"/>
    <mergeCell ref="AJ137:AL137"/>
    <mergeCell ref="AN137:AO137"/>
    <mergeCell ref="AP137:AR137"/>
    <mergeCell ref="AT137:AU137"/>
    <mergeCell ref="AV137:AX137"/>
    <mergeCell ref="AZ137:BA137"/>
    <mergeCell ref="BB137:BD137"/>
    <mergeCell ref="BF137:BG137"/>
    <mergeCell ref="BH137:BJ137"/>
    <mergeCell ref="AO130:AP130"/>
    <mergeCell ref="AQ130:AR130"/>
    <mergeCell ref="AU130:AV130"/>
    <mergeCell ref="AW130:AX130"/>
    <mergeCell ref="BA130:BB130"/>
    <mergeCell ref="BC130:BD130"/>
    <mergeCell ref="BG130:BH130"/>
    <mergeCell ref="BI130:BJ130"/>
    <mergeCell ref="A131:A132"/>
    <mergeCell ref="B131:F131"/>
    <mergeCell ref="L131:P131"/>
    <mergeCell ref="Q131:U131"/>
    <mergeCell ref="V131:Z131"/>
    <mergeCell ref="AA131:AE131"/>
    <mergeCell ref="AF131:AF132"/>
    <mergeCell ref="AG131:AG132"/>
    <mergeCell ref="AI131:AJ131"/>
    <mergeCell ref="AK131:AL131"/>
    <mergeCell ref="AO131:AP131"/>
    <mergeCell ref="AQ131:AR131"/>
    <mergeCell ref="AU131:AV131"/>
    <mergeCell ref="AW131:AX131"/>
    <mergeCell ref="BA131:BB131"/>
    <mergeCell ref="BC131:BD131"/>
    <mergeCell ref="AN117:AR117"/>
    <mergeCell ref="AT117:AX117"/>
    <mergeCell ref="AZ117:BD117"/>
    <mergeCell ref="BF117:BJ117"/>
    <mergeCell ref="AH118:AL118"/>
    <mergeCell ref="AN118:AR118"/>
    <mergeCell ref="AT118:AX118"/>
    <mergeCell ref="AZ118:BD118"/>
    <mergeCell ref="BF118:BJ118"/>
    <mergeCell ref="AJ116:AL116"/>
    <mergeCell ref="AN116:AO116"/>
    <mergeCell ref="AP116:AR116"/>
    <mergeCell ref="AT116:AU116"/>
    <mergeCell ref="AV116:AX116"/>
    <mergeCell ref="AZ116:BA116"/>
    <mergeCell ref="BB116:BD116"/>
    <mergeCell ref="BF116:BG116"/>
    <mergeCell ref="BH116:BJ116"/>
    <mergeCell ref="AH158:AJ158"/>
    <mergeCell ref="T144:U144"/>
    <mergeCell ref="A144:B144"/>
    <mergeCell ref="G144:H144"/>
    <mergeCell ref="J144:K147"/>
    <mergeCell ref="M144:N147"/>
    <mergeCell ref="P144:Q147"/>
    <mergeCell ref="S144:S145"/>
    <mergeCell ref="V144:V145"/>
    <mergeCell ref="W144:W145"/>
    <mergeCell ref="AA147:AC147"/>
    <mergeCell ref="A114:C114"/>
    <mergeCell ref="D114:G114"/>
    <mergeCell ref="G131:K131"/>
    <mergeCell ref="A116:AG116"/>
    <mergeCell ref="AH116:AI116"/>
    <mergeCell ref="A117:A118"/>
    <mergeCell ref="B117:F117"/>
    <mergeCell ref="G117:K117"/>
    <mergeCell ref="L117:P117"/>
    <mergeCell ref="Q117:U117"/>
    <mergeCell ref="V117:Z117"/>
    <mergeCell ref="AA117:AE117"/>
    <mergeCell ref="AF117:AF118"/>
    <mergeCell ref="AG117:AG118"/>
    <mergeCell ref="AH117:AL117"/>
    <mergeCell ref="A130:AG130"/>
    <mergeCell ref="AI130:AJ130"/>
    <mergeCell ref="AK130:AL130"/>
    <mergeCell ref="D144:E144"/>
  </mergeCells>
  <pageMargins left="0" right="0" top="0" bottom="0" header="0.31496062992125984" footer="0.31496062992125984"/>
  <pageSetup paperSize="9" scale="88" orientation="landscape" verticalDpi="300" r:id="rId1"/>
  <headerFooter>
    <oddFooter>&amp;LPRINTED ON &amp;D AT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BY189"/>
  <sheetViews>
    <sheetView showZeros="0" zoomScaleNormal="100" workbookViewId="0">
      <selection sqref="A1:XFD1048576"/>
    </sheetView>
  </sheetViews>
  <sheetFormatPr defaultColWidth="9.140625" defaultRowHeight="15" x14ac:dyDescent="0.25"/>
  <cols>
    <col min="1" max="1" width="6.28515625" style="28" customWidth="1"/>
    <col min="2" max="2" width="5.85546875" style="28" customWidth="1"/>
    <col min="3" max="3" width="4.42578125" style="28" customWidth="1"/>
    <col min="4" max="4" width="6.28515625" style="28" customWidth="1"/>
    <col min="5" max="5" width="5.85546875" style="28" customWidth="1"/>
    <col min="6" max="6" width="4.42578125" style="28" customWidth="1"/>
    <col min="7" max="7" width="6.28515625" style="28" customWidth="1"/>
    <col min="8" max="8" width="5.85546875" style="28" customWidth="1"/>
    <col min="9" max="9" width="4.42578125" style="28" customWidth="1"/>
    <col min="10" max="10" width="6.28515625" style="28" customWidth="1"/>
    <col min="11" max="12" width="4.42578125" style="28" customWidth="1"/>
    <col min="13" max="13" width="6.28515625" style="28" customWidth="1"/>
    <col min="14" max="15" width="4.42578125" style="28" customWidth="1"/>
    <col min="16" max="16" width="6.28515625" style="28" customWidth="1"/>
    <col min="17" max="18" width="4.42578125" style="28" customWidth="1"/>
    <col min="19" max="19" width="6.28515625" style="28" customWidth="1"/>
    <col min="20" max="21" width="4.7109375" style="28" customWidth="1"/>
    <col min="22" max="22" width="6.28515625" style="28" customWidth="1"/>
    <col min="23" max="23" width="5.42578125" style="28" customWidth="1"/>
    <col min="24" max="31" width="4.42578125" style="28" customWidth="1"/>
    <col min="32" max="33" width="6.28515625" style="28" customWidth="1"/>
    <col min="34" max="62" width="5.85546875" style="28" customWidth="1"/>
    <col min="63" max="63" width="5.140625" style="28" bestFit="1" customWidth="1"/>
    <col min="64" max="64" width="5.7109375" style="28" bestFit="1" customWidth="1"/>
    <col min="65" max="65" width="5" style="28" bestFit="1" customWidth="1"/>
    <col min="66" max="67" width="4.140625" style="28" bestFit="1" customWidth="1"/>
    <col min="68" max="68" width="4.28515625" style="28" bestFit="1" customWidth="1"/>
    <col min="69" max="69" width="5.140625" style="28" bestFit="1" customWidth="1"/>
    <col min="70" max="70" width="7.42578125" style="28" bestFit="1" customWidth="1"/>
    <col min="71" max="71" width="12.5703125" style="28" bestFit="1" customWidth="1"/>
    <col min="72" max="72" width="6.140625" style="28" bestFit="1" customWidth="1"/>
    <col min="73" max="16384" width="9.140625" style="28"/>
  </cols>
  <sheetData>
    <row r="1" spans="1:77" ht="16.5" customHeight="1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15</v>
      </c>
      <c r="J1" s="24" t="s">
        <v>133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133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133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12</v>
      </c>
      <c r="AB1" s="24" t="s">
        <v>133</v>
      </c>
      <c r="AC1" s="24" t="s">
        <v>8</v>
      </c>
      <c r="AD1" s="24" t="s">
        <v>9</v>
      </c>
      <c r="AE1" s="24" t="s">
        <v>10</v>
      </c>
      <c r="AF1" s="24" t="s">
        <v>11</v>
      </c>
      <c r="AG1" s="24" t="s">
        <v>12</v>
      </c>
      <c r="AH1" s="24" t="s">
        <v>133</v>
      </c>
      <c r="AI1" s="24" t="s">
        <v>8</v>
      </c>
      <c r="AJ1" s="24" t="s">
        <v>9</v>
      </c>
      <c r="AK1" s="24" t="s">
        <v>10</v>
      </c>
      <c r="AL1" s="24" t="s">
        <v>11</v>
      </c>
      <c r="AM1" s="24" t="s">
        <v>12</v>
      </c>
      <c r="AN1" s="24" t="s">
        <v>133</v>
      </c>
      <c r="AO1" s="24" t="s">
        <v>8</v>
      </c>
      <c r="AP1" s="24" t="s">
        <v>9</v>
      </c>
      <c r="AQ1" s="24" t="s">
        <v>10</v>
      </c>
      <c r="AR1" s="24" t="s">
        <v>11</v>
      </c>
      <c r="AS1" s="24" t="s">
        <v>12</v>
      </c>
      <c r="AT1" s="24" t="s">
        <v>133</v>
      </c>
      <c r="AU1" s="24" t="s">
        <v>8</v>
      </c>
      <c r="AV1" s="24" t="s">
        <v>9</v>
      </c>
      <c r="AW1" s="24" t="s">
        <v>10</v>
      </c>
      <c r="AX1" s="24" t="s">
        <v>11</v>
      </c>
      <c r="AY1" s="24" t="s">
        <v>12</v>
      </c>
      <c r="AZ1" s="24" t="s">
        <v>133</v>
      </c>
      <c r="BA1" s="24" t="s">
        <v>8</v>
      </c>
      <c r="BB1" s="24" t="s">
        <v>9</v>
      </c>
      <c r="BC1" s="24" t="s">
        <v>10</v>
      </c>
      <c r="BD1" s="24" t="s">
        <v>11</v>
      </c>
      <c r="BE1" s="24" t="s">
        <v>12</v>
      </c>
      <c r="BF1" s="24" t="s">
        <v>133</v>
      </c>
      <c r="BG1" s="24" t="s">
        <v>8</v>
      </c>
      <c r="BH1" s="24" t="s">
        <v>9</v>
      </c>
      <c r="BI1" s="24" t="s">
        <v>10</v>
      </c>
      <c r="BJ1" s="24" t="s">
        <v>11</v>
      </c>
      <c r="BK1" s="24" t="s">
        <v>12</v>
      </c>
      <c r="BL1" s="24" t="s">
        <v>133</v>
      </c>
      <c r="BM1" s="24" t="s">
        <v>8</v>
      </c>
      <c r="BN1" s="24" t="s">
        <v>9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36</v>
      </c>
      <c r="BU1" s="26"/>
      <c r="BV1" s="27"/>
      <c r="BW1" s="27"/>
      <c r="BX1" s="27"/>
      <c r="BY1" s="27"/>
    </row>
    <row r="2" spans="1:77" s="56" customFormat="1" ht="78" thickBot="1" x14ac:dyDescent="0.3">
      <c r="A2" s="188">
        <v>21420</v>
      </c>
      <c r="B2" s="189">
        <v>46031</v>
      </c>
      <c r="C2" s="41" t="s">
        <v>239</v>
      </c>
      <c r="D2" s="41" t="s">
        <v>90</v>
      </c>
      <c r="E2" s="41" t="s">
        <v>42</v>
      </c>
      <c r="F2" s="41" t="s">
        <v>121</v>
      </c>
      <c r="G2" s="41" t="s">
        <v>122</v>
      </c>
      <c r="H2" s="41" t="s">
        <v>123</v>
      </c>
      <c r="I2" s="41"/>
      <c r="J2" s="41" t="s">
        <v>134</v>
      </c>
      <c r="K2" s="188">
        <v>1500</v>
      </c>
      <c r="L2" s="188">
        <v>8</v>
      </c>
      <c r="M2" s="41" t="s">
        <v>17</v>
      </c>
      <c r="N2" s="41" t="s">
        <v>22</v>
      </c>
      <c r="O2" s="188">
        <v>3.5</v>
      </c>
      <c r="P2" s="41" t="s">
        <v>134</v>
      </c>
      <c r="Q2" s="188">
        <v>1000</v>
      </c>
      <c r="R2" s="188">
        <v>10</v>
      </c>
      <c r="S2" s="41" t="s">
        <v>17</v>
      </c>
      <c r="T2" s="41" t="s">
        <v>22</v>
      </c>
      <c r="U2" s="188">
        <v>3.5</v>
      </c>
      <c r="V2" s="41" t="s">
        <v>134</v>
      </c>
      <c r="W2" s="188">
        <v>750</v>
      </c>
      <c r="X2" s="188">
        <v>10</v>
      </c>
      <c r="Y2" s="41" t="s">
        <v>17</v>
      </c>
      <c r="Z2" s="41" t="s">
        <v>22</v>
      </c>
      <c r="AA2" s="188">
        <v>3.5</v>
      </c>
      <c r="AB2" s="41" t="s">
        <v>134</v>
      </c>
      <c r="AC2" s="188">
        <v>500</v>
      </c>
      <c r="AD2" s="188">
        <v>20</v>
      </c>
      <c r="AE2" s="41" t="s">
        <v>17</v>
      </c>
      <c r="AF2" s="41" t="s">
        <v>22</v>
      </c>
      <c r="AG2" s="188">
        <v>3.5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 t="s">
        <v>91</v>
      </c>
      <c r="BS2" s="41" t="s">
        <v>253</v>
      </c>
      <c r="BT2" s="108">
        <f t="shared" ref="BT2" si="0">K2*L2+Q2*R2+W2*X2+AC2*AD2+AI2*AJ2+AO2*AP2+AU2*AV2+BA2*BB2+BG2*BH2+BM2*BN2</f>
        <v>39500</v>
      </c>
    </row>
    <row r="3" spans="1:77" s="56" customFormat="1" ht="15.75" thickBot="1" x14ac:dyDescent="0.3">
      <c r="A3" s="80"/>
      <c r="B3" s="49"/>
      <c r="C3" s="20"/>
      <c r="D3" s="20"/>
      <c r="E3" s="20"/>
      <c r="F3" s="20"/>
      <c r="G3" s="20"/>
      <c r="H3" s="20"/>
      <c r="I3" s="20"/>
      <c r="J3" s="48"/>
      <c r="K3" s="48"/>
      <c r="L3" s="48"/>
      <c r="M3" s="20"/>
      <c r="N3" s="20"/>
      <c r="O3" s="48"/>
      <c r="P3" s="48"/>
      <c r="Q3" s="48"/>
      <c r="R3" s="48"/>
      <c r="S3" s="20"/>
      <c r="T3" s="20"/>
      <c r="U3" s="48"/>
      <c r="V3" s="48"/>
      <c r="W3" s="48"/>
      <c r="X3" s="48"/>
      <c r="Y3" s="48"/>
      <c r="Z3" s="20"/>
      <c r="AA3" s="48"/>
      <c r="AB3" s="48"/>
      <c r="AC3" s="48"/>
      <c r="AD3" s="48"/>
      <c r="AE3" s="20"/>
      <c r="AF3" s="20"/>
      <c r="AG3" s="48"/>
      <c r="AH3" s="48"/>
      <c r="AI3" s="48"/>
      <c r="AJ3" s="48"/>
      <c r="AK3" s="20"/>
      <c r="AL3" s="20"/>
      <c r="AM3" s="48"/>
      <c r="AN3" s="48"/>
      <c r="AO3" s="48"/>
      <c r="AP3" s="48"/>
      <c r="AQ3" s="20"/>
      <c r="AR3" s="20"/>
      <c r="AS3" s="48"/>
      <c r="AT3" s="48"/>
      <c r="AU3" s="48"/>
      <c r="AV3" s="48"/>
      <c r="AW3" s="20"/>
      <c r="AX3" s="20"/>
      <c r="AY3" s="48"/>
      <c r="AZ3" s="48"/>
      <c r="BA3" s="48"/>
      <c r="BB3" s="48"/>
      <c r="BC3" s="20"/>
      <c r="BD3" s="20"/>
      <c r="BE3" s="48"/>
      <c r="BF3" s="48"/>
      <c r="BG3" s="48"/>
      <c r="BH3" s="48"/>
      <c r="BI3" s="20"/>
      <c r="BJ3" s="20"/>
      <c r="BK3" s="48"/>
      <c r="BL3" s="48"/>
      <c r="BM3" s="48"/>
      <c r="BN3" s="48"/>
      <c r="BO3" s="20"/>
      <c r="BP3" s="20"/>
      <c r="BQ3" s="48"/>
      <c r="BR3" s="20"/>
      <c r="BS3" s="20"/>
      <c r="BT3" s="55"/>
      <c r="BU3" s="20"/>
      <c r="BV3" s="20"/>
      <c r="BW3" s="20"/>
      <c r="BX3" s="20"/>
      <c r="BY3" s="20"/>
    </row>
    <row r="4" spans="1:77" s="56" customFormat="1" ht="15.75" thickBot="1" x14ac:dyDescent="0.3">
      <c r="A4" s="80"/>
      <c r="B4" s="49"/>
      <c r="C4" s="20"/>
      <c r="D4" s="20"/>
      <c r="E4" s="20"/>
      <c r="F4" s="20"/>
      <c r="G4" s="20"/>
      <c r="H4" s="20"/>
      <c r="I4" s="20"/>
      <c r="J4" s="48"/>
      <c r="K4" s="48"/>
      <c r="L4" s="48"/>
      <c r="M4" s="20"/>
      <c r="N4" s="20"/>
      <c r="O4" s="48"/>
      <c r="P4" s="48"/>
      <c r="Q4" s="48"/>
      <c r="R4" s="48"/>
      <c r="S4" s="20"/>
      <c r="T4" s="20"/>
      <c r="U4" s="48"/>
      <c r="V4" s="48"/>
      <c r="W4" s="48"/>
      <c r="X4" s="48"/>
      <c r="Y4" s="48"/>
      <c r="Z4" s="20"/>
      <c r="AA4" s="48"/>
      <c r="AB4" s="48"/>
      <c r="AC4" s="48"/>
      <c r="AD4" s="48"/>
      <c r="AE4" s="20"/>
      <c r="AF4" s="20"/>
      <c r="AG4" s="48"/>
      <c r="AH4" s="48"/>
      <c r="AI4" s="48"/>
      <c r="AJ4" s="48"/>
      <c r="AK4" s="20"/>
      <c r="AL4" s="20"/>
      <c r="AM4" s="48"/>
      <c r="AN4" s="48"/>
      <c r="AO4" s="48"/>
      <c r="AP4" s="48"/>
      <c r="AQ4" s="20"/>
      <c r="AR4" s="20"/>
      <c r="AS4" s="48"/>
      <c r="AT4" s="48"/>
      <c r="AU4" s="48"/>
      <c r="AV4" s="48"/>
      <c r="AW4" s="20"/>
      <c r="AX4" s="20"/>
      <c r="AY4" s="48"/>
      <c r="AZ4" s="48"/>
      <c r="BA4" s="48"/>
      <c r="BB4" s="48"/>
      <c r="BC4" s="20"/>
      <c r="BD4" s="20"/>
      <c r="BE4" s="48"/>
      <c r="BF4" s="48"/>
      <c r="BG4" s="48"/>
      <c r="BH4" s="48"/>
      <c r="BI4" s="20"/>
      <c r="BJ4" s="20"/>
      <c r="BK4" s="48"/>
      <c r="BL4" s="48"/>
      <c r="BM4" s="48"/>
      <c r="BN4" s="48"/>
      <c r="BO4" s="20"/>
      <c r="BP4" s="20"/>
      <c r="BQ4" s="48"/>
      <c r="BR4" s="20"/>
      <c r="BS4" s="20"/>
      <c r="BT4" s="55"/>
      <c r="BU4" s="20"/>
      <c r="BV4" s="20"/>
      <c r="BW4" s="20"/>
      <c r="BX4" s="20"/>
      <c r="BY4" s="20"/>
    </row>
    <row r="5" spans="1:77" s="56" customFormat="1" ht="15.75" thickBot="1" x14ac:dyDescent="0.3">
      <c r="A5" s="80"/>
      <c r="B5" s="49"/>
      <c r="C5" s="20"/>
      <c r="D5" s="20"/>
      <c r="E5" s="20"/>
      <c r="F5" s="20"/>
      <c r="G5" s="20"/>
      <c r="H5" s="20"/>
      <c r="I5" s="20"/>
      <c r="J5" s="48"/>
      <c r="K5" s="48"/>
      <c r="L5" s="48"/>
      <c r="M5" s="20"/>
      <c r="N5" s="20"/>
      <c r="O5" s="48"/>
      <c r="P5" s="48"/>
      <c r="Q5" s="48"/>
      <c r="R5" s="48"/>
      <c r="S5" s="20"/>
      <c r="T5" s="20"/>
      <c r="U5" s="48"/>
      <c r="V5" s="48"/>
      <c r="W5" s="48"/>
      <c r="X5" s="48"/>
      <c r="Y5" s="48"/>
      <c r="Z5" s="20"/>
      <c r="AA5" s="48"/>
      <c r="AB5" s="48"/>
      <c r="AC5" s="48"/>
      <c r="AD5" s="48"/>
      <c r="AE5" s="20"/>
      <c r="AF5" s="20"/>
      <c r="AG5" s="48"/>
      <c r="AH5" s="48"/>
      <c r="AI5" s="48"/>
      <c r="AJ5" s="48"/>
      <c r="AK5" s="20"/>
      <c r="AL5" s="20"/>
      <c r="AM5" s="48"/>
      <c r="AN5" s="48"/>
      <c r="AO5" s="48"/>
      <c r="AP5" s="48"/>
      <c r="AQ5" s="20"/>
      <c r="AR5" s="20"/>
      <c r="AS5" s="48"/>
      <c r="AT5" s="48"/>
      <c r="AU5" s="48"/>
      <c r="AV5" s="48"/>
      <c r="AW5" s="20"/>
      <c r="AX5" s="20"/>
      <c r="AY5" s="48"/>
      <c r="AZ5" s="48"/>
      <c r="BA5" s="48"/>
      <c r="BB5" s="48"/>
      <c r="BC5" s="20"/>
      <c r="BD5" s="20"/>
      <c r="BE5" s="48"/>
      <c r="BF5" s="48"/>
      <c r="BG5" s="48"/>
      <c r="BH5" s="48"/>
      <c r="BI5" s="20"/>
      <c r="BJ5" s="20"/>
      <c r="BK5" s="48"/>
      <c r="BL5" s="48"/>
      <c r="BM5" s="48"/>
      <c r="BN5" s="48"/>
      <c r="BO5" s="20"/>
      <c r="BP5" s="20"/>
      <c r="BQ5" s="48"/>
      <c r="BR5" s="20"/>
      <c r="BS5" s="20"/>
      <c r="BT5" s="55"/>
      <c r="BU5" s="20"/>
      <c r="BV5" s="20"/>
      <c r="BW5" s="20"/>
      <c r="BX5" s="20"/>
      <c r="BY5" s="20"/>
    </row>
    <row r="6" spans="1:77" s="56" customFormat="1" ht="15.75" thickBot="1" x14ac:dyDescent="0.3">
      <c r="A6" s="80"/>
      <c r="B6" s="49"/>
      <c r="C6" s="20"/>
      <c r="D6" s="20"/>
      <c r="E6" s="20"/>
      <c r="F6" s="20"/>
      <c r="G6" s="20"/>
      <c r="H6" s="20"/>
      <c r="I6" s="20"/>
      <c r="J6" s="48"/>
      <c r="K6" s="48"/>
      <c r="L6" s="48"/>
      <c r="M6" s="20"/>
      <c r="N6" s="20"/>
      <c r="O6" s="48"/>
      <c r="P6" s="48"/>
      <c r="Q6" s="48"/>
      <c r="R6" s="48"/>
      <c r="S6" s="20"/>
      <c r="T6" s="20"/>
      <c r="U6" s="48"/>
      <c r="V6" s="48"/>
      <c r="W6" s="48"/>
      <c r="X6" s="48"/>
      <c r="Y6" s="48"/>
      <c r="Z6" s="20"/>
      <c r="AA6" s="48"/>
      <c r="AB6" s="48"/>
      <c r="AC6" s="48"/>
      <c r="AD6" s="48"/>
      <c r="AE6" s="20"/>
      <c r="AF6" s="20"/>
      <c r="AG6" s="48"/>
      <c r="AH6" s="48"/>
      <c r="AI6" s="48"/>
      <c r="AJ6" s="48"/>
      <c r="AK6" s="20"/>
      <c r="AL6" s="20"/>
      <c r="AM6" s="48"/>
      <c r="AN6" s="48"/>
      <c r="AO6" s="48"/>
      <c r="AP6" s="48"/>
      <c r="AQ6" s="20"/>
      <c r="AR6" s="20"/>
      <c r="AS6" s="48"/>
      <c r="AT6" s="48"/>
      <c r="AU6" s="48"/>
      <c r="AV6" s="48"/>
      <c r="AW6" s="20"/>
      <c r="AX6" s="20"/>
      <c r="AY6" s="48"/>
      <c r="AZ6" s="48"/>
      <c r="BA6" s="48"/>
      <c r="BB6" s="48"/>
      <c r="BC6" s="20"/>
      <c r="BD6" s="20"/>
      <c r="BE6" s="48"/>
      <c r="BF6" s="48"/>
      <c r="BG6" s="48"/>
      <c r="BH6" s="48"/>
      <c r="BI6" s="20"/>
      <c r="BJ6" s="20"/>
      <c r="BK6" s="48"/>
      <c r="BL6" s="48"/>
      <c r="BM6" s="48"/>
      <c r="BN6" s="48"/>
      <c r="BO6" s="20"/>
      <c r="BP6" s="20"/>
      <c r="BQ6" s="48"/>
      <c r="BR6" s="20"/>
      <c r="BS6" s="20"/>
      <c r="BT6" s="55"/>
      <c r="BU6" s="20"/>
      <c r="BV6" s="20"/>
      <c r="BW6" s="20"/>
      <c r="BX6" s="20"/>
      <c r="BY6" s="20"/>
    </row>
    <row r="7" spans="1:77" s="56" customFormat="1" ht="15.75" thickBot="1" x14ac:dyDescent="0.3">
      <c r="A7" s="80"/>
      <c r="B7" s="49"/>
      <c r="C7" s="20"/>
      <c r="D7" s="20"/>
      <c r="E7" s="20"/>
      <c r="F7" s="20"/>
      <c r="G7" s="20"/>
      <c r="H7" s="20"/>
      <c r="I7" s="20"/>
      <c r="J7" s="48"/>
      <c r="K7" s="48"/>
      <c r="L7" s="48"/>
      <c r="M7" s="20"/>
      <c r="N7" s="20"/>
      <c r="O7" s="48"/>
      <c r="P7" s="48"/>
      <c r="Q7" s="48"/>
      <c r="R7" s="48"/>
      <c r="S7" s="20"/>
      <c r="T7" s="20"/>
      <c r="U7" s="48"/>
      <c r="V7" s="48"/>
      <c r="W7" s="48"/>
      <c r="X7" s="48"/>
      <c r="Y7" s="48"/>
      <c r="Z7" s="20"/>
      <c r="AA7" s="48"/>
      <c r="AB7" s="48"/>
      <c r="AC7" s="48"/>
      <c r="AD7" s="48"/>
      <c r="AE7" s="20"/>
      <c r="AF7" s="20"/>
      <c r="AG7" s="48"/>
      <c r="AH7" s="48"/>
      <c r="AI7" s="48"/>
      <c r="AJ7" s="48"/>
      <c r="AK7" s="20"/>
      <c r="AL7" s="20"/>
      <c r="AM7" s="48"/>
      <c r="AN7" s="48"/>
      <c r="AO7" s="48"/>
      <c r="AP7" s="48"/>
      <c r="AQ7" s="20"/>
      <c r="AR7" s="20"/>
      <c r="AS7" s="48"/>
      <c r="AT7" s="48"/>
      <c r="AU7" s="48"/>
      <c r="AV7" s="48"/>
      <c r="AW7" s="20"/>
      <c r="AX7" s="20"/>
      <c r="AY7" s="48"/>
      <c r="AZ7" s="48"/>
      <c r="BA7" s="48"/>
      <c r="BB7" s="48"/>
      <c r="BC7" s="20"/>
      <c r="BD7" s="20"/>
      <c r="BE7" s="48"/>
      <c r="BF7" s="48"/>
      <c r="BG7" s="48"/>
      <c r="BH7" s="48"/>
      <c r="BI7" s="20"/>
      <c r="BJ7" s="20"/>
      <c r="BK7" s="48"/>
      <c r="BL7" s="48"/>
      <c r="BM7" s="48"/>
      <c r="BN7" s="48"/>
      <c r="BO7" s="20"/>
      <c r="BP7" s="20"/>
      <c r="BQ7" s="48"/>
      <c r="BR7" s="20"/>
      <c r="BS7" s="20"/>
      <c r="BT7" s="55"/>
      <c r="BU7" s="20"/>
      <c r="BV7" s="20"/>
      <c r="BW7" s="20"/>
      <c r="BX7" s="20"/>
      <c r="BY7" s="20"/>
    </row>
    <row r="8" spans="1:77" s="56" customFormat="1" ht="15.75" thickBot="1" x14ac:dyDescent="0.3">
      <c r="A8" s="80"/>
      <c r="B8" s="49"/>
      <c r="C8" s="20"/>
      <c r="D8" s="20"/>
      <c r="E8" s="20"/>
      <c r="F8" s="20"/>
      <c r="G8" s="20"/>
      <c r="H8" s="20"/>
      <c r="I8" s="20"/>
      <c r="J8" s="48"/>
      <c r="K8" s="48"/>
      <c r="L8" s="48"/>
      <c r="M8" s="20"/>
      <c r="N8" s="20"/>
      <c r="O8" s="48"/>
      <c r="P8" s="48"/>
      <c r="Q8" s="48"/>
      <c r="R8" s="48"/>
      <c r="S8" s="20"/>
      <c r="T8" s="20"/>
      <c r="U8" s="48"/>
      <c r="V8" s="48"/>
      <c r="W8" s="48"/>
      <c r="X8" s="48"/>
      <c r="Y8" s="48"/>
      <c r="Z8" s="20"/>
      <c r="AA8" s="48"/>
      <c r="AB8" s="48"/>
      <c r="AC8" s="48"/>
      <c r="AD8" s="48"/>
      <c r="AE8" s="20"/>
      <c r="AF8" s="20"/>
      <c r="AG8" s="48"/>
      <c r="AH8" s="48"/>
      <c r="AI8" s="48"/>
      <c r="AJ8" s="48"/>
      <c r="AK8" s="20"/>
      <c r="AL8" s="20"/>
      <c r="AM8" s="48"/>
      <c r="AN8" s="48"/>
      <c r="AO8" s="48"/>
      <c r="AP8" s="48"/>
      <c r="AQ8" s="20"/>
      <c r="AR8" s="20"/>
      <c r="AS8" s="48"/>
      <c r="AT8" s="48"/>
      <c r="AU8" s="48"/>
      <c r="AV8" s="48"/>
      <c r="AW8" s="20"/>
      <c r="AX8" s="20"/>
      <c r="AY8" s="48"/>
      <c r="AZ8" s="48"/>
      <c r="BA8" s="48"/>
      <c r="BB8" s="48"/>
      <c r="BC8" s="20"/>
      <c r="BD8" s="20"/>
      <c r="BE8" s="48"/>
      <c r="BF8" s="48"/>
      <c r="BG8" s="48"/>
      <c r="BH8" s="48"/>
      <c r="BI8" s="20"/>
      <c r="BJ8" s="20"/>
      <c r="BK8" s="48"/>
      <c r="BL8" s="48"/>
      <c r="BM8" s="48"/>
      <c r="BN8" s="48"/>
      <c r="BO8" s="20"/>
      <c r="BP8" s="20"/>
      <c r="BQ8" s="48"/>
      <c r="BR8" s="20"/>
      <c r="BS8" s="20"/>
      <c r="BT8" s="55"/>
      <c r="BU8" s="20"/>
      <c r="BV8" s="20"/>
      <c r="BW8" s="20"/>
      <c r="BX8" s="20"/>
      <c r="BY8" s="20"/>
    </row>
    <row r="9" spans="1:77" s="56" customFormat="1" ht="15.75" thickBot="1" x14ac:dyDescent="0.3">
      <c r="A9" s="80"/>
      <c r="B9" s="49"/>
      <c r="C9" s="20"/>
      <c r="D9" s="20"/>
      <c r="E9" s="20"/>
      <c r="F9" s="20"/>
      <c r="G9" s="20"/>
      <c r="H9" s="20"/>
      <c r="I9" s="20"/>
      <c r="J9" s="48"/>
      <c r="K9" s="48"/>
      <c r="L9" s="48"/>
      <c r="M9" s="20"/>
      <c r="N9" s="20"/>
      <c r="O9" s="48"/>
      <c r="P9" s="48"/>
      <c r="Q9" s="48"/>
      <c r="R9" s="48"/>
      <c r="S9" s="20"/>
      <c r="T9" s="20"/>
      <c r="U9" s="48"/>
      <c r="V9" s="48"/>
      <c r="W9" s="48"/>
      <c r="X9" s="48"/>
      <c r="Y9" s="48"/>
      <c r="Z9" s="20"/>
      <c r="AA9" s="48"/>
      <c r="AB9" s="48"/>
      <c r="AC9" s="48"/>
      <c r="AD9" s="48"/>
      <c r="AE9" s="20"/>
      <c r="AF9" s="20"/>
      <c r="AG9" s="48"/>
      <c r="AH9" s="48"/>
      <c r="AI9" s="48"/>
      <c r="AJ9" s="48"/>
      <c r="AK9" s="20"/>
      <c r="AL9" s="20"/>
      <c r="AM9" s="48"/>
      <c r="AN9" s="48"/>
      <c r="AO9" s="48"/>
      <c r="AP9" s="48"/>
      <c r="AQ9" s="20"/>
      <c r="AR9" s="20"/>
      <c r="AS9" s="48"/>
      <c r="AT9" s="48"/>
      <c r="AU9" s="48"/>
      <c r="AV9" s="48"/>
      <c r="AW9" s="20"/>
      <c r="AX9" s="20"/>
      <c r="AY9" s="48"/>
      <c r="AZ9" s="48"/>
      <c r="BA9" s="48"/>
      <c r="BB9" s="48"/>
      <c r="BC9" s="20"/>
      <c r="BD9" s="20"/>
      <c r="BE9" s="48"/>
      <c r="BF9" s="48"/>
      <c r="BG9" s="48"/>
      <c r="BH9" s="48"/>
      <c r="BI9" s="20"/>
      <c r="BJ9" s="20"/>
      <c r="BK9" s="48"/>
      <c r="BL9" s="48"/>
      <c r="BM9" s="48"/>
      <c r="BN9" s="48"/>
      <c r="BO9" s="20"/>
      <c r="BP9" s="20"/>
      <c r="BQ9" s="48"/>
      <c r="BR9" s="20"/>
      <c r="BS9" s="20"/>
      <c r="BT9" s="55"/>
      <c r="BU9" s="20"/>
      <c r="BV9" s="20"/>
      <c r="BW9" s="20"/>
      <c r="BX9" s="20"/>
      <c r="BY9" s="20"/>
    </row>
    <row r="10" spans="1:77" s="56" customFormat="1" ht="15.75" thickBot="1" x14ac:dyDescent="0.3">
      <c r="A10" s="80"/>
      <c r="B10" s="49"/>
      <c r="C10" s="20"/>
      <c r="D10" s="20"/>
      <c r="E10" s="20"/>
      <c r="F10" s="20"/>
      <c r="G10" s="20"/>
      <c r="H10" s="20"/>
      <c r="I10" s="20"/>
      <c r="J10" s="48"/>
      <c r="K10" s="48"/>
      <c r="L10" s="48"/>
      <c r="M10" s="20"/>
      <c r="N10" s="20"/>
      <c r="O10" s="48"/>
      <c r="P10" s="48"/>
      <c r="Q10" s="48"/>
      <c r="R10" s="48"/>
      <c r="S10" s="20"/>
      <c r="T10" s="20"/>
      <c r="U10" s="48"/>
      <c r="V10" s="48"/>
      <c r="W10" s="48"/>
      <c r="X10" s="48"/>
      <c r="Y10" s="48"/>
      <c r="Z10" s="20"/>
      <c r="AA10" s="48"/>
      <c r="AB10" s="48"/>
      <c r="AC10" s="48"/>
      <c r="AD10" s="48"/>
      <c r="AE10" s="20"/>
      <c r="AF10" s="20"/>
      <c r="AG10" s="48"/>
      <c r="AH10" s="48"/>
      <c r="AI10" s="48"/>
      <c r="AJ10" s="48"/>
      <c r="AK10" s="20"/>
      <c r="AL10" s="20"/>
      <c r="AM10" s="48"/>
      <c r="AN10" s="48"/>
      <c r="AO10" s="48"/>
      <c r="AP10" s="48"/>
      <c r="AQ10" s="20"/>
      <c r="AR10" s="20"/>
      <c r="AS10" s="48"/>
      <c r="AT10" s="48"/>
      <c r="AU10" s="48"/>
      <c r="AV10" s="48"/>
      <c r="AW10" s="20"/>
      <c r="AX10" s="20"/>
      <c r="AY10" s="48"/>
      <c r="AZ10" s="48"/>
      <c r="BA10" s="48"/>
      <c r="BB10" s="48"/>
      <c r="BC10" s="20"/>
      <c r="BD10" s="20"/>
      <c r="BE10" s="48"/>
      <c r="BF10" s="48"/>
      <c r="BG10" s="48"/>
      <c r="BH10" s="48"/>
      <c r="BI10" s="20"/>
      <c r="BJ10" s="20"/>
      <c r="BK10" s="48"/>
      <c r="BL10" s="48"/>
      <c r="BM10" s="48"/>
      <c r="BN10" s="48"/>
      <c r="BO10" s="20"/>
      <c r="BP10" s="20"/>
      <c r="BQ10" s="48"/>
      <c r="BR10" s="20"/>
      <c r="BS10" s="20"/>
      <c r="BT10" s="55"/>
      <c r="BU10" s="20"/>
      <c r="BV10" s="20"/>
      <c r="BW10" s="20"/>
      <c r="BX10" s="20"/>
      <c r="BY10" s="20"/>
    </row>
    <row r="11" spans="1:77" s="56" customFormat="1" ht="15.75" thickBot="1" x14ac:dyDescent="0.3">
      <c r="A11" s="80"/>
      <c r="B11" s="49"/>
      <c r="C11" s="20"/>
      <c r="D11" s="20"/>
      <c r="E11" s="20"/>
      <c r="F11" s="20"/>
      <c r="G11" s="20"/>
      <c r="H11" s="20"/>
      <c r="I11" s="20"/>
      <c r="J11" s="48"/>
      <c r="K11" s="48"/>
      <c r="L11" s="48"/>
      <c r="M11" s="20"/>
      <c r="N11" s="20"/>
      <c r="O11" s="48"/>
      <c r="P11" s="48"/>
      <c r="Q11" s="48"/>
      <c r="R11" s="48"/>
      <c r="S11" s="20"/>
      <c r="T11" s="20"/>
      <c r="U11" s="48"/>
      <c r="V11" s="48"/>
      <c r="W11" s="48"/>
      <c r="X11" s="48"/>
      <c r="Y11" s="48"/>
      <c r="Z11" s="20"/>
      <c r="AA11" s="48"/>
      <c r="AB11" s="48"/>
      <c r="AC11" s="48"/>
      <c r="AD11" s="48"/>
      <c r="AE11" s="20"/>
      <c r="AF11" s="20"/>
      <c r="AG11" s="48"/>
      <c r="AH11" s="48"/>
      <c r="AI11" s="48"/>
      <c r="AJ11" s="48"/>
      <c r="AK11" s="20"/>
      <c r="AL11" s="20"/>
      <c r="AM11" s="48"/>
      <c r="AN11" s="48"/>
      <c r="AO11" s="48"/>
      <c r="AP11" s="48"/>
      <c r="AQ11" s="20"/>
      <c r="AR11" s="20"/>
      <c r="AS11" s="48"/>
      <c r="AT11" s="48"/>
      <c r="AU11" s="48"/>
      <c r="AV11" s="48"/>
      <c r="AW11" s="20"/>
      <c r="AX11" s="20"/>
      <c r="AY11" s="48"/>
      <c r="AZ11" s="48"/>
      <c r="BA11" s="48"/>
      <c r="BB11" s="48"/>
      <c r="BC11" s="20"/>
      <c r="BD11" s="20"/>
      <c r="BE11" s="48"/>
      <c r="BF11" s="48"/>
      <c r="BG11" s="48"/>
      <c r="BH11" s="48"/>
      <c r="BI11" s="20"/>
      <c r="BJ11" s="20"/>
      <c r="BK11" s="48"/>
      <c r="BL11" s="48"/>
      <c r="BM11" s="48"/>
      <c r="BN11" s="48"/>
      <c r="BO11" s="20"/>
      <c r="BP11" s="20"/>
      <c r="BQ11" s="48"/>
      <c r="BR11" s="20"/>
      <c r="BS11" s="20"/>
      <c r="BT11" s="55"/>
      <c r="BU11" s="20"/>
      <c r="BV11" s="20"/>
      <c r="BW11" s="20"/>
      <c r="BX11" s="20"/>
      <c r="BY11" s="20"/>
    </row>
    <row r="12" spans="1:77" s="40" customFormat="1" ht="15.75" thickBot="1" x14ac:dyDescent="0.3">
      <c r="A12" s="75"/>
      <c r="B12" s="2"/>
      <c r="C12" s="1"/>
      <c r="D12" s="1"/>
      <c r="E12" s="1"/>
      <c r="F12" s="25"/>
      <c r="G12" s="1"/>
      <c r="H12" s="1"/>
      <c r="I12" s="1"/>
      <c r="J12" s="3"/>
      <c r="K12" s="3"/>
      <c r="L12" s="3"/>
      <c r="M12" s="1"/>
      <c r="N12" s="1"/>
      <c r="O12" s="3"/>
      <c r="P12" s="3"/>
      <c r="Q12" s="3"/>
      <c r="R12" s="3"/>
      <c r="S12" s="1"/>
      <c r="T12" s="1"/>
      <c r="U12" s="3"/>
      <c r="V12" s="3"/>
      <c r="W12" s="1"/>
      <c r="X12" s="1"/>
      <c r="Y12" s="1"/>
      <c r="Z12" s="1"/>
      <c r="AA12" s="1"/>
      <c r="AB12" s="3"/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3"/>
      <c r="AO12" s="1"/>
      <c r="AP12" s="1"/>
      <c r="AQ12" s="1"/>
      <c r="AR12" s="1"/>
      <c r="AS12" s="1"/>
      <c r="AT12" s="3"/>
      <c r="AU12" s="1"/>
      <c r="AV12" s="1"/>
      <c r="AW12" s="1"/>
      <c r="AX12" s="1"/>
      <c r="AY12" s="1"/>
      <c r="AZ12" s="3"/>
      <c r="BA12" s="1"/>
      <c r="BB12" s="1"/>
      <c r="BC12" s="1"/>
      <c r="BD12" s="1"/>
      <c r="BE12" s="1"/>
      <c r="BF12" s="3"/>
      <c r="BG12" s="1"/>
      <c r="BH12" s="1"/>
      <c r="BI12" s="1"/>
      <c r="BJ12" s="1"/>
      <c r="BK12" s="1"/>
      <c r="BL12" s="3"/>
      <c r="BM12" s="1"/>
      <c r="BN12" s="1"/>
      <c r="BO12" s="1"/>
      <c r="BP12" s="1"/>
      <c r="BQ12" s="1"/>
      <c r="BR12" s="19"/>
      <c r="BS12" s="1"/>
      <c r="BT12" s="37"/>
      <c r="BU12" s="1"/>
      <c r="BV12" s="1"/>
      <c r="BW12" s="1"/>
      <c r="BX12" s="1"/>
      <c r="BY12" s="39"/>
    </row>
    <row r="13" spans="1:77" s="40" customFormat="1" ht="15.75" thickBot="1" x14ac:dyDescent="0.3">
      <c r="A13" s="48"/>
      <c r="B13" s="49"/>
      <c r="C13" s="20"/>
      <c r="D13" s="20"/>
      <c r="E13" s="20"/>
      <c r="F13" s="20"/>
      <c r="G13" s="20"/>
      <c r="H13" s="20"/>
      <c r="I13" s="20"/>
      <c r="J13" s="48"/>
      <c r="K13" s="48"/>
      <c r="L13" s="48"/>
      <c r="M13" s="20"/>
      <c r="N13" s="20"/>
      <c r="O13" s="48"/>
      <c r="P13" s="48"/>
      <c r="Q13" s="20"/>
      <c r="R13" s="20"/>
      <c r="S13" s="20"/>
      <c r="T13" s="20"/>
      <c r="U13" s="20"/>
      <c r="V13" s="48"/>
      <c r="W13" s="20"/>
      <c r="X13" s="20"/>
      <c r="Y13" s="20"/>
      <c r="Z13" s="20"/>
      <c r="AA13" s="20"/>
      <c r="AB13" s="48"/>
      <c r="AC13" s="20"/>
      <c r="AD13" s="20"/>
      <c r="AE13" s="20"/>
      <c r="AF13" s="20"/>
      <c r="AG13" s="20"/>
      <c r="AH13" s="48"/>
      <c r="AI13" s="20"/>
      <c r="AJ13" s="20"/>
      <c r="AK13" s="20"/>
      <c r="AL13" s="20"/>
      <c r="AM13" s="20"/>
      <c r="AN13" s="48"/>
      <c r="AO13" s="20"/>
      <c r="AP13" s="20"/>
      <c r="AQ13" s="20"/>
      <c r="AR13" s="20"/>
      <c r="AS13" s="20"/>
      <c r="AT13" s="48"/>
      <c r="AU13" s="20"/>
      <c r="AV13" s="20"/>
      <c r="AW13" s="20"/>
      <c r="AX13" s="20"/>
      <c r="AY13" s="20"/>
      <c r="AZ13" s="48"/>
      <c r="BA13" s="20"/>
      <c r="BB13" s="20"/>
      <c r="BC13" s="20"/>
      <c r="BD13" s="20"/>
      <c r="BE13" s="20"/>
      <c r="BF13" s="48"/>
      <c r="BG13" s="20"/>
      <c r="BH13" s="20"/>
      <c r="BI13" s="20"/>
      <c r="BJ13" s="20"/>
      <c r="BK13" s="20"/>
      <c r="BL13" s="48"/>
      <c r="BM13" s="20"/>
      <c r="BN13" s="20"/>
      <c r="BO13" s="20"/>
      <c r="BP13" s="20"/>
      <c r="BQ13" s="20"/>
      <c r="BR13" s="20"/>
      <c r="BS13" s="20"/>
      <c r="BT13" s="50"/>
      <c r="BU13" s="20"/>
      <c r="BV13" s="20"/>
      <c r="BW13" s="20"/>
      <c r="BX13" s="20"/>
      <c r="BY13" s="39"/>
    </row>
    <row r="14" spans="1:77" hidden="1" x14ac:dyDescent="0.25">
      <c r="H14" s="4" t="str">
        <f t="shared" ref="H14:L23" si="1">J2</f>
        <v>AG</v>
      </c>
      <c r="I14" s="4">
        <f t="shared" si="1"/>
        <v>1500</v>
      </c>
      <c r="J14" s="4">
        <f t="shared" si="1"/>
        <v>8</v>
      </c>
      <c r="K14" s="4" t="str">
        <f t="shared" si="1"/>
        <v>Y</v>
      </c>
      <c r="L14" s="4" t="str">
        <f t="shared" si="1"/>
        <v>3L</v>
      </c>
      <c r="O14" s="28" t="str">
        <f>J2</f>
        <v>AG</v>
      </c>
      <c r="P14" s="4" t="str">
        <f t="shared" ref="P14:R23" si="2">N2</f>
        <v>3L</v>
      </c>
      <c r="Q14" s="4">
        <f t="shared" si="2"/>
        <v>3.5</v>
      </c>
      <c r="R14" s="4" t="str">
        <f t="shared" si="2"/>
        <v>AG</v>
      </c>
      <c r="S14" s="4" t="str">
        <f t="shared" ref="S14:U23" si="3">T2</f>
        <v>3L</v>
      </c>
      <c r="T14" s="4">
        <f t="shared" si="3"/>
        <v>3.5</v>
      </c>
      <c r="U14" s="4" t="str">
        <f t="shared" si="3"/>
        <v>AG</v>
      </c>
      <c r="V14" s="4" t="str">
        <f t="shared" ref="V14:X23" si="4">Z2</f>
        <v>3L</v>
      </c>
      <c r="W14" s="4">
        <f t="shared" si="4"/>
        <v>3.5</v>
      </c>
      <c r="X14" s="4" t="str">
        <f t="shared" si="4"/>
        <v>AG</v>
      </c>
      <c r="Y14" s="4" t="str">
        <f t="shared" ref="Y14:AA23" si="5">AF2</f>
        <v>3L</v>
      </c>
      <c r="Z14" s="4">
        <f t="shared" si="5"/>
        <v>3.5</v>
      </c>
      <c r="AA14" s="4">
        <f t="shared" si="5"/>
        <v>0</v>
      </c>
      <c r="AB14" s="4">
        <f t="shared" ref="AB14:AD23" si="6">AL2</f>
        <v>0</v>
      </c>
      <c r="AC14" s="4">
        <f t="shared" si="6"/>
        <v>0</v>
      </c>
      <c r="AD14" s="4">
        <f t="shared" si="6"/>
        <v>0</v>
      </c>
      <c r="AE14" s="4">
        <f t="shared" ref="AE14:AG23" si="7">AR2</f>
        <v>0</v>
      </c>
      <c r="AF14" s="4">
        <f t="shared" si="7"/>
        <v>0</v>
      </c>
      <c r="AG14" s="4">
        <f t="shared" si="7"/>
        <v>0</v>
      </c>
      <c r="AH14" s="4">
        <f t="shared" ref="AH14:AJ23" si="8">AX2</f>
        <v>0</v>
      </c>
      <c r="AI14" s="4">
        <f t="shared" si="8"/>
        <v>0</v>
      </c>
      <c r="AJ14" s="4">
        <f t="shared" si="8"/>
        <v>0</v>
      </c>
      <c r="AK14" s="4">
        <f t="shared" ref="AK14:AM23" si="9">BD2</f>
        <v>0</v>
      </c>
      <c r="AL14" s="4">
        <f t="shared" si="9"/>
        <v>0</v>
      </c>
      <c r="AM14" s="4">
        <f t="shared" si="9"/>
        <v>0</v>
      </c>
      <c r="AN14" s="4">
        <f t="shared" ref="AN14:AP23" si="10">BJ2</f>
        <v>0</v>
      </c>
      <c r="AO14" s="4">
        <f t="shared" si="10"/>
        <v>0</v>
      </c>
      <c r="AP14" s="4">
        <f t="shared" si="10"/>
        <v>0</v>
      </c>
      <c r="AQ14" s="4">
        <f t="shared" ref="AQ14:AR23" si="11">BP2</f>
        <v>0</v>
      </c>
      <c r="AR14" s="4">
        <f t="shared" si="11"/>
        <v>0</v>
      </c>
      <c r="AT14" s="28">
        <v>1</v>
      </c>
      <c r="AU14" s="29">
        <f>IF($P$14="3L",$Q$14,IF($S$14="3L",$T$14,IF($V$14="3L",$W$14,IF($Y$14="3L",$Z$14,IF($AB$14="3L",$AC$14,IF($AE$14="3L",$AF$14,IF($AH$14="3L",$AI$14,IF($AK$14="3L",$AL$14,IF($AN$14="3L",$AO$14,IF($AQ$14="3L",$AR$14,""))))))))))</f>
        <v>3.5</v>
      </c>
      <c r="AV14" s="29" t="str">
        <f>IF($P$14="4L",$Q$14,IF($S$14="4L",$T$14,IF($V$14="4L",$W$14,IF($Y$14="4L",$Z$14,IF($AB$14="4L",$AC$14,IF($AE$14="4L",$AF$14,IF($AH$14="4L",$AI$14,IF($AK$14="4L",$AL$14,IF($AN$14="4L",$AO$14,IF($AQ$14="4L",$AR$14,""))))))))))</f>
        <v/>
      </c>
      <c r="AW14" s="29" t="str">
        <f>IF($P$14="5L",$Q$14,IF($S$14="5L",$T$14,IF($V$14="5L",$W$14,IF($Y$14="5L",$Z$14,IF($AB$14="5L",$AC$14,IF($AE$14="5L",$AF$14,IF($AH$14="5L",$AI$14,IF($AK$14="5L",$AL$14,IF($AN$14="5L",$AO$14,IF($AQ$14="5L",$AR$14,""))))))))))</f>
        <v/>
      </c>
      <c r="AX14" s="29" t="str">
        <f>IF($P$14="6L",$Q$14,IF($S$14="6L",$T$14,IF($V$14="6L",$W$14,IF($Y$14="6L",$Z$14,IF($AB$14="6L",$AC$14,IF($AE$14="6L",$AF$14,IF($AH$14="6L",$AI$14,IF($AK$14="6L",$AL$14,IF($AN$14="6L",$AO$14,IF($AQ$14="6L",$AR$14,""))))))))))</f>
        <v/>
      </c>
      <c r="AY14" s="29" t="str">
        <f>IF($P$14="7L",$Q$14,IF($S$14="7L",$T$14,IF($V$14="7L",$W$14,IF($Y$14="7L",$Z$14,IF($AB$14="7L",$AC$14,IF($AE$14="7L",$AF$14,IF($AH$14="7L",$AI$14,IF($AK$14="7L",$AL$14,IF($AN$14="7L",$AO$14,IF($AQ$14="7L",$AR$14,""))))))))))</f>
        <v/>
      </c>
      <c r="AZ14" s="29" t="str">
        <f t="shared" ref="AZ14:AZ23" si="12">IF($O$14="LOFT",$Q$14,IF($R$14="LOFT",$T$14,IF($U$14="LOFT",$W$14,IF($X$14="LOFT",$Z$14,IF($AA$14="LOFT",$AC$14,IF($AD$14="LOFT",$AF$14,IF($AG$14="LOFT",$AI$14,IF($AJ$14="LOFT",$AL$14,IF($AM$14="LOFT",$AO$14,IF($AP$14="LOFT",$AR$14,""))))))))))</f>
        <v/>
      </c>
      <c r="BA14" s="29" t="str">
        <f t="shared" ref="BA14:BA23" si="13">IF($O$14="UT",$Q$14,IF($R$14="UT",$T$14,IF($U$14="UT",$W$14,IF($X$14="UT",$Z$14,IF($AA$14="UT",$AC$14,IF($AD$14="UT",$AF$14,IF($AG$14="UT",$AI$14,IF($AJ$14="UT",$AL$14,IF($AM$14="UT",$AO$14,IF($AP$14="UT",$AR$14,""))))))))))</f>
        <v/>
      </c>
      <c r="BB14" s="29" t="str">
        <f t="shared" ref="BB14:BB23" si="14">IF($O$14="HT",$Q$14,IF($R$14="HT",$T$14,IF($U$14="HT",$W$14,IF($X$14="HT",$Z$14,IF($AA$14="HT",$AC$14,IF($AD$14="HT",$AF$14,IF($AG$14="HT",$AI$14,IF($AJ$14="HT",$AL$14,IF($AM$14="HT",$AO$14,IF($AP$14="HT",$AR$14,""))))))))))</f>
        <v/>
      </c>
      <c r="BC14" s="29" t="str">
        <f t="shared" ref="BC14:BC23" si="15">IF($O$14="PURE",$Q$14,IF($R$14="PURE",$T$14,IF($U$14="PURE",$W$14,IF($X$14="PURE",$Z$14,IF($AA$14="PURE",$AC$14,IF($AD$14="PURE",$AF$14,IF($AG$14="PURE",$AI$14,IF($AJ$14="PURE",$AL$14,IF($AM$14="PURE",$AO$14,IF($AP$14="PURE",$AR$14,""))))))))))</f>
        <v/>
      </c>
      <c r="BD14" s="29" t="str">
        <f>IF($P$14="FUM",$Q$14,IF($S$14="FUM",$T$14,IF($V$14="FUM",$W$14,IF($Y$14="FUM",$Z$14,IF($AB$14="FUM",$AC$14,IF($AE$14="FUM",$AF$14,IF($AH$14="FUM",$AI$14,IF($AK$14="FUM",$AL$14,IF($AN$14="FUM",$AO$14,IF($AQ$14="FUM",$AR$14,""))))))))))</f>
        <v/>
      </c>
    </row>
    <row r="15" spans="1:77" hidden="1" x14ac:dyDescent="0.25">
      <c r="H15" s="4">
        <f t="shared" si="1"/>
        <v>0</v>
      </c>
      <c r="I15" s="4">
        <f t="shared" si="1"/>
        <v>0</v>
      </c>
      <c r="J15" s="4">
        <f t="shared" si="1"/>
        <v>0</v>
      </c>
      <c r="K15" s="4">
        <f t="shared" si="1"/>
        <v>0</v>
      </c>
      <c r="L15" s="4">
        <f t="shared" si="1"/>
        <v>0</v>
      </c>
      <c r="O15" s="28">
        <f t="shared" ref="O15:O23" si="16">J3</f>
        <v>0</v>
      </c>
      <c r="P15" s="4">
        <f t="shared" si="2"/>
        <v>0</v>
      </c>
      <c r="Q15" s="4">
        <f t="shared" si="2"/>
        <v>0</v>
      </c>
      <c r="R15" s="4">
        <f t="shared" si="2"/>
        <v>0</v>
      </c>
      <c r="S15" s="4">
        <f t="shared" si="3"/>
        <v>0</v>
      </c>
      <c r="T15" s="4">
        <f t="shared" si="3"/>
        <v>0</v>
      </c>
      <c r="U15" s="4">
        <f t="shared" si="3"/>
        <v>0</v>
      </c>
      <c r="V15" s="4">
        <f t="shared" si="4"/>
        <v>0</v>
      </c>
      <c r="W15" s="4">
        <f t="shared" si="4"/>
        <v>0</v>
      </c>
      <c r="X15" s="4">
        <f t="shared" si="4"/>
        <v>0</v>
      </c>
      <c r="Y15" s="4">
        <f t="shared" si="5"/>
        <v>0</v>
      </c>
      <c r="Z15" s="4">
        <f t="shared" si="5"/>
        <v>0</v>
      </c>
      <c r="AA15" s="4">
        <f t="shared" si="5"/>
        <v>0</v>
      </c>
      <c r="AB15" s="4">
        <f t="shared" si="6"/>
        <v>0</v>
      </c>
      <c r="AC15" s="4">
        <f t="shared" si="6"/>
        <v>0</v>
      </c>
      <c r="AD15" s="4">
        <f t="shared" si="6"/>
        <v>0</v>
      </c>
      <c r="AE15" s="4">
        <f t="shared" si="7"/>
        <v>0</v>
      </c>
      <c r="AF15" s="4">
        <f t="shared" si="7"/>
        <v>0</v>
      </c>
      <c r="AG15" s="4">
        <f t="shared" si="7"/>
        <v>0</v>
      </c>
      <c r="AH15" s="4">
        <f t="shared" si="8"/>
        <v>0</v>
      </c>
      <c r="AI15" s="4">
        <f t="shared" si="8"/>
        <v>0</v>
      </c>
      <c r="AJ15" s="4">
        <f t="shared" si="8"/>
        <v>0</v>
      </c>
      <c r="AK15" s="4">
        <f t="shared" si="9"/>
        <v>0</v>
      </c>
      <c r="AL15" s="4">
        <f t="shared" si="9"/>
        <v>0</v>
      </c>
      <c r="AM15" s="4">
        <f t="shared" si="9"/>
        <v>0</v>
      </c>
      <c r="AN15" s="4">
        <f t="shared" si="10"/>
        <v>0</v>
      </c>
      <c r="AO15" s="4">
        <f t="shared" si="10"/>
        <v>0</v>
      </c>
      <c r="AP15" s="4">
        <f t="shared" si="10"/>
        <v>0</v>
      </c>
      <c r="AQ15" s="4">
        <f t="shared" si="11"/>
        <v>0</v>
      </c>
      <c r="AR15" s="4">
        <f t="shared" si="11"/>
        <v>0</v>
      </c>
      <c r="AT15" s="28">
        <v>2</v>
      </c>
      <c r="AU15" s="29" t="str">
        <f>IF($P$15="3L",$Q$15,IF($S$15="3L",$T$15,IF($V$15="3L",$W$15,IF($Y$15="3L",$Z$15,IF($AB$15="3L",$AC$15,IF($AE$15="3L",$AF$15,IF($AH$15="3L",$AI$15,IF($AK$15="3L",$AL$15,IF($AN$15="3L",$AO$15,IF($AQ$15="3L",$AR$15,""))))))))))</f>
        <v/>
      </c>
      <c r="AV15" s="29" t="str">
        <f>IF($P$15="4L",$Q$15,IF($S$15="4L",$T$15,IF($V$15="4L",$W$15,IF($Y$15="4L",$Z$15,IF($AB$15="4L",$AC$15,IF($AE$15="4L",$AF$15,IF($AH$15="4L",$AI$15,IF($AK$15="4L",$AL$15,IF($AN$15="4L",$AO$15,IF($AQ$15="4L",$AR$15,""))))))))))</f>
        <v/>
      </c>
      <c r="AW15" s="29" t="str">
        <f>IF($P$15="5L",$Q$15,IF($S$15="5L",$T$15,IF($V$15="5L",$W$15,IF($Y$15="5L",$Z$15,IF($AB$15="5L",$AC$15,IF($AE$15="5L",$AF$15,IF($AH$15="5L",$AI$15,IF($AK$15="5L",$AL$15,IF($AN$15="5L",$AO$15,IF($AQ$15="5L",$AR$15,""))))))))))</f>
        <v/>
      </c>
      <c r="AX15" s="29" t="str">
        <f>IF($P$15="6L",$Q$15,IF($S$15="6L",$T$15,IF($V$15="6L",$W$15,IF($Y$15="6L",$Z$15,IF($AB$15="6L",$AC$15,IF($AE$15="6L",$AF$15,IF($AH$15="6L",$AI$15,IF($AK$15="6L",$AL$15,IF($AN$15="6L",$AO$15,IF($AQ$15="6L",$AR$15,""))))))))))</f>
        <v/>
      </c>
      <c r="AY15" s="29" t="str">
        <f>IF($P$15="7L",$Q$15,IF($S$15="7L",$T$15,IF($V$15="7L",$W$15,IF($Y$15="7L",$Z$15,IF($AB$15="7L",$AC$15,IF($AE$15="7L",$AF$15,IF($AH$15="7L",$AI$15,IF($AK$15="7L",$AL$15,IF($AN$15="7L",$AO$15,IF($AQ$15="7L",$AR$15,""))))))))))</f>
        <v/>
      </c>
      <c r="AZ15" s="29" t="str">
        <f t="shared" si="12"/>
        <v/>
      </c>
      <c r="BA15" s="29" t="str">
        <f t="shared" si="13"/>
        <v/>
      </c>
      <c r="BB15" s="29" t="str">
        <f t="shared" si="14"/>
        <v/>
      </c>
      <c r="BC15" s="29" t="str">
        <f t="shared" si="15"/>
        <v/>
      </c>
      <c r="BD15" s="29" t="str">
        <f>IF($P$15="FUM",$Q$15,IF($S$15="FUM",$T$15,IF($V$15="FUM",$W$15,IF($Y$15="FUM",$Z$15,IF($AB$15="FUM",$AC$15,IF($AE$15="FUM",$AF$15,IF($AH$15="FUM",$AI$15,IF($AK$15="FUM",$AL$15,IF($AN$15="FUM",$AO$15,IF($AQ$15="FUM",$AR$15,""))))))))))</f>
        <v/>
      </c>
    </row>
    <row r="16" spans="1:77" hidden="1" x14ac:dyDescent="0.25">
      <c r="H16" s="4">
        <f t="shared" si="1"/>
        <v>0</v>
      </c>
      <c r="I16" s="4">
        <f t="shared" si="1"/>
        <v>0</v>
      </c>
      <c r="J16" s="4">
        <f t="shared" si="1"/>
        <v>0</v>
      </c>
      <c r="K16" s="4">
        <f t="shared" si="1"/>
        <v>0</v>
      </c>
      <c r="L16" s="4">
        <f t="shared" si="1"/>
        <v>0</v>
      </c>
      <c r="O16" s="28">
        <f t="shared" si="16"/>
        <v>0</v>
      </c>
      <c r="P16" s="4">
        <f t="shared" si="2"/>
        <v>0</v>
      </c>
      <c r="Q16" s="4">
        <f t="shared" si="2"/>
        <v>0</v>
      </c>
      <c r="R16" s="4">
        <f t="shared" si="2"/>
        <v>0</v>
      </c>
      <c r="S16" s="4">
        <f t="shared" si="3"/>
        <v>0</v>
      </c>
      <c r="T16" s="4">
        <f t="shared" si="3"/>
        <v>0</v>
      </c>
      <c r="U16" s="4">
        <f t="shared" si="3"/>
        <v>0</v>
      </c>
      <c r="V16" s="4">
        <f t="shared" si="4"/>
        <v>0</v>
      </c>
      <c r="W16" s="4">
        <f t="shared" si="4"/>
        <v>0</v>
      </c>
      <c r="X16" s="4">
        <f t="shared" si="4"/>
        <v>0</v>
      </c>
      <c r="Y16" s="4">
        <f t="shared" si="5"/>
        <v>0</v>
      </c>
      <c r="Z16" s="4">
        <f t="shared" si="5"/>
        <v>0</v>
      </c>
      <c r="AA16" s="4">
        <f t="shared" si="5"/>
        <v>0</v>
      </c>
      <c r="AB16" s="4">
        <f t="shared" si="6"/>
        <v>0</v>
      </c>
      <c r="AC16" s="4">
        <f t="shared" si="6"/>
        <v>0</v>
      </c>
      <c r="AD16" s="4">
        <f t="shared" si="6"/>
        <v>0</v>
      </c>
      <c r="AE16" s="4">
        <f t="shared" si="7"/>
        <v>0</v>
      </c>
      <c r="AF16" s="4">
        <f t="shared" si="7"/>
        <v>0</v>
      </c>
      <c r="AG16" s="4">
        <f t="shared" si="7"/>
        <v>0</v>
      </c>
      <c r="AH16" s="4">
        <f t="shared" si="8"/>
        <v>0</v>
      </c>
      <c r="AI16" s="4">
        <f t="shared" si="8"/>
        <v>0</v>
      </c>
      <c r="AJ16" s="4">
        <f t="shared" si="8"/>
        <v>0</v>
      </c>
      <c r="AK16" s="4">
        <f t="shared" si="9"/>
        <v>0</v>
      </c>
      <c r="AL16" s="4">
        <f t="shared" si="9"/>
        <v>0</v>
      </c>
      <c r="AM16" s="4">
        <f t="shared" si="9"/>
        <v>0</v>
      </c>
      <c r="AN16" s="4">
        <f t="shared" si="10"/>
        <v>0</v>
      </c>
      <c r="AO16" s="4">
        <f t="shared" si="10"/>
        <v>0</v>
      </c>
      <c r="AP16" s="4">
        <f t="shared" si="10"/>
        <v>0</v>
      </c>
      <c r="AQ16" s="4">
        <f t="shared" si="11"/>
        <v>0</v>
      </c>
      <c r="AR16" s="4">
        <f t="shared" si="11"/>
        <v>0</v>
      </c>
      <c r="AT16" s="28">
        <v>3</v>
      </c>
      <c r="AU16" s="29" t="str">
        <f>IF($P$16="3L",$Q$16,IF($S$16="3L",$T$16,IF($V$16="3L",$W$16,IF($Y$16="3L",$Z$16,IF($AB$16="3L",$AC$16,IF($AE$16="3L",$AF$16,IF($AH$16="3L",$AI$16,IF($AK$16="3L",$AL$16,IF($AN$16="3L",$AO$16,IF($AQ$16="3L",$AR$16,""))))))))))</f>
        <v/>
      </c>
      <c r="AV16" s="29" t="str">
        <f>IF($P$16="4L",$Q$16,IF($S$16="4L",$T$16,IF($V$16="4L",$W$16,IF($Y$16="4L",$Z$16,IF($AB$16="4L",$AC$16,IF($AE$16="4L",$AF$16,IF($AH$16="4L",$AI$16,IF($AK$16="4L",$AL$16,IF($AN$16="4L",$AO$16,IF($AQ$16="4L",$AR$16,""))))))))))</f>
        <v/>
      </c>
      <c r="AW16" s="29" t="str">
        <f>IF($P$16="5L",$Q$16,IF($S$16="5L",$T$16,IF($V$16="5L",$W$16,IF($Y$16="5L",$Z$16,IF($AB$16="5L",$AC$16,IF($AE$16="5L",$AF$16,IF($AH$16="5L",$AI$16,IF($AK$16="5L",$AL$16,IF($AN$16="5L",$AO$16,IF($AQ$16="5L",$AR$16,""))))))))))</f>
        <v/>
      </c>
      <c r="AX16" s="29" t="str">
        <f>IF($P$16="6L",$Q$16,IF($S$16="6L",$T$16,IF($V$16="6L",$W$16,IF($Y$16="6L",$Z$16,IF($AB$16="6L",$AC$16,IF($AE$16="6L",$AF$16,IF($AH$16="6L",$AI$16,IF($AK$16="6L",$AL$16,IF($AN$16="6L",$AO$16,IF($AQ$16="6L",$AR$16,""))))))))))</f>
        <v/>
      </c>
      <c r="AY16" s="29" t="str">
        <f>IF($P$16="7L",$Q$16,IF($S$16="7L",$T$16,IF($V$16="7L",$W$16,IF($Y$16="7L",$Z$16,IF($AB$16="7L",$AC$16,IF($AE$16="7L",$AF$16,IF($AH$16="7L",$AI$16,IF($AK$16="7L",$AL$16,IF($AN$16="7L",$AO$16,IF($AQ$16="7L",$AR$16,""))))))))))</f>
        <v/>
      </c>
      <c r="AZ16" s="29" t="str">
        <f t="shared" si="12"/>
        <v/>
      </c>
      <c r="BA16" s="29" t="str">
        <f t="shared" si="13"/>
        <v/>
      </c>
      <c r="BB16" s="29" t="str">
        <f t="shared" si="14"/>
        <v/>
      </c>
      <c r="BC16" s="29" t="str">
        <f t="shared" si="15"/>
        <v/>
      </c>
      <c r="BD16" s="29" t="str">
        <f>IF($P$16="FUM",$Q$16,IF($S$16="FUM",$T$16,IF($V$16="FUM",$W$16,IF($Y$16="FUM",$Z$16,IF($AB$16="FUM",$AC$16,IF($AE$16="FUM",$AF$16,IF($AH$16="FUM",$AI$16,IF($AK$16="FUM",$AL$16,IF($AN$16="FUM",$AO$16,IF($AQ$16="FUM",$AR$16,""))))))))))</f>
        <v/>
      </c>
    </row>
    <row r="17" spans="8:56" hidden="1" x14ac:dyDescent="0.25">
      <c r="H17" s="4">
        <f t="shared" si="1"/>
        <v>0</v>
      </c>
      <c r="I17" s="4">
        <f t="shared" si="1"/>
        <v>0</v>
      </c>
      <c r="J17" s="4">
        <f t="shared" si="1"/>
        <v>0</v>
      </c>
      <c r="K17" s="4">
        <f t="shared" si="1"/>
        <v>0</v>
      </c>
      <c r="L17" s="4">
        <f t="shared" si="1"/>
        <v>0</v>
      </c>
      <c r="O17" s="28">
        <f t="shared" si="16"/>
        <v>0</v>
      </c>
      <c r="P17" s="4">
        <f t="shared" si="2"/>
        <v>0</v>
      </c>
      <c r="Q17" s="4">
        <f t="shared" si="2"/>
        <v>0</v>
      </c>
      <c r="R17" s="4">
        <f t="shared" si="2"/>
        <v>0</v>
      </c>
      <c r="S17" s="4">
        <f t="shared" si="3"/>
        <v>0</v>
      </c>
      <c r="T17" s="4">
        <f t="shared" si="3"/>
        <v>0</v>
      </c>
      <c r="U17" s="4">
        <f t="shared" si="3"/>
        <v>0</v>
      </c>
      <c r="V17" s="4">
        <f t="shared" si="4"/>
        <v>0</v>
      </c>
      <c r="W17" s="4">
        <f t="shared" si="4"/>
        <v>0</v>
      </c>
      <c r="X17" s="4">
        <f t="shared" si="4"/>
        <v>0</v>
      </c>
      <c r="Y17" s="4">
        <f t="shared" si="5"/>
        <v>0</v>
      </c>
      <c r="Z17" s="4">
        <f t="shared" si="5"/>
        <v>0</v>
      </c>
      <c r="AA17" s="4">
        <f t="shared" si="5"/>
        <v>0</v>
      </c>
      <c r="AB17" s="4">
        <f t="shared" si="6"/>
        <v>0</v>
      </c>
      <c r="AC17" s="4">
        <f t="shared" si="6"/>
        <v>0</v>
      </c>
      <c r="AD17" s="4">
        <f t="shared" si="6"/>
        <v>0</v>
      </c>
      <c r="AE17" s="4">
        <f t="shared" si="7"/>
        <v>0</v>
      </c>
      <c r="AF17" s="4">
        <f t="shared" si="7"/>
        <v>0</v>
      </c>
      <c r="AG17" s="4">
        <f t="shared" si="7"/>
        <v>0</v>
      </c>
      <c r="AH17" s="4">
        <f t="shared" si="8"/>
        <v>0</v>
      </c>
      <c r="AI17" s="4">
        <f t="shared" si="8"/>
        <v>0</v>
      </c>
      <c r="AJ17" s="4">
        <f t="shared" si="8"/>
        <v>0</v>
      </c>
      <c r="AK17" s="4">
        <f t="shared" si="9"/>
        <v>0</v>
      </c>
      <c r="AL17" s="4">
        <f t="shared" si="9"/>
        <v>0</v>
      </c>
      <c r="AM17" s="4">
        <f t="shared" si="9"/>
        <v>0</v>
      </c>
      <c r="AN17" s="4">
        <f t="shared" si="10"/>
        <v>0</v>
      </c>
      <c r="AO17" s="4">
        <f t="shared" si="10"/>
        <v>0</v>
      </c>
      <c r="AP17" s="4">
        <f t="shared" si="10"/>
        <v>0</v>
      </c>
      <c r="AQ17" s="4">
        <f t="shared" si="11"/>
        <v>0</v>
      </c>
      <c r="AR17" s="4">
        <f t="shared" si="11"/>
        <v>0</v>
      </c>
      <c r="AT17" s="28">
        <v>4</v>
      </c>
      <c r="AU17" s="29" t="str">
        <f>IF($P$17="3L",$Q$17,IF($S$17="3L",$T$17,IF($V$17="3L",$W$17,IF($Y$17="3L",$Z$17,IF($AB$17="3L",$AC$17,IF($AE$17="3L",$AF$17,IF($AH$17="3L",$AI$17,IF($AK$17="3L",$AL$17,IF($AN$17="3L",$AO$17,IF($AQ$17="3L",$AR$17,""))))))))))</f>
        <v/>
      </c>
      <c r="AV17" s="29" t="str">
        <f>IF($P$17="4L",$Q$17,IF($S$17="4L",$T$17,IF($V$17="4L",$W$17,IF($Y$17="4L",$Z$17,IF($AB$17="4L",$AC$17,IF($AE$17="4L",$AF$17,IF($AH$17="4L",$AI$17,IF($AK$17="4L",$AL$17,IF($AN$17="4L",$AO$17,IF($AQ$17="4L",$AR$17,""))))))))))</f>
        <v/>
      </c>
      <c r="AW17" s="29" t="str">
        <f>IF($P$17="5L",$Q$17,IF($S$17="5L",$T$17,IF($V$17="5L",$W$17,IF($Y$17="5L",$Z$17,IF($AB$17="5L",$AC$17,IF($AE$17="5L",$AF$17,IF($AH$17="5L",$AI$17,IF($AK$17="5L",$AL$17,IF($AN$17="5L",$AO$17,IF($AQ$17="5L",$AR$17,""))))))))))</f>
        <v/>
      </c>
      <c r="AX17" s="29" t="str">
        <f>IF($P$17="6L",$Q$17,IF($S$17="6L",$T$17,IF($V$17="6L",$W$17,IF($Y$17="6L",$Z$17,IF($AB$17="6L",$AC$17,IF($AE$17="6L",$AF$17,IF($AH$17="6L",$AI$17,IF($AK$17="6L",$AL$17,IF($AN$17="6L",$AO$17,IF($AQ$17="6L",$AR$17,""))))))))))</f>
        <v/>
      </c>
      <c r="AY17" s="29" t="str">
        <f>IF($P$17="7L",$Q$17,IF($S$17="7L",$T$17,IF($V$17="7L",$W$17,IF($Y$17="7L",$Z$17,IF($AB$17="7L",$AC$17,IF($AE$17="7L",$AF$17,IF($AH$17="7L",$AI$17,IF($AK$17="7L",$AL$17,IF($AN$17="7L",$AO$17,IF($AQ$17="7L",$AR$17,""))))))))))</f>
        <v/>
      </c>
      <c r="AZ17" s="29" t="str">
        <f t="shared" si="12"/>
        <v/>
      </c>
      <c r="BA17" s="29" t="str">
        <f t="shared" si="13"/>
        <v/>
      </c>
      <c r="BB17" s="29" t="str">
        <f t="shared" si="14"/>
        <v/>
      </c>
      <c r="BC17" s="29" t="str">
        <f t="shared" si="15"/>
        <v/>
      </c>
      <c r="BD17" s="29" t="str">
        <f>IF($P$17="FUM",$Q$17,IF($S$17="FUM",$T$17,IF($V$17="FUM",$W$17,IF($Y$17="FUM",$Z$17,IF($AB$17="FUM",$AC$17,IF($AE$17="FUM",$AF$17,IF($AH$17="FUM",$AI$17,IF($AK$17="FUM",$AL$17,IF($AN$17="FUM",$AO$17,IF($AQ$17="FUM",$AR$17,""))))))))))</f>
        <v/>
      </c>
    </row>
    <row r="18" spans="8:56" hidden="1" x14ac:dyDescent="0.25">
      <c r="H18" s="4">
        <f t="shared" si="1"/>
        <v>0</v>
      </c>
      <c r="I18" s="4">
        <f t="shared" si="1"/>
        <v>0</v>
      </c>
      <c r="J18" s="4">
        <f t="shared" si="1"/>
        <v>0</v>
      </c>
      <c r="K18" s="4">
        <f t="shared" si="1"/>
        <v>0</v>
      </c>
      <c r="L18" s="4">
        <f t="shared" si="1"/>
        <v>0</v>
      </c>
      <c r="O18" s="28">
        <f t="shared" si="16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3"/>
        <v>0</v>
      </c>
      <c r="T18" s="4">
        <f t="shared" si="3"/>
        <v>0</v>
      </c>
      <c r="U18" s="4">
        <f t="shared" si="3"/>
        <v>0</v>
      </c>
      <c r="V18" s="4">
        <f t="shared" si="4"/>
        <v>0</v>
      </c>
      <c r="W18" s="4">
        <f t="shared" si="4"/>
        <v>0</v>
      </c>
      <c r="X18" s="4">
        <f t="shared" si="4"/>
        <v>0</v>
      </c>
      <c r="Y18" s="4">
        <f t="shared" si="5"/>
        <v>0</v>
      </c>
      <c r="Z18" s="4">
        <f t="shared" si="5"/>
        <v>0</v>
      </c>
      <c r="AA18" s="4">
        <f t="shared" si="5"/>
        <v>0</v>
      </c>
      <c r="AB18" s="4">
        <f t="shared" si="6"/>
        <v>0</v>
      </c>
      <c r="AC18" s="4">
        <f t="shared" si="6"/>
        <v>0</v>
      </c>
      <c r="AD18" s="4">
        <f t="shared" si="6"/>
        <v>0</v>
      </c>
      <c r="AE18" s="4">
        <f t="shared" si="7"/>
        <v>0</v>
      </c>
      <c r="AF18" s="4">
        <f t="shared" si="7"/>
        <v>0</v>
      </c>
      <c r="AG18" s="4">
        <f t="shared" si="7"/>
        <v>0</v>
      </c>
      <c r="AH18" s="4">
        <f t="shared" si="8"/>
        <v>0</v>
      </c>
      <c r="AI18" s="4">
        <f t="shared" si="8"/>
        <v>0</v>
      </c>
      <c r="AJ18" s="4">
        <f t="shared" si="8"/>
        <v>0</v>
      </c>
      <c r="AK18" s="4">
        <f t="shared" si="9"/>
        <v>0</v>
      </c>
      <c r="AL18" s="4">
        <f t="shared" si="9"/>
        <v>0</v>
      </c>
      <c r="AM18" s="4">
        <f t="shared" si="9"/>
        <v>0</v>
      </c>
      <c r="AN18" s="4">
        <f t="shared" si="10"/>
        <v>0</v>
      </c>
      <c r="AO18" s="4">
        <f t="shared" si="10"/>
        <v>0</v>
      </c>
      <c r="AP18" s="4">
        <f t="shared" si="10"/>
        <v>0</v>
      </c>
      <c r="AQ18" s="4">
        <f t="shared" si="11"/>
        <v>0</v>
      </c>
      <c r="AR18" s="4">
        <f t="shared" si="11"/>
        <v>0</v>
      </c>
      <c r="AT18" s="28">
        <v>5</v>
      </c>
      <c r="AU18" s="29" t="str">
        <f>IF($P$18="3L",$Q$18,IF($S$18="3L",$T$18,IF($V$18="3L",$W$18,IF($Y$18="3L",$Z$18,IF($AB$18="3L",$AC$18,IF($AE$18="3L",$AF$18,IF($AH$18="3L",$AI$18,IF($AK$18="3L",$AL$18,IF($AN$18="3L",$AO$18,IF($AQ$18="3L",$AR$18,""))))))))))</f>
        <v/>
      </c>
      <c r="AV18" s="29" t="str">
        <f>IF($P$18="4L",$Q$18,IF($S$18="4L",$T$18,IF($V$18="4L",$W$18,IF($Y$18="4L",$Z$18,IF($AB$18="4L",$AC$18,IF($AE$18="4L",$AF$18,IF($AH$18="4L",$AI$18,IF($AK$18="4L",$AL$18,IF($AN$18="4L",$AO$18,IF($AQ$18="4L",$AR$18,""))))))))))</f>
        <v/>
      </c>
      <c r="AW18" s="29" t="str">
        <f>IF($P$18="5L",$Q$18,IF($S$18="5L",$T$18,IF($V$18="5L",$W$18,IF($Y$18="5L",$Z$18,IF($AB$18="5L",$AC$18,IF($AE$18="5L",$AF$18,IF($AH$18="5L",$AI$18,IF($AK$18="5L",$AL$18,IF($AN$18="5L",$AO$18,IF($AQ$18="5L",$AR$18,""))))))))))</f>
        <v/>
      </c>
      <c r="AX18" s="29" t="str">
        <f>IF($P$18="6L",$Q$18,IF($S$18="6L",$T$18,IF($V$18="6L",$W$18,IF($Y$18="6L",$Z$18,IF($AB$18="6L",$AC$18,IF($AE$18="6L",$AF$18,IF($AH$18="6L",$AI$18,IF($AK$18="6L",$AL$18,IF($AN$18="6L",$AO$18,IF($AQ$18="6L",$AR$18,""))))))))))</f>
        <v/>
      </c>
      <c r="AY18" s="29" t="str">
        <f>IF($P$18="7L",$Q$18,IF($S$18="7L",$T$18,IF($V$18="7L",$W$18,IF($Y$18="7L",$Z$18,IF($AB$18="7L",$AC$18,IF($AE$18="7L",$AF$18,IF($AH$18="7L",$AI$18,IF($AK$18="7L",$AL$18,IF($AN$18="7L",$AO$18,IF($AQ$18="7L",$AR$18,""))))))))))</f>
        <v/>
      </c>
      <c r="AZ18" s="29" t="str">
        <f t="shared" si="12"/>
        <v/>
      </c>
      <c r="BA18" s="29" t="str">
        <f t="shared" si="13"/>
        <v/>
      </c>
      <c r="BB18" s="29" t="str">
        <f t="shared" si="14"/>
        <v/>
      </c>
      <c r="BC18" s="29" t="str">
        <f t="shared" si="15"/>
        <v/>
      </c>
      <c r="BD18" s="29" t="str">
        <f>IF($P$18="FUM",$Q$18,IF($S$18="FUM",$T$18,IF($V$18="FUM",$W$18,IF($Y$18="FUM",$Z$18,IF($AB$18="FUM",$AC$18,IF($AE$18="FUM",$AF$18,IF($AH$18="FUM",$AI$18,IF($AK$18="FUM",$AL$18,IF($AN$18="FUM",$AO$18,IF($AQ$18="FUM",$AR$18,""))))))))))</f>
        <v/>
      </c>
    </row>
    <row r="19" spans="8:56" hidden="1" x14ac:dyDescent="0.25"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0</v>
      </c>
      <c r="L19" s="4">
        <f t="shared" si="1"/>
        <v>0</v>
      </c>
      <c r="O19" s="28">
        <f t="shared" si="16"/>
        <v>0</v>
      </c>
      <c r="P19" s="4">
        <f t="shared" si="2"/>
        <v>0</v>
      </c>
      <c r="Q19" s="4">
        <f t="shared" si="2"/>
        <v>0</v>
      </c>
      <c r="R19" s="4">
        <f t="shared" si="2"/>
        <v>0</v>
      </c>
      <c r="S19" s="4">
        <f t="shared" si="3"/>
        <v>0</v>
      </c>
      <c r="T19" s="4">
        <f t="shared" si="3"/>
        <v>0</v>
      </c>
      <c r="U19" s="4">
        <f t="shared" si="3"/>
        <v>0</v>
      </c>
      <c r="V19" s="4">
        <f t="shared" si="4"/>
        <v>0</v>
      </c>
      <c r="W19" s="4">
        <f t="shared" si="4"/>
        <v>0</v>
      </c>
      <c r="X19" s="4">
        <f t="shared" si="4"/>
        <v>0</v>
      </c>
      <c r="Y19" s="4">
        <f t="shared" si="5"/>
        <v>0</v>
      </c>
      <c r="Z19" s="4">
        <f t="shared" si="5"/>
        <v>0</v>
      </c>
      <c r="AA19" s="4">
        <f t="shared" si="5"/>
        <v>0</v>
      </c>
      <c r="AB19" s="4">
        <f t="shared" si="6"/>
        <v>0</v>
      </c>
      <c r="AC19" s="4">
        <f t="shared" si="6"/>
        <v>0</v>
      </c>
      <c r="AD19" s="4">
        <f t="shared" si="6"/>
        <v>0</v>
      </c>
      <c r="AE19" s="4">
        <f t="shared" si="7"/>
        <v>0</v>
      </c>
      <c r="AF19" s="4">
        <f t="shared" si="7"/>
        <v>0</v>
      </c>
      <c r="AG19" s="4">
        <f t="shared" si="7"/>
        <v>0</v>
      </c>
      <c r="AH19" s="4">
        <f t="shared" si="8"/>
        <v>0</v>
      </c>
      <c r="AI19" s="4">
        <f t="shared" si="8"/>
        <v>0</v>
      </c>
      <c r="AJ19" s="4">
        <f t="shared" si="8"/>
        <v>0</v>
      </c>
      <c r="AK19" s="4">
        <f t="shared" si="9"/>
        <v>0</v>
      </c>
      <c r="AL19" s="4">
        <f t="shared" si="9"/>
        <v>0</v>
      </c>
      <c r="AM19" s="4">
        <f t="shared" si="9"/>
        <v>0</v>
      </c>
      <c r="AN19" s="4">
        <f t="shared" si="10"/>
        <v>0</v>
      </c>
      <c r="AO19" s="4">
        <f t="shared" si="10"/>
        <v>0</v>
      </c>
      <c r="AP19" s="4">
        <f t="shared" si="10"/>
        <v>0</v>
      </c>
      <c r="AQ19" s="4">
        <f t="shared" si="11"/>
        <v>0</v>
      </c>
      <c r="AR19" s="4">
        <f t="shared" si="11"/>
        <v>0</v>
      </c>
      <c r="AT19" s="28">
        <v>6</v>
      </c>
      <c r="AU19" s="29" t="str">
        <f>IF($P$19="3L",$Q$19,IF($S$19="3L",$T$19,IF($V$19="3L",$W$19,IF($Y$19="3L",$Z$19,IF($AB$19="3L",$AC$19,IF($AE$19="3L",$AF$19,IF($AH$19="3L",$AI$19,IF($AK$19="3L",$AL$19,IF($AN$19="3L",$AO$19,IF($AQ$19="3L",$AR$19,""))))))))))</f>
        <v/>
      </c>
      <c r="AV19" s="29" t="str">
        <f>IF($P$19="4L",$Q$19,IF($S$19="4L",$T$19,IF($V$19="4L",$W$19,IF($Y$19="4L",$Z$19,IF($AB$19="4L",$AC$19,IF($AE$19="4L",$AF$19,IF($AH$19="4L",$AI$19,IF($AK$19="4L",$AL$19,IF($AN$19="4L",$AO$19,IF($AQ$19="4L",$AR$19,""))))))))))</f>
        <v/>
      </c>
      <c r="AW19" s="29" t="str">
        <f>IF($P$19="5L",$Q$19,IF($S$19="5L",$T$19,IF($V$19="5L",$W$19,IF($Y$19="5L",$Z$19,IF($AB$19="5L",$AC$19,IF($AE$19="5L",$AF$19,IF($AH$19="5L",$AI$19,IF($AK$19="5L",$AL$19,IF($AN$19="5L",$AO$19,IF($AQ$19="5L",$AR$19,""))))))))))</f>
        <v/>
      </c>
      <c r="AX19" s="29" t="str">
        <f>IF($P$19="6L",$Q$19,IF($S$19="6L",$T$19,IF($V$19="6L",$W$19,IF($Y$19="6L",$Z$19,IF($AB$19="6L",$AC$19,IF($AE$19="6L",$AF$19,IF($AH$19="6L",$AI$19,IF($AK$19="6L",$AL$19,IF($AN$19="6L",$AO$19,IF($AQ$19="6L",$AR$19,""))))))))))</f>
        <v/>
      </c>
      <c r="AY19" s="29" t="str">
        <f>IF($P$19="7L",$Q$19,IF($S$19="7L",$T$19,IF($V$19="7L",$W$19,IF($Y$19="7L",$Z$19,IF($AB$19="7L",$AC$19,IF($AE$19="7L",$AF$19,IF($AH$19="7L",$AI$19,IF($AK$19="7L",$AL$19,IF($AN$19="7L",$AO$19,IF($AQ$19="7L",$AR$19,""))))))))))</f>
        <v/>
      </c>
      <c r="AZ19" s="29" t="str">
        <f t="shared" si="12"/>
        <v/>
      </c>
      <c r="BA19" s="29" t="str">
        <f t="shared" si="13"/>
        <v/>
      </c>
      <c r="BB19" s="29" t="str">
        <f t="shared" si="14"/>
        <v/>
      </c>
      <c r="BC19" s="29" t="str">
        <f t="shared" si="15"/>
        <v/>
      </c>
      <c r="BD19" s="29" t="str">
        <f>IF($P$19="FUM",$Q$19,IF($S$19="FUM",$T$19,IF($V$19="FUM",$W$19,IF($Y$19="FUM",$Z$19,IF($AB$19="FUM",$AC$19,IF($AE$19="FUM",$AF$19,IF($AH$19="FUM",$AI$19,IF($AK$19="FUM",$AL$19,IF($AN$19="FUM",$AO$19,IF($AQ$19="FUM",$AR$19,""))))))))))</f>
        <v/>
      </c>
    </row>
    <row r="20" spans="8:56" hidden="1" x14ac:dyDescent="0.25"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0</v>
      </c>
      <c r="O20" s="28">
        <f t="shared" si="16"/>
        <v>0</v>
      </c>
      <c r="P20" s="4">
        <f t="shared" si="2"/>
        <v>0</v>
      </c>
      <c r="Q20" s="4">
        <f t="shared" si="2"/>
        <v>0</v>
      </c>
      <c r="R20" s="4">
        <f t="shared" si="2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4"/>
        <v>0</v>
      </c>
      <c r="W20" s="4">
        <f t="shared" si="4"/>
        <v>0</v>
      </c>
      <c r="X20" s="4">
        <f t="shared" si="4"/>
        <v>0</v>
      </c>
      <c r="Y20" s="4">
        <f t="shared" si="5"/>
        <v>0</v>
      </c>
      <c r="Z20" s="4">
        <f t="shared" si="5"/>
        <v>0</v>
      </c>
      <c r="AA20" s="4">
        <f t="shared" si="5"/>
        <v>0</v>
      </c>
      <c r="AB20" s="4">
        <f t="shared" si="6"/>
        <v>0</v>
      </c>
      <c r="AC20" s="4">
        <f t="shared" si="6"/>
        <v>0</v>
      </c>
      <c r="AD20" s="4">
        <f t="shared" si="6"/>
        <v>0</v>
      </c>
      <c r="AE20" s="4">
        <f t="shared" si="7"/>
        <v>0</v>
      </c>
      <c r="AF20" s="4">
        <f t="shared" si="7"/>
        <v>0</v>
      </c>
      <c r="AG20" s="4">
        <f t="shared" si="7"/>
        <v>0</v>
      </c>
      <c r="AH20" s="4">
        <f t="shared" si="8"/>
        <v>0</v>
      </c>
      <c r="AI20" s="4">
        <f t="shared" si="8"/>
        <v>0</v>
      </c>
      <c r="AJ20" s="4">
        <f t="shared" si="8"/>
        <v>0</v>
      </c>
      <c r="AK20" s="4">
        <f t="shared" si="9"/>
        <v>0</v>
      </c>
      <c r="AL20" s="4">
        <f t="shared" si="9"/>
        <v>0</v>
      </c>
      <c r="AM20" s="4">
        <f t="shared" si="9"/>
        <v>0</v>
      </c>
      <c r="AN20" s="4">
        <f t="shared" si="10"/>
        <v>0</v>
      </c>
      <c r="AO20" s="4">
        <f t="shared" si="10"/>
        <v>0</v>
      </c>
      <c r="AP20" s="4">
        <f t="shared" si="10"/>
        <v>0</v>
      </c>
      <c r="AQ20" s="4">
        <f t="shared" si="11"/>
        <v>0</v>
      </c>
      <c r="AR20" s="4">
        <f t="shared" si="11"/>
        <v>0</v>
      </c>
      <c r="AT20" s="28">
        <v>7</v>
      </c>
      <c r="AU20" s="29" t="str">
        <f>IF($P$20="3L",$Q$20,IF($S$20="3L",$T$20,IF($V$20="3L",$W$20,IF($Y$20="3L",$Z$20,IF($AB$20="3L",$AC$20,IF($AE$20="3L",$AF$20,IF($AH$20="3L",$AI$20,IF($AK$20="3L",$AL$20,IF($AN$20="3L",$AO$20,IF($AQ$20="3L",$AR$20,""))))))))))</f>
        <v/>
      </c>
      <c r="AV20" s="29" t="str">
        <f>IF($P$20="4L",$Q$20,IF($S$20="4L",$T$20,IF($V$20="4L",$W$20,IF($Y$20="4L",$Z$20,IF($AB$20="4L",$AC$20,IF($AE$20="4L",$AF$20,IF($AH$20="4L",$AI$20,IF($AK$20="4L",$AL$20,IF($AN$20="4L",$AO$20,IF($AQ$20="4L",$AR$20,""))))))))))</f>
        <v/>
      </c>
      <c r="AW20" s="29" t="str">
        <f>IF($P$20="5L",$Q$20,IF($S$20="5L",$T$20,IF($V$20="5L",$W$20,IF($Y$20="5L",$Z$20,IF($AB$20="5L",$AC$20,IF($AE$20="5L",$AF$20,IF($AH$20="5L",$AI$20,IF($AK$20="5L",$AL$20,IF($AN$20="5L",$AO$20,IF($AQ$20="5L",$AR$20,""))))))))))</f>
        <v/>
      </c>
      <c r="AX20" s="29" t="str">
        <f>IF($P$20="6L",$Q$20,IF($S$20="6L",$T$20,IF($V$20="6L",$W$20,IF($Y$20="6L",$Z$20,IF($AB$20="6L",$AC$20,IF($AE$20="6L",$AF$20,IF($AH$20="6L",$AI$20,IF($AK$20="6L",$AL$20,IF($AN$20="6L",$AO$20,IF($AQ$20="6L",$AR$20,""))))))))))</f>
        <v/>
      </c>
      <c r="AY20" s="29" t="str">
        <f>IF($P$20="7L",$Q$20,IF($S$20="7L",$T$20,IF($V$20="7L",$W$20,IF($Y$20="7L",$Z$20,IF($AB$20="7L",$AC$20,IF($AE$20="7L",$AF$20,IF($AH$20="7L",$AI$20,IF($AK$20="7L",$AL$20,IF($AN$20="7L",$AO$20,IF($AQ$20="7L",$AR$20,""))))))))))</f>
        <v/>
      </c>
      <c r="AZ20" s="29" t="str">
        <f t="shared" si="12"/>
        <v/>
      </c>
      <c r="BA20" s="29" t="str">
        <f t="shared" si="13"/>
        <v/>
      </c>
      <c r="BB20" s="29" t="str">
        <f t="shared" si="14"/>
        <v/>
      </c>
      <c r="BC20" s="29" t="str">
        <f t="shared" si="15"/>
        <v/>
      </c>
      <c r="BD20" s="29" t="str">
        <f>IF($P$20="FUM",$Q$20,IF($S$20="FUM",$T$20,IF($V$20="FUM",$W$20,IF($Y$20="FUM",$Z$20,IF($AB$20="FUM",$AC$20,IF($AE$20="FUM",$AF$20,IF($AH$20="FUM",$AI$20,IF($AK$20="FUM",$AL$20,IF($AN$20="FUM",$AO$20,IF($AQ$20="FUM",$AR$20,""))))))))))</f>
        <v/>
      </c>
    </row>
    <row r="21" spans="8:56" hidden="1" x14ac:dyDescent="0.25">
      <c r="H21" s="4">
        <f t="shared" si="1"/>
        <v>0</v>
      </c>
      <c r="I21" s="4">
        <f t="shared" si="1"/>
        <v>0</v>
      </c>
      <c r="J21" s="4">
        <f t="shared" si="1"/>
        <v>0</v>
      </c>
      <c r="K21" s="4">
        <f t="shared" si="1"/>
        <v>0</v>
      </c>
      <c r="L21" s="4">
        <f t="shared" si="1"/>
        <v>0</v>
      </c>
      <c r="O21" s="28">
        <f t="shared" si="16"/>
        <v>0</v>
      </c>
      <c r="P21" s="4">
        <f t="shared" si="2"/>
        <v>0</v>
      </c>
      <c r="Q21" s="4">
        <f t="shared" si="2"/>
        <v>0</v>
      </c>
      <c r="R21" s="4">
        <f t="shared" si="2"/>
        <v>0</v>
      </c>
      <c r="S21" s="4">
        <f t="shared" si="3"/>
        <v>0</v>
      </c>
      <c r="T21" s="4">
        <f t="shared" si="3"/>
        <v>0</v>
      </c>
      <c r="U21" s="4">
        <f t="shared" si="3"/>
        <v>0</v>
      </c>
      <c r="V21" s="4">
        <f t="shared" si="4"/>
        <v>0</v>
      </c>
      <c r="W21" s="4">
        <f t="shared" si="4"/>
        <v>0</v>
      </c>
      <c r="X21" s="4">
        <f t="shared" si="4"/>
        <v>0</v>
      </c>
      <c r="Y21" s="4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6"/>
        <v>0</v>
      </c>
      <c r="AC21" s="4">
        <f t="shared" si="6"/>
        <v>0</v>
      </c>
      <c r="AD21" s="4">
        <f t="shared" si="6"/>
        <v>0</v>
      </c>
      <c r="AE21" s="4">
        <f t="shared" si="7"/>
        <v>0</v>
      </c>
      <c r="AF21" s="4">
        <f t="shared" si="7"/>
        <v>0</v>
      </c>
      <c r="AG21" s="4">
        <f t="shared" si="7"/>
        <v>0</v>
      </c>
      <c r="AH21" s="4">
        <f t="shared" si="8"/>
        <v>0</v>
      </c>
      <c r="AI21" s="4">
        <f t="shared" si="8"/>
        <v>0</v>
      </c>
      <c r="AJ21" s="4">
        <f t="shared" si="8"/>
        <v>0</v>
      </c>
      <c r="AK21" s="4">
        <f t="shared" si="9"/>
        <v>0</v>
      </c>
      <c r="AL21" s="4">
        <f t="shared" si="9"/>
        <v>0</v>
      </c>
      <c r="AM21" s="4">
        <f t="shared" si="9"/>
        <v>0</v>
      </c>
      <c r="AN21" s="4">
        <f t="shared" si="10"/>
        <v>0</v>
      </c>
      <c r="AO21" s="4">
        <f t="shared" si="10"/>
        <v>0</v>
      </c>
      <c r="AP21" s="4">
        <f t="shared" si="10"/>
        <v>0</v>
      </c>
      <c r="AQ21" s="4">
        <f t="shared" si="11"/>
        <v>0</v>
      </c>
      <c r="AR21" s="4">
        <f t="shared" si="11"/>
        <v>0</v>
      </c>
      <c r="AT21" s="28">
        <v>8</v>
      </c>
      <c r="AU21" s="29" t="str">
        <f>IF($P$21="3L",$Q$21,IF($S$21="3L",$T$21,IF($V$21="3L",$W$21,IF($Y$21="3L",$Z$21,IF($AB$21="3L",$AC$21,IF($AE$21="3L",$AF$21,IF($AH$21="3L",$AI$21,IF($AK$21="3L",$AL$21,IF($AN$21="3L",$AO$21,IF($AQ$21="3L",$AR$21,""))))))))))</f>
        <v/>
      </c>
      <c r="AV21" s="29" t="str">
        <f>IF($P$21="4L",$Q$21,IF($S$21="4L",$T$21,IF($V$21="4L",$W$21,IF($Y$21="4L",$Z$21,IF($AB$21="4L",$AC$21,IF($AE$21="4L",$AF$21,IF($AH$21="4L",$AI$21,IF($AK$21="4L",$AL$21,IF($AN$21="4L",$AO$21,IF($AQ$21="4L",$AR$21,""))))))))))</f>
        <v/>
      </c>
      <c r="AW21" s="29" t="str">
        <f>IF($P$21="5L",$Q$21,IF($S$21="5L",$T$21,IF($V$21="5L",$W$21,IF($Y$21="5L",$Z$21,IF($AB$21="5L",$AC$21,IF($AE$21="5L",$AF$21,IF($AH$21="5L",$AI$21,IF($AK$21="5L",$AL$21,IF($AN$21="5L",$AO$21,IF($AQ$21="5L",$AR$21,""))))))))))</f>
        <v/>
      </c>
      <c r="AX21" s="29" t="str">
        <f>IF($P$21="6L",$Q$21,IF($S$21="6L",$T$21,IF($V$21="6L",$W$21,IF($Y$21="6L",$Z$21,IF($AB$21="6L",$AC$21,IF($AE$21="6L",$AF$21,IF($AH$21="6L",$AI$21,IF($AK$21="6L",$AL$21,IF($AN$21="6L",$AO$21,IF($AQ$21="6L",$AR$21,""))))))))))</f>
        <v/>
      </c>
      <c r="AY21" s="29" t="str">
        <f>IF($P$21="7L",$Q$21,IF($S$21="7L",$T$21,IF($V$21="7L",$W$21,IF($Y$21="7L",$Z$21,IF($AB$21="7L",$AC$21,IF($AE$21="7L",$AF$21,IF($AH$21="7L",$AI$21,IF($AK$21="7L",$AL$21,IF($AN$21="7L",$AO$21,IF($AQ$21="7L",$AR$21,""))))))))))</f>
        <v/>
      </c>
      <c r="AZ21" s="29" t="str">
        <f t="shared" si="12"/>
        <v/>
      </c>
      <c r="BA21" s="29" t="str">
        <f t="shared" si="13"/>
        <v/>
      </c>
      <c r="BB21" s="29" t="str">
        <f t="shared" si="14"/>
        <v/>
      </c>
      <c r="BC21" s="29" t="str">
        <f t="shared" si="15"/>
        <v/>
      </c>
      <c r="BD21" s="29" t="str">
        <f>IF($P$21="FUM",$Q$21,IF($S$21="FUM",$T$21,IF($V$21="FUM",$W$21,IF($Y$21="FUM",$Z$21,IF($AB$21="FUM",$AC$21,IF($AE$21="FUM",$AF$21,IF($AH$21="FUM",$AI$21,IF($AK$21="FUM",$AL$21,IF($AN$21="FUM",$AO$21,IF($AQ$21="FUM",$AR$21,""))))))))))</f>
        <v/>
      </c>
    </row>
    <row r="22" spans="8:56" hidden="1" x14ac:dyDescent="0.25">
      <c r="H22" s="4">
        <f t="shared" si="1"/>
        <v>0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O22" s="28">
        <f t="shared" si="16"/>
        <v>0</v>
      </c>
      <c r="P22" s="4">
        <f t="shared" si="2"/>
        <v>0</v>
      </c>
      <c r="Q22" s="4">
        <f t="shared" si="2"/>
        <v>0</v>
      </c>
      <c r="R22" s="4">
        <f t="shared" si="2"/>
        <v>0</v>
      </c>
      <c r="S22" s="4">
        <f t="shared" si="3"/>
        <v>0</v>
      </c>
      <c r="T22" s="4">
        <f t="shared" si="3"/>
        <v>0</v>
      </c>
      <c r="U22" s="4">
        <f t="shared" si="3"/>
        <v>0</v>
      </c>
      <c r="V22" s="4">
        <f t="shared" si="4"/>
        <v>0</v>
      </c>
      <c r="W22" s="4">
        <f t="shared" si="4"/>
        <v>0</v>
      </c>
      <c r="X22" s="4">
        <f t="shared" si="4"/>
        <v>0</v>
      </c>
      <c r="Y22" s="4">
        <f t="shared" si="5"/>
        <v>0</v>
      </c>
      <c r="Z22" s="4">
        <f t="shared" si="5"/>
        <v>0</v>
      </c>
      <c r="AA22" s="4">
        <f t="shared" si="5"/>
        <v>0</v>
      </c>
      <c r="AB22" s="4">
        <f t="shared" si="6"/>
        <v>0</v>
      </c>
      <c r="AC22" s="4">
        <f t="shared" si="6"/>
        <v>0</v>
      </c>
      <c r="AD22" s="4">
        <f t="shared" si="6"/>
        <v>0</v>
      </c>
      <c r="AE22" s="4">
        <f t="shared" si="7"/>
        <v>0</v>
      </c>
      <c r="AF22" s="4">
        <f t="shared" si="7"/>
        <v>0</v>
      </c>
      <c r="AG22" s="4">
        <f t="shared" si="7"/>
        <v>0</v>
      </c>
      <c r="AH22" s="4">
        <f t="shared" si="8"/>
        <v>0</v>
      </c>
      <c r="AI22" s="4">
        <f t="shared" si="8"/>
        <v>0</v>
      </c>
      <c r="AJ22" s="4">
        <f t="shared" si="8"/>
        <v>0</v>
      </c>
      <c r="AK22" s="4">
        <f t="shared" si="9"/>
        <v>0</v>
      </c>
      <c r="AL22" s="4">
        <f t="shared" si="9"/>
        <v>0</v>
      </c>
      <c r="AM22" s="4">
        <f t="shared" si="9"/>
        <v>0</v>
      </c>
      <c r="AN22" s="4">
        <f t="shared" si="10"/>
        <v>0</v>
      </c>
      <c r="AO22" s="4">
        <f t="shared" si="10"/>
        <v>0</v>
      </c>
      <c r="AP22" s="4">
        <f t="shared" si="10"/>
        <v>0</v>
      </c>
      <c r="AQ22" s="4">
        <f t="shared" si="11"/>
        <v>0</v>
      </c>
      <c r="AR22" s="4">
        <f t="shared" si="11"/>
        <v>0</v>
      </c>
      <c r="AT22" s="28">
        <v>9</v>
      </c>
      <c r="AU22" s="29" t="str">
        <f>IF($P$22="3L",$Q$22,IF($S$22="3L",$T$22,IF($V$22="3L",$W$22,IF($Y$22="3L",$Z$22,IF($AB$22="3L",$AC$22,IF($AE$22="3L",$AF$22,IF($AH$22="3L",$AI$22,IF($AK$22="3L",$AL$22,IF($AN$22="3L",$AO$22,IF($AQ$22="3L",$AR$22,""))))))))))</f>
        <v/>
      </c>
      <c r="AV22" s="29" t="str">
        <f>IF($P$22="4L",$Q$22,IF($S$22="4L",$T$22,IF($V$22="4L",$W$22,IF($Y$22="4L",$Z$22,IF($AB$22="4L",$AC$22,IF($AE$22="4L",$AF$22,IF($AH$22="4L",$AI$22,IF($AK$22="4L",$AL$22,IF($AN$22="4L",$AO$22,IF($AQ$22="4L",$AR$22,""))))))))))</f>
        <v/>
      </c>
      <c r="AW22" s="29" t="str">
        <f>IF($P$22="5L",$Q$22,IF($S$22="5L",$T$22,IF($V$22="5L",$W$22,IF($Y$22="5L",$Z$22,IF($AB$22="5L",$AC$22,IF($AE$22="5L",$AF$22,IF($AH$22="5L",$AI$22,IF($AK$22="5L",$AL$22,IF($AN$22="5L",$AO$22,IF($AQ$22="5L",$AR$22,""))))))))))</f>
        <v/>
      </c>
      <c r="AX22" s="29" t="str">
        <f>IF($P$22="6L",$Q$22,IF($S$22="6L",$T$22,IF($V$22="6L",$W$22,IF($Y$22="6L",$Z$22,IF($AB$22="6L",$AC$22,IF($AE$22="6L",$AF$22,IF($AH$22="6L",$AI$22,IF($AK$22="6L",$AL$22,IF($AN$22="6L",$AO$22,IF($AQ$22="6L",$AR$22,""))))))))))</f>
        <v/>
      </c>
      <c r="AY22" s="29" t="str">
        <f>IF($P$22="7L",$Q$22,IF($S$22="7L",$T$22,IF($V$22="7L",$W$22,IF($Y$22="7L",$Z$22,IF($AB$22="7L",$AC$22,IF($AE$22="7L",$AF$22,IF($AH$22="7L",$AI$22,IF($AK$22="7L",$AL$22,IF($AN$22="7L",$AO$22,IF($AQ$22="7L",$AR$22,""))))))))))</f>
        <v/>
      </c>
      <c r="AZ22" s="29" t="str">
        <f t="shared" si="12"/>
        <v/>
      </c>
      <c r="BA22" s="29" t="str">
        <f t="shared" si="13"/>
        <v/>
      </c>
      <c r="BB22" s="29" t="str">
        <f t="shared" si="14"/>
        <v/>
      </c>
      <c r="BC22" s="29" t="str">
        <f t="shared" si="15"/>
        <v/>
      </c>
      <c r="BD22" s="29" t="str">
        <f>IF($P$22="FUM",$Q$22,IF($S$22="FUM",$T$22,IF($V$22="FUM",$W$22,IF($Y$22="FUM",$Z$22,IF($AB$22="FUM",$AC$22,IF($AE$22="FUM",$AF$22,IF($AH$22="FUM",$AI$22,IF($AK$22="FUM",$AL$22,IF($AN$22="FUM",$AO$22,IF($AQ$22="FUM",$AR$22,""))))))))))</f>
        <v/>
      </c>
    </row>
    <row r="23" spans="8:56" hidden="1" x14ac:dyDescent="0.25">
      <c r="H23" s="4">
        <f t="shared" si="1"/>
        <v>0</v>
      </c>
      <c r="I23" s="4">
        <f t="shared" si="1"/>
        <v>0</v>
      </c>
      <c r="J23" s="4">
        <f t="shared" si="1"/>
        <v>0</v>
      </c>
      <c r="K23" s="4">
        <f t="shared" si="1"/>
        <v>0</v>
      </c>
      <c r="L23" s="4">
        <f t="shared" si="1"/>
        <v>0</v>
      </c>
      <c r="O23" s="28">
        <f t="shared" si="16"/>
        <v>0</v>
      </c>
      <c r="P23" s="4">
        <f t="shared" si="2"/>
        <v>0</v>
      </c>
      <c r="Q23" s="4">
        <f t="shared" si="2"/>
        <v>0</v>
      </c>
      <c r="R23" s="4">
        <f t="shared" si="2"/>
        <v>0</v>
      </c>
      <c r="S23" s="4">
        <f t="shared" si="3"/>
        <v>0</v>
      </c>
      <c r="T23" s="4">
        <f t="shared" si="3"/>
        <v>0</v>
      </c>
      <c r="U23" s="4">
        <f t="shared" si="3"/>
        <v>0</v>
      </c>
      <c r="V23" s="4">
        <f t="shared" si="4"/>
        <v>0</v>
      </c>
      <c r="W23" s="4">
        <f t="shared" si="4"/>
        <v>0</v>
      </c>
      <c r="X23" s="4">
        <f t="shared" si="4"/>
        <v>0</v>
      </c>
      <c r="Y23" s="4">
        <f t="shared" si="5"/>
        <v>0</v>
      </c>
      <c r="Z23" s="4">
        <f t="shared" si="5"/>
        <v>0</v>
      </c>
      <c r="AA23" s="4">
        <f t="shared" si="5"/>
        <v>0</v>
      </c>
      <c r="AB23" s="4">
        <f t="shared" si="6"/>
        <v>0</v>
      </c>
      <c r="AC23" s="4">
        <f t="shared" si="6"/>
        <v>0</v>
      </c>
      <c r="AD23" s="4">
        <f t="shared" si="6"/>
        <v>0</v>
      </c>
      <c r="AE23" s="4">
        <f t="shared" si="7"/>
        <v>0</v>
      </c>
      <c r="AF23" s="4">
        <f t="shared" si="7"/>
        <v>0</v>
      </c>
      <c r="AG23" s="4">
        <f t="shared" si="7"/>
        <v>0</v>
      </c>
      <c r="AH23" s="4">
        <f t="shared" si="8"/>
        <v>0</v>
      </c>
      <c r="AI23" s="4">
        <f t="shared" si="8"/>
        <v>0</v>
      </c>
      <c r="AJ23" s="4">
        <f t="shared" si="8"/>
        <v>0</v>
      </c>
      <c r="AK23" s="4">
        <f t="shared" si="9"/>
        <v>0</v>
      </c>
      <c r="AL23" s="4">
        <f t="shared" si="9"/>
        <v>0</v>
      </c>
      <c r="AM23" s="4">
        <f t="shared" si="9"/>
        <v>0</v>
      </c>
      <c r="AN23" s="4">
        <f t="shared" si="10"/>
        <v>0</v>
      </c>
      <c r="AO23" s="4">
        <f t="shared" si="10"/>
        <v>0</v>
      </c>
      <c r="AP23" s="4">
        <f t="shared" si="10"/>
        <v>0</v>
      </c>
      <c r="AQ23" s="4">
        <f t="shared" si="11"/>
        <v>0</v>
      </c>
      <c r="AR23" s="4">
        <f t="shared" si="11"/>
        <v>0</v>
      </c>
      <c r="AT23" s="28">
        <v>10</v>
      </c>
      <c r="AU23" s="29" t="str">
        <f>IF($P$23="3L",$Q$23,IF($S$23="3L",$T$23,IF($V$23="3L",$W$23,IF($Y$23="3L",$Z$23,IF($AB$23="3L",$AC$23,IF($AE$23="3L",$AF$23,IF($AH$23="3L",$AI$23,IF($AK$23="3L",$AL$23,IF($AN$23="3L",$AO$23,IF($AQ$23="3L",$AR$23,""))))))))))</f>
        <v/>
      </c>
      <c r="AV23" s="29" t="str">
        <f>IF($P$23="4L",$Q$23,IF($S$23="4L",$T$23,IF($V$23="4L",$W$23,IF($Y$23="4L",$Z$23,IF($AB$23="4L",$AC$23,IF($AE$23="4L",$AF$23,IF($AH$23="4L",$AI$23,IF($AK$23="4L",$AL$23,IF($AN$23="4L",$AO$23,IF($AQ$23="4L",$AR$23,""))))))))))</f>
        <v/>
      </c>
      <c r="AW23" s="29" t="str">
        <f>IF($P$23="5L",$Q$23,IF($S$23="5L",$T$23,IF($V$23="5L",$W$23,IF($Y$23="5L",$Z$23,IF($AB$23="5L",$AC$23,IF($AE$23="5L",$AF$23,IF($AH$23="5L",$AI$23,IF($AK$23="5L",$AL$23,IF($AN$23="5L",$AO$23,IF($AQ$23="5L",$AR$23,""))))))))))</f>
        <v/>
      </c>
      <c r="AX23" s="29" t="str">
        <f>IF($P$23="6L",$Q$23,IF($S$23="6L",$T$23,IF($V$23="6L",$W$23,IF($Y$23="6L",$Z$23,IF($AB$23="6L",$AC$23,IF($AE$23="6L",$AF$23,IF($AH$23="6L",$AI$23,IF($AK$23="6L",$AL$23,IF($AN$23="6L",$AO$23,IF($AQ$23="6L",$AR$23,""))))))))))</f>
        <v/>
      </c>
      <c r="AY23" s="29" t="str">
        <f>IF($P$23="7L",$Q$23,IF($S$23="7L",$T$23,IF($V$23="7L",$W$23,IF($Y$23="7L",$Z$23,IF($AB$23="7L",$AC$23,IF($AE$23="7L",$AF$23,IF($AH$23="7L",$AI$23,IF($AK$23="7L",$AL$23,IF($AN$23="7L",$AO$23,IF($AQ$23="7L",$AR$23,""))))))))))</f>
        <v/>
      </c>
      <c r="AZ23" s="29" t="str">
        <f t="shared" si="12"/>
        <v/>
      </c>
      <c r="BA23" s="29" t="str">
        <f t="shared" si="13"/>
        <v/>
      </c>
      <c r="BB23" s="29" t="str">
        <f t="shared" si="14"/>
        <v/>
      </c>
      <c r="BC23" s="29" t="str">
        <f t="shared" si="15"/>
        <v/>
      </c>
      <c r="BD23" s="29" t="str">
        <f>IF($P$23="FUM",$Q$23,IF($S$23="FUM",$T$23,IF($V$23="FUM",$W$23,IF($Y$23="FUM",$Z$23,IF($AB$23="FUM",$AC$23,IF($AE$23="FUM",$AF$23,IF($AH$23="FUM",$AI$23,IF($AK$23="FUM",$AL$23,IF($AN$23="FUM",$AO$23,IF($AQ$23="FUM",$AR$23,""))))))))))</f>
        <v/>
      </c>
    </row>
    <row r="24" spans="8:56" hidden="1" x14ac:dyDescent="0.25">
      <c r="H24" s="4" t="str">
        <f t="shared" ref="H24:L33" si="17">P2</f>
        <v>AG</v>
      </c>
      <c r="I24" s="4">
        <f t="shared" si="17"/>
        <v>1000</v>
      </c>
      <c r="J24" s="4">
        <f t="shared" si="17"/>
        <v>10</v>
      </c>
      <c r="K24" s="4" t="str">
        <f t="shared" si="17"/>
        <v>Y</v>
      </c>
      <c r="L24" s="4" t="str">
        <f t="shared" si="17"/>
        <v>3L</v>
      </c>
    </row>
    <row r="25" spans="8:56" hidden="1" x14ac:dyDescent="0.25">
      <c r="H25" s="4">
        <f t="shared" si="17"/>
        <v>0</v>
      </c>
      <c r="I25" s="4">
        <f t="shared" si="17"/>
        <v>0</v>
      </c>
      <c r="J25" s="4">
        <f t="shared" si="17"/>
        <v>0</v>
      </c>
      <c r="K25" s="4">
        <f t="shared" si="17"/>
        <v>0</v>
      </c>
      <c r="L25" s="4">
        <f t="shared" si="17"/>
        <v>0</v>
      </c>
    </row>
    <row r="26" spans="8:56" hidden="1" x14ac:dyDescent="0.25">
      <c r="H26" s="4">
        <f t="shared" si="17"/>
        <v>0</v>
      </c>
      <c r="I26" s="4">
        <f t="shared" si="17"/>
        <v>0</v>
      </c>
      <c r="J26" s="4">
        <f t="shared" si="17"/>
        <v>0</v>
      </c>
      <c r="K26" s="4">
        <f t="shared" si="17"/>
        <v>0</v>
      </c>
      <c r="L26" s="4">
        <f t="shared" si="17"/>
        <v>0</v>
      </c>
    </row>
    <row r="27" spans="8:56" hidden="1" x14ac:dyDescent="0.25">
      <c r="H27" s="4">
        <f t="shared" si="17"/>
        <v>0</v>
      </c>
      <c r="I27" s="4">
        <f t="shared" si="17"/>
        <v>0</v>
      </c>
      <c r="J27" s="4">
        <f t="shared" si="17"/>
        <v>0</v>
      </c>
      <c r="K27" s="4">
        <f t="shared" si="17"/>
        <v>0</v>
      </c>
      <c r="L27" s="4">
        <f t="shared" si="17"/>
        <v>0</v>
      </c>
    </row>
    <row r="28" spans="8:56" hidden="1" x14ac:dyDescent="0.25">
      <c r="H28" s="4">
        <f t="shared" si="17"/>
        <v>0</v>
      </c>
      <c r="I28" s="4">
        <f t="shared" si="17"/>
        <v>0</v>
      </c>
      <c r="J28" s="4">
        <f t="shared" si="17"/>
        <v>0</v>
      </c>
      <c r="K28" s="4">
        <f t="shared" si="17"/>
        <v>0</v>
      </c>
      <c r="L28" s="4">
        <f t="shared" si="17"/>
        <v>0</v>
      </c>
    </row>
    <row r="29" spans="8:56" hidden="1" x14ac:dyDescent="0.25"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</row>
    <row r="30" spans="8:56" hidden="1" x14ac:dyDescent="0.25">
      <c r="H30" s="4">
        <f t="shared" si="17"/>
        <v>0</v>
      </c>
      <c r="I30" s="4">
        <f t="shared" si="17"/>
        <v>0</v>
      </c>
      <c r="J30" s="4">
        <f t="shared" si="17"/>
        <v>0</v>
      </c>
      <c r="K30" s="4">
        <f t="shared" si="17"/>
        <v>0</v>
      </c>
      <c r="L30" s="4">
        <f t="shared" si="17"/>
        <v>0</v>
      </c>
    </row>
    <row r="31" spans="8:56" hidden="1" x14ac:dyDescent="0.25">
      <c r="H31" s="4">
        <f t="shared" si="17"/>
        <v>0</v>
      </c>
      <c r="I31" s="4">
        <f t="shared" si="17"/>
        <v>0</v>
      </c>
      <c r="J31" s="4">
        <f t="shared" si="17"/>
        <v>0</v>
      </c>
      <c r="K31" s="4">
        <f t="shared" si="17"/>
        <v>0</v>
      </c>
      <c r="L31" s="4">
        <f t="shared" si="17"/>
        <v>0</v>
      </c>
    </row>
    <row r="32" spans="8:56" hidden="1" x14ac:dyDescent="0.25">
      <c r="H32" s="4">
        <f t="shared" si="17"/>
        <v>0</v>
      </c>
      <c r="I32" s="4">
        <f t="shared" si="17"/>
        <v>0</v>
      </c>
      <c r="J32" s="4">
        <f t="shared" si="17"/>
        <v>0</v>
      </c>
      <c r="K32" s="4">
        <f t="shared" si="17"/>
        <v>0</v>
      </c>
      <c r="L32" s="4">
        <f t="shared" si="17"/>
        <v>0</v>
      </c>
    </row>
    <row r="33" spans="8:12" hidden="1" x14ac:dyDescent="0.25">
      <c r="H33" s="4">
        <f t="shared" si="17"/>
        <v>0</v>
      </c>
      <c r="I33" s="4">
        <f t="shared" si="17"/>
        <v>0</v>
      </c>
      <c r="J33" s="4">
        <f t="shared" si="17"/>
        <v>0</v>
      </c>
      <c r="K33" s="4">
        <f t="shared" si="17"/>
        <v>0</v>
      </c>
      <c r="L33" s="4">
        <f t="shared" si="17"/>
        <v>0</v>
      </c>
    </row>
    <row r="34" spans="8:12" hidden="1" x14ac:dyDescent="0.25">
      <c r="H34" s="4" t="str">
        <f t="shared" ref="H34:L43" si="18">V2</f>
        <v>AG</v>
      </c>
      <c r="I34" s="4">
        <f t="shared" si="18"/>
        <v>750</v>
      </c>
      <c r="J34" s="4">
        <f t="shared" si="18"/>
        <v>10</v>
      </c>
      <c r="K34" s="4" t="str">
        <f t="shared" si="18"/>
        <v>Y</v>
      </c>
      <c r="L34" s="4" t="str">
        <f t="shared" si="18"/>
        <v>3L</v>
      </c>
    </row>
    <row r="35" spans="8:12" hidden="1" x14ac:dyDescent="0.25">
      <c r="H35" s="4">
        <f t="shared" si="18"/>
        <v>0</v>
      </c>
      <c r="I35" s="4">
        <f t="shared" si="18"/>
        <v>0</v>
      </c>
      <c r="J35" s="4">
        <f t="shared" si="18"/>
        <v>0</v>
      </c>
      <c r="K35" s="4">
        <f t="shared" si="18"/>
        <v>0</v>
      </c>
      <c r="L35" s="4">
        <f t="shared" si="18"/>
        <v>0</v>
      </c>
    </row>
    <row r="36" spans="8:12" hidden="1" x14ac:dyDescent="0.25">
      <c r="H36" s="4">
        <f t="shared" si="18"/>
        <v>0</v>
      </c>
      <c r="I36" s="4">
        <f t="shared" si="18"/>
        <v>0</v>
      </c>
      <c r="J36" s="4">
        <f t="shared" si="18"/>
        <v>0</v>
      </c>
      <c r="K36" s="4">
        <f t="shared" si="18"/>
        <v>0</v>
      </c>
      <c r="L36" s="4">
        <f t="shared" si="18"/>
        <v>0</v>
      </c>
    </row>
    <row r="37" spans="8:12" hidden="1" x14ac:dyDescent="0.25">
      <c r="H37" s="4">
        <f t="shared" si="18"/>
        <v>0</v>
      </c>
      <c r="I37" s="4">
        <f t="shared" si="18"/>
        <v>0</v>
      </c>
      <c r="J37" s="4">
        <f t="shared" si="18"/>
        <v>0</v>
      </c>
      <c r="K37" s="4">
        <f t="shared" si="18"/>
        <v>0</v>
      </c>
      <c r="L37" s="4">
        <f t="shared" si="18"/>
        <v>0</v>
      </c>
    </row>
    <row r="38" spans="8:12" hidden="1" x14ac:dyDescent="0.25">
      <c r="H38" s="4">
        <f t="shared" si="18"/>
        <v>0</v>
      </c>
      <c r="I38" s="4">
        <f t="shared" si="18"/>
        <v>0</v>
      </c>
      <c r="J38" s="4">
        <f t="shared" si="18"/>
        <v>0</v>
      </c>
      <c r="K38" s="4">
        <f t="shared" si="18"/>
        <v>0</v>
      </c>
      <c r="L38" s="4">
        <f t="shared" si="18"/>
        <v>0</v>
      </c>
    </row>
    <row r="39" spans="8:12" hidden="1" x14ac:dyDescent="0.25">
      <c r="H39" s="4">
        <f t="shared" si="18"/>
        <v>0</v>
      </c>
      <c r="I39" s="4">
        <f t="shared" si="18"/>
        <v>0</v>
      </c>
      <c r="J39" s="4">
        <f t="shared" si="18"/>
        <v>0</v>
      </c>
      <c r="K39" s="4">
        <f t="shared" si="18"/>
        <v>0</v>
      </c>
      <c r="L39" s="4">
        <f t="shared" si="18"/>
        <v>0</v>
      </c>
    </row>
    <row r="40" spans="8:12" hidden="1" x14ac:dyDescent="0.25">
      <c r="H40" s="4">
        <f t="shared" si="18"/>
        <v>0</v>
      </c>
      <c r="I40" s="4">
        <f t="shared" si="18"/>
        <v>0</v>
      </c>
      <c r="J40" s="4">
        <f t="shared" si="18"/>
        <v>0</v>
      </c>
      <c r="K40" s="4">
        <f t="shared" si="18"/>
        <v>0</v>
      </c>
      <c r="L40" s="4">
        <f t="shared" si="18"/>
        <v>0</v>
      </c>
    </row>
    <row r="41" spans="8:12" hidden="1" x14ac:dyDescent="0.25">
      <c r="H41" s="4">
        <f t="shared" si="18"/>
        <v>0</v>
      </c>
      <c r="I41" s="4">
        <f t="shared" si="18"/>
        <v>0</v>
      </c>
      <c r="J41" s="4">
        <f t="shared" si="18"/>
        <v>0</v>
      </c>
      <c r="K41" s="4">
        <f t="shared" si="18"/>
        <v>0</v>
      </c>
      <c r="L41" s="4">
        <f t="shared" si="18"/>
        <v>0</v>
      </c>
    </row>
    <row r="42" spans="8:12" hidden="1" x14ac:dyDescent="0.25">
      <c r="H42" s="4">
        <f t="shared" si="18"/>
        <v>0</v>
      </c>
      <c r="I42" s="4">
        <f t="shared" si="18"/>
        <v>0</v>
      </c>
      <c r="J42" s="4">
        <f t="shared" si="18"/>
        <v>0</v>
      </c>
      <c r="K42" s="4">
        <f t="shared" si="18"/>
        <v>0</v>
      </c>
      <c r="L42" s="4">
        <f t="shared" si="18"/>
        <v>0</v>
      </c>
    </row>
    <row r="43" spans="8:12" hidden="1" x14ac:dyDescent="0.25">
      <c r="H43" s="4">
        <f t="shared" si="18"/>
        <v>0</v>
      </c>
      <c r="I43" s="4">
        <f t="shared" si="18"/>
        <v>0</v>
      </c>
      <c r="J43" s="4">
        <f t="shared" si="18"/>
        <v>0</v>
      </c>
      <c r="K43" s="4">
        <f t="shared" si="18"/>
        <v>0</v>
      </c>
      <c r="L43" s="4">
        <f t="shared" si="18"/>
        <v>0</v>
      </c>
    </row>
    <row r="44" spans="8:12" hidden="1" x14ac:dyDescent="0.25">
      <c r="H44" s="4" t="str">
        <f t="shared" ref="H44:L53" si="19">AB2</f>
        <v>AG</v>
      </c>
      <c r="I44" s="4">
        <f t="shared" si="19"/>
        <v>500</v>
      </c>
      <c r="J44" s="4">
        <f t="shared" si="19"/>
        <v>20</v>
      </c>
      <c r="K44" s="4" t="str">
        <f t="shared" si="19"/>
        <v>Y</v>
      </c>
      <c r="L44" s="4" t="str">
        <f t="shared" si="19"/>
        <v>3L</v>
      </c>
    </row>
    <row r="45" spans="8:12" hidden="1" x14ac:dyDescent="0.25">
      <c r="H45" s="4">
        <f t="shared" si="19"/>
        <v>0</v>
      </c>
      <c r="I45" s="4">
        <f t="shared" si="19"/>
        <v>0</v>
      </c>
      <c r="J45" s="4">
        <f t="shared" si="19"/>
        <v>0</v>
      </c>
      <c r="K45" s="4">
        <f t="shared" si="19"/>
        <v>0</v>
      </c>
      <c r="L45" s="4">
        <f t="shared" si="19"/>
        <v>0</v>
      </c>
    </row>
    <row r="46" spans="8:12" hidden="1" x14ac:dyDescent="0.25">
      <c r="H46" s="4">
        <f t="shared" si="19"/>
        <v>0</v>
      </c>
      <c r="I46" s="4">
        <f t="shared" si="19"/>
        <v>0</v>
      </c>
      <c r="J46" s="4">
        <f t="shared" si="19"/>
        <v>0</v>
      </c>
      <c r="K46" s="4">
        <f t="shared" si="19"/>
        <v>0</v>
      </c>
      <c r="L46" s="4">
        <f t="shared" si="19"/>
        <v>0</v>
      </c>
    </row>
    <row r="47" spans="8:12" hidden="1" x14ac:dyDescent="0.25">
      <c r="H47" s="4">
        <f t="shared" si="19"/>
        <v>0</v>
      </c>
      <c r="I47" s="4">
        <f t="shared" si="19"/>
        <v>0</v>
      </c>
      <c r="J47" s="4">
        <f t="shared" si="19"/>
        <v>0</v>
      </c>
      <c r="K47" s="4">
        <f t="shared" si="19"/>
        <v>0</v>
      </c>
      <c r="L47" s="4">
        <f t="shared" si="19"/>
        <v>0</v>
      </c>
    </row>
    <row r="48" spans="8:12" hidden="1" x14ac:dyDescent="0.25">
      <c r="H48" s="4">
        <f t="shared" si="19"/>
        <v>0</v>
      </c>
      <c r="I48" s="4">
        <f t="shared" si="19"/>
        <v>0</v>
      </c>
      <c r="J48" s="4">
        <f t="shared" si="19"/>
        <v>0</v>
      </c>
      <c r="K48" s="4">
        <f t="shared" si="19"/>
        <v>0</v>
      </c>
      <c r="L48" s="4">
        <f t="shared" si="19"/>
        <v>0</v>
      </c>
    </row>
    <row r="49" spans="8:12" hidden="1" x14ac:dyDescent="0.25">
      <c r="H49" s="4">
        <f t="shared" si="19"/>
        <v>0</v>
      </c>
      <c r="I49" s="4">
        <f t="shared" si="19"/>
        <v>0</v>
      </c>
      <c r="J49" s="4">
        <f t="shared" si="19"/>
        <v>0</v>
      </c>
      <c r="K49" s="4">
        <f t="shared" si="19"/>
        <v>0</v>
      </c>
      <c r="L49" s="4">
        <f t="shared" si="19"/>
        <v>0</v>
      </c>
    </row>
    <row r="50" spans="8:12" hidden="1" x14ac:dyDescent="0.25">
      <c r="H50" s="4">
        <f t="shared" si="19"/>
        <v>0</v>
      </c>
      <c r="I50" s="4">
        <f t="shared" si="19"/>
        <v>0</v>
      </c>
      <c r="J50" s="4">
        <f t="shared" si="19"/>
        <v>0</v>
      </c>
      <c r="K50" s="4">
        <f t="shared" si="19"/>
        <v>0</v>
      </c>
      <c r="L50" s="4">
        <f t="shared" si="19"/>
        <v>0</v>
      </c>
    </row>
    <row r="51" spans="8:12" hidden="1" x14ac:dyDescent="0.25">
      <c r="H51" s="4">
        <f t="shared" si="19"/>
        <v>0</v>
      </c>
      <c r="I51" s="4">
        <f t="shared" si="19"/>
        <v>0</v>
      </c>
      <c r="J51" s="4">
        <f t="shared" si="19"/>
        <v>0</v>
      </c>
      <c r="K51" s="4">
        <f t="shared" si="19"/>
        <v>0</v>
      </c>
      <c r="L51" s="4">
        <f t="shared" si="19"/>
        <v>0</v>
      </c>
    </row>
    <row r="52" spans="8:12" hidden="1" x14ac:dyDescent="0.25">
      <c r="H52" s="4">
        <f t="shared" si="19"/>
        <v>0</v>
      </c>
      <c r="I52" s="4">
        <f t="shared" si="19"/>
        <v>0</v>
      </c>
      <c r="J52" s="4">
        <f t="shared" si="19"/>
        <v>0</v>
      </c>
      <c r="K52" s="4">
        <f t="shared" si="19"/>
        <v>0</v>
      </c>
      <c r="L52" s="4">
        <f t="shared" si="19"/>
        <v>0</v>
      </c>
    </row>
    <row r="53" spans="8:12" hidden="1" x14ac:dyDescent="0.25">
      <c r="H53" s="4">
        <f t="shared" si="19"/>
        <v>0</v>
      </c>
      <c r="I53" s="4">
        <f t="shared" si="19"/>
        <v>0</v>
      </c>
      <c r="J53" s="4">
        <f t="shared" si="19"/>
        <v>0</v>
      </c>
      <c r="K53" s="4">
        <f t="shared" si="19"/>
        <v>0</v>
      </c>
      <c r="L53" s="4">
        <f t="shared" si="19"/>
        <v>0</v>
      </c>
    </row>
    <row r="54" spans="8:12" hidden="1" x14ac:dyDescent="0.25">
      <c r="H54" s="4">
        <f t="shared" ref="H54:L63" si="20">AH2</f>
        <v>0</v>
      </c>
      <c r="I54" s="4">
        <f t="shared" si="20"/>
        <v>0</v>
      </c>
      <c r="J54" s="4">
        <f t="shared" si="20"/>
        <v>0</v>
      </c>
      <c r="K54" s="4">
        <f t="shared" si="20"/>
        <v>0</v>
      </c>
      <c r="L54" s="4">
        <f t="shared" si="20"/>
        <v>0</v>
      </c>
    </row>
    <row r="55" spans="8:12" hidden="1" x14ac:dyDescent="0.25">
      <c r="H55" s="4">
        <f t="shared" si="20"/>
        <v>0</v>
      </c>
      <c r="I55" s="4">
        <f t="shared" si="20"/>
        <v>0</v>
      </c>
      <c r="J55" s="4">
        <f t="shared" si="20"/>
        <v>0</v>
      </c>
      <c r="K55" s="4">
        <f t="shared" si="20"/>
        <v>0</v>
      </c>
      <c r="L55" s="4">
        <f t="shared" si="20"/>
        <v>0</v>
      </c>
    </row>
    <row r="56" spans="8:12" hidden="1" x14ac:dyDescent="0.25">
      <c r="H56" s="4">
        <f t="shared" si="20"/>
        <v>0</v>
      </c>
      <c r="I56" s="4">
        <f t="shared" si="20"/>
        <v>0</v>
      </c>
      <c r="J56" s="4">
        <f t="shared" si="20"/>
        <v>0</v>
      </c>
      <c r="K56" s="4">
        <f t="shared" si="20"/>
        <v>0</v>
      </c>
      <c r="L56" s="4">
        <f t="shared" si="20"/>
        <v>0</v>
      </c>
    </row>
    <row r="57" spans="8:12" hidden="1" x14ac:dyDescent="0.25">
      <c r="H57" s="4">
        <f t="shared" si="20"/>
        <v>0</v>
      </c>
      <c r="I57" s="4">
        <f t="shared" si="20"/>
        <v>0</v>
      </c>
      <c r="J57" s="4">
        <f t="shared" si="20"/>
        <v>0</v>
      </c>
      <c r="K57" s="4">
        <f t="shared" si="20"/>
        <v>0</v>
      </c>
      <c r="L57" s="4">
        <f t="shared" si="20"/>
        <v>0</v>
      </c>
    </row>
    <row r="58" spans="8:12" hidden="1" x14ac:dyDescent="0.25">
      <c r="H58" s="4">
        <f t="shared" si="20"/>
        <v>0</v>
      </c>
      <c r="I58" s="4">
        <f t="shared" si="20"/>
        <v>0</v>
      </c>
      <c r="J58" s="4">
        <f t="shared" si="20"/>
        <v>0</v>
      </c>
      <c r="K58" s="4">
        <f t="shared" si="20"/>
        <v>0</v>
      </c>
      <c r="L58" s="4">
        <f t="shared" si="20"/>
        <v>0</v>
      </c>
    </row>
    <row r="59" spans="8:12" hidden="1" x14ac:dyDescent="0.25">
      <c r="H59" s="4">
        <f t="shared" si="20"/>
        <v>0</v>
      </c>
      <c r="I59" s="4">
        <f t="shared" si="20"/>
        <v>0</v>
      </c>
      <c r="J59" s="4">
        <f t="shared" si="20"/>
        <v>0</v>
      </c>
      <c r="K59" s="4">
        <f t="shared" si="20"/>
        <v>0</v>
      </c>
      <c r="L59" s="4">
        <f t="shared" si="20"/>
        <v>0</v>
      </c>
    </row>
    <row r="60" spans="8:12" hidden="1" x14ac:dyDescent="0.25">
      <c r="H60" s="4">
        <f t="shared" si="20"/>
        <v>0</v>
      </c>
      <c r="I60" s="4">
        <f t="shared" si="20"/>
        <v>0</v>
      </c>
      <c r="J60" s="4">
        <f t="shared" si="20"/>
        <v>0</v>
      </c>
      <c r="K60" s="4">
        <f t="shared" si="20"/>
        <v>0</v>
      </c>
      <c r="L60" s="4">
        <f t="shared" si="20"/>
        <v>0</v>
      </c>
    </row>
    <row r="61" spans="8:12" hidden="1" x14ac:dyDescent="0.25">
      <c r="H61" s="4">
        <f t="shared" si="20"/>
        <v>0</v>
      </c>
      <c r="I61" s="4">
        <f t="shared" si="20"/>
        <v>0</v>
      </c>
      <c r="J61" s="4">
        <f t="shared" si="20"/>
        <v>0</v>
      </c>
      <c r="K61" s="4">
        <f t="shared" si="20"/>
        <v>0</v>
      </c>
      <c r="L61" s="4">
        <f t="shared" si="20"/>
        <v>0</v>
      </c>
    </row>
    <row r="62" spans="8:12" hidden="1" x14ac:dyDescent="0.25">
      <c r="H62" s="4">
        <f t="shared" si="20"/>
        <v>0</v>
      </c>
      <c r="I62" s="4">
        <f t="shared" si="20"/>
        <v>0</v>
      </c>
      <c r="J62" s="4">
        <f t="shared" si="20"/>
        <v>0</v>
      </c>
      <c r="K62" s="4">
        <f t="shared" si="20"/>
        <v>0</v>
      </c>
      <c r="L62" s="4">
        <f t="shared" si="20"/>
        <v>0</v>
      </c>
    </row>
    <row r="63" spans="8:12" hidden="1" x14ac:dyDescent="0.25">
      <c r="H63" s="4">
        <f t="shared" si="20"/>
        <v>0</v>
      </c>
      <c r="I63" s="4">
        <f t="shared" si="20"/>
        <v>0</v>
      </c>
      <c r="J63" s="4">
        <f t="shared" si="20"/>
        <v>0</v>
      </c>
      <c r="K63" s="4">
        <f t="shared" si="20"/>
        <v>0</v>
      </c>
      <c r="L63" s="4">
        <f t="shared" si="20"/>
        <v>0</v>
      </c>
    </row>
    <row r="64" spans="8:12" hidden="1" x14ac:dyDescent="0.25">
      <c r="H64" s="4">
        <f t="shared" ref="H64:L73" si="21">AN2</f>
        <v>0</v>
      </c>
      <c r="I64" s="4">
        <f t="shared" si="21"/>
        <v>0</v>
      </c>
      <c r="J64" s="4">
        <f t="shared" si="21"/>
        <v>0</v>
      </c>
      <c r="K64" s="4">
        <f t="shared" si="21"/>
        <v>0</v>
      </c>
      <c r="L64" s="4">
        <f t="shared" si="21"/>
        <v>0</v>
      </c>
    </row>
    <row r="65" spans="8:12" hidden="1" x14ac:dyDescent="0.25">
      <c r="H65" s="4">
        <f t="shared" si="21"/>
        <v>0</v>
      </c>
      <c r="I65" s="4">
        <f t="shared" si="21"/>
        <v>0</v>
      </c>
      <c r="J65" s="4">
        <f t="shared" si="21"/>
        <v>0</v>
      </c>
      <c r="K65" s="4">
        <f t="shared" si="21"/>
        <v>0</v>
      </c>
      <c r="L65" s="4">
        <f t="shared" si="21"/>
        <v>0</v>
      </c>
    </row>
    <row r="66" spans="8:12" hidden="1" x14ac:dyDescent="0.25">
      <c r="H66" s="4">
        <f t="shared" si="21"/>
        <v>0</v>
      </c>
      <c r="I66" s="4">
        <f t="shared" si="21"/>
        <v>0</v>
      </c>
      <c r="J66" s="4">
        <f t="shared" si="21"/>
        <v>0</v>
      </c>
      <c r="K66" s="4">
        <f t="shared" si="21"/>
        <v>0</v>
      </c>
      <c r="L66" s="4">
        <f t="shared" si="21"/>
        <v>0</v>
      </c>
    </row>
    <row r="67" spans="8:12" hidden="1" x14ac:dyDescent="0.25">
      <c r="H67" s="4">
        <f t="shared" si="21"/>
        <v>0</v>
      </c>
      <c r="I67" s="4">
        <f t="shared" si="21"/>
        <v>0</v>
      </c>
      <c r="J67" s="4">
        <f t="shared" si="21"/>
        <v>0</v>
      </c>
      <c r="K67" s="4">
        <f t="shared" si="21"/>
        <v>0</v>
      </c>
      <c r="L67" s="4">
        <f t="shared" si="21"/>
        <v>0</v>
      </c>
    </row>
    <row r="68" spans="8:12" hidden="1" x14ac:dyDescent="0.25">
      <c r="H68" s="4">
        <f t="shared" si="21"/>
        <v>0</v>
      </c>
      <c r="I68" s="4">
        <f t="shared" si="21"/>
        <v>0</v>
      </c>
      <c r="J68" s="4">
        <f t="shared" si="21"/>
        <v>0</v>
      </c>
      <c r="K68" s="4">
        <f t="shared" si="21"/>
        <v>0</v>
      </c>
      <c r="L68" s="4">
        <f t="shared" si="21"/>
        <v>0</v>
      </c>
    </row>
    <row r="69" spans="8:12" hidden="1" x14ac:dyDescent="0.25">
      <c r="H69" s="4">
        <f t="shared" si="21"/>
        <v>0</v>
      </c>
      <c r="I69" s="4">
        <f t="shared" si="21"/>
        <v>0</v>
      </c>
      <c r="J69" s="4">
        <f t="shared" si="21"/>
        <v>0</v>
      </c>
      <c r="K69" s="4">
        <f t="shared" si="21"/>
        <v>0</v>
      </c>
      <c r="L69" s="4">
        <f t="shared" si="21"/>
        <v>0</v>
      </c>
    </row>
    <row r="70" spans="8:12" hidden="1" x14ac:dyDescent="0.25">
      <c r="H70" s="4">
        <f t="shared" si="21"/>
        <v>0</v>
      </c>
      <c r="I70" s="4">
        <f t="shared" si="21"/>
        <v>0</v>
      </c>
      <c r="J70" s="4">
        <f t="shared" si="21"/>
        <v>0</v>
      </c>
      <c r="K70" s="4">
        <f t="shared" si="21"/>
        <v>0</v>
      </c>
      <c r="L70" s="4">
        <f t="shared" si="21"/>
        <v>0</v>
      </c>
    </row>
    <row r="71" spans="8:12" hidden="1" x14ac:dyDescent="0.25">
      <c r="H71" s="4">
        <f t="shared" si="21"/>
        <v>0</v>
      </c>
      <c r="I71" s="4">
        <f t="shared" si="21"/>
        <v>0</v>
      </c>
      <c r="J71" s="4">
        <f t="shared" si="21"/>
        <v>0</v>
      </c>
      <c r="K71" s="4">
        <f t="shared" si="21"/>
        <v>0</v>
      </c>
      <c r="L71" s="4">
        <f t="shared" si="21"/>
        <v>0</v>
      </c>
    </row>
    <row r="72" spans="8:12" hidden="1" x14ac:dyDescent="0.25">
      <c r="H72" s="4">
        <f t="shared" si="21"/>
        <v>0</v>
      </c>
      <c r="I72" s="4">
        <f t="shared" si="21"/>
        <v>0</v>
      </c>
      <c r="J72" s="4">
        <f t="shared" si="21"/>
        <v>0</v>
      </c>
      <c r="K72" s="4">
        <f t="shared" si="21"/>
        <v>0</v>
      </c>
      <c r="L72" s="4">
        <f t="shared" si="21"/>
        <v>0</v>
      </c>
    </row>
    <row r="73" spans="8:12" hidden="1" x14ac:dyDescent="0.25">
      <c r="H73" s="4">
        <f t="shared" si="21"/>
        <v>0</v>
      </c>
      <c r="I73" s="4">
        <f t="shared" si="21"/>
        <v>0</v>
      </c>
      <c r="J73" s="4">
        <f t="shared" si="21"/>
        <v>0</v>
      </c>
      <c r="K73" s="4">
        <f t="shared" si="21"/>
        <v>0</v>
      </c>
      <c r="L73" s="4">
        <f t="shared" si="21"/>
        <v>0</v>
      </c>
    </row>
    <row r="74" spans="8:12" hidden="1" x14ac:dyDescent="0.25">
      <c r="H74" s="4">
        <f t="shared" ref="H74:L83" si="22">AT2</f>
        <v>0</v>
      </c>
      <c r="I74" s="4">
        <f t="shared" si="22"/>
        <v>0</v>
      </c>
      <c r="J74" s="4">
        <f t="shared" si="22"/>
        <v>0</v>
      </c>
      <c r="K74" s="4">
        <f t="shared" si="22"/>
        <v>0</v>
      </c>
      <c r="L74" s="4">
        <f t="shared" si="22"/>
        <v>0</v>
      </c>
    </row>
    <row r="75" spans="8:12" hidden="1" x14ac:dyDescent="0.25">
      <c r="H75" s="4">
        <f t="shared" si="22"/>
        <v>0</v>
      </c>
      <c r="I75" s="4">
        <f t="shared" si="22"/>
        <v>0</v>
      </c>
      <c r="J75" s="4">
        <f t="shared" si="22"/>
        <v>0</v>
      </c>
      <c r="K75" s="4">
        <f t="shared" si="22"/>
        <v>0</v>
      </c>
      <c r="L75" s="4">
        <f t="shared" si="22"/>
        <v>0</v>
      </c>
    </row>
    <row r="76" spans="8:12" hidden="1" x14ac:dyDescent="0.25"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0</v>
      </c>
    </row>
    <row r="77" spans="8:12" hidden="1" x14ac:dyDescent="0.25">
      <c r="H77" s="4">
        <f t="shared" si="22"/>
        <v>0</v>
      </c>
      <c r="I77" s="4">
        <f t="shared" si="22"/>
        <v>0</v>
      </c>
      <c r="J77" s="4">
        <f t="shared" si="22"/>
        <v>0</v>
      </c>
      <c r="K77" s="4">
        <f t="shared" si="22"/>
        <v>0</v>
      </c>
      <c r="L77" s="4">
        <f t="shared" si="22"/>
        <v>0</v>
      </c>
    </row>
    <row r="78" spans="8:12" hidden="1" x14ac:dyDescent="0.25">
      <c r="H78" s="4">
        <f t="shared" si="22"/>
        <v>0</v>
      </c>
      <c r="I78" s="4">
        <f t="shared" si="22"/>
        <v>0</v>
      </c>
      <c r="J78" s="4">
        <f t="shared" si="22"/>
        <v>0</v>
      </c>
      <c r="K78" s="4">
        <f t="shared" si="22"/>
        <v>0</v>
      </c>
      <c r="L78" s="4">
        <f t="shared" si="22"/>
        <v>0</v>
      </c>
    </row>
    <row r="79" spans="8:12" hidden="1" x14ac:dyDescent="0.25">
      <c r="H79" s="4">
        <f t="shared" si="22"/>
        <v>0</v>
      </c>
      <c r="I79" s="4">
        <f t="shared" si="22"/>
        <v>0</v>
      </c>
      <c r="J79" s="4">
        <f t="shared" si="22"/>
        <v>0</v>
      </c>
      <c r="K79" s="4">
        <f t="shared" si="22"/>
        <v>0</v>
      </c>
      <c r="L79" s="4">
        <f t="shared" si="22"/>
        <v>0</v>
      </c>
    </row>
    <row r="80" spans="8:12" hidden="1" x14ac:dyDescent="0.25">
      <c r="H80" s="4">
        <f t="shared" si="22"/>
        <v>0</v>
      </c>
      <c r="I80" s="4">
        <f t="shared" si="22"/>
        <v>0</v>
      </c>
      <c r="J80" s="4">
        <f t="shared" si="22"/>
        <v>0</v>
      </c>
      <c r="K80" s="4">
        <f t="shared" si="22"/>
        <v>0</v>
      </c>
      <c r="L80" s="4">
        <f t="shared" si="22"/>
        <v>0</v>
      </c>
    </row>
    <row r="81" spans="8:12" hidden="1" x14ac:dyDescent="0.25">
      <c r="H81" s="4">
        <f t="shared" si="22"/>
        <v>0</v>
      </c>
      <c r="I81" s="4">
        <f t="shared" si="22"/>
        <v>0</v>
      </c>
      <c r="J81" s="4">
        <f t="shared" si="22"/>
        <v>0</v>
      </c>
      <c r="K81" s="4">
        <f t="shared" si="22"/>
        <v>0</v>
      </c>
      <c r="L81" s="4">
        <f t="shared" si="22"/>
        <v>0</v>
      </c>
    </row>
    <row r="82" spans="8:12" hidden="1" x14ac:dyDescent="0.25"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</row>
    <row r="83" spans="8:12" hidden="1" x14ac:dyDescent="0.25">
      <c r="H83" s="4">
        <f t="shared" si="22"/>
        <v>0</v>
      </c>
      <c r="I83" s="4">
        <f t="shared" si="22"/>
        <v>0</v>
      </c>
      <c r="J83" s="4">
        <f t="shared" si="22"/>
        <v>0</v>
      </c>
      <c r="K83" s="4">
        <f t="shared" si="22"/>
        <v>0</v>
      </c>
      <c r="L83" s="4">
        <f t="shared" si="22"/>
        <v>0</v>
      </c>
    </row>
    <row r="84" spans="8:12" hidden="1" x14ac:dyDescent="0.25">
      <c r="H84" s="4">
        <f t="shared" ref="H84:L93" si="23">AZ2</f>
        <v>0</v>
      </c>
      <c r="I84" s="4">
        <f t="shared" si="23"/>
        <v>0</v>
      </c>
      <c r="J84" s="4">
        <f t="shared" si="23"/>
        <v>0</v>
      </c>
      <c r="K84" s="4">
        <f t="shared" si="23"/>
        <v>0</v>
      </c>
      <c r="L84" s="4">
        <f t="shared" si="23"/>
        <v>0</v>
      </c>
    </row>
    <row r="85" spans="8:12" hidden="1" x14ac:dyDescent="0.25">
      <c r="H85" s="4">
        <f t="shared" si="23"/>
        <v>0</v>
      </c>
      <c r="I85" s="4">
        <f t="shared" si="23"/>
        <v>0</v>
      </c>
      <c r="J85" s="4">
        <f t="shared" si="23"/>
        <v>0</v>
      </c>
      <c r="K85" s="4">
        <f t="shared" si="23"/>
        <v>0</v>
      </c>
      <c r="L85" s="4">
        <f t="shared" si="23"/>
        <v>0</v>
      </c>
    </row>
    <row r="86" spans="8:12" hidden="1" x14ac:dyDescent="0.25">
      <c r="H86" s="4">
        <f t="shared" si="23"/>
        <v>0</v>
      </c>
      <c r="I86" s="4">
        <f t="shared" si="23"/>
        <v>0</v>
      </c>
      <c r="J86" s="4">
        <f t="shared" si="23"/>
        <v>0</v>
      </c>
      <c r="K86" s="4">
        <f t="shared" si="23"/>
        <v>0</v>
      </c>
      <c r="L86" s="4">
        <f t="shared" si="23"/>
        <v>0</v>
      </c>
    </row>
    <row r="87" spans="8:12" hidden="1" x14ac:dyDescent="0.25">
      <c r="H87" s="4">
        <f t="shared" si="23"/>
        <v>0</v>
      </c>
      <c r="I87" s="4">
        <f t="shared" si="23"/>
        <v>0</v>
      </c>
      <c r="J87" s="4">
        <f t="shared" si="23"/>
        <v>0</v>
      </c>
      <c r="K87" s="4">
        <f t="shared" si="23"/>
        <v>0</v>
      </c>
      <c r="L87" s="4">
        <f t="shared" si="23"/>
        <v>0</v>
      </c>
    </row>
    <row r="88" spans="8:12" hidden="1" x14ac:dyDescent="0.25">
      <c r="H88" s="4">
        <f t="shared" si="23"/>
        <v>0</v>
      </c>
      <c r="I88" s="4">
        <f t="shared" si="23"/>
        <v>0</v>
      </c>
      <c r="J88" s="4">
        <f t="shared" si="23"/>
        <v>0</v>
      </c>
      <c r="K88" s="4">
        <f t="shared" si="23"/>
        <v>0</v>
      </c>
      <c r="L88" s="4">
        <f t="shared" si="23"/>
        <v>0</v>
      </c>
    </row>
    <row r="89" spans="8:12" hidden="1" x14ac:dyDescent="0.25">
      <c r="H89" s="4">
        <f t="shared" si="23"/>
        <v>0</v>
      </c>
      <c r="I89" s="4">
        <f t="shared" si="23"/>
        <v>0</v>
      </c>
      <c r="J89" s="4">
        <f t="shared" si="23"/>
        <v>0</v>
      </c>
      <c r="K89" s="4">
        <f t="shared" si="23"/>
        <v>0</v>
      </c>
      <c r="L89" s="4">
        <f t="shared" si="23"/>
        <v>0</v>
      </c>
    </row>
    <row r="90" spans="8:12" hidden="1" x14ac:dyDescent="0.25">
      <c r="H90" s="4">
        <f t="shared" si="23"/>
        <v>0</v>
      </c>
      <c r="I90" s="4">
        <f t="shared" si="23"/>
        <v>0</v>
      </c>
      <c r="J90" s="4">
        <f t="shared" si="23"/>
        <v>0</v>
      </c>
      <c r="K90" s="4">
        <f t="shared" si="23"/>
        <v>0</v>
      </c>
      <c r="L90" s="4">
        <f t="shared" si="23"/>
        <v>0</v>
      </c>
    </row>
    <row r="91" spans="8:12" hidden="1" x14ac:dyDescent="0.25">
      <c r="H91" s="4">
        <f t="shared" si="23"/>
        <v>0</v>
      </c>
      <c r="I91" s="4">
        <f t="shared" si="23"/>
        <v>0</v>
      </c>
      <c r="J91" s="4">
        <f t="shared" si="23"/>
        <v>0</v>
      </c>
      <c r="K91" s="4">
        <f t="shared" si="23"/>
        <v>0</v>
      </c>
      <c r="L91" s="4">
        <f t="shared" si="23"/>
        <v>0</v>
      </c>
    </row>
    <row r="92" spans="8:12" hidden="1" x14ac:dyDescent="0.25">
      <c r="H92" s="4">
        <f t="shared" si="23"/>
        <v>0</v>
      </c>
      <c r="I92" s="4">
        <f t="shared" si="23"/>
        <v>0</v>
      </c>
      <c r="J92" s="4">
        <f t="shared" si="23"/>
        <v>0</v>
      </c>
      <c r="K92" s="4">
        <f t="shared" si="23"/>
        <v>0</v>
      </c>
      <c r="L92" s="4">
        <f t="shared" si="23"/>
        <v>0</v>
      </c>
    </row>
    <row r="93" spans="8:12" hidden="1" x14ac:dyDescent="0.25">
      <c r="H93" s="4">
        <f t="shared" si="23"/>
        <v>0</v>
      </c>
      <c r="I93" s="4">
        <f t="shared" si="23"/>
        <v>0</v>
      </c>
      <c r="J93" s="4">
        <f t="shared" si="23"/>
        <v>0</v>
      </c>
      <c r="K93" s="4">
        <f t="shared" si="23"/>
        <v>0</v>
      </c>
      <c r="L93" s="4">
        <f t="shared" si="23"/>
        <v>0</v>
      </c>
    </row>
    <row r="94" spans="8:12" hidden="1" x14ac:dyDescent="0.25">
      <c r="H94" s="4">
        <f t="shared" ref="H94:L103" si="24">BF2</f>
        <v>0</v>
      </c>
      <c r="I94" s="4">
        <f t="shared" si="24"/>
        <v>0</v>
      </c>
      <c r="J94" s="4">
        <f t="shared" si="24"/>
        <v>0</v>
      </c>
      <c r="K94" s="4">
        <f t="shared" si="24"/>
        <v>0</v>
      </c>
      <c r="L94" s="4">
        <f t="shared" si="24"/>
        <v>0</v>
      </c>
    </row>
    <row r="95" spans="8:12" hidden="1" x14ac:dyDescent="0.25">
      <c r="H95" s="4">
        <f t="shared" si="24"/>
        <v>0</v>
      </c>
      <c r="I95" s="4">
        <f t="shared" si="24"/>
        <v>0</v>
      </c>
      <c r="J95" s="4">
        <f t="shared" si="24"/>
        <v>0</v>
      </c>
      <c r="K95" s="4">
        <f t="shared" si="24"/>
        <v>0</v>
      </c>
      <c r="L95" s="4">
        <f t="shared" si="24"/>
        <v>0</v>
      </c>
    </row>
    <row r="96" spans="8:12" hidden="1" x14ac:dyDescent="0.25">
      <c r="H96" s="4">
        <f t="shared" si="24"/>
        <v>0</v>
      </c>
      <c r="I96" s="4">
        <f t="shared" si="24"/>
        <v>0</v>
      </c>
      <c r="J96" s="4">
        <f t="shared" si="24"/>
        <v>0</v>
      </c>
      <c r="K96" s="4">
        <f t="shared" si="24"/>
        <v>0</v>
      </c>
      <c r="L96" s="4">
        <f t="shared" si="24"/>
        <v>0</v>
      </c>
    </row>
    <row r="97" spans="8:12" hidden="1" x14ac:dyDescent="0.25">
      <c r="H97" s="4">
        <f t="shared" si="24"/>
        <v>0</v>
      </c>
      <c r="I97" s="4">
        <f t="shared" si="24"/>
        <v>0</v>
      </c>
      <c r="J97" s="4">
        <f t="shared" si="24"/>
        <v>0</v>
      </c>
      <c r="K97" s="4">
        <f t="shared" si="24"/>
        <v>0</v>
      </c>
      <c r="L97" s="4">
        <f t="shared" si="24"/>
        <v>0</v>
      </c>
    </row>
    <row r="98" spans="8:12" hidden="1" x14ac:dyDescent="0.25">
      <c r="H98" s="4">
        <f t="shared" si="24"/>
        <v>0</v>
      </c>
      <c r="I98" s="4">
        <f t="shared" si="24"/>
        <v>0</v>
      </c>
      <c r="J98" s="4">
        <f t="shared" si="24"/>
        <v>0</v>
      </c>
      <c r="K98" s="4">
        <f t="shared" si="24"/>
        <v>0</v>
      </c>
      <c r="L98" s="4">
        <f t="shared" si="24"/>
        <v>0</v>
      </c>
    </row>
    <row r="99" spans="8:12" hidden="1" x14ac:dyDescent="0.25">
      <c r="H99" s="4">
        <f t="shared" si="24"/>
        <v>0</v>
      </c>
      <c r="I99" s="4">
        <f t="shared" si="24"/>
        <v>0</v>
      </c>
      <c r="J99" s="4">
        <f t="shared" si="24"/>
        <v>0</v>
      </c>
      <c r="K99" s="4">
        <f t="shared" si="24"/>
        <v>0</v>
      </c>
      <c r="L99" s="4">
        <f t="shared" si="24"/>
        <v>0</v>
      </c>
    </row>
    <row r="100" spans="8:12" hidden="1" x14ac:dyDescent="0.25">
      <c r="H100" s="4">
        <f t="shared" si="24"/>
        <v>0</v>
      </c>
      <c r="I100" s="4">
        <f t="shared" si="24"/>
        <v>0</v>
      </c>
      <c r="J100" s="4">
        <f t="shared" si="24"/>
        <v>0</v>
      </c>
      <c r="K100" s="4">
        <f t="shared" si="24"/>
        <v>0</v>
      </c>
      <c r="L100" s="4">
        <f t="shared" si="24"/>
        <v>0</v>
      </c>
    </row>
    <row r="101" spans="8:12" hidden="1" x14ac:dyDescent="0.25">
      <c r="H101" s="4">
        <f t="shared" si="24"/>
        <v>0</v>
      </c>
      <c r="I101" s="4">
        <f t="shared" si="24"/>
        <v>0</v>
      </c>
      <c r="J101" s="4">
        <f t="shared" si="24"/>
        <v>0</v>
      </c>
      <c r="K101" s="4">
        <f t="shared" si="24"/>
        <v>0</v>
      </c>
      <c r="L101" s="4">
        <f t="shared" si="24"/>
        <v>0</v>
      </c>
    </row>
    <row r="102" spans="8:12" hidden="1" x14ac:dyDescent="0.25">
      <c r="H102" s="4">
        <f t="shared" si="24"/>
        <v>0</v>
      </c>
      <c r="I102" s="4">
        <f t="shared" si="24"/>
        <v>0</v>
      </c>
      <c r="J102" s="4">
        <f t="shared" si="24"/>
        <v>0</v>
      </c>
      <c r="K102" s="4">
        <f t="shared" si="24"/>
        <v>0</v>
      </c>
      <c r="L102" s="4">
        <f t="shared" si="24"/>
        <v>0</v>
      </c>
    </row>
    <row r="103" spans="8:12" hidden="1" x14ac:dyDescent="0.25">
      <c r="H103" s="4">
        <f t="shared" si="24"/>
        <v>0</v>
      </c>
      <c r="I103" s="4">
        <f t="shared" si="24"/>
        <v>0</v>
      </c>
      <c r="J103" s="4">
        <f t="shared" si="24"/>
        <v>0</v>
      </c>
      <c r="K103" s="4">
        <f t="shared" si="24"/>
        <v>0</v>
      </c>
      <c r="L103" s="4">
        <f t="shared" si="24"/>
        <v>0</v>
      </c>
    </row>
    <row r="104" spans="8:12" hidden="1" x14ac:dyDescent="0.25">
      <c r="H104" s="4">
        <f t="shared" ref="H104:L113" si="25">BL2</f>
        <v>0</v>
      </c>
      <c r="I104" s="4">
        <f t="shared" si="25"/>
        <v>0</v>
      </c>
      <c r="J104" s="4">
        <f t="shared" si="25"/>
        <v>0</v>
      </c>
      <c r="K104" s="4">
        <f t="shared" si="25"/>
        <v>0</v>
      </c>
      <c r="L104" s="4">
        <f t="shared" si="25"/>
        <v>0</v>
      </c>
    </row>
    <row r="105" spans="8:12" hidden="1" x14ac:dyDescent="0.25">
      <c r="H105" s="4">
        <f t="shared" si="25"/>
        <v>0</v>
      </c>
      <c r="I105" s="4">
        <f t="shared" si="25"/>
        <v>0</v>
      </c>
      <c r="J105" s="4">
        <f t="shared" si="25"/>
        <v>0</v>
      </c>
      <c r="K105" s="4">
        <f t="shared" si="25"/>
        <v>0</v>
      </c>
      <c r="L105" s="4">
        <f t="shared" si="25"/>
        <v>0</v>
      </c>
    </row>
    <row r="106" spans="8:12" hidden="1" x14ac:dyDescent="0.25">
      <c r="H106" s="4">
        <f t="shared" si="25"/>
        <v>0</v>
      </c>
      <c r="I106" s="4">
        <f t="shared" si="25"/>
        <v>0</v>
      </c>
      <c r="J106" s="4">
        <f t="shared" si="25"/>
        <v>0</v>
      </c>
      <c r="K106" s="4">
        <f t="shared" si="25"/>
        <v>0</v>
      </c>
      <c r="L106" s="4">
        <f t="shared" si="25"/>
        <v>0</v>
      </c>
    </row>
    <row r="107" spans="8:12" hidden="1" x14ac:dyDescent="0.25">
      <c r="H107" s="4">
        <f t="shared" si="25"/>
        <v>0</v>
      </c>
      <c r="I107" s="4">
        <f t="shared" si="25"/>
        <v>0</v>
      </c>
      <c r="J107" s="4">
        <f t="shared" si="25"/>
        <v>0</v>
      </c>
      <c r="K107" s="4">
        <f t="shared" si="25"/>
        <v>0</v>
      </c>
      <c r="L107" s="4">
        <f t="shared" si="25"/>
        <v>0</v>
      </c>
    </row>
    <row r="108" spans="8:12" hidden="1" x14ac:dyDescent="0.25">
      <c r="H108" s="4">
        <f t="shared" si="25"/>
        <v>0</v>
      </c>
      <c r="I108" s="4">
        <f t="shared" si="25"/>
        <v>0</v>
      </c>
      <c r="J108" s="4">
        <f t="shared" si="25"/>
        <v>0</v>
      </c>
      <c r="K108" s="4">
        <f t="shared" si="25"/>
        <v>0</v>
      </c>
      <c r="L108" s="4">
        <f t="shared" si="25"/>
        <v>0</v>
      </c>
    </row>
    <row r="109" spans="8:12" hidden="1" x14ac:dyDescent="0.25">
      <c r="H109" s="4">
        <f t="shared" si="25"/>
        <v>0</v>
      </c>
      <c r="I109" s="4">
        <f t="shared" si="25"/>
        <v>0</v>
      </c>
      <c r="J109" s="4">
        <f t="shared" si="25"/>
        <v>0</v>
      </c>
      <c r="K109" s="4">
        <f t="shared" si="25"/>
        <v>0</v>
      </c>
      <c r="L109" s="4">
        <f t="shared" si="25"/>
        <v>0</v>
      </c>
    </row>
    <row r="110" spans="8:12" hidden="1" x14ac:dyDescent="0.25">
      <c r="H110" s="4">
        <f t="shared" si="25"/>
        <v>0</v>
      </c>
      <c r="I110" s="4">
        <f t="shared" si="25"/>
        <v>0</v>
      </c>
      <c r="J110" s="4">
        <f t="shared" si="25"/>
        <v>0</v>
      </c>
      <c r="K110" s="4">
        <f t="shared" si="25"/>
        <v>0</v>
      </c>
      <c r="L110" s="4">
        <f t="shared" si="25"/>
        <v>0</v>
      </c>
    </row>
    <row r="111" spans="8:12" hidden="1" x14ac:dyDescent="0.25">
      <c r="H111" s="4">
        <f t="shared" si="25"/>
        <v>0</v>
      </c>
      <c r="I111" s="4">
        <f t="shared" si="25"/>
        <v>0</v>
      </c>
      <c r="J111" s="4">
        <f t="shared" si="25"/>
        <v>0</v>
      </c>
      <c r="K111" s="4">
        <f t="shared" si="25"/>
        <v>0</v>
      </c>
      <c r="L111" s="4">
        <f t="shared" si="25"/>
        <v>0</v>
      </c>
    </row>
    <row r="112" spans="8:12" hidden="1" x14ac:dyDescent="0.25">
      <c r="H112" s="4">
        <f t="shared" si="25"/>
        <v>0</v>
      </c>
      <c r="I112" s="4">
        <f t="shared" si="25"/>
        <v>0</v>
      </c>
      <c r="J112" s="4">
        <f t="shared" si="25"/>
        <v>0</v>
      </c>
      <c r="K112" s="4">
        <f t="shared" si="25"/>
        <v>0</v>
      </c>
      <c r="L112" s="4">
        <f t="shared" si="25"/>
        <v>0</v>
      </c>
    </row>
    <row r="113" spans="1:62" hidden="1" x14ac:dyDescent="0.25">
      <c r="H113" s="45">
        <f t="shared" si="25"/>
        <v>0</v>
      </c>
      <c r="I113" s="45">
        <f t="shared" si="25"/>
        <v>0</v>
      </c>
      <c r="J113" s="4">
        <f t="shared" si="25"/>
        <v>0</v>
      </c>
      <c r="K113" s="4">
        <f t="shared" si="25"/>
        <v>0</v>
      </c>
      <c r="L113" s="4">
        <f t="shared" si="25"/>
        <v>0</v>
      </c>
    </row>
    <row r="114" spans="1:62" x14ac:dyDescent="0.25">
      <c r="A114" s="168" t="s">
        <v>85</v>
      </c>
      <c r="B114" s="169"/>
      <c r="C114" s="170"/>
      <c r="D114" s="171">
        <v>46008</v>
      </c>
      <c r="E114" s="172"/>
      <c r="F114" s="172"/>
      <c r="G114" s="172"/>
      <c r="H114" s="46"/>
      <c r="I114" s="54"/>
    </row>
    <row r="115" spans="1:62" ht="15.75" thickBot="1" x14ac:dyDescent="0.3">
      <c r="A115" s="110"/>
      <c r="B115" s="110"/>
      <c r="C115" s="110"/>
      <c r="D115" s="110"/>
      <c r="E115" s="110"/>
      <c r="F115" s="110"/>
      <c r="G115" s="110"/>
      <c r="H115" s="54"/>
      <c r="I115" s="54"/>
    </row>
    <row r="116" spans="1:62" ht="16.5" thickBot="1" x14ac:dyDescent="0.3">
      <c r="A116" s="173" t="s">
        <v>248</v>
      </c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5"/>
      <c r="AH116" s="118" t="s">
        <v>35</v>
      </c>
      <c r="AI116" s="118"/>
      <c r="AJ116" s="118" t="str">
        <f>F2</f>
        <v>AP08</v>
      </c>
      <c r="AK116" s="118"/>
      <c r="AL116" s="118"/>
      <c r="AN116" s="118" t="s">
        <v>35</v>
      </c>
      <c r="AO116" s="118"/>
      <c r="AP116" s="118">
        <f>F3</f>
        <v>0</v>
      </c>
      <c r="AQ116" s="118"/>
      <c r="AR116" s="118"/>
      <c r="AT116" s="118" t="s">
        <v>35</v>
      </c>
      <c r="AU116" s="118"/>
      <c r="AV116" s="118">
        <f>F4</f>
        <v>0</v>
      </c>
      <c r="AW116" s="118"/>
      <c r="AX116" s="118"/>
      <c r="AZ116" s="118" t="s">
        <v>35</v>
      </c>
      <c r="BA116" s="118"/>
      <c r="BB116" s="118">
        <f>F5</f>
        <v>0</v>
      </c>
      <c r="BC116" s="118"/>
      <c r="BD116" s="118"/>
      <c r="BF116" s="118" t="s">
        <v>35</v>
      </c>
      <c r="BG116" s="118"/>
      <c r="BH116" s="118">
        <f>F6</f>
        <v>0</v>
      </c>
      <c r="BI116" s="118"/>
      <c r="BJ116" s="118"/>
    </row>
    <row r="117" spans="1:62" x14ac:dyDescent="0.25">
      <c r="A117" s="123" t="s">
        <v>31</v>
      </c>
      <c r="B117" s="113" t="s">
        <v>22</v>
      </c>
      <c r="C117" s="114"/>
      <c r="D117" s="114"/>
      <c r="E117" s="114"/>
      <c r="F117" s="115"/>
      <c r="G117" s="113" t="s">
        <v>20</v>
      </c>
      <c r="H117" s="114"/>
      <c r="I117" s="114"/>
      <c r="J117" s="114"/>
      <c r="K117" s="115"/>
      <c r="L117" s="113" t="s">
        <v>34</v>
      </c>
      <c r="M117" s="114"/>
      <c r="N117" s="114"/>
      <c r="O117" s="114"/>
      <c r="P117" s="115"/>
      <c r="Q117" s="113" t="s">
        <v>127</v>
      </c>
      <c r="R117" s="114"/>
      <c r="S117" s="114"/>
      <c r="T117" s="114"/>
      <c r="U117" s="115"/>
      <c r="V117" s="113" t="s">
        <v>129</v>
      </c>
      <c r="W117" s="114"/>
      <c r="X117" s="114"/>
      <c r="Y117" s="114"/>
      <c r="Z117" s="115"/>
      <c r="AA117" s="113" t="s">
        <v>26</v>
      </c>
      <c r="AB117" s="114"/>
      <c r="AC117" s="114"/>
      <c r="AD117" s="114"/>
      <c r="AE117" s="115"/>
      <c r="AF117" s="116" t="s">
        <v>24</v>
      </c>
      <c r="AG117" s="116" t="s">
        <v>86</v>
      </c>
      <c r="AH117" s="118" t="str">
        <f>G2</f>
        <v>PAWAN PUTRA AGENCY</v>
      </c>
      <c r="AI117" s="118"/>
      <c r="AJ117" s="118"/>
      <c r="AK117" s="118"/>
      <c r="AL117" s="118"/>
      <c r="AN117" s="118">
        <f>G3</f>
        <v>0</v>
      </c>
      <c r="AO117" s="118"/>
      <c r="AP117" s="118"/>
      <c r="AQ117" s="118"/>
      <c r="AR117" s="118"/>
      <c r="AT117" s="118">
        <f>G4</f>
        <v>0</v>
      </c>
      <c r="AU117" s="118"/>
      <c r="AV117" s="118"/>
      <c r="AW117" s="118"/>
      <c r="AX117" s="118"/>
      <c r="AZ117" s="118">
        <f>G5</f>
        <v>0</v>
      </c>
      <c r="BA117" s="118"/>
      <c r="BB117" s="118"/>
      <c r="BC117" s="118"/>
      <c r="BD117" s="118"/>
      <c r="BF117" s="118">
        <f>G6</f>
        <v>0</v>
      </c>
      <c r="BG117" s="118"/>
      <c r="BH117" s="118"/>
      <c r="BI117" s="118"/>
      <c r="BJ117" s="118"/>
    </row>
    <row r="118" spans="1:62" ht="15.75" thickBot="1" x14ac:dyDescent="0.3">
      <c r="A118" s="124"/>
      <c r="B118" s="9" t="s">
        <v>32</v>
      </c>
      <c r="C118" s="12" t="s">
        <v>17</v>
      </c>
      <c r="D118" s="12" t="s">
        <v>19</v>
      </c>
      <c r="E118" s="12" t="s">
        <v>33</v>
      </c>
      <c r="F118" s="14" t="s">
        <v>80</v>
      </c>
      <c r="G118" s="9" t="s">
        <v>32</v>
      </c>
      <c r="H118" s="12" t="s">
        <v>17</v>
      </c>
      <c r="I118" s="12" t="s">
        <v>19</v>
      </c>
      <c r="J118" s="12" t="s">
        <v>33</v>
      </c>
      <c r="K118" s="14" t="s">
        <v>80</v>
      </c>
      <c r="L118" s="9" t="s">
        <v>32</v>
      </c>
      <c r="M118" s="12" t="s">
        <v>17</v>
      </c>
      <c r="N118" s="12" t="s">
        <v>19</v>
      </c>
      <c r="O118" s="12" t="s">
        <v>33</v>
      </c>
      <c r="P118" s="14" t="s">
        <v>80</v>
      </c>
      <c r="Q118" s="9" t="s">
        <v>32</v>
      </c>
      <c r="R118" s="12" t="s">
        <v>17</v>
      </c>
      <c r="S118" s="12" t="s">
        <v>19</v>
      </c>
      <c r="T118" s="12" t="s">
        <v>33</v>
      </c>
      <c r="U118" s="14" t="s">
        <v>80</v>
      </c>
      <c r="V118" s="9" t="s">
        <v>32</v>
      </c>
      <c r="W118" s="12" t="s">
        <v>17</v>
      </c>
      <c r="X118" s="12" t="s">
        <v>19</v>
      </c>
      <c r="Y118" s="12" t="s">
        <v>33</v>
      </c>
      <c r="Z118" s="14" t="s">
        <v>80</v>
      </c>
      <c r="AA118" s="9" t="s">
        <v>32</v>
      </c>
      <c r="AB118" s="12" t="s">
        <v>17</v>
      </c>
      <c r="AC118" s="12" t="s">
        <v>19</v>
      </c>
      <c r="AD118" s="12" t="s">
        <v>33</v>
      </c>
      <c r="AE118" s="14" t="s">
        <v>80</v>
      </c>
      <c r="AF118" s="117"/>
      <c r="AG118" s="117"/>
      <c r="AH118" s="118" t="str">
        <f>H2</f>
        <v>TIRUPATHI</v>
      </c>
      <c r="AI118" s="118"/>
      <c r="AJ118" s="118"/>
      <c r="AK118" s="118"/>
      <c r="AL118" s="118"/>
      <c r="AN118" s="118">
        <f>H3</f>
        <v>0</v>
      </c>
      <c r="AO118" s="118"/>
      <c r="AP118" s="118"/>
      <c r="AQ118" s="118"/>
      <c r="AR118" s="118"/>
      <c r="AT118" s="118">
        <f>H4</f>
        <v>0</v>
      </c>
      <c r="AU118" s="118"/>
      <c r="AV118" s="118"/>
      <c r="AW118" s="118"/>
      <c r="AX118" s="118"/>
      <c r="AZ118" s="118">
        <f>H5</f>
        <v>0</v>
      </c>
      <c r="BA118" s="118"/>
      <c r="BB118" s="118"/>
      <c r="BC118" s="118"/>
      <c r="BD118" s="118"/>
      <c r="BF118" s="118">
        <f>H6</f>
        <v>0</v>
      </c>
      <c r="BG118" s="118"/>
      <c r="BH118" s="118"/>
      <c r="BI118" s="118"/>
      <c r="BJ118" s="118"/>
    </row>
    <row r="119" spans="1:62" ht="15.75" thickBot="1" x14ac:dyDescent="0.3">
      <c r="A119" s="16">
        <v>300</v>
      </c>
      <c r="B119" s="10">
        <f t="shared" ref="B119:F127" si="26">SUMIFS($J$14:$J$113,$I$14:$I$113,$A119,$K$14:$K$113,B$118,$L$14:$L$113,$B$117,$H$14:$H$113,"AG")</f>
        <v>0</v>
      </c>
      <c r="C119" s="11">
        <f t="shared" si="26"/>
        <v>0</v>
      </c>
      <c r="D119" s="11">
        <f t="shared" si="26"/>
        <v>0</v>
      </c>
      <c r="E119" s="11">
        <f t="shared" si="26"/>
        <v>0</v>
      </c>
      <c r="F119" s="17">
        <f t="shared" si="26"/>
        <v>0</v>
      </c>
      <c r="G119" s="10">
        <f t="shared" ref="G119:K127" si="27">SUMIFS($J$14:$J$113,$I$14:$I$113,$A119,$K$14:$K$113,G$118,$L$14:$L$113,$G$117,$H$14:$H$113,"AG")</f>
        <v>0</v>
      </c>
      <c r="H119" s="11">
        <f t="shared" si="27"/>
        <v>0</v>
      </c>
      <c r="I119" s="11">
        <f t="shared" si="27"/>
        <v>0</v>
      </c>
      <c r="J119" s="11">
        <f t="shared" si="27"/>
        <v>0</v>
      </c>
      <c r="K119" s="17">
        <f t="shared" si="27"/>
        <v>0</v>
      </c>
      <c r="L119" s="10">
        <f t="shared" ref="L119:P127" si="28">SUMIFS($J$14:$J$113,$I$14:$I$113,$A119,$K$14:$K$113,L$118,$L$14:$L$113,$L$117,$H$14:$H$113,"AG")</f>
        <v>0</v>
      </c>
      <c r="M119" s="11">
        <f t="shared" si="28"/>
        <v>0</v>
      </c>
      <c r="N119" s="11">
        <f t="shared" si="28"/>
        <v>0</v>
      </c>
      <c r="O119" s="11">
        <f t="shared" si="28"/>
        <v>0</v>
      </c>
      <c r="P119" s="17">
        <f t="shared" si="28"/>
        <v>0</v>
      </c>
      <c r="Q119" s="10">
        <f t="shared" ref="Q119:U127" si="29">SUMIFS($J$14:$J$113,$I$14:$I$113,$A119,$K$14:$K$113,Q$118,$L$14:$L$113,$Q$117,$H$14:$H$113,"AG")</f>
        <v>0</v>
      </c>
      <c r="R119" s="11">
        <f t="shared" si="29"/>
        <v>0</v>
      </c>
      <c r="S119" s="11">
        <f t="shared" si="29"/>
        <v>0</v>
      </c>
      <c r="T119" s="11">
        <f t="shared" si="29"/>
        <v>0</v>
      </c>
      <c r="U119" s="17">
        <f t="shared" si="29"/>
        <v>0</v>
      </c>
      <c r="V119" s="10">
        <f t="shared" ref="V119:AE127" si="30">SUMIFS($J$14:$J$113,$I$14:$I$113,$A119,$K$14:$K$113,V$118,$L$14:$L$113,$L$117,$H$14:$H$113,"AG")</f>
        <v>0</v>
      </c>
      <c r="W119" s="11">
        <f t="shared" si="30"/>
        <v>0</v>
      </c>
      <c r="X119" s="11">
        <f t="shared" si="30"/>
        <v>0</v>
      </c>
      <c r="Y119" s="11">
        <f t="shared" si="30"/>
        <v>0</v>
      </c>
      <c r="Z119" s="17">
        <f t="shared" si="30"/>
        <v>0</v>
      </c>
      <c r="AA119" s="10">
        <f t="shared" si="30"/>
        <v>0</v>
      </c>
      <c r="AB119" s="11">
        <f t="shared" si="30"/>
        <v>0</v>
      </c>
      <c r="AC119" s="11">
        <f t="shared" si="30"/>
        <v>0</v>
      </c>
      <c r="AD119" s="11">
        <f t="shared" si="30"/>
        <v>0</v>
      </c>
      <c r="AE119" s="17">
        <f t="shared" si="30"/>
        <v>0</v>
      </c>
      <c r="AF119" s="16">
        <f>SUM(B119:AE119)*A119</f>
        <v>0</v>
      </c>
      <c r="AG119" s="16">
        <f>SUM(B119:AE119)</f>
        <v>0</v>
      </c>
      <c r="AH119" s="30" t="s">
        <v>136</v>
      </c>
      <c r="AI119" s="30" t="s">
        <v>27</v>
      </c>
      <c r="AJ119" s="30" t="s">
        <v>28</v>
      </c>
      <c r="AK119" s="30" t="s">
        <v>29</v>
      </c>
      <c r="AL119" s="30" t="s">
        <v>30</v>
      </c>
      <c r="AN119" s="30" t="s">
        <v>136</v>
      </c>
      <c r="AO119" s="30" t="s">
        <v>27</v>
      </c>
      <c r="AP119" s="30" t="s">
        <v>28</v>
      </c>
      <c r="AQ119" s="30" t="s">
        <v>29</v>
      </c>
      <c r="AR119" s="30" t="s">
        <v>30</v>
      </c>
      <c r="AT119" s="30" t="s">
        <v>136</v>
      </c>
      <c r="AU119" s="30" t="s">
        <v>27</v>
      </c>
      <c r="AV119" s="30" t="s">
        <v>28</v>
      </c>
      <c r="AW119" s="30" t="s">
        <v>29</v>
      </c>
      <c r="AX119" s="30" t="s">
        <v>30</v>
      </c>
      <c r="AZ119" s="30" t="s">
        <v>136</v>
      </c>
      <c r="BA119" s="30" t="s">
        <v>27</v>
      </c>
      <c r="BB119" s="30" t="s">
        <v>28</v>
      </c>
      <c r="BC119" s="30" t="s">
        <v>29</v>
      </c>
      <c r="BD119" s="30" t="s">
        <v>30</v>
      </c>
      <c r="BF119" s="30" t="s">
        <v>136</v>
      </c>
      <c r="BG119" s="30" t="s">
        <v>27</v>
      </c>
      <c r="BH119" s="30" t="s">
        <v>28</v>
      </c>
      <c r="BI119" s="30" t="s">
        <v>29</v>
      </c>
      <c r="BJ119" s="30" t="s">
        <v>30</v>
      </c>
    </row>
    <row r="120" spans="1:62" x14ac:dyDescent="0.25">
      <c r="A120" s="16">
        <v>500</v>
      </c>
      <c r="B120" s="10">
        <f t="shared" si="26"/>
        <v>0</v>
      </c>
      <c r="C120" s="11">
        <f t="shared" si="26"/>
        <v>20</v>
      </c>
      <c r="D120" s="11">
        <f t="shared" si="26"/>
        <v>0</v>
      </c>
      <c r="E120" s="11">
        <f t="shared" si="26"/>
        <v>0</v>
      </c>
      <c r="F120" s="17">
        <f t="shared" si="26"/>
        <v>0</v>
      </c>
      <c r="G120" s="10">
        <f t="shared" si="27"/>
        <v>0</v>
      </c>
      <c r="H120" s="11">
        <f t="shared" si="27"/>
        <v>0</v>
      </c>
      <c r="I120" s="11">
        <f t="shared" si="27"/>
        <v>0</v>
      </c>
      <c r="J120" s="11">
        <f t="shared" si="27"/>
        <v>0</v>
      </c>
      <c r="K120" s="17">
        <f t="shared" si="27"/>
        <v>0</v>
      </c>
      <c r="L120" s="10">
        <f t="shared" si="28"/>
        <v>0</v>
      </c>
      <c r="M120" s="11">
        <f t="shared" si="28"/>
        <v>0</v>
      </c>
      <c r="N120" s="11">
        <f t="shared" si="28"/>
        <v>0</v>
      </c>
      <c r="O120" s="11">
        <f t="shared" si="28"/>
        <v>0</v>
      </c>
      <c r="P120" s="17">
        <f t="shared" si="28"/>
        <v>0</v>
      </c>
      <c r="Q120" s="10">
        <f t="shared" si="29"/>
        <v>0</v>
      </c>
      <c r="R120" s="11">
        <f t="shared" si="29"/>
        <v>0</v>
      </c>
      <c r="S120" s="11">
        <f t="shared" si="29"/>
        <v>0</v>
      </c>
      <c r="T120" s="11">
        <f t="shared" si="29"/>
        <v>0</v>
      </c>
      <c r="U120" s="17">
        <f t="shared" si="29"/>
        <v>0</v>
      </c>
      <c r="V120" s="10">
        <f t="shared" si="30"/>
        <v>0</v>
      </c>
      <c r="W120" s="11">
        <f t="shared" si="30"/>
        <v>0</v>
      </c>
      <c r="X120" s="11">
        <f t="shared" si="30"/>
        <v>0</v>
      </c>
      <c r="Y120" s="11">
        <f t="shared" si="30"/>
        <v>0</v>
      </c>
      <c r="Z120" s="17">
        <f t="shared" si="30"/>
        <v>0</v>
      </c>
      <c r="AA120" s="10">
        <f t="shared" si="30"/>
        <v>0</v>
      </c>
      <c r="AB120" s="11">
        <f t="shared" si="30"/>
        <v>0</v>
      </c>
      <c r="AC120" s="11">
        <f t="shared" si="30"/>
        <v>0</v>
      </c>
      <c r="AD120" s="11">
        <f t="shared" si="30"/>
        <v>0</v>
      </c>
      <c r="AE120" s="17">
        <f t="shared" si="30"/>
        <v>0</v>
      </c>
      <c r="AF120" s="16">
        <f t="shared" ref="AF120:AF127" si="31">SUM(B120:AE120)*A120</f>
        <v>10000</v>
      </c>
      <c r="AG120" s="16">
        <f t="shared" ref="AG120:AG128" si="32">SUM(B120:AE120)</f>
        <v>20</v>
      </c>
      <c r="AH120" s="16" t="str">
        <f>J2</f>
        <v>AG</v>
      </c>
      <c r="AI120" s="10">
        <f>K2</f>
        <v>1500</v>
      </c>
      <c r="AJ120" s="11">
        <f>L2</f>
        <v>8</v>
      </c>
      <c r="AK120" s="11" t="str">
        <f>M2</f>
        <v>Y</v>
      </c>
      <c r="AL120" s="17" t="str">
        <f>N2</f>
        <v>3L</v>
      </c>
      <c r="AN120" s="16">
        <f>J3</f>
        <v>0</v>
      </c>
      <c r="AO120" s="10">
        <f>K3</f>
        <v>0</v>
      </c>
      <c r="AP120" s="11">
        <f>L3</f>
        <v>0</v>
      </c>
      <c r="AQ120" s="11">
        <f>M3</f>
        <v>0</v>
      </c>
      <c r="AR120" s="17">
        <f>N3</f>
        <v>0</v>
      </c>
      <c r="AT120" s="16">
        <f>J4</f>
        <v>0</v>
      </c>
      <c r="AU120" s="10">
        <f>K4</f>
        <v>0</v>
      </c>
      <c r="AV120" s="11">
        <f>L4</f>
        <v>0</v>
      </c>
      <c r="AW120" s="11">
        <f>M4</f>
        <v>0</v>
      </c>
      <c r="AX120" s="17">
        <f>N4</f>
        <v>0</v>
      </c>
      <c r="AZ120" s="16">
        <f>J5</f>
        <v>0</v>
      </c>
      <c r="BA120" s="10">
        <f>K5</f>
        <v>0</v>
      </c>
      <c r="BB120" s="11">
        <f>L5</f>
        <v>0</v>
      </c>
      <c r="BC120" s="11">
        <f>M5</f>
        <v>0</v>
      </c>
      <c r="BD120" s="17">
        <f>N5</f>
        <v>0</v>
      </c>
      <c r="BF120" s="16">
        <f>J6</f>
        <v>0</v>
      </c>
      <c r="BG120" s="10">
        <f>K6</f>
        <v>0</v>
      </c>
      <c r="BH120" s="11">
        <f>L6</f>
        <v>0</v>
      </c>
      <c r="BI120" s="11">
        <f>M6</f>
        <v>0</v>
      </c>
      <c r="BJ120" s="17">
        <f>N6</f>
        <v>0</v>
      </c>
    </row>
    <row r="121" spans="1:62" x14ac:dyDescent="0.25">
      <c r="A121" s="15">
        <v>750</v>
      </c>
      <c r="B121" s="8">
        <f t="shared" si="26"/>
        <v>0</v>
      </c>
      <c r="C121" s="6">
        <f t="shared" si="26"/>
        <v>10</v>
      </c>
      <c r="D121" s="6">
        <f t="shared" si="26"/>
        <v>0</v>
      </c>
      <c r="E121" s="6">
        <f t="shared" si="26"/>
        <v>0</v>
      </c>
      <c r="F121" s="13">
        <f t="shared" si="26"/>
        <v>0</v>
      </c>
      <c r="G121" s="8">
        <f t="shared" si="27"/>
        <v>0</v>
      </c>
      <c r="H121" s="6">
        <f t="shared" si="27"/>
        <v>0</v>
      </c>
      <c r="I121" s="6">
        <f t="shared" si="27"/>
        <v>0</v>
      </c>
      <c r="J121" s="6">
        <f t="shared" si="27"/>
        <v>0</v>
      </c>
      <c r="K121" s="13">
        <f t="shared" si="27"/>
        <v>0</v>
      </c>
      <c r="L121" s="8">
        <f t="shared" si="28"/>
        <v>0</v>
      </c>
      <c r="M121" s="6">
        <f t="shared" si="28"/>
        <v>0</v>
      </c>
      <c r="N121" s="6">
        <f t="shared" si="28"/>
        <v>0</v>
      </c>
      <c r="O121" s="6">
        <f t="shared" si="28"/>
        <v>0</v>
      </c>
      <c r="P121" s="13">
        <f t="shared" si="28"/>
        <v>0</v>
      </c>
      <c r="Q121" s="8">
        <f t="shared" si="29"/>
        <v>0</v>
      </c>
      <c r="R121" s="6">
        <f t="shared" si="29"/>
        <v>0</v>
      </c>
      <c r="S121" s="6">
        <f t="shared" si="29"/>
        <v>0</v>
      </c>
      <c r="T121" s="6">
        <f t="shared" si="29"/>
        <v>0</v>
      </c>
      <c r="U121" s="13">
        <f t="shared" si="29"/>
        <v>0</v>
      </c>
      <c r="V121" s="8">
        <f t="shared" si="30"/>
        <v>0</v>
      </c>
      <c r="W121" s="6">
        <f t="shared" si="30"/>
        <v>0</v>
      </c>
      <c r="X121" s="6">
        <f t="shared" si="30"/>
        <v>0</v>
      </c>
      <c r="Y121" s="6">
        <f t="shared" si="30"/>
        <v>0</v>
      </c>
      <c r="Z121" s="13">
        <f t="shared" si="30"/>
        <v>0</v>
      </c>
      <c r="AA121" s="8">
        <f t="shared" si="30"/>
        <v>0</v>
      </c>
      <c r="AB121" s="6">
        <f t="shared" si="30"/>
        <v>0</v>
      </c>
      <c r="AC121" s="6">
        <f t="shared" si="30"/>
        <v>0</v>
      </c>
      <c r="AD121" s="6">
        <f t="shared" si="30"/>
        <v>0</v>
      </c>
      <c r="AE121" s="13">
        <f t="shared" si="30"/>
        <v>0</v>
      </c>
      <c r="AF121" s="16">
        <f t="shared" si="31"/>
        <v>7500</v>
      </c>
      <c r="AG121" s="16">
        <f t="shared" si="32"/>
        <v>10</v>
      </c>
      <c r="AH121" s="15" t="str">
        <f>P2</f>
        <v>AG</v>
      </c>
      <c r="AI121" s="8">
        <f>Q2</f>
        <v>1000</v>
      </c>
      <c r="AJ121" s="6">
        <f>R2</f>
        <v>10</v>
      </c>
      <c r="AK121" s="6" t="str">
        <f>S2</f>
        <v>Y</v>
      </c>
      <c r="AL121" s="13" t="str">
        <f>T2</f>
        <v>3L</v>
      </c>
      <c r="AN121" s="15">
        <f>P3</f>
        <v>0</v>
      </c>
      <c r="AO121" s="8">
        <f>Q3</f>
        <v>0</v>
      </c>
      <c r="AP121" s="6">
        <f>R3</f>
        <v>0</v>
      </c>
      <c r="AQ121" s="6">
        <f>S3</f>
        <v>0</v>
      </c>
      <c r="AR121" s="13">
        <f>T3</f>
        <v>0</v>
      </c>
      <c r="AT121" s="15">
        <f>P4</f>
        <v>0</v>
      </c>
      <c r="AU121" s="8">
        <f>Q4</f>
        <v>0</v>
      </c>
      <c r="AV121" s="6">
        <f>R4</f>
        <v>0</v>
      </c>
      <c r="AW121" s="6">
        <f>S4</f>
        <v>0</v>
      </c>
      <c r="AX121" s="13">
        <f>T4</f>
        <v>0</v>
      </c>
      <c r="AZ121" s="15">
        <f>P5</f>
        <v>0</v>
      </c>
      <c r="BA121" s="8">
        <f>Q5</f>
        <v>0</v>
      </c>
      <c r="BB121" s="6">
        <f>R5</f>
        <v>0</v>
      </c>
      <c r="BC121" s="6">
        <f>S5</f>
        <v>0</v>
      </c>
      <c r="BD121" s="13">
        <f>T5</f>
        <v>0</v>
      </c>
      <c r="BF121" s="15">
        <f>P6</f>
        <v>0</v>
      </c>
      <c r="BG121" s="8">
        <f>Q6</f>
        <v>0</v>
      </c>
      <c r="BH121" s="6">
        <f>R6</f>
        <v>0</v>
      </c>
      <c r="BI121" s="6">
        <f>S6</f>
        <v>0</v>
      </c>
      <c r="BJ121" s="13">
        <f>T6</f>
        <v>0</v>
      </c>
    </row>
    <row r="122" spans="1:62" x14ac:dyDescent="0.25">
      <c r="A122" s="15">
        <v>1000</v>
      </c>
      <c r="B122" s="8">
        <f t="shared" si="26"/>
        <v>0</v>
      </c>
      <c r="C122" s="6">
        <f t="shared" si="26"/>
        <v>10</v>
      </c>
      <c r="D122" s="6">
        <f t="shared" si="26"/>
        <v>0</v>
      </c>
      <c r="E122" s="6">
        <f t="shared" si="26"/>
        <v>0</v>
      </c>
      <c r="F122" s="13">
        <f t="shared" si="26"/>
        <v>0</v>
      </c>
      <c r="G122" s="8">
        <f t="shared" si="27"/>
        <v>0</v>
      </c>
      <c r="H122" s="6">
        <f t="shared" si="27"/>
        <v>0</v>
      </c>
      <c r="I122" s="6">
        <f t="shared" si="27"/>
        <v>0</v>
      </c>
      <c r="J122" s="6">
        <f t="shared" si="27"/>
        <v>0</v>
      </c>
      <c r="K122" s="13">
        <f t="shared" si="27"/>
        <v>0</v>
      </c>
      <c r="L122" s="8">
        <f t="shared" si="28"/>
        <v>0</v>
      </c>
      <c r="M122" s="6">
        <f t="shared" si="28"/>
        <v>0</v>
      </c>
      <c r="N122" s="6">
        <f t="shared" si="28"/>
        <v>0</v>
      </c>
      <c r="O122" s="6">
        <f t="shared" si="28"/>
        <v>0</v>
      </c>
      <c r="P122" s="13">
        <f t="shared" si="28"/>
        <v>0</v>
      </c>
      <c r="Q122" s="8">
        <f t="shared" si="29"/>
        <v>0</v>
      </c>
      <c r="R122" s="6">
        <f t="shared" si="29"/>
        <v>0</v>
      </c>
      <c r="S122" s="6">
        <f t="shared" si="29"/>
        <v>0</v>
      </c>
      <c r="T122" s="6">
        <f t="shared" si="29"/>
        <v>0</v>
      </c>
      <c r="U122" s="13">
        <f t="shared" si="29"/>
        <v>0</v>
      </c>
      <c r="V122" s="8">
        <f t="shared" si="30"/>
        <v>0</v>
      </c>
      <c r="W122" s="6">
        <f t="shared" si="30"/>
        <v>0</v>
      </c>
      <c r="X122" s="6">
        <f t="shared" si="30"/>
        <v>0</v>
      </c>
      <c r="Y122" s="6">
        <f t="shared" si="30"/>
        <v>0</v>
      </c>
      <c r="Z122" s="13">
        <f t="shared" si="30"/>
        <v>0</v>
      </c>
      <c r="AA122" s="8">
        <f t="shared" si="30"/>
        <v>0</v>
      </c>
      <c r="AB122" s="6">
        <f t="shared" si="30"/>
        <v>0</v>
      </c>
      <c r="AC122" s="6">
        <f t="shared" si="30"/>
        <v>0</v>
      </c>
      <c r="AD122" s="6">
        <f t="shared" si="30"/>
        <v>0</v>
      </c>
      <c r="AE122" s="13">
        <f t="shared" si="30"/>
        <v>0</v>
      </c>
      <c r="AF122" s="16">
        <f t="shared" si="31"/>
        <v>10000</v>
      </c>
      <c r="AG122" s="16">
        <f t="shared" si="32"/>
        <v>10</v>
      </c>
      <c r="AH122" s="15" t="str">
        <f>V2</f>
        <v>AG</v>
      </c>
      <c r="AI122" s="8">
        <f>W2</f>
        <v>750</v>
      </c>
      <c r="AJ122" s="6">
        <f>X2</f>
        <v>10</v>
      </c>
      <c r="AK122" s="6" t="str">
        <f>Y2</f>
        <v>Y</v>
      </c>
      <c r="AL122" s="13" t="str">
        <f>Z2</f>
        <v>3L</v>
      </c>
      <c r="AN122" s="15">
        <f>V3</f>
        <v>0</v>
      </c>
      <c r="AO122" s="8">
        <f>W3</f>
        <v>0</v>
      </c>
      <c r="AP122" s="6">
        <f>X3</f>
        <v>0</v>
      </c>
      <c r="AQ122" s="6">
        <f>Y3</f>
        <v>0</v>
      </c>
      <c r="AR122" s="13">
        <f>Z3</f>
        <v>0</v>
      </c>
      <c r="AT122" s="15">
        <f>V4</f>
        <v>0</v>
      </c>
      <c r="AU122" s="8">
        <f>W4</f>
        <v>0</v>
      </c>
      <c r="AV122" s="6">
        <f>X4</f>
        <v>0</v>
      </c>
      <c r="AW122" s="6">
        <f>Y4</f>
        <v>0</v>
      </c>
      <c r="AX122" s="13">
        <f>Z4</f>
        <v>0</v>
      </c>
      <c r="AZ122" s="15">
        <f>V5</f>
        <v>0</v>
      </c>
      <c r="BA122" s="8">
        <f>W5</f>
        <v>0</v>
      </c>
      <c r="BB122" s="6">
        <f>X5</f>
        <v>0</v>
      </c>
      <c r="BC122" s="6">
        <f>Y5</f>
        <v>0</v>
      </c>
      <c r="BD122" s="13">
        <f>Z5</f>
        <v>0</v>
      </c>
      <c r="BF122" s="15">
        <f>V6</f>
        <v>0</v>
      </c>
      <c r="BG122" s="8">
        <f>W6</f>
        <v>0</v>
      </c>
      <c r="BH122" s="6">
        <f>X6</f>
        <v>0</v>
      </c>
      <c r="BI122" s="6">
        <f>Y6</f>
        <v>0</v>
      </c>
      <c r="BJ122" s="13">
        <f>Z6</f>
        <v>0</v>
      </c>
    </row>
    <row r="123" spans="1:62" x14ac:dyDescent="0.25">
      <c r="A123" s="15">
        <v>1500</v>
      </c>
      <c r="B123" s="8">
        <f t="shared" si="26"/>
        <v>0</v>
      </c>
      <c r="C123" s="6">
        <f t="shared" si="26"/>
        <v>8</v>
      </c>
      <c r="D123" s="6">
        <f t="shared" si="26"/>
        <v>0</v>
      </c>
      <c r="E123" s="6">
        <f t="shared" si="26"/>
        <v>0</v>
      </c>
      <c r="F123" s="13">
        <f t="shared" si="26"/>
        <v>0</v>
      </c>
      <c r="G123" s="8">
        <f t="shared" si="27"/>
        <v>0</v>
      </c>
      <c r="H123" s="6">
        <f t="shared" si="27"/>
        <v>0</v>
      </c>
      <c r="I123" s="6">
        <f t="shared" si="27"/>
        <v>0</v>
      </c>
      <c r="J123" s="6">
        <f t="shared" si="27"/>
        <v>0</v>
      </c>
      <c r="K123" s="13">
        <f t="shared" si="27"/>
        <v>0</v>
      </c>
      <c r="L123" s="8">
        <f t="shared" si="28"/>
        <v>0</v>
      </c>
      <c r="M123" s="6">
        <f t="shared" si="28"/>
        <v>0</v>
      </c>
      <c r="N123" s="6">
        <f t="shared" si="28"/>
        <v>0</v>
      </c>
      <c r="O123" s="6">
        <f t="shared" si="28"/>
        <v>0</v>
      </c>
      <c r="P123" s="13">
        <f t="shared" si="28"/>
        <v>0</v>
      </c>
      <c r="Q123" s="8">
        <f t="shared" si="29"/>
        <v>0</v>
      </c>
      <c r="R123" s="6">
        <f t="shared" si="29"/>
        <v>0</v>
      </c>
      <c r="S123" s="6">
        <f t="shared" si="29"/>
        <v>0</v>
      </c>
      <c r="T123" s="6">
        <f t="shared" si="29"/>
        <v>0</v>
      </c>
      <c r="U123" s="13">
        <f t="shared" si="29"/>
        <v>0</v>
      </c>
      <c r="V123" s="8">
        <f t="shared" si="30"/>
        <v>0</v>
      </c>
      <c r="W123" s="6">
        <f t="shared" si="30"/>
        <v>0</v>
      </c>
      <c r="X123" s="6">
        <f t="shared" si="30"/>
        <v>0</v>
      </c>
      <c r="Y123" s="6">
        <f t="shared" si="30"/>
        <v>0</v>
      </c>
      <c r="Z123" s="13">
        <f t="shared" si="30"/>
        <v>0</v>
      </c>
      <c r="AA123" s="8">
        <f t="shared" si="30"/>
        <v>0</v>
      </c>
      <c r="AB123" s="6">
        <f t="shared" si="30"/>
        <v>0</v>
      </c>
      <c r="AC123" s="6">
        <f t="shared" si="30"/>
        <v>0</v>
      </c>
      <c r="AD123" s="6">
        <f t="shared" si="30"/>
        <v>0</v>
      </c>
      <c r="AE123" s="13">
        <f t="shared" si="30"/>
        <v>0</v>
      </c>
      <c r="AF123" s="16">
        <f t="shared" si="31"/>
        <v>12000</v>
      </c>
      <c r="AG123" s="16">
        <f t="shared" si="32"/>
        <v>8</v>
      </c>
      <c r="AH123" s="15" t="str">
        <f>AB2</f>
        <v>AG</v>
      </c>
      <c r="AI123" s="8">
        <f>AC2</f>
        <v>500</v>
      </c>
      <c r="AJ123" s="6">
        <f>AD2</f>
        <v>20</v>
      </c>
      <c r="AK123" s="6" t="str">
        <f>AE2</f>
        <v>Y</v>
      </c>
      <c r="AL123" s="13" t="str">
        <f>AF2</f>
        <v>3L</v>
      </c>
      <c r="AN123" s="15">
        <f>AB3</f>
        <v>0</v>
      </c>
      <c r="AO123" s="8">
        <f>AC3</f>
        <v>0</v>
      </c>
      <c r="AP123" s="6">
        <f>AD3</f>
        <v>0</v>
      </c>
      <c r="AQ123" s="6">
        <f>AE3</f>
        <v>0</v>
      </c>
      <c r="AR123" s="13">
        <f>AF3</f>
        <v>0</v>
      </c>
      <c r="AT123" s="15">
        <f>AB4</f>
        <v>0</v>
      </c>
      <c r="AU123" s="8">
        <f>AC4</f>
        <v>0</v>
      </c>
      <c r="AV123" s="6">
        <f>AD4</f>
        <v>0</v>
      </c>
      <c r="AW123" s="6">
        <f>AE4</f>
        <v>0</v>
      </c>
      <c r="AX123" s="13">
        <f>AF4</f>
        <v>0</v>
      </c>
      <c r="AZ123" s="15">
        <f>AB5</f>
        <v>0</v>
      </c>
      <c r="BA123" s="8">
        <f>AC5</f>
        <v>0</v>
      </c>
      <c r="BB123" s="6">
        <f>AD5</f>
        <v>0</v>
      </c>
      <c r="BC123" s="6">
        <f>AE5</f>
        <v>0</v>
      </c>
      <c r="BD123" s="13">
        <f>AF5</f>
        <v>0</v>
      </c>
      <c r="BF123" s="15">
        <f>AB6</f>
        <v>0</v>
      </c>
      <c r="BG123" s="8">
        <f>AC6</f>
        <v>0</v>
      </c>
      <c r="BH123" s="6">
        <f>AD6</f>
        <v>0</v>
      </c>
      <c r="BI123" s="6">
        <f>AE6</f>
        <v>0</v>
      </c>
      <c r="BJ123" s="13">
        <f>AF6</f>
        <v>0</v>
      </c>
    </row>
    <row r="124" spans="1:62" x14ac:dyDescent="0.25">
      <c r="A124" s="15">
        <v>2000</v>
      </c>
      <c r="B124" s="8">
        <f t="shared" si="26"/>
        <v>0</v>
      </c>
      <c r="C124" s="6">
        <f t="shared" si="26"/>
        <v>0</v>
      </c>
      <c r="D124" s="6">
        <f t="shared" si="26"/>
        <v>0</v>
      </c>
      <c r="E124" s="6">
        <f t="shared" si="26"/>
        <v>0</v>
      </c>
      <c r="F124" s="13">
        <f t="shared" si="26"/>
        <v>0</v>
      </c>
      <c r="G124" s="8">
        <f t="shared" si="27"/>
        <v>0</v>
      </c>
      <c r="H124" s="6">
        <f t="shared" si="27"/>
        <v>0</v>
      </c>
      <c r="I124" s="6">
        <f t="shared" si="27"/>
        <v>0</v>
      </c>
      <c r="J124" s="6">
        <f t="shared" si="27"/>
        <v>0</v>
      </c>
      <c r="K124" s="13">
        <f t="shared" si="27"/>
        <v>0</v>
      </c>
      <c r="L124" s="8">
        <f t="shared" si="28"/>
        <v>0</v>
      </c>
      <c r="M124" s="6">
        <f t="shared" si="28"/>
        <v>0</v>
      </c>
      <c r="N124" s="6">
        <f t="shared" si="28"/>
        <v>0</v>
      </c>
      <c r="O124" s="6">
        <f t="shared" si="28"/>
        <v>0</v>
      </c>
      <c r="P124" s="13">
        <f t="shared" si="28"/>
        <v>0</v>
      </c>
      <c r="Q124" s="8">
        <f t="shared" si="29"/>
        <v>0</v>
      </c>
      <c r="R124" s="6">
        <f t="shared" si="29"/>
        <v>0</v>
      </c>
      <c r="S124" s="6">
        <f t="shared" si="29"/>
        <v>0</v>
      </c>
      <c r="T124" s="6">
        <f t="shared" si="29"/>
        <v>0</v>
      </c>
      <c r="U124" s="13">
        <f t="shared" si="29"/>
        <v>0</v>
      </c>
      <c r="V124" s="8">
        <f t="shared" si="30"/>
        <v>0</v>
      </c>
      <c r="W124" s="6">
        <f t="shared" si="30"/>
        <v>0</v>
      </c>
      <c r="X124" s="6">
        <f t="shared" si="30"/>
        <v>0</v>
      </c>
      <c r="Y124" s="6">
        <f t="shared" si="30"/>
        <v>0</v>
      </c>
      <c r="Z124" s="13">
        <f t="shared" si="30"/>
        <v>0</v>
      </c>
      <c r="AA124" s="8">
        <f t="shared" si="30"/>
        <v>0</v>
      </c>
      <c r="AB124" s="6">
        <f t="shared" si="30"/>
        <v>0</v>
      </c>
      <c r="AC124" s="6">
        <f t="shared" si="30"/>
        <v>0</v>
      </c>
      <c r="AD124" s="6">
        <f t="shared" si="30"/>
        <v>0</v>
      </c>
      <c r="AE124" s="13">
        <f t="shared" si="30"/>
        <v>0</v>
      </c>
      <c r="AF124" s="16">
        <f t="shared" si="31"/>
        <v>0</v>
      </c>
      <c r="AG124" s="16">
        <f t="shared" si="32"/>
        <v>0</v>
      </c>
      <c r="AH124" s="15">
        <f>AH2</f>
        <v>0</v>
      </c>
      <c r="AI124" s="8">
        <f>AI2</f>
        <v>0</v>
      </c>
      <c r="AJ124" s="6">
        <f>AJ2</f>
        <v>0</v>
      </c>
      <c r="AK124" s="6">
        <f>AK2</f>
        <v>0</v>
      </c>
      <c r="AL124" s="13">
        <f>AL2</f>
        <v>0</v>
      </c>
      <c r="AN124" s="15">
        <f>AH3</f>
        <v>0</v>
      </c>
      <c r="AO124" s="8">
        <f>AI3</f>
        <v>0</v>
      </c>
      <c r="AP124" s="6">
        <f>AJ3</f>
        <v>0</v>
      </c>
      <c r="AQ124" s="6">
        <f>AK3</f>
        <v>0</v>
      </c>
      <c r="AR124" s="13">
        <f>AL3</f>
        <v>0</v>
      </c>
      <c r="AT124" s="15">
        <f>AH4</f>
        <v>0</v>
      </c>
      <c r="AU124" s="8">
        <f>AI4</f>
        <v>0</v>
      </c>
      <c r="AV124" s="6">
        <f>AJ4</f>
        <v>0</v>
      </c>
      <c r="AW124" s="6">
        <f>AK4</f>
        <v>0</v>
      </c>
      <c r="AX124" s="13">
        <f>AL4</f>
        <v>0</v>
      </c>
      <c r="AZ124" s="15">
        <f>AH5</f>
        <v>0</v>
      </c>
      <c r="BA124" s="8">
        <f>AI5</f>
        <v>0</v>
      </c>
      <c r="BB124" s="6">
        <f>AJ5</f>
        <v>0</v>
      </c>
      <c r="BC124" s="6">
        <f>AK5</f>
        <v>0</v>
      </c>
      <c r="BD124" s="13">
        <f>AL5</f>
        <v>0</v>
      </c>
      <c r="BF124" s="15">
        <f>AH6</f>
        <v>0</v>
      </c>
      <c r="BG124" s="8">
        <f>AI6</f>
        <v>0</v>
      </c>
      <c r="BH124" s="6">
        <f>AJ6</f>
        <v>0</v>
      </c>
      <c r="BI124" s="6">
        <f>AK6</f>
        <v>0</v>
      </c>
      <c r="BJ124" s="13">
        <f>AL6</f>
        <v>0</v>
      </c>
    </row>
    <row r="125" spans="1:62" x14ac:dyDescent="0.25">
      <c r="A125" s="15">
        <v>3000</v>
      </c>
      <c r="B125" s="8">
        <f t="shared" si="26"/>
        <v>0</v>
      </c>
      <c r="C125" s="6">
        <f t="shared" si="26"/>
        <v>0</v>
      </c>
      <c r="D125" s="6">
        <f t="shared" si="26"/>
        <v>0</v>
      </c>
      <c r="E125" s="6">
        <f t="shared" si="26"/>
        <v>0</v>
      </c>
      <c r="F125" s="13">
        <f t="shared" si="26"/>
        <v>0</v>
      </c>
      <c r="G125" s="8">
        <f t="shared" si="27"/>
        <v>0</v>
      </c>
      <c r="H125" s="6">
        <f t="shared" si="27"/>
        <v>0</v>
      </c>
      <c r="I125" s="6">
        <f t="shared" si="27"/>
        <v>0</v>
      </c>
      <c r="J125" s="6">
        <f t="shared" si="27"/>
        <v>0</v>
      </c>
      <c r="K125" s="13">
        <f t="shared" si="27"/>
        <v>0</v>
      </c>
      <c r="L125" s="8">
        <f t="shared" si="28"/>
        <v>0</v>
      </c>
      <c r="M125" s="6">
        <f t="shared" si="28"/>
        <v>0</v>
      </c>
      <c r="N125" s="6">
        <f t="shared" si="28"/>
        <v>0</v>
      </c>
      <c r="O125" s="6">
        <f t="shared" si="28"/>
        <v>0</v>
      </c>
      <c r="P125" s="13">
        <f t="shared" si="28"/>
        <v>0</v>
      </c>
      <c r="Q125" s="8">
        <f t="shared" si="29"/>
        <v>0</v>
      </c>
      <c r="R125" s="6">
        <f t="shared" si="29"/>
        <v>0</v>
      </c>
      <c r="S125" s="6">
        <f t="shared" si="29"/>
        <v>0</v>
      </c>
      <c r="T125" s="6">
        <f t="shared" si="29"/>
        <v>0</v>
      </c>
      <c r="U125" s="13">
        <f t="shared" si="29"/>
        <v>0</v>
      </c>
      <c r="V125" s="8">
        <f t="shared" si="30"/>
        <v>0</v>
      </c>
      <c r="W125" s="6">
        <f t="shared" si="30"/>
        <v>0</v>
      </c>
      <c r="X125" s="6">
        <f t="shared" si="30"/>
        <v>0</v>
      </c>
      <c r="Y125" s="6">
        <f t="shared" si="30"/>
        <v>0</v>
      </c>
      <c r="Z125" s="13">
        <f t="shared" si="30"/>
        <v>0</v>
      </c>
      <c r="AA125" s="8">
        <f t="shared" si="30"/>
        <v>0</v>
      </c>
      <c r="AB125" s="6">
        <f t="shared" si="30"/>
        <v>0</v>
      </c>
      <c r="AC125" s="6">
        <f t="shared" si="30"/>
        <v>0</v>
      </c>
      <c r="AD125" s="6">
        <f t="shared" si="30"/>
        <v>0</v>
      </c>
      <c r="AE125" s="13">
        <f t="shared" si="30"/>
        <v>0</v>
      </c>
      <c r="AF125" s="16">
        <f t="shared" si="31"/>
        <v>0</v>
      </c>
      <c r="AG125" s="16">
        <f t="shared" si="32"/>
        <v>0</v>
      </c>
      <c r="AH125" s="15">
        <f>AN2</f>
        <v>0</v>
      </c>
      <c r="AI125" s="8">
        <f>AO2</f>
        <v>0</v>
      </c>
      <c r="AJ125" s="6">
        <f>AP2</f>
        <v>0</v>
      </c>
      <c r="AK125" s="6">
        <f>AQ2</f>
        <v>0</v>
      </c>
      <c r="AL125" s="13">
        <f>AR2</f>
        <v>0</v>
      </c>
      <c r="AN125" s="15">
        <f>AN3</f>
        <v>0</v>
      </c>
      <c r="AO125" s="8">
        <f>AO3</f>
        <v>0</v>
      </c>
      <c r="AP125" s="6">
        <f>AP3</f>
        <v>0</v>
      </c>
      <c r="AQ125" s="6">
        <f>AQ3</f>
        <v>0</v>
      </c>
      <c r="AR125" s="13">
        <f>AR3</f>
        <v>0</v>
      </c>
      <c r="AT125" s="15">
        <f>AN4</f>
        <v>0</v>
      </c>
      <c r="AU125" s="8">
        <f>AO4</f>
        <v>0</v>
      </c>
      <c r="AV125" s="6">
        <f>AP4</f>
        <v>0</v>
      </c>
      <c r="AW125" s="6">
        <f>AQ4</f>
        <v>0</v>
      </c>
      <c r="AX125" s="13">
        <f>AR4</f>
        <v>0</v>
      </c>
      <c r="AZ125" s="15">
        <f>AN5</f>
        <v>0</v>
      </c>
      <c r="BA125" s="8">
        <f>AO5</f>
        <v>0</v>
      </c>
      <c r="BB125" s="6">
        <f>AP5</f>
        <v>0</v>
      </c>
      <c r="BC125" s="6">
        <f>AQ5</f>
        <v>0</v>
      </c>
      <c r="BD125" s="13">
        <f>AR5</f>
        <v>0</v>
      </c>
      <c r="BF125" s="15">
        <f>AN6</f>
        <v>0</v>
      </c>
      <c r="BG125" s="8">
        <f>AO6</f>
        <v>0</v>
      </c>
      <c r="BH125" s="6">
        <f>AP6</f>
        <v>0</v>
      </c>
      <c r="BI125" s="6">
        <f>AQ6</f>
        <v>0</v>
      </c>
      <c r="BJ125" s="13">
        <f>AR6</f>
        <v>0</v>
      </c>
    </row>
    <row r="126" spans="1:62" x14ac:dyDescent="0.25">
      <c r="A126" s="15">
        <v>5000</v>
      </c>
      <c r="B126" s="8">
        <f t="shared" si="26"/>
        <v>0</v>
      </c>
      <c r="C126" s="6">
        <f t="shared" si="26"/>
        <v>0</v>
      </c>
      <c r="D126" s="6">
        <f t="shared" si="26"/>
        <v>0</v>
      </c>
      <c r="E126" s="6">
        <f t="shared" si="26"/>
        <v>0</v>
      </c>
      <c r="F126" s="13">
        <f t="shared" si="26"/>
        <v>0</v>
      </c>
      <c r="G126" s="8">
        <f t="shared" si="27"/>
        <v>0</v>
      </c>
      <c r="H126" s="6">
        <f t="shared" si="27"/>
        <v>0</v>
      </c>
      <c r="I126" s="6">
        <f t="shared" si="27"/>
        <v>0</v>
      </c>
      <c r="J126" s="6">
        <f t="shared" si="27"/>
        <v>0</v>
      </c>
      <c r="K126" s="13">
        <f t="shared" si="27"/>
        <v>0</v>
      </c>
      <c r="L126" s="8">
        <f t="shared" si="28"/>
        <v>0</v>
      </c>
      <c r="M126" s="6">
        <f t="shared" si="28"/>
        <v>0</v>
      </c>
      <c r="N126" s="6">
        <f t="shared" si="28"/>
        <v>0</v>
      </c>
      <c r="O126" s="6">
        <f t="shared" si="28"/>
        <v>0</v>
      </c>
      <c r="P126" s="13">
        <f t="shared" si="28"/>
        <v>0</v>
      </c>
      <c r="Q126" s="8">
        <f t="shared" si="29"/>
        <v>0</v>
      </c>
      <c r="R126" s="6">
        <f t="shared" si="29"/>
        <v>0</v>
      </c>
      <c r="S126" s="6">
        <f t="shared" si="29"/>
        <v>0</v>
      </c>
      <c r="T126" s="6">
        <f t="shared" si="29"/>
        <v>0</v>
      </c>
      <c r="U126" s="13">
        <f t="shared" si="29"/>
        <v>0</v>
      </c>
      <c r="V126" s="8">
        <f t="shared" si="30"/>
        <v>0</v>
      </c>
      <c r="W126" s="6">
        <f t="shared" si="30"/>
        <v>0</v>
      </c>
      <c r="X126" s="6">
        <f t="shared" si="30"/>
        <v>0</v>
      </c>
      <c r="Y126" s="6">
        <f t="shared" si="30"/>
        <v>0</v>
      </c>
      <c r="Z126" s="13">
        <f t="shared" si="30"/>
        <v>0</v>
      </c>
      <c r="AA126" s="8">
        <f t="shared" si="30"/>
        <v>0</v>
      </c>
      <c r="AB126" s="6">
        <f t="shared" si="30"/>
        <v>0</v>
      </c>
      <c r="AC126" s="6">
        <f t="shared" si="30"/>
        <v>0</v>
      </c>
      <c r="AD126" s="6">
        <f t="shared" si="30"/>
        <v>0</v>
      </c>
      <c r="AE126" s="13">
        <f t="shared" si="30"/>
        <v>0</v>
      </c>
      <c r="AF126" s="16">
        <f t="shared" si="31"/>
        <v>0</v>
      </c>
      <c r="AG126" s="16">
        <f t="shared" si="32"/>
        <v>0</v>
      </c>
      <c r="AH126" s="15">
        <f>AT2</f>
        <v>0</v>
      </c>
      <c r="AI126" s="8">
        <f>AU2</f>
        <v>0</v>
      </c>
      <c r="AJ126" s="6">
        <f>AV2</f>
        <v>0</v>
      </c>
      <c r="AK126" s="6">
        <f>AW2</f>
        <v>0</v>
      </c>
      <c r="AL126" s="13">
        <f>AX2</f>
        <v>0</v>
      </c>
      <c r="AN126" s="15">
        <f>AT3</f>
        <v>0</v>
      </c>
      <c r="AO126" s="8">
        <f>AU3</f>
        <v>0</v>
      </c>
      <c r="AP126" s="6">
        <f>AV3</f>
        <v>0</v>
      </c>
      <c r="AQ126" s="6">
        <f>AW3</f>
        <v>0</v>
      </c>
      <c r="AR126" s="13">
        <f>AX3</f>
        <v>0</v>
      </c>
      <c r="AT126" s="15">
        <f>AT4</f>
        <v>0</v>
      </c>
      <c r="AU126" s="8">
        <f>AU4</f>
        <v>0</v>
      </c>
      <c r="AV126" s="6">
        <f>AV4</f>
        <v>0</v>
      </c>
      <c r="AW126" s="6">
        <f>AW4</f>
        <v>0</v>
      </c>
      <c r="AX126" s="13">
        <f>AX4</f>
        <v>0</v>
      </c>
      <c r="AZ126" s="15">
        <f>AT5</f>
        <v>0</v>
      </c>
      <c r="BA126" s="8">
        <f>AU5</f>
        <v>0</v>
      </c>
      <c r="BB126" s="6">
        <f>AV5</f>
        <v>0</v>
      </c>
      <c r="BC126" s="6">
        <f>AW5</f>
        <v>0</v>
      </c>
      <c r="BD126" s="13">
        <f>AX5</f>
        <v>0</v>
      </c>
      <c r="BF126" s="15">
        <f>AT6</f>
        <v>0</v>
      </c>
      <c r="BG126" s="8">
        <f>AU6</f>
        <v>0</v>
      </c>
      <c r="BH126" s="6">
        <f>AV6</f>
        <v>0</v>
      </c>
      <c r="BI126" s="6">
        <f>AW6</f>
        <v>0</v>
      </c>
      <c r="BJ126" s="13">
        <f>AX6</f>
        <v>0</v>
      </c>
    </row>
    <row r="127" spans="1:62" ht="15.75" thickBot="1" x14ac:dyDescent="0.3">
      <c r="A127" s="59">
        <v>10000</v>
      </c>
      <c r="B127" s="31">
        <f t="shared" si="26"/>
        <v>0</v>
      </c>
      <c r="C127" s="32">
        <f t="shared" si="26"/>
        <v>0</v>
      </c>
      <c r="D127" s="32">
        <f t="shared" si="26"/>
        <v>0</v>
      </c>
      <c r="E127" s="32">
        <f t="shared" si="26"/>
        <v>0</v>
      </c>
      <c r="F127" s="33">
        <f t="shared" si="26"/>
        <v>0</v>
      </c>
      <c r="G127" s="31">
        <f t="shared" si="27"/>
        <v>0</v>
      </c>
      <c r="H127" s="32">
        <f t="shared" si="27"/>
        <v>0</v>
      </c>
      <c r="I127" s="32">
        <f t="shared" si="27"/>
        <v>0</v>
      </c>
      <c r="J127" s="32">
        <f t="shared" si="27"/>
        <v>0</v>
      </c>
      <c r="K127" s="33">
        <f t="shared" si="27"/>
        <v>0</v>
      </c>
      <c r="L127" s="31">
        <f t="shared" si="28"/>
        <v>0</v>
      </c>
      <c r="M127" s="32">
        <f t="shared" si="28"/>
        <v>0</v>
      </c>
      <c r="N127" s="32">
        <f t="shared" si="28"/>
        <v>0</v>
      </c>
      <c r="O127" s="32">
        <f t="shared" si="28"/>
        <v>0</v>
      </c>
      <c r="P127" s="33">
        <f t="shared" si="28"/>
        <v>0</v>
      </c>
      <c r="Q127" s="31">
        <f t="shared" si="29"/>
        <v>0</v>
      </c>
      <c r="R127" s="32">
        <f t="shared" si="29"/>
        <v>0</v>
      </c>
      <c r="S127" s="32">
        <f t="shared" si="29"/>
        <v>0</v>
      </c>
      <c r="T127" s="32">
        <f t="shared" si="29"/>
        <v>0</v>
      </c>
      <c r="U127" s="33">
        <f t="shared" si="29"/>
        <v>0</v>
      </c>
      <c r="V127" s="31">
        <f t="shared" si="30"/>
        <v>0</v>
      </c>
      <c r="W127" s="32">
        <f t="shared" si="30"/>
        <v>0</v>
      </c>
      <c r="X127" s="32">
        <f t="shared" si="30"/>
        <v>0</v>
      </c>
      <c r="Y127" s="32">
        <f t="shared" si="30"/>
        <v>0</v>
      </c>
      <c r="Z127" s="33">
        <f t="shared" si="30"/>
        <v>0</v>
      </c>
      <c r="AA127" s="31">
        <f t="shared" si="30"/>
        <v>0</v>
      </c>
      <c r="AB127" s="32">
        <f t="shared" si="30"/>
        <v>0</v>
      </c>
      <c r="AC127" s="32">
        <f t="shared" si="30"/>
        <v>0</v>
      </c>
      <c r="AD127" s="32">
        <f t="shared" si="30"/>
        <v>0</v>
      </c>
      <c r="AE127" s="33">
        <f t="shared" si="30"/>
        <v>0</v>
      </c>
      <c r="AF127" s="16">
        <f t="shared" si="31"/>
        <v>0</v>
      </c>
      <c r="AG127" s="43">
        <f t="shared" si="32"/>
        <v>0</v>
      </c>
      <c r="AH127" s="15">
        <f>AZ2</f>
        <v>0</v>
      </c>
      <c r="AI127" s="8">
        <f>BA2</f>
        <v>0</v>
      </c>
      <c r="AJ127" s="6">
        <f>BB2</f>
        <v>0</v>
      </c>
      <c r="AK127" s="6">
        <f>BC2</f>
        <v>0</v>
      </c>
      <c r="AL127" s="13">
        <f>BD2</f>
        <v>0</v>
      </c>
      <c r="AN127" s="15">
        <f>AZ3</f>
        <v>0</v>
      </c>
      <c r="AO127" s="8">
        <f>BA3</f>
        <v>0</v>
      </c>
      <c r="AP127" s="6">
        <f>BB3</f>
        <v>0</v>
      </c>
      <c r="AQ127" s="6">
        <f>BC3</f>
        <v>0</v>
      </c>
      <c r="AR127" s="13">
        <f>BD3</f>
        <v>0</v>
      </c>
      <c r="AT127" s="15">
        <f>AZ4</f>
        <v>0</v>
      </c>
      <c r="AU127" s="8">
        <f>BA4</f>
        <v>0</v>
      </c>
      <c r="AV127" s="6">
        <f>BB4</f>
        <v>0</v>
      </c>
      <c r="AW127" s="6">
        <f>BC4</f>
        <v>0</v>
      </c>
      <c r="AX127" s="13">
        <f>BD4</f>
        <v>0</v>
      </c>
      <c r="AZ127" s="15">
        <f>AZ5</f>
        <v>0</v>
      </c>
      <c r="BA127" s="8">
        <f>BA5</f>
        <v>0</v>
      </c>
      <c r="BB127" s="6">
        <f>BB5</f>
        <v>0</v>
      </c>
      <c r="BC127" s="6">
        <f>BC5</f>
        <v>0</v>
      </c>
      <c r="BD127" s="13">
        <f>BD5</f>
        <v>0</v>
      </c>
      <c r="BF127" s="15">
        <f>AZ6</f>
        <v>0</v>
      </c>
      <c r="BG127" s="8">
        <f>BA6</f>
        <v>0</v>
      </c>
      <c r="BH127" s="6">
        <f>BB6</f>
        <v>0</v>
      </c>
      <c r="BI127" s="6">
        <f>BC6</f>
        <v>0</v>
      </c>
      <c r="BJ127" s="13">
        <f>BD6</f>
        <v>0</v>
      </c>
    </row>
    <row r="128" spans="1:62" ht="15.75" thickBot="1" x14ac:dyDescent="0.3">
      <c r="A128" s="35"/>
      <c r="B128" s="60">
        <f t="shared" ref="B128:AG128" si="33">SUM(B119:B127)</f>
        <v>0</v>
      </c>
      <c r="C128" s="61">
        <f t="shared" si="33"/>
        <v>48</v>
      </c>
      <c r="D128" s="61">
        <f t="shared" si="33"/>
        <v>0</v>
      </c>
      <c r="E128" s="61">
        <f t="shared" si="33"/>
        <v>0</v>
      </c>
      <c r="F128" s="62">
        <f t="shared" si="33"/>
        <v>0</v>
      </c>
      <c r="G128" s="60">
        <f t="shared" si="33"/>
        <v>0</v>
      </c>
      <c r="H128" s="61">
        <f t="shared" si="33"/>
        <v>0</v>
      </c>
      <c r="I128" s="61">
        <f t="shared" si="33"/>
        <v>0</v>
      </c>
      <c r="J128" s="61">
        <f t="shared" si="33"/>
        <v>0</v>
      </c>
      <c r="K128" s="62">
        <f t="shared" si="33"/>
        <v>0</v>
      </c>
      <c r="L128" s="60">
        <f t="shared" si="33"/>
        <v>0</v>
      </c>
      <c r="M128" s="61">
        <f t="shared" si="33"/>
        <v>0</v>
      </c>
      <c r="N128" s="61">
        <f t="shared" si="33"/>
        <v>0</v>
      </c>
      <c r="O128" s="61">
        <f t="shared" si="33"/>
        <v>0</v>
      </c>
      <c r="P128" s="62">
        <f t="shared" si="33"/>
        <v>0</v>
      </c>
      <c r="Q128" s="60">
        <f t="shared" si="33"/>
        <v>0</v>
      </c>
      <c r="R128" s="61">
        <f t="shared" si="33"/>
        <v>0</v>
      </c>
      <c r="S128" s="61">
        <f t="shared" si="33"/>
        <v>0</v>
      </c>
      <c r="T128" s="61">
        <f t="shared" si="33"/>
        <v>0</v>
      </c>
      <c r="U128" s="62">
        <f t="shared" si="33"/>
        <v>0</v>
      </c>
      <c r="V128" s="60">
        <f t="shared" si="33"/>
        <v>0</v>
      </c>
      <c r="W128" s="61">
        <f t="shared" si="33"/>
        <v>0</v>
      </c>
      <c r="X128" s="61">
        <f t="shared" si="33"/>
        <v>0</v>
      </c>
      <c r="Y128" s="61">
        <f t="shared" si="33"/>
        <v>0</v>
      </c>
      <c r="Z128" s="62">
        <f t="shared" si="33"/>
        <v>0</v>
      </c>
      <c r="AA128" s="60">
        <f t="shared" si="33"/>
        <v>0</v>
      </c>
      <c r="AB128" s="61">
        <f t="shared" si="33"/>
        <v>0</v>
      </c>
      <c r="AC128" s="61">
        <f t="shared" si="33"/>
        <v>0</v>
      </c>
      <c r="AD128" s="61">
        <f t="shared" si="33"/>
        <v>0</v>
      </c>
      <c r="AE128" s="62">
        <f t="shared" si="33"/>
        <v>0</v>
      </c>
      <c r="AF128" s="35">
        <f>SUM(AF119:AF127)</f>
        <v>39500</v>
      </c>
      <c r="AG128" s="35">
        <f t="shared" si="32"/>
        <v>48</v>
      </c>
      <c r="AH128" s="15">
        <f>BF2</f>
        <v>0</v>
      </c>
      <c r="AI128" s="8">
        <f>BG2</f>
        <v>0</v>
      </c>
      <c r="AJ128" s="6">
        <f>BH2</f>
        <v>0</v>
      </c>
      <c r="AK128" s="6">
        <f>BI2</f>
        <v>0</v>
      </c>
      <c r="AL128" s="13">
        <f>BJ2</f>
        <v>0</v>
      </c>
      <c r="AN128" s="15">
        <f>BF3</f>
        <v>0</v>
      </c>
      <c r="AO128" s="8">
        <f>BG3</f>
        <v>0</v>
      </c>
      <c r="AP128" s="6">
        <f>BH3</f>
        <v>0</v>
      </c>
      <c r="AQ128" s="6">
        <f>BI3</f>
        <v>0</v>
      </c>
      <c r="AR128" s="13">
        <f>BJ3</f>
        <v>0</v>
      </c>
      <c r="AT128" s="15">
        <f>BF4</f>
        <v>0</v>
      </c>
      <c r="AU128" s="8">
        <f>BG4</f>
        <v>0</v>
      </c>
      <c r="AV128" s="6">
        <f>BH4</f>
        <v>0</v>
      </c>
      <c r="AW128" s="6">
        <f>BI4</f>
        <v>0</v>
      </c>
      <c r="AX128" s="13">
        <f>BJ4</f>
        <v>0</v>
      </c>
      <c r="AZ128" s="15">
        <f>BF5</f>
        <v>0</v>
      </c>
      <c r="BA128" s="8">
        <f>BG5</f>
        <v>0</v>
      </c>
      <c r="BB128" s="6">
        <f>BH5</f>
        <v>0</v>
      </c>
      <c r="BC128" s="6">
        <f>BI5</f>
        <v>0</v>
      </c>
      <c r="BD128" s="13">
        <f>BJ5</f>
        <v>0</v>
      </c>
      <c r="BF128" s="15">
        <f>BF6</f>
        <v>0</v>
      </c>
      <c r="BG128" s="8">
        <f>BG6</f>
        <v>0</v>
      </c>
      <c r="BH128" s="6">
        <f>BH6</f>
        <v>0</v>
      </c>
      <c r="BI128" s="6">
        <f>BI6</f>
        <v>0</v>
      </c>
      <c r="BJ128" s="13">
        <f>BJ6</f>
        <v>0</v>
      </c>
    </row>
    <row r="129" spans="1:62" ht="15.75" thickBo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9">
        <f>BL2</f>
        <v>0</v>
      </c>
      <c r="AI129" s="31">
        <f>BM2</f>
        <v>0</v>
      </c>
      <c r="AJ129" s="32">
        <f>BN2</f>
        <v>0</v>
      </c>
      <c r="AK129" s="32">
        <f>BO2</f>
        <v>0</v>
      </c>
      <c r="AL129" s="33">
        <f>BP2</f>
        <v>0</v>
      </c>
      <c r="AN129" s="59">
        <f>BL3</f>
        <v>0</v>
      </c>
      <c r="AO129" s="31">
        <f>BM3</f>
        <v>0</v>
      </c>
      <c r="AP129" s="32">
        <f>BN3</f>
        <v>0</v>
      </c>
      <c r="AQ129" s="32">
        <f>BO3</f>
        <v>0</v>
      </c>
      <c r="AR129" s="33">
        <f>BP3</f>
        <v>0</v>
      </c>
      <c r="AT129" s="59">
        <f>BL4</f>
        <v>0</v>
      </c>
      <c r="AU129" s="31">
        <f>BM4</f>
        <v>0</v>
      </c>
      <c r="AV129" s="32">
        <f>BN4</f>
        <v>0</v>
      </c>
      <c r="AW129" s="32">
        <f>BO4</f>
        <v>0</v>
      </c>
      <c r="AX129" s="33">
        <f>BP4</f>
        <v>0</v>
      </c>
      <c r="AZ129" s="59">
        <f>BL5</f>
        <v>0</v>
      </c>
      <c r="BA129" s="31">
        <f>BM5</f>
        <v>0</v>
      </c>
      <c r="BB129" s="32">
        <f>BN5</f>
        <v>0</v>
      </c>
      <c r="BC129" s="32">
        <f>BO5</f>
        <v>0</v>
      </c>
      <c r="BD129" s="33">
        <f>BP5</f>
        <v>0</v>
      </c>
      <c r="BF129" s="59">
        <f>BL6</f>
        <v>0</v>
      </c>
      <c r="BG129" s="31">
        <f>BM6</f>
        <v>0</v>
      </c>
      <c r="BH129" s="32">
        <f>BN6</f>
        <v>0</v>
      </c>
      <c r="BI129" s="32">
        <f>BO6</f>
        <v>0</v>
      </c>
      <c r="BJ129" s="33">
        <f>BP6</f>
        <v>0</v>
      </c>
    </row>
    <row r="130" spans="1:62" ht="16.5" thickBot="1" x14ac:dyDescent="0.3">
      <c r="A130" s="173" t="s">
        <v>249</v>
      </c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5"/>
      <c r="AH130" s="35" t="str">
        <f>C2</f>
        <v>A/C</v>
      </c>
      <c r="AI130" s="158">
        <f>SUM(AJ120:AJ129)</f>
        <v>48</v>
      </c>
      <c r="AJ130" s="159"/>
      <c r="AK130" s="158">
        <f>BT2</f>
        <v>39500</v>
      </c>
      <c r="AL130" s="159"/>
      <c r="AN130" s="35">
        <f>C3</f>
        <v>0</v>
      </c>
      <c r="AO130" s="158">
        <f>SUM(AP120:AP129)</f>
        <v>0</v>
      </c>
      <c r="AP130" s="159"/>
      <c r="AQ130" s="158">
        <f>BT3</f>
        <v>0</v>
      </c>
      <c r="AR130" s="159"/>
      <c r="AT130" s="35">
        <f>C4</f>
        <v>0</v>
      </c>
      <c r="AU130" s="158">
        <f>SUM(AV120:AV129)</f>
        <v>0</v>
      </c>
      <c r="AV130" s="159"/>
      <c r="AW130" s="158">
        <f>BT4</f>
        <v>0</v>
      </c>
      <c r="AX130" s="159"/>
      <c r="AZ130" s="35">
        <f>C5</f>
        <v>0</v>
      </c>
      <c r="BA130" s="158">
        <f>SUM(BB120:BB129)</f>
        <v>0</v>
      </c>
      <c r="BB130" s="159"/>
      <c r="BC130" s="158">
        <f>BT5</f>
        <v>0</v>
      </c>
      <c r="BD130" s="159"/>
      <c r="BF130" s="35">
        <f>C6</f>
        <v>0</v>
      </c>
      <c r="BG130" s="158">
        <f>SUM(BG120:BG129)</f>
        <v>0</v>
      </c>
      <c r="BH130" s="159"/>
      <c r="BI130" s="158">
        <f>BT6</f>
        <v>0</v>
      </c>
      <c r="BJ130" s="159"/>
    </row>
    <row r="131" spans="1:62" ht="15.75" thickBot="1" x14ac:dyDescent="0.3">
      <c r="A131" s="123" t="s">
        <v>31</v>
      </c>
      <c r="B131" s="113" t="s">
        <v>22</v>
      </c>
      <c r="C131" s="114"/>
      <c r="D131" s="114"/>
      <c r="E131" s="114"/>
      <c r="F131" s="115"/>
      <c r="G131" s="113" t="s">
        <v>20</v>
      </c>
      <c r="H131" s="114"/>
      <c r="I131" s="114"/>
      <c r="J131" s="114"/>
      <c r="K131" s="115"/>
      <c r="L131" s="113" t="s">
        <v>34</v>
      </c>
      <c r="M131" s="114"/>
      <c r="N131" s="114"/>
      <c r="O131" s="114"/>
      <c r="P131" s="115"/>
      <c r="Q131" s="113" t="s">
        <v>127</v>
      </c>
      <c r="R131" s="114"/>
      <c r="S131" s="114"/>
      <c r="T131" s="114"/>
      <c r="U131" s="115"/>
      <c r="V131" s="113" t="s">
        <v>129</v>
      </c>
      <c r="W131" s="114"/>
      <c r="X131" s="114"/>
      <c r="Y131" s="114"/>
      <c r="Z131" s="115"/>
      <c r="AA131" s="113" t="s">
        <v>26</v>
      </c>
      <c r="AB131" s="114"/>
      <c r="AC131" s="114"/>
      <c r="AD131" s="114"/>
      <c r="AE131" s="115"/>
      <c r="AF131" s="116" t="s">
        <v>24</v>
      </c>
      <c r="AG131" s="116" t="s">
        <v>86</v>
      </c>
      <c r="AH131" s="35" t="s">
        <v>25</v>
      </c>
      <c r="AI131" s="158">
        <f>A2</f>
        <v>21420</v>
      </c>
      <c r="AJ131" s="160"/>
      <c r="AK131" s="158" t="str">
        <f>BR2</f>
        <v>COD</v>
      </c>
      <c r="AL131" s="159"/>
      <c r="AN131" s="35" t="s">
        <v>25</v>
      </c>
      <c r="AO131" s="158">
        <f>A3</f>
        <v>0</v>
      </c>
      <c r="AP131" s="160"/>
      <c r="AQ131" s="158">
        <f>BR3</f>
        <v>0</v>
      </c>
      <c r="AR131" s="159"/>
      <c r="AT131" s="35" t="s">
        <v>25</v>
      </c>
      <c r="AU131" s="158">
        <f>A4</f>
        <v>0</v>
      </c>
      <c r="AV131" s="160"/>
      <c r="AW131" s="158">
        <f>BR4</f>
        <v>0</v>
      </c>
      <c r="AX131" s="159"/>
      <c r="AZ131" s="35" t="s">
        <v>25</v>
      </c>
      <c r="BA131" s="158">
        <f>A5</f>
        <v>0</v>
      </c>
      <c r="BB131" s="160"/>
      <c r="BC131" s="158">
        <f>BR5</f>
        <v>0</v>
      </c>
      <c r="BD131" s="159"/>
      <c r="BF131" s="35" t="s">
        <v>25</v>
      </c>
      <c r="BG131" s="158">
        <f>A6</f>
        <v>0</v>
      </c>
      <c r="BH131" s="160"/>
      <c r="BI131" s="158">
        <f>BR6</f>
        <v>0</v>
      </c>
      <c r="BJ131" s="159"/>
    </row>
    <row r="132" spans="1:62" ht="15.75" thickBot="1" x14ac:dyDescent="0.3">
      <c r="A132" s="124"/>
      <c r="B132" s="9" t="s">
        <v>32</v>
      </c>
      <c r="C132" s="12" t="s">
        <v>17</v>
      </c>
      <c r="D132" s="12" t="s">
        <v>19</v>
      </c>
      <c r="E132" s="12" t="s">
        <v>33</v>
      </c>
      <c r="F132" s="14" t="s">
        <v>80</v>
      </c>
      <c r="G132" s="9" t="s">
        <v>32</v>
      </c>
      <c r="H132" s="12" t="s">
        <v>17</v>
      </c>
      <c r="I132" s="12" t="s">
        <v>19</v>
      </c>
      <c r="J132" s="12" t="s">
        <v>33</v>
      </c>
      <c r="K132" s="14" t="s">
        <v>80</v>
      </c>
      <c r="L132" s="9" t="s">
        <v>32</v>
      </c>
      <c r="M132" s="12" t="s">
        <v>17</v>
      </c>
      <c r="N132" s="12" t="s">
        <v>19</v>
      </c>
      <c r="O132" s="12" t="s">
        <v>33</v>
      </c>
      <c r="P132" s="14" t="s">
        <v>80</v>
      </c>
      <c r="Q132" s="9" t="s">
        <v>32</v>
      </c>
      <c r="R132" s="12" t="s">
        <v>17</v>
      </c>
      <c r="S132" s="12" t="s">
        <v>19</v>
      </c>
      <c r="T132" s="12" t="s">
        <v>33</v>
      </c>
      <c r="U132" s="14" t="s">
        <v>80</v>
      </c>
      <c r="V132" s="9" t="s">
        <v>32</v>
      </c>
      <c r="W132" s="12" t="s">
        <v>17</v>
      </c>
      <c r="X132" s="12" t="s">
        <v>19</v>
      </c>
      <c r="Y132" s="12" t="s">
        <v>33</v>
      </c>
      <c r="Z132" s="14" t="s">
        <v>80</v>
      </c>
      <c r="AA132" s="9" t="s">
        <v>32</v>
      </c>
      <c r="AB132" s="12" t="s">
        <v>17</v>
      </c>
      <c r="AC132" s="12" t="s">
        <v>19</v>
      </c>
      <c r="AD132" s="12" t="s">
        <v>33</v>
      </c>
      <c r="AE132" s="14" t="s">
        <v>80</v>
      </c>
      <c r="AF132" s="117"/>
      <c r="AG132" s="117"/>
      <c r="AH132" s="58" t="s">
        <v>130</v>
      </c>
      <c r="AI132" s="58" t="s">
        <v>131</v>
      </c>
      <c r="AJ132" s="58" t="s">
        <v>132</v>
      </c>
      <c r="AK132" s="58" t="s">
        <v>166</v>
      </c>
      <c r="AL132" s="58" t="s">
        <v>33</v>
      </c>
      <c r="AN132" s="58" t="s">
        <v>130</v>
      </c>
      <c r="AO132" s="58" t="s">
        <v>131</v>
      </c>
      <c r="AP132" s="58" t="s">
        <v>132</v>
      </c>
      <c r="AQ132" s="58" t="s">
        <v>166</v>
      </c>
      <c r="AR132" s="58" t="s">
        <v>33</v>
      </c>
      <c r="AT132" s="58" t="s">
        <v>130</v>
      </c>
      <c r="AU132" s="58" t="s">
        <v>131</v>
      </c>
      <c r="AV132" s="58" t="s">
        <v>132</v>
      </c>
      <c r="AW132" s="58" t="s">
        <v>166</v>
      </c>
      <c r="AX132" s="58" t="s">
        <v>33</v>
      </c>
      <c r="AZ132" s="58" t="s">
        <v>130</v>
      </c>
      <c r="BA132" s="58" t="s">
        <v>131</v>
      </c>
      <c r="BB132" s="58" t="s">
        <v>132</v>
      </c>
      <c r="BC132" s="58" t="s">
        <v>166</v>
      </c>
      <c r="BD132" s="58" t="s">
        <v>33</v>
      </c>
      <c r="BF132" s="58" t="s">
        <v>130</v>
      </c>
      <c r="BG132" s="58" t="s">
        <v>131</v>
      </c>
      <c r="BH132" s="58" t="s">
        <v>132</v>
      </c>
      <c r="BI132" s="58" t="s">
        <v>166</v>
      </c>
      <c r="BJ132" s="58" t="s">
        <v>33</v>
      </c>
    </row>
    <row r="133" spans="1:62" ht="15.75" thickBot="1" x14ac:dyDescent="0.3">
      <c r="A133" s="16">
        <v>300</v>
      </c>
      <c r="B133" s="10">
        <f t="shared" ref="B133:F141" si="34">SUMIFS($J$14:$J$113,$I$14:$I$113,$A133,$K$14:$K$113,B$118,$L$14:$L$113,$B$117,$H$14:$H$113,"NG")</f>
        <v>0</v>
      </c>
      <c r="C133" s="11">
        <f t="shared" si="34"/>
        <v>0</v>
      </c>
      <c r="D133" s="11">
        <f t="shared" si="34"/>
        <v>0</v>
      </c>
      <c r="E133" s="11">
        <f t="shared" si="34"/>
        <v>0</v>
      </c>
      <c r="F133" s="17">
        <f t="shared" si="34"/>
        <v>0</v>
      </c>
      <c r="G133" s="10">
        <f t="shared" ref="G133:K141" si="35">SUMIFS($J$14:$J$113,$I$14:$I$113,$A133,$K$14:$K$113,G$118,$L$14:$L$113,$G$117,$H$14:$H$113,"NG")</f>
        <v>0</v>
      </c>
      <c r="H133" s="11">
        <f t="shared" si="35"/>
        <v>0</v>
      </c>
      <c r="I133" s="11">
        <f t="shared" si="35"/>
        <v>0</v>
      </c>
      <c r="J133" s="11">
        <f t="shared" si="35"/>
        <v>0</v>
      </c>
      <c r="K133" s="17">
        <f t="shared" si="35"/>
        <v>0</v>
      </c>
      <c r="L133" s="10">
        <f t="shared" ref="L133:P141" si="36">SUMIFS($J$14:$J$113,$I$14:$I$113,$A133,$K$14:$K$113,L$118,$L$14:$L$113,$L$117,$H$14:$H$113,"NG")</f>
        <v>0</v>
      </c>
      <c r="M133" s="11">
        <f t="shared" si="36"/>
        <v>0</v>
      </c>
      <c r="N133" s="11">
        <f t="shared" si="36"/>
        <v>0</v>
      </c>
      <c r="O133" s="11">
        <f t="shared" si="36"/>
        <v>0</v>
      </c>
      <c r="P133" s="17">
        <f t="shared" si="36"/>
        <v>0</v>
      </c>
      <c r="Q133" s="10">
        <f t="shared" ref="Q133:U141" si="37">SUMIFS($J$14:$J$113,$I$14:$I$113,$A133,$K$14:$K$113,Q$118,$L$14:$L$113,$Q$117,$H$14:$H$113,"NG")</f>
        <v>0</v>
      </c>
      <c r="R133" s="11">
        <f t="shared" si="37"/>
        <v>0</v>
      </c>
      <c r="S133" s="11">
        <f t="shared" si="37"/>
        <v>0</v>
      </c>
      <c r="T133" s="11">
        <f t="shared" si="37"/>
        <v>0</v>
      </c>
      <c r="U133" s="17">
        <f t="shared" si="37"/>
        <v>0</v>
      </c>
      <c r="V133" s="10">
        <f t="shared" ref="V133:AE141" si="38">SUMIFS($J$14:$J$113,$I$14:$I$113,$A133,$K$14:$K$113,V$118,$L$14:$L$113,$L$117,$H$14:$H$113,"NG")</f>
        <v>0</v>
      </c>
      <c r="W133" s="11">
        <f t="shared" si="38"/>
        <v>0</v>
      </c>
      <c r="X133" s="11">
        <f t="shared" si="38"/>
        <v>0</v>
      </c>
      <c r="Y133" s="11">
        <f t="shared" si="38"/>
        <v>0</v>
      </c>
      <c r="Z133" s="17">
        <f t="shared" si="38"/>
        <v>0</v>
      </c>
      <c r="AA133" s="10">
        <f t="shared" si="38"/>
        <v>0</v>
      </c>
      <c r="AB133" s="11">
        <f t="shared" si="38"/>
        <v>0</v>
      </c>
      <c r="AC133" s="11">
        <f t="shared" si="38"/>
        <v>0</v>
      </c>
      <c r="AD133" s="11">
        <f t="shared" si="38"/>
        <v>0</v>
      </c>
      <c r="AE133" s="17">
        <f t="shared" si="38"/>
        <v>0</v>
      </c>
      <c r="AF133" s="16">
        <f>SUM(B133:AE133)*A133</f>
        <v>0</v>
      </c>
      <c r="AG133" s="16">
        <f>SUM(B133:AE133)</f>
        <v>0</v>
      </c>
      <c r="AH133" s="34" t="str">
        <f>AZ14</f>
        <v/>
      </c>
      <c r="AI133" s="34" t="str">
        <f>BA14</f>
        <v/>
      </c>
      <c r="AJ133" s="34" t="str">
        <f>BB14</f>
        <v/>
      </c>
      <c r="AK133" s="35" t="str">
        <f>BC14</f>
        <v/>
      </c>
      <c r="AL133" s="35" t="str">
        <f>BD14</f>
        <v/>
      </c>
      <c r="AN133" s="34" t="str">
        <f>AZ15</f>
        <v/>
      </c>
      <c r="AO133" s="34" t="str">
        <f>BA15</f>
        <v/>
      </c>
      <c r="AP133" s="34" t="str">
        <f>BB15</f>
        <v/>
      </c>
      <c r="AQ133" s="35" t="str">
        <f>BC15</f>
        <v/>
      </c>
      <c r="AR133" s="35" t="str">
        <f>BD15</f>
        <v/>
      </c>
      <c r="AT133" s="34" t="str">
        <f>AZ16</f>
        <v/>
      </c>
      <c r="AU133" s="34" t="str">
        <f>BA16</f>
        <v/>
      </c>
      <c r="AV133" s="34" t="str">
        <f>BB16</f>
        <v/>
      </c>
      <c r="AW133" s="35" t="str">
        <f>BC16</f>
        <v/>
      </c>
      <c r="AX133" s="35" t="str">
        <f>BD16</f>
        <v/>
      </c>
      <c r="AZ133" s="34" t="str">
        <f>AZ17</f>
        <v/>
      </c>
      <c r="BA133" s="34" t="str">
        <f>BA17</f>
        <v/>
      </c>
      <c r="BB133" s="34" t="str">
        <f>BB17</f>
        <v/>
      </c>
      <c r="BC133" s="35" t="str">
        <f>BC17</f>
        <v/>
      </c>
      <c r="BD133" s="35" t="str">
        <f>BD17</f>
        <v/>
      </c>
      <c r="BF133" s="34" t="str">
        <f>AZ18</f>
        <v/>
      </c>
      <c r="BG133" s="34" t="str">
        <f>BA18</f>
        <v/>
      </c>
      <c r="BH133" s="34" t="str">
        <f>BB18</f>
        <v/>
      </c>
      <c r="BI133" s="35" t="str">
        <f>BC18</f>
        <v/>
      </c>
      <c r="BJ133" s="35" t="str">
        <f>BD18</f>
        <v/>
      </c>
    </row>
    <row r="134" spans="1:62" ht="15.75" thickBot="1" x14ac:dyDescent="0.3">
      <c r="A134" s="16">
        <v>500</v>
      </c>
      <c r="B134" s="10">
        <f t="shared" si="34"/>
        <v>0</v>
      </c>
      <c r="C134" s="11">
        <f t="shared" si="34"/>
        <v>0</v>
      </c>
      <c r="D134" s="11">
        <f t="shared" si="34"/>
        <v>0</v>
      </c>
      <c r="E134" s="11">
        <f t="shared" si="34"/>
        <v>0</v>
      </c>
      <c r="F134" s="17">
        <f t="shared" si="34"/>
        <v>0</v>
      </c>
      <c r="G134" s="10">
        <f t="shared" si="35"/>
        <v>0</v>
      </c>
      <c r="H134" s="11">
        <f t="shared" si="35"/>
        <v>0</v>
      </c>
      <c r="I134" s="11">
        <f t="shared" si="35"/>
        <v>0</v>
      </c>
      <c r="J134" s="11">
        <f t="shared" si="35"/>
        <v>0</v>
      </c>
      <c r="K134" s="17">
        <f t="shared" si="35"/>
        <v>0</v>
      </c>
      <c r="L134" s="10">
        <f t="shared" si="36"/>
        <v>0</v>
      </c>
      <c r="M134" s="11">
        <f t="shared" si="36"/>
        <v>0</v>
      </c>
      <c r="N134" s="11">
        <f t="shared" si="36"/>
        <v>0</v>
      </c>
      <c r="O134" s="11">
        <f t="shared" si="36"/>
        <v>0</v>
      </c>
      <c r="P134" s="17">
        <f t="shared" si="36"/>
        <v>0</v>
      </c>
      <c r="Q134" s="10">
        <f t="shared" si="37"/>
        <v>0</v>
      </c>
      <c r="R134" s="11">
        <f t="shared" si="37"/>
        <v>0</v>
      </c>
      <c r="S134" s="11">
        <f t="shared" si="37"/>
        <v>0</v>
      </c>
      <c r="T134" s="11">
        <f t="shared" si="37"/>
        <v>0</v>
      </c>
      <c r="U134" s="17">
        <f t="shared" si="37"/>
        <v>0</v>
      </c>
      <c r="V134" s="10">
        <f t="shared" si="38"/>
        <v>0</v>
      </c>
      <c r="W134" s="11">
        <f t="shared" si="38"/>
        <v>0</v>
      </c>
      <c r="X134" s="11">
        <f t="shared" si="38"/>
        <v>0</v>
      </c>
      <c r="Y134" s="11">
        <f t="shared" si="38"/>
        <v>0</v>
      </c>
      <c r="Z134" s="17">
        <f t="shared" si="38"/>
        <v>0</v>
      </c>
      <c r="AA134" s="10">
        <f t="shared" si="38"/>
        <v>0</v>
      </c>
      <c r="AB134" s="11">
        <f t="shared" si="38"/>
        <v>0</v>
      </c>
      <c r="AC134" s="11">
        <f t="shared" si="38"/>
        <v>0</v>
      </c>
      <c r="AD134" s="11">
        <f t="shared" si="38"/>
        <v>0</v>
      </c>
      <c r="AE134" s="17">
        <f t="shared" si="38"/>
        <v>0</v>
      </c>
      <c r="AF134" s="16">
        <f t="shared" ref="AF134:AF141" si="39">SUM(B134:AE134)*A134</f>
        <v>0</v>
      </c>
      <c r="AG134" s="16">
        <f t="shared" ref="AG134:AG142" si="40">SUM(B134:AE134)</f>
        <v>0</v>
      </c>
      <c r="AH134" s="58" t="s">
        <v>22</v>
      </c>
      <c r="AI134" s="58" t="s">
        <v>20</v>
      </c>
      <c r="AJ134" s="58" t="s">
        <v>34</v>
      </c>
      <c r="AK134" s="58" t="s">
        <v>127</v>
      </c>
      <c r="AL134" s="58" t="s">
        <v>129</v>
      </c>
      <c r="AN134" s="58" t="s">
        <v>22</v>
      </c>
      <c r="AO134" s="58" t="s">
        <v>20</v>
      </c>
      <c r="AP134" s="58" t="s">
        <v>34</v>
      </c>
      <c r="AQ134" s="58" t="s">
        <v>127</v>
      </c>
      <c r="AR134" s="58" t="s">
        <v>129</v>
      </c>
      <c r="AT134" s="58" t="s">
        <v>22</v>
      </c>
      <c r="AU134" s="58" t="s">
        <v>20</v>
      </c>
      <c r="AV134" s="58" t="s">
        <v>34</v>
      </c>
      <c r="AW134" s="58" t="s">
        <v>127</v>
      </c>
      <c r="AX134" s="58" t="s">
        <v>129</v>
      </c>
      <c r="AZ134" s="58" t="s">
        <v>22</v>
      </c>
      <c r="BA134" s="58" t="s">
        <v>20</v>
      </c>
      <c r="BB134" s="58" t="s">
        <v>34</v>
      </c>
      <c r="BC134" s="58" t="s">
        <v>127</v>
      </c>
      <c r="BD134" s="58" t="s">
        <v>129</v>
      </c>
      <c r="BF134" s="58" t="s">
        <v>22</v>
      </c>
      <c r="BG134" s="58" t="s">
        <v>20</v>
      </c>
      <c r="BH134" s="58" t="s">
        <v>34</v>
      </c>
      <c r="BI134" s="58" t="s">
        <v>127</v>
      </c>
      <c r="BJ134" s="58" t="s">
        <v>129</v>
      </c>
    </row>
    <row r="135" spans="1:62" ht="15.75" thickBot="1" x14ac:dyDescent="0.3">
      <c r="A135" s="15">
        <v>750</v>
      </c>
      <c r="B135" s="8">
        <f t="shared" si="34"/>
        <v>0</v>
      </c>
      <c r="C135" s="6">
        <f t="shared" si="34"/>
        <v>0</v>
      </c>
      <c r="D135" s="6">
        <f t="shared" si="34"/>
        <v>0</v>
      </c>
      <c r="E135" s="6">
        <f t="shared" si="34"/>
        <v>0</v>
      </c>
      <c r="F135" s="13">
        <f t="shared" si="34"/>
        <v>0</v>
      </c>
      <c r="G135" s="8">
        <f t="shared" si="35"/>
        <v>0</v>
      </c>
      <c r="H135" s="6">
        <f t="shared" si="35"/>
        <v>0</v>
      </c>
      <c r="I135" s="6">
        <f t="shared" si="35"/>
        <v>0</v>
      </c>
      <c r="J135" s="6">
        <f t="shared" si="35"/>
        <v>0</v>
      </c>
      <c r="K135" s="13">
        <f t="shared" si="35"/>
        <v>0</v>
      </c>
      <c r="L135" s="8">
        <f t="shared" si="36"/>
        <v>0</v>
      </c>
      <c r="M135" s="6">
        <f t="shared" si="36"/>
        <v>0</v>
      </c>
      <c r="N135" s="6">
        <f t="shared" si="36"/>
        <v>0</v>
      </c>
      <c r="O135" s="6">
        <f t="shared" si="36"/>
        <v>0</v>
      </c>
      <c r="P135" s="13">
        <f t="shared" si="36"/>
        <v>0</v>
      </c>
      <c r="Q135" s="8">
        <f t="shared" si="37"/>
        <v>0</v>
      </c>
      <c r="R135" s="6">
        <f t="shared" si="37"/>
        <v>0</v>
      </c>
      <c r="S135" s="6">
        <f t="shared" si="37"/>
        <v>0</v>
      </c>
      <c r="T135" s="6">
        <f t="shared" si="37"/>
        <v>0</v>
      </c>
      <c r="U135" s="13">
        <f t="shared" si="37"/>
        <v>0</v>
      </c>
      <c r="V135" s="8">
        <f t="shared" si="38"/>
        <v>0</v>
      </c>
      <c r="W135" s="6">
        <f t="shared" si="38"/>
        <v>0</v>
      </c>
      <c r="X135" s="6">
        <f t="shared" si="38"/>
        <v>0</v>
      </c>
      <c r="Y135" s="6">
        <f t="shared" si="38"/>
        <v>0</v>
      </c>
      <c r="Z135" s="13">
        <f t="shared" si="38"/>
        <v>0</v>
      </c>
      <c r="AA135" s="8">
        <f t="shared" si="38"/>
        <v>0</v>
      </c>
      <c r="AB135" s="6">
        <f t="shared" si="38"/>
        <v>0</v>
      </c>
      <c r="AC135" s="6">
        <f t="shared" si="38"/>
        <v>0</v>
      </c>
      <c r="AD135" s="6">
        <f t="shared" si="38"/>
        <v>0</v>
      </c>
      <c r="AE135" s="13">
        <f t="shared" si="38"/>
        <v>0</v>
      </c>
      <c r="AF135" s="16">
        <f t="shared" si="39"/>
        <v>0</v>
      </c>
      <c r="AG135" s="16">
        <f t="shared" si="40"/>
        <v>0</v>
      </c>
      <c r="AH135" s="34">
        <f>AU14</f>
        <v>3.5</v>
      </c>
      <c r="AI135" s="34" t="str">
        <f>AV14</f>
        <v/>
      </c>
      <c r="AJ135" s="34" t="str">
        <f>AW14</f>
        <v/>
      </c>
      <c r="AK135" s="35" t="str">
        <f>AX14</f>
        <v/>
      </c>
      <c r="AL135" s="35" t="str">
        <f>AY14</f>
        <v/>
      </c>
      <c r="AN135" s="34" t="str">
        <f>AU15</f>
        <v/>
      </c>
      <c r="AO135" s="34" t="str">
        <f>AV15</f>
        <v/>
      </c>
      <c r="AP135" s="34" t="str">
        <f>AW15</f>
        <v/>
      </c>
      <c r="AQ135" s="35" t="str">
        <f>AX15</f>
        <v/>
      </c>
      <c r="AR135" s="35" t="str">
        <f>AY15</f>
        <v/>
      </c>
      <c r="AT135" s="34" t="str">
        <f>AU16</f>
        <v/>
      </c>
      <c r="AU135" s="34" t="str">
        <f>AV16</f>
        <v/>
      </c>
      <c r="AV135" s="34" t="str">
        <f>AW16</f>
        <v/>
      </c>
      <c r="AW135" s="35" t="str">
        <f>AX16</f>
        <v/>
      </c>
      <c r="AX135" s="35" t="str">
        <f>AY16</f>
        <v/>
      </c>
      <c r="AZ135" s="34" t="str">
        <f>AU17</f>
        <v/>
      </c>
      <c r="BA135" s="34" t="str">
        <f>AV17</f>
        <v/>
      </c>
      <c r="BB135" s="34" t="str">
        <f>AW17</f>
        <v/>
      </c>
      <c r="BC135" s="35" t="str">
        <f>AX17</f>
        <v/>
      </c>
      <c r="BD135" s="35" t="str">
        <f>AY17</f>
        <v/>
      </c>
      <c r="BF135" s="34" t="str">
        <f>AU18</f>
        <v/>
      </c>
      <c r="BG135" s="34" t="str">
        <f>AV18</f>
        <v/>
      </c>
      <c r="BH135" s="34" t="str">
        <f>AW18</f>
        <v/>
      </c>
      <c r="BI135" s="35" t="str">
        <f>AX18</f>
        <v/>
      </c>
      <c r="BJ135" s="35" t="str">
        <f>AY18</f>
        <v/>
      </c>
    </row>
    <row r="136" spans="1:62" x14ac:dyDescent="0.25">
      <c r="A136" s="15">
        <v>1000</v>
      </c>
      <c r="B136" s="8">
        <f t="shared" si="34"/>
        <v>0</v>
      </c>
      <c r="C136" s="6">
        <f t="shared" si="34"/>
        <v>0</v>
      </c>
      <c r="D136" s="6">
        <f t="shared" si="34"/>
        <v>0</v>
      </c>
      <c r="E136" s="6">
        <f t="shared" si="34"/>
        <v>0</v>
      </c>
      <c r="F136" s="13">
        <f t="shared" si="34"/>
        <v>0</v>
      </c>
      <c r="G136" s="8">
        <f t="shared" si="35"/>
        <v>0</v>
      </c>
      <c r="H136" s="6">
        <f t="shared" si="35"/>
        <v>0</v>
      </c>
      <c r="I136" s="6">
        <f t="shared" si="35"/>
        <v>0</v>
      </c>
      <c r="J136" s="6">
        <f t="shared" si="35"/>
        <v>0</v>
      </c>
      <c r="K136" s="13">
        <f t="shared" si="35"/>
        <v>0</v>
      </c>
      <c r="L136" s="8">
        <f t="shared" si="36"/>
        <v>0</v>
      </c>
      <c r="M136" s="6">
        <f t="shared" si="36"/>
        <v>0</v>
      </c>
      <c r="N136" s="6">
        <f t="shared" si="36"/>
        <v>0</v>
      </c>
      <c r="O136" s="6">
        <f t="shared" si="36"/>
        <v>0</v>
      </c>
      <c r="P136" s="13">
        <f t="shared" si="36"/>
        <v>0</v>
      </c>
      <c r="Q136" s="8">
        <f t="shared" si="37"/>
        <v>0</v>
      </c>
      <c r="R136" s="6">
        <f t="shared" si="37"/>
        <v>0</v>
      </c>
      <c r="S136" s="6">
        <f t="shared" si="37"/>
        <v>0</v>
      </c>
      <c r="T136" s="6">
        <f t="shared" si="37"/>
        <v>0</v>
      </c>
      <c r="U136" s="13">
        <f t="shared" si="37"/>
        <v>0</v>
      </c>
      <c r="V136" s="8">
        <f t="shared" si="38"/>
        <v>0</v>
      </c>
      <c r="W136" s="6">
        <f t="shared" si="38"/>
        <v>0</v>
      </c>
      <c r="X136" s="6">
        <f t="shared" si="38"/>
        <v>0</v>
      </c>
      <c r="Y136" s="6">
        <f t="shared" si="38"/>
        <v>0</v>
      </c>
      <c r="Z136" s="13">
        <f t="shared" si="38"/>
        <v>0</v>
      </c>
      <c r="AA136" s="8">
        <f t="shared" si="38"/>
        <v>0</v>
      </c>
      <c r="AB136" s="6">
        <f t="shared" si="38"/>
        <v>0</v>
      </c>
      <c r="AC136" s="6">
        <f t="shared" si="38"/>
        <v>0</v>
      </c>
      <c r="AD136" s="6">
        <f t="shared" si="38"/>
        <v>0</v>
      </c>
      <c r="AE136" s="13">
        <f t="shared" si="38"/>
        <v>0</v>
      </c>
      <c r="AF136" s="16">
        <f t="shared" si="39"/>
        <v>0</v>
      </c>
      <c r="AG136" s="16">
        <f t="shared" si="40"/>
        <v>0</v>
      </c>
    </row>
    <row r="137" spans="1:62" x14ac:dyDescent="0.25">
      <c r="A137" s="15">
        <v>1500</v>
      </c>
      <c r="B137" s="8">
        <f t="shared" si="34"/>
        <v>0</v>
      </c>
      <c r="C137" s="6">
        <f t="shared" si="34"/>
        <v>0</v>
      </c>
      <c r="D137" s="6">
        <f t="shared" si="34"/>
        <v>0</v>
      </c>
      <c r="E137" s="6">
        <f t="shared" si="34"/>
        <v>0</v>
      </c>
      <c r="F137" s="13">
        <f t="shared" si="34"/>
        <v>0</v>
      </c>
      <c r="G137" s="8">
        <f t="shared" si="35"/>
        <v>0</v>
      </c>
      <c r="H137" s="6">
        <f t="shared" si="35"/>
        <v>0</v>
      </c>
      <c r="I137" s="6">
        <f t="shared" si="35"/>
        <v>0</v>
      </c>
      <c r="J137" s="6">
        <f t="shared" si="35"/>
        <v>0</v>
      </c>
      <c r="K137" s="13">
        <f t="shared" si="35"/>
        <v>0</v>
      </c>
      <c r="L137" s="8">
        <f t="shared" si="36"/>
        <v>0</v>
      </c>
      <c r="M137" s="6">
        <f t="shared" si="36"/>
        <v>0</v>
      </c>
      <c r="N137" s="6">
        <f t="shared" si="36"/>
        <v>0</v>
      </c>
      <c r="O137" s="6">
        <f t="shared" si="36"/>
        <v>0</v>
      </c>
      <c r="P137" s="13">
        <f t="shared" si="36"/>
        <v>0</v>
      </c>
      <c r="Q137" s="8">
        <f t="shared" si="37"/>
        <v>0</v>
      </c>
      <c r="R137" s="6">
        <f t="shared" si="37"/>
        <v>0</v>
      </c>
      <c r="S137" s="6">
        <f t="shared" si="37"/>
        <v>0</v>
      </c>
      <c r="T137" s="6">
        <f t="shared" si="37"/>
        <v>0</v>
      </c>
      <c r="U137" s="13">
        <f t="shared" si="37"/>
        <v>0</v>
      </c>
      <c r="V137" s="8">
        <f t="shared" si="38"/>
        <v>0</v>
      </c>
      <c r="W137" s="6">
        <f t="shared" si="38"/>
        <v>0</v>
      </c>
      <c r="X137" s="6">
        <f t="shared" si="38"/>
        <v>0</v>
      </c>
      <c r="Y137" s="6">
        <f t="shared" si="38"/>
        <v>0</v>
      </c>
      <c r="Z137" s="13">
        <f t="shared" si="38"/>
        <v>0</v>
      </c>
      <c r="AA137" s="8">
        <f t="shared" si="38"/>
        <v>0</v>
      </c>
      <c r="AB137" s="6">
        <f t="shared" si="38"/>
        <v>0</v>
      </c>
      <c r="AC137" s="6">
        <f t="shared" si="38"/>
        <v>0</v>
      </c>
      <c r="AD137" s="6">
        <f t="shared" si="38"/>
        <v>0</v>
      </c>
      <c r="AE137" s="13">
        <f t="shared" si="38"/>
        <v>0</v>
      </c>
      <c r="AF137" s="16">
        <f t="shared" si="39"/>
        <v>0</v>
      </c>
      <c r="AG137" s="16">
        <f t="shared" si="40"/>
        <v>0</v>
      </c>
      <c r="AH137" s="118" t="s">
        <v>35</v>
      </c>
      <c r="AI137" s="118"/>
      <c r="AJ137" s="118">
        <f>F7</f>
        <v>0</v>
      </c>
      <c r="AK137" s="118"/>
      <c r="AL137" s="118"/>
      <c r="AN137" s="118" t="s">
        <v>35</v>
      </c>
      <c r="AO137" s="118"/>
      <c r="AP137" s="118">
        <f>F8</f>
        <v>0</v>
      </c>
      <c r="AQ137" s="118"/>
      <c r="AR137" s="118"/>
      <c r="AT137" s="118" t="s">
        <v>35</v>
      </c>
      <c r="AU137" s="118"/>
      <c r="AV137" s="118">
        <f>F9</f>
        <v>0</v>
      </c>
      <c r="AW137" s="118"/>
      <c r="AX137" s="118"/>
      <c r="AZ137" s="118" t="s">
        <v>35</v>
      </c>
      <c r="BA137" s="118"/>
      <c r="BB137" s="118">
        <f>F10</f>
        <v>0</v>
      </c>
      <c r="BC137" s="118"/>
      <c r="BD137" s="118"/>
      <c r="BF137" s="118" t="s">
        <v>35</v>
      </c>
      <c r="BG137" s="118"/>
      <c r="BH137" s="118">
        <f>F11</f>
        <v>0</v>
      </c>
      <c r="BI137" s="118"/>
      <c r="BJ137" s="118"/>
    </row>
    <row r="138" spans="1:62" x14ac:dyDescent="0.25">
      <c r="A138" s="15">
        <v>2000</v>
      </c>
      <c r="B138" s="8">
        <f t="shared" si="34"/>
        <v>0</v>
      </c>
      <c r="C138" s="6">
        <f t="shared" si="34"/>
        <v>0</v>
      </c>
      <c r="D138" s="6">
        <f t="shared" si="34"/>
        <v>0</v>
      </c>
      <c r="E138" s="6">
        <f t="shared" si="34"/>
        <v>0</v>
      </c>
      <c r="F138" s="13">
        <f t="shared" si="34"/>
        <v>0</v>
      </c>
      <c r="G138" s="8">
        <f t="shared" si="35"/>
        <v>0</v>
      </c>
      <c r="H138" s="6">
        <f t="shared" si="35"/>
        <v>0</v>
      </c>
      <c r="I138" s="6">
        <f t="shared" si="35"/>
        <v>0</v>
      </c>
      <c r="J138" s="6">
        <f t="shared" si="35"/>
        <v>0</v>
      </c>
      <c r="K138" s="13">
        <f t="shared" si="35"/>
        <v>0</v>
      </c>
      <c r="L138" s="8">
        <f t="shared" si="36"/>
        <v>0</v>
      </c>
      <c r="M138" s="6">
        <f t="shared" si="36"/>
        <v>0</v>
      </c>
      <c r="N138" s="6">
        <f t="shared" si="36"/>
        <v>0</v>
      </c>
      <c r="O138" s="6">
        <f t="shared" si="36"/>
        <v>0</v>
      </c>
      <c r="P138" s="13">
        <f t="shared" si="36"/>
        <v>0</v>
      </c>
      <c r="Q138" s="8">
        <f t="shared" si="37"/>
        <v>0</v>
      </c>
      <c r="R138" s="6">
        <f t="shared" si="37"/>
        <v>0</v>
      </c>
      <c r="S138" s="6">
        <f t="shared" si="37"/>
        <v>0</v>
      </c>
      <c r="T138" s="6">
        <f t="shared" si="37"/>
        <v>0</v>
      </c>
      <c r="U138" s="13">
        <f t="shared" si="37"/>
        <v>0</v>
      </c>
      <c r="V138" s="8">
        <f t="shared" si="38"/>
        <v>0</v>
      </c>
      <c r="W138" s="6">
        <f t="shared" si="38"/>
        <v>0</v>
      </c>
      <c r="X138" s="6">
        <f t="shared" si="38"/>
        <v>0</v>
      </c>
      <c r="Y138" s="6">
        <f t="shared" si="38"/>
        <v>0</v>
      </c>
      <c r="Z138" s="13">
        <f t="shared" si="38"/>
        <v>0</v>
      </c>
      <c r="AA138" s="8">
        <f t="shared" si="38"/>
        <v>0</v>
      </c>
      <c r="AB138" s="6">
        <f t="shared" si="38"/>
        <v>0</v>
      </c>
      <c r="AC138" s="6">
        <f t="shared" si="38"/>
        <v>0</v>
      </c>
      <c r="AD138" s="6">
        <f t="shared" si="38"/>
        <v>0</v>
      </c>
      <c r="AE138" s="13">
        <f t="shared" si="38"/>
        <v>0</v>
      </c>
      <c r="AF138" s="16">
        <f t="shared" si="39"/>
        <v>0</v>
      </c>
      <c r="AG138" s="16">
        <f t="shared" si="40"/>
        <v>0</v>
      </c>
      <c r="AH138" s="118">
        <f>G7</f>
        <v>0</v>
      </c>
      <c r="AI138" s="118"/>
      <c r="AJ138" s="118"/>
      <c r="AK138" s="118"/>
      <c r="AL138" s="118"/>
      <c r="AN138" s="118">
        <f>G8</f>
        <v>0</v>
      </c>
      <c r="AO138" s="118">
        <f>G8</f>
        <v>0</v>
      </c>
      <c r="AP138" s="118"/>
      <c r="AQ138" s="118"/>
      <c r="AR138" s="118"/>
      <c r="AT138" s="118">
        <f>G9</f>
        <v>0</v>
      </c>
      <c r="AU138" s="118"/>
      <c r="AV138" s="118"/>
      <c r="AW138" s="118"/>
      <c r="AX138" s="118"/>
      <c r="AZ138" s="118">
        <f>G10</f>
        <v>0</v>
      </c>
      <c r="BA138" s="118"/>
      <c r="BB138" s="118"/>
      <c r="BC138" s="118"/>
      <c r="BD138" s="118"/>
      <c r="BF138" s="118">
        <f>G11</f>
        <v>0</v>
      </c>
      <c r="BG138" s="118"/>
      <c r="BH138" s="118"/>
      <c r="BI138" s="118"/>
      <c r="BJ138" s="118"/>
    </row>
    <row r="139" spans="1:62" ht="15.75" thickBot="1" x14ac:dyDescent="0.3">
      <c r="A139" s="15">
        <v>3000</v>
      </c>
      <c r="B139" s="8">
        <f t="shared" si="34"/>
        <v>0</v>
      </c>
      <c r="C139" s="6">
        <f t="shared" si="34"/>
        <v>0</v>
      </c>
      <c r="D139" s="6">
        <f t="shared" si="34"/>
        <v>0</v>
      </c>
      <c r="E139" s="6">
        <f t="shared" si="34"/>
        <v>0</v>
      </c>
      <c r="F139" s="13">
        <f t="shared" si="34"/>
        <v>0</v>
      </c>
      <c r="G139" s="8">
        <f t="shared" si="35"/>
        <v>0</v>
      </c>
      <c r="H139" s="6">
        <f t="shared" si="35"/>
        <v>0</v>
      </c>
      <c r="I139" s="6">
        <f t="shared" si="35"/>
        <v>0</v>
      </c>
      <c r="J139" s="6">
        <f t="shared" si="35"/>
        <v>0</v>
      </c>
      <c r="K139" s="13">
        <f t="shared" si="35"/>
        <v>0</v>
      </c>
      <c r="L139" s="8">
        <f t="shared" si="36"/>
        <v>0</v>
      </c>
      <c r="M139" s="6">
        <f t="shared" si="36"/>
        <v>0</v>
      </c>
      <c r="N139" s="6">
        <f t="shared" si="36"/>
        <v>0</v>
      </c>
      <c r="O139" s="6">
        <f t="shared" si="36"/>
        <v>0</v>
      </c>
      <c r="P139" s="13">
        <f t="shared" si="36"/>
        <v>0</v>
      </c>
      <c r="Q139" s="8">
        <f t="shared" si="37"/>
        <v>0</v>
      </c>
      <c r="R139" s="6">
        <f t="shared" si="37"/>
        <v>0</v>
      </c>
      <c r="S139" s="6">
        <f t="shared" si="37"/>
        <v>0</v>
      </c>
      <c r="T139" s="6">
        <f t="shared" si="37"/>
        <v>0</v>
      </c>
      <c r="U139" s="13">
        <f t="shared" si="37"/>
        <v>0</v>
      </c>
      <c r="V139" s="8">
        <f t="shared" si="38"/>
        <v>0</v>
      </c>
      <c r="W139" s="6">
        <f t="shared" si="38"/>
        <v>0</v>
      </c>
      <c r="X139" s="6">
        <f t="shared" si="38"/>
        <v>0</v>
      </c>
      <c r="Y139" s="6">
        <f t="shared" si="38"/>
        <v>0</v>
      </c>
      <c r="Z139" s="13">
        <f t="shared" si="38"/>
        <v>0</v>
      </c>
      <c r="AA139" s="8">
        <f t="shared" si="38"/>
        <v>0</v>
      </c>
      <c r="AB139" s="6">
        <f t="shared" si="38"/>
        <v>0</v>
      </c>
      <c r="AC139" s="6">
        <f t="shared" si="38"/>
        <v>0</v>
      </c>
      <c r="AD139" s="6">
        <f t="shared" si="38"/>
        <v>0</v>
      </c>
      <c r="AE139" s="13">
        <f t="shared" si="38"/>
        <v>0</v>
      </c>
      <c r="AF139" s="16">
        <f t="shared" si="39"/>
        <v>0</v>
      </c>
      <c r="AG139" s="16">
        <f t="shared" si="40"/>
        <v>0</v>
      </c>
      <c r="AH139" s="118">
        <f>H7</f>
        <v>0</v>
      </c>
      <c r="AI139" s="118"/>
      <c r="AJ139" s="118"/>
      <c r="AK139" s="118"/>
      <c r="AL139" s="118"/>
      <c r="AN139" s="118">
        <f>H8</f>
        <v>0</v>
      </c>
      <c r="AO139" s="118">
        <f>H8</f>
        <v>0</v>
      </c>
      <c r="AP139" s="118"/>
      <c r="AQ139" s="118"/>
      <c r="AR139" s="118"/>
      <c r="AT139" s="118">
        <f>H9</f>
        <v>0</v>
      </c>
      <c r="AU139" s="118"/>
      <c r="AV139" s="118"/>
      <c r="AW139" s="118"/>
      <c r="AX139" s="118"/>
      <c r="AZ139" s="118">
        <f>H10</f>
        <v>0</v>
      </c>
      <c r="BA139" s="118"/>
      <c r="BB139" s="118"/>
      <c r="BC139" s="118"/>
      <c r="BD139" s="118"/>
      <c r="BF139" s="118">
        <f>H11</f>
        <v>0</v>
      </c>
      <c r="BG139" s="118"/>
      <c r="BH139" s="118"/>
      <c r="BI139" s="118"/>
      <c r="BJ139" s="118"/>
    </row>
    <row r="140" spans="1:62" ht="15.75" thickBot="1" x14ac:dyDescent="0.3">
      <c r="A140" s="15">
        <v>5000</v>
      </c>
      <c r="B140" s="8">
        <f t="shared" si="34"/>
        <v>0</v>
      </c>
      <c r="C140" s="6">
        <f t="shared" si="34"/>
        <v>0</v>
      </c>
      <c r="D140" s="6">
        <f t="shared" si="34"/>
        <v>0</v>
      </c>
      <c r="E140" s="6">
        <f t="shared" si="34"/>
        <v>0</v>
      </c>
      <c r="F140" s="13">
        <f t="shared" si="34"/>
        <v>0</v>
      </c>
      <c r="G140" s="8">
        <f t="shared" si="35"/>
        <v>0</v>
      </c>
      <c r="H140" s="6">
        <f t="shared" si="35"/>
        <v>0</v>
      </c>
      <c r="I140" s="6">
        <f t="shared" si="35"/>
        <v>0</v>
      </c>
      <c r="J140" s="6">
        <f t="shared" si="35"/>
        <v>0</v>
      </c>
      <c r="K140" s="13">
        <f t="shared" si="35"/>
        <v>0</v>
      </c>
      <c r="L140" s="8">
        <f t="shared" si="36"/>
        <v>0</v>
      </c>
      <c r="M140" s="6">
        <f t="shared" si="36"/>
        <v>0</v>
      </c>
      <c r="N140" s="6">
        <f t="shared" si="36"/>
        <v>0</v>
      </c>
      <c r="O140" s="6">
        <f t="shared" si="36"/>
        <v>0</v>
      </c>
      <c r="P140" s="13">
        <f t="shared" si="36"/>
        <v>0</v>
      </c>
      <c r="Q140" s="8">
        <f t="shared" si="37"/>
        <v>0</v>
      </c>
      <c r="R140" s="6">
        <f t="shared" si="37"/>
        <v>0</v>
      </c>
      <c r="S140" s="6">
        <f t="shared" si="37"/>
        <v>0</v>
      </c>
      <c r="T140" s="6">
        <f t="shared" si="37"/>
        <v>0</v>
      </c>
      <c r="U140" s="13">
        <f t="shared" si="37"/>
        <v>0</v>
      </c>
      <c r="V140" s="8">
        <f t="shared" si="38"/>
        <v>0</v>
      </c>
      <c r="W140" s="6">
        <f t="shared" si="38"/>
        <v>0</v>
      </c>
      <c r="X140" s="6">
        <f t="shared" si="38"/>
        <v>0</v>
      </c>
      <c r="Y140" s="6">
        <f t="shared" si="38"/>
        <v>0</v>
      </c>
      <c r="Z140" s="13">
        <f t="shared" si="38"/>
        <v>0</v>
      </c>
      <c r="AA140" s="8">
        <f t="shared" si="38"/>
        <v>0</v>
      </c>
      <c r="AB140" s="6">
        <f t="shared" si="38"/>
        <v>0</v>
      </c>
      <c r="AC140" s="6">
        <f t="shared" si="38"/>
        <v>0</v>
      </c>
      <c r="AD140" s="6">
        <f t="shared" si="38"/>
        <v>0</v>
      </c>
      <c r="AE140" s="13">
        <f t="shared" si="38"/>
        <v>0</v>
      </c>
      <c r="AF140" s="16">
        <f t="shared" si="39"/>
        <v>0</v>
      </c>
      <c r="AG140" s="16">
        <f t="shared" si="40"/>
        <v>0</v>
      </c>
      <c r="AH140" s="30" t="s">
        <v>136</v>
      </c>
      <c r="AI140" s="30" t="s">
        <v>27</v>
      </c>
      <c r="AJ140" s="30" t="s">
        <v>28</v>
      </c>
      <c r="AK140" s="30" t="s">
        <v>29</v>
      </c>
      <c r="AL140" s="30" t="s">
        <v>30</v>
      </c>
      <c r="AN140" s="30" t="s">
        <v>136</v>
      </c>
      <c r="AO140" s="30" t="s">
        <v>27</v>
      </c>
      <c r="AP140" s="30" t="s">
        <v>28</v>
      </c>
      <c r="AQ140" s="30" t="s">
        <v>29</v>
      </c>
      <c r="AR140" s="30" t="s">
        <v>30</v>
      </c>
      <c r="AT140" s="30" t="s">
        <v>136</v>
      </c>
      <c r="AU140" s="30" t="s">
        <v>27</v>
      </c>
      <c r="AV140" s="30" t="s">
        <v>28</v>
      </c>
      <c r="AW140" s="30" t="s">
        <v>29</v>
      </c>
      <c r="AX140" s="30" t="s">
        <v>30</v>
      </c>
      <c r="AZ140" s="30" t="s">
        <v>136</v>
      </c>
      <c r="BA140" s="30" t="s">
        <v>27</v>
      </c>
      <c r="BB140" s="30" t="s">
        <v>28</v>
      </c>
      <c r="BC140" s="30" t="s">
        <v>29</v>
      </c>
      <c r="BD140" s="30" t="s">
        <v>30</v>
      </c>
      <c r="BF140" s="30" t="s">
        <v>136</v>
      </c>
      <c r="BG140" s="30" t="s">
        <v>27</v>
      </c>
      <c r="BH140" s="30" t="s">
        <v>28</v>
      </c>
      <c r="BI140" s="30" t="s">
        <v>29</v>
      </c>
      <c r="BJ140" s="30" t="s">
        <v>30</v>
      </c>
    </row>
    <row r="141" spans="1:62" ht="15.75" thickBot="1" x14ac:dyDescent="0.3">
      <c r="A141" s="59">
        <v>10000</v>
      </c>
      <c r="B141" s="31">
        <f t="shared" si="34"/>
        <v>0</v>
      </c>
      <c r="C141" s="32">
        <f t="shared" si="34"/>
        <v>0</v>
      </c>
      <c r="D141" s="32">
        <f t="shared" si="34"/>
        <v>0</v>
      </c>
      <c r="E141" s="32">
        <f t="shared" si="34"/>
        <v>0</v>
      </c>
      <c r="F141" s="33">
        <f t="shared" si="34"/>
        <v>0</v>
      </c>
      <c r="G141" s="31">
        <f t="shared" si="35"/>
        <v>0</v>
      </c>
      <c r="H141" s="32">
        <f t="shared" si="35"/>
        <v>0</v>
      </c>
      <c r="I141" s="32">
        <f t="shared" si="35"/>
        <v>0</v>
      </c>
      <c r="J141" s="32">
        <f t="shared" si="35"/>
        <v>0</v>
      </c>
      <c r="K141" s="33">
        <f t="shared" si="35"/>
        <v>0</v>
      </c>
      <c r="L141" s="31">
        <f t="shared" si="36"/>
        <v>0</v>
      </c>
      <c r="M141" s="32">
        <f t="shared" si="36"/>
        <v>0</v>
      </c>
      <c r="N141" s="32">
        <f t="shared" si="36"/>
        <v>0</v>
      </c>
      <c r="O141" s="32">
        <f t="shared" si="36"/>
        <v>0</v>
      </c>
      <c r="P141" s="33">
        <f t="shared" si="36"/>
        <v>0</v>
      </c>
      <c r="Q141" s="31">
        <f t="shared" si="37"/>
        <v>0</v>
      </c>
      <c r="R141" s="32">
        <f t="shared" si="37"/>
        <v>0</v>
      </c>
      <c r="S141" s="32">
        <f t="shared" si="37"/>
        <v>0</v>
      </c>
      <c r="T141" s="32">
        <f t="shared" si="37"/>
        <v>0</v>
      </c>
      <c r="U141" s="33">
        <f t="shared" si="37"/>
        <v>0</v>
      </c>
      <c r="V141" s="31">
        <f t="shared" si="38"/>
        <v>0</v>
      </c>
      <c r="W141" s="32">
        <f t="shared" si="38"/>
        <v>0</v>
      </c>
      <c r="X141" s="32">
        <f t="shared" si="38"/>
        <v>0</v>
      </c>
      <c r="Y141" s="32">
        <f t="shared" si="38"/>
        <v>0</v>
      </c>
      <c r="Z141" s="33">
        <f t="shared" si="38"/>
        <v>0</v>
      </c>
      <c r="AA141" s="31">
        <f t="shared" si="38"/>
        <v>0</v>
      </c>
      <c r="AB141" s="32">
        <f t="shared" si="38"/>
        <v>0</v>
      </c>
      <c r="AC141" s="32">
        <f t="shared" si="38"/>
        <v>0</v>
      </c>
      <c r="AD141" s="32">
        <f t="shared" si="38"/>
        <v>0</v>
      </c>
      <c r="AE141" s="33">
        <f t="shared" si="38"/>
        <v>0</v>
      </c>
      <c r="AF141" s="16">
        <f t="shared" si="39"/>
        <v>0</v>
      </c>
      <c r="AG141" s="43">
        <f t="shared" si="40"/>
        <v>0</v>
      </c>
      <c r="AH141" s="16">
        <f>J7</f>
        <v>0</v>
      </c>
      <c r="AI141" s="10">
        <f>K7</f>
        <v>0</v>
      </c>
      <c r="AJ141" s="11">
        <f>L7</f>
        <v>0</v>
      </c>
      <c r="AK141" s="11">
        <f>M7</f>
        <v>0</v>
      </c>
      <c r="AL141" s="17">
        <f>N7</f>
        <v>0</v>
      </c>
      <c r="AN141" s="16">
        <f>J8</f>
        <v>0</v>
      </c>
      <c r="AO141" s="10">
        <f>K8</f>
        <v>0</v>
      </c>
      <c r="AP141" s="11">
        <f>L8</f>
        <v>0</v>
      </c>
      <c r="AQ141" s="11">
        <f>M8</f>
        <v>0</v>
      </c>
      <c r="AR141" s="17">
        <f>N8</f>
        <v>0</v>
      </c>
      <c r="AT141" s="16">
        <f>J9</f>
        <v>0</v>
      </c>
      <c r="AU141" s="10">
        <f>K9</f>
        <v>0</v>
      </c>
      <c r="AV141" s="11">
        <f>L9</f>
        <v>0</v>
      </c>
      <c r="AW141" s="11">
        <f>M9</f>
        <v>0</v>
      </c>
      <c r="AX141" s="17">
        <f>N9</f>
        <v>0</v>
      </c>
      <c r="AZ141" s="16">
        <f>J10</f>
        <v>0</v>
      </c>
      <c r="BA141" s="10">
        <f>K10</f>
        <v>0</v>
      </c>
      <c r="BB141" s="11">
        <f>L10</f>
        <v>0</v>
      </c>
      <c r="BC141" s="11">
        <f>M10</f>
        <v>0</v>
      </c>
      <c r="BD141" s="17">
        <f>N10</f>
        <v>0</v>
      </c>
      <c r="BF141" s="16">
        <f>J11</f>
        <v>0</v>
      </c>
      <c r="BG141" s="10">
        <f>K11</f>
        <v>0</v>
      </c>
      <c r="BH141" s="11">
        <f>L11</f>
        <v>0</v>
      </c>
      <c r="BI141" s="11">
        <f>M11</f>
        <v>0</v>
      </c>
      <c r="BJ141" s="17">
        <f>N11</f>
        <v>0</v>
      </c>
    </row>
    <row r="142" spans="1:62" ht="15.75" thickBot="1" x14ac:dyDescent="0.3">
      <c r="A142" s="35"/>
      <c r="B142" s="60">
        <f t="shared" ref="B142:AG142" si="41">SUM(B133:B141)</f>
        <v>0</v>
      </c>
      <c r="C142" s="61">
        <f t="shared" si="41"/>
        <v>0</v>
      </c>
      <c r="D142" s="61">
        <f t="shared" si="41"/>
        <v>0</v>
      </c>
      <c r="E142" s="61">
        <f t="shared" si="41"/>
        <v>0</v>
      </c>
      <c r="F142" s="62">
        <f t="shared" si="41"/>
        <v>0</v>
      </c>
      <c r="G142" s="60">
        <f t="shared" si="41"/>
        <v>0</v>
      </c>
      <c r="H142" s="61">
        <f t="shared" si="41"/>
        <v>0</v>
      </c>
      <c r="I142" s="61">
        <f t="shared" si="41"/>
        <v>0</v>
      </c>
      <c r="J142" s="61">
        <f t="shared" si="41"/>
        <v>0</v>
      </c>
      <c r="K142" s="62">
        <f t="shared" si="41"/>
        <v>0</v>
      </c>
      <c r="L142" s="60">
        <f t="shared" si="41"/>
        <v>0</v>
      </c>
      <c r="M142" s="61">
        <f t="shared" si="41"/>
        <v>0</v>
      </c>
      <c r="N142" s="61">
        <f t="shared" si="41"/>
        <v>0</v>
      </c>
      <c r="O142" s="61">
        <f t="shared" si="41"/>
        <v>0</v>
      </c>
      <c r="P142" s="62">
        <f t="shared" si="41"/>
        <v>0</v>
      </c>
      <c r="Q142" s="60">
        <f t="shared" si="41"/>
        <v>0</v>
      </c>
      <c r="R142" s="61">
        <f t="shared" si="41"/>
        <v>0</v>
      </c>
      <c r="S142" s="61">
        <f t="shared" si="41"/>
        <v>0</v>
      </c>
      <c r="T142" s="61">
        <f t="shared" si="41"/>
        <v>0</v>
      </c>
      <c r="U142" s="62">
        <f t="shared" si="41"/>
        <v>0</v>
      </c>
      <c r="V142" s="60">
        <f t="shared" si="41"/>
        <v>0</v>
      </c>
      <c r="W142" s="61">
        <f t="shared" si="41"/>
        <v>0</v>
      </c>
      <c r="X142" s="61">
        <f t="shared" si="41"/>
        <v>0</v>
      </c>
      <c r="Y142" s="61">
        <f t="shared" si="41"/>
        <v>0</v>
      </c>
      <c r="Z142" s="62">
        <f t="shared" si="41"/>
        <v>0</v>
      </c>
      <c r="AA142" s="60">
        <f t="shared" si="41"/>
        <v>0</v>
      </c>
      <c r="AB142" s="61">
        <f t="shared" si="41"/>
        <v>0</v>
      </c>
      <c r="AC142" s="61">
        <f t="shared" si="41"/>
        <v>0</v>
      </c>
      <c r="AD142" s="61">
        <f t="shared" si="41"/>
        <v>0</v>
      </c>
      <c r="AE142" s="62">
        <f t="shared" si="41"/>
        <v>0</v>
      </c>
      <c r="AF142" s="35">
        <f t="shared" si="41"/>
        <v>0</v>
      </c>
      <c r="AG142" s="35">
        <f t="shared" si="40"/>
        <v>0</v>
      </c>
      <c r="AH142" s="15">
        <f>P7</f>
        <v>0</v>
      </c>
      <c r="AI142" s="8">
        <f>Q7</f>
        <v>0</v>
      </c>
      <c r="AJ142" s="6">
        <f>R7</f>
        <v>0</v>
      </c>
      <c r="AK142" s="6">
        <f>S7</f>
        <v>0</v>
      </c>
      <c r="AL142" s="13">
        <f>T7</f>
        <v>0</v>
      </c>
      <c r="AN142" s="15">
        <f>P8</f>
        <v>0</v>
      </c>
      <c r="AO142" s="8">
        <f>Q8</f>
        <v>0</v>
      </c>
      <c r="AP142" s="6">
        <f>R8</f>
        <v>0</v>
      </c>
      <c r="AQ142" s="6">
        <f>S8</f>
        <v>0</v>
      </c>
      <c r="AR142" s="13">
        <f>T8</f>
        <v>0</v>
      </c>
      <c r="AT142" s="15">
        <f>P9</f>
        <v>0</v>
      </c>
      <c r="AU142" s="8">
        <f>Q9</f>
        <v>0</v>
      </c>
      <c r="AV142" s="6">
        <f>R9</f>
        <v>0</v>
      </c>
      <c r="AW142" s="6">
        <f>S9</f>
        <v>0</v>
      </c>
      <c r="AX142" s="13">
        <f>T9</f>
        <v>0</v>
      </c>
      <c r="AZ142" s="15">
        <f>P10</f>
        <v>0</v>
      </c>
      <c r="BA142" s="8">
        <f>Q10</f>
        <v>0</v>
      </c>
      <c r="BB142" s="6">
        <f>R10</f>
        <v>0</v>
      </c>
      <c r="BC142" s="6">
        <f>S10</f>
        <v>0</v>
      </c>
      <c r="BD142" s="13">
        <f>T10</f>
        <v>0</v>
      </c>
      <c r="BF142" s="15">
        <f>P11</f>
        <v>0</v>
      </c>
      <c r="BG142" s="8">
        <f>Q11</f>
        <v>0</v>
      </c>
      <c r="BH142" s="6">
        <f>R11</f>
        <v>0</v>
      </c>
      <c r="BI142" s="6">
        <f>S11</f>
        <v>0</v>
      </c>
      <c r="BJ142" s="13">
        <f>T11</f>
        <v>0</v>
      </c>
    </row>
    <row r="143" spans="1:62" ht="15.75" thickBot="1" x14ac:dyDescent="0.3">
      <c r="AH143" s="15">
        <f>V7</f>
        <v>0</v>
      </c>
      <c r="AI143" s="8">
        <f>W7</f>
        <v>0</v>
      </c>
      <c r="AJ143" s="6">
        <f>X7</f>
        <v>0</v>
      </c>
      <c r="AK143" s="6">
        <f>Y7</f>
        <v>0</v>
      </c>
      <c r="AL143" s="13">
        <f>Z7</f>
        <v>0</v>
      </c>
      <c r="AN143" s="15">
        <f>V8</f>
        <v>0</v>
      </c>
      <c r="AO143" s="8">
        <f>W8</f>
        <v>0</v>
      </c>
      <c r="AP143" s="6">
        <f>X8</f>
        <v>0</v>
      </c>
      <c r="AQ143" s="6">
        <f>Y8</f>
        <v>0</v>
      </c>
      <c r="AR143" s="13">
        <f>Z8</f>
        <v>0</v>
      </c>
      <c r="AT143" s="15">
        <f>V9</f>
        <v>0</v>
      </c>
      <c r="AU143" s="8">
        <f>W9</f>
        <v>0</v>
      </c>
      <c r="AV143" s="6">
        <f>X9</f>
        <v>0</v>
      </c>
      <c r="AW143" s="6">
        <f>Y9</f>
        <v>0</v>
      </c>
      <c r="AX143" s="13">
        <f>Z9</f>
        <v>0</v>
      </c>
      <c r="AZ143" s="15">
        <f>V10</f>
        <v>0</v>
      </c>
      <c r="BA143" s="8">
        <f>W10</f>
        <v>0</v>
      </c>
      <c r="BB143" s="6">
        <f>X10</f>
        <v>0</v>
      </c>
      <c r="BC143" s="6">
        <f>Y10</f>
        <v>0</v>
      </c>
      <c r="BD143" s="13">
        <f>Z10</f>
        <v>0</v>
      </c>
      <c r="BF143" s="15">
        <f>V11</f>
        <v>0</v>
      </c>
      <c r="BG143" s="8">
        <f>W11</f>
        <v>0</v>
      </c>
      <c r="BH143" s="6">
        <f>X11</f>
        <v>0</v>
      </c>
      <c r="BI143" s="6">
        <f>Y11</f>
        <v>0</v>
      </c>
      <c r="BJ143" s="13">
        <f>Z11</f>
        <v>0</v>
      </c>
    </row>
    <row r="144" spans="1:62" ht="15.75" customHeight="1" thickBot="1" x14ac:dyDescent="0.3">
      <c r="A144" s="111" t="s">
        <v>130</v>
      </c>
      <c r="B144" s="112"/>
      <c r="D144" s="111" t="s">
        <v>131</v>
      </c>
      <c r="E144" s="112"/>
      <c r="G144" s="111" t="s">
        <v>132</v>
      </c>
      <c r="H144" s="112"/>
      <c r="J144" s="161" t="s">
        <v>250</v>
      </c>
      <c r="K144" s="162"/>
      <c r="M144" s="161" t="s">
        <v>251</v>
      </c>
      <c r="N144" s="162"/>
      <c r="P144" s="161" t="s">
        <v>252</v>
      </c>
      <c r="Q144" s="162"/>
      <c r="S144" s="123" t="s">
        <v>31</v>
      </c>
      <c r="T144" s="113" t="s">
        <v>84</v>
      </c>
      <c r="U144" s="115"/>
      <c r="V144" s="116" t="s">
        <v>24</v>
      </c>
      <c r="W144" s="116" t="s">
        <v>86</v>
      </c>
      <c r="AH144" s="15">
        <f>AB7</f>
        <v>0</v>
      </c>
      <c r="AI144" s="8">
        <f>AC7</f>
        <v>0</v>
      </c>
      <c r="AJ144" s="6">
        <f>AD7</f>
        <v>0</v>
      </c>
      <c r="AK144" s="6">
        <f>AE7</f>
        <v>0</v>
      </c>
      <c r="AL144" s="13">
        <f>AF7</f>
        <v>0</v>
      </c>
      <c r="AN144" s="15">
        <f>AB8</f>
        <v>0</v>
      </c>
      <c r="AO144" s="8">
        <f>AC8</f>
        <v>0</v>
      </c>
      <c r="AP144" s="6">
        <f>AD8</f>
        <v>0</v>
      </c>
      <c r="AQ144" s="6">
        <f>AE8</f>
        <v>0</v>
      </c>
      <c r="AR144" s="13">
        <f>AF8</f>
        <v>0</v>
      </c>
      <c r="AT144" s="15">
        <f>AB9</f>
        <v>0</v>
      </c>
      <c r="AU144" s="8">
        <f>AC9</f>
        <v>0</v>
      </c>
      <c r="AV144" s="6">
        <f>AD9</f>
        <v>0</v>
      </c>
      <c r="AW144" s="6">
        <f>AE9</f>
        <v>0</v>
      </c>
      <c r="AX144" s="13">
        <f>AF9</f>
        <v>0</v>
      </c>
      <c r="AZ144" s="15">
        <f>AB10</f>
        <v>0</v>
      </c>
      <c r="BA144" s="8">
        <f>AC10</f>
        <v>0</v>
      </c>
      <c r="BB144" s="6">
        <f>AD10</f>
        <v>0</v>
      </c>
      <c r="BC144" s="6">
        <f>AE10</f>
        <v>0</v>
      </c>
      <c r="BD144" s="13">
        <f>AF10</f>
        <v>0</v>
      </c>
      <c r="BF144" s="15">
        <f>AB11</f>
        <v>0</v>
      </c>
      <c r="BG144" s="8">
        <f>AC11</f>
        <v>0</v>
      </c>
      <c r="BH144" s="6">
        <f>AD11</f>
        <v>0</v>
      </c>
      <c r="BI144" s="6">
        <f>AE11</f>
        <v>0</v>
      </c>
      <c r="BJ144" s="13">
        <f>AF11</f>
        <v>0</v>
      </c>
    </row>
    <row r="145" spans="1:62" ht="15.75" thickBot="1" x14ac:dyDescent="0.3">
      <c r="A145" s="60" t="s">
        <v>27</v>
      </c>
      <c r="B145" s="62" t="s">
        <v>102</v>
      </c>
      <c r="D145" s="34" t="s">
        <v>27</v>
      </c>
      <c r="E145" s="79" t="s">
        <v>102</v>
      </c>
      <c r="G145" s="34" t="s">
        <v>27</v>
      </c>
      <c r="H145" s="79" t="s">
        <v>102</v>
      </c>
      <c r="J145" s="163"/>
      <c r="K145" s="164"/>
      <c r="M145" s="163"/>
      <c r="N145" s="164"/>
      <c r="P145" s="163"/>
      <c r="Q145" s="164"/>
      <c r="S145" s="124"/>
      <c r="T145" s="12" t="s">
        <v>17</v>
      </c>
      <c r="U145" s="12" t="s">
        <v>19</v>
      </c>
      <c r="V145" s="117"/>
      <c r="W145" s="117"/>
      <c r="AH145" s="15">
        <f>AH7</f>
        <v>0</v>
      </c>
      <c r="AI145" s="8">
        <f>AI7</f>
        <v>0</v>
      </c>
      <c r="AJ145" s="6">
        <f>AJ7</f>
        <v>0</v>
      </c>
      <c r="AK145" s="6">
        <f>AK7</f>
        <v>0</v>
      </c>
      <c r="AL145" s="13">
        <f>AL7</f>
        <v>0</v>
      </c>
      <c r="AN145" s="15">
        <f>AH8</f>
        <v>0</v>
      </c>
      <c r="AO145" s="8">
        <f>AI8</f>
        <v>0</v>
      </c>
      <c r="AP145" s="6">
        <f>AJ8</f>
        <v>0</v>
      </c>
      <c r="AQ145" s="6">
        <f>AK8</f>
        <v>0</v>
      </c>
      <c r="AR145" s="13">
        <f>AL8</f>
        <v>0</v>
      </c>
      <c r="AT145" s="15">
        <f>AH9</f>
        <v>0</v>
      </c>
      <c r="AU145" s="8">
        <f>AI9</f>
        <v>0</v>
      </c>
      <c r="AV145" s="6">
        <f>AJ9</f>
        <v>0</v>
      </c>
      <c r="AW145" s="6">
        <f>AK9</f>
        <v>0</v>
      </c>
      <c r="AX145" s="13">
        <f>AL9</f>
        <v>0</v>
      </c>
      <c r="AZ145" s="15">
        <f>AH10</f>
        <v>0</v>
      </c>
      <c r="BA145" s="8">
        <f>AI10</f>
        <v>0</v>
      </c>
      <c r="BB145" s="6">
        <f>AJ10</f>
        <v>0</v>
      </c>
      <c r="BC145" s="6">
        <f>AK10</f>
        <v>0</v>
      </c>
      <c r="BD145" s="13">
        <f>AL10</f>
        <v>0</v>
      </c>
      <c r="BF145" s="15">
        <f>AH11</f>
        <v>0</v>
      </c>
      <c r="BG145" s="8">
        <f>AI11</f>
        <v>0</v>
      </c>
      <c r="BH145" s="6">
        <f>AJ11</f>
        <v>0</v>
      </c>
      <c r="BI145" s="6">
        <f>AK11</f>
        <v>0</v>
      </c>
      <c r="BJ145" s="13">
        <f>AL11</f>
        <v>0</v>
      </c>
    </row>
    <row r="146" spans="1:62" x14ac:dyDescent="0.25">
      <c r="A146" s="10">
        <v>225</v>
      </c>
      <c r="B146" s="17">
        <f t="shared" ref="B146:B151" si="42">SUMIFS($J$14:$J$113,$H$14:$H$113,$A$144,$I$14:$I$113,A146)</f>
        <v>0</v>
      </c>
      <c r="D146" s="10">
        <v>1000</v>
      </c>
      <c r="E146" s="17">
        <f>SUMIFS($J$14:$J$113,$H$14:$H$113,$D$144,$I$14:$I$113,D146)</f>
        <v>0</v>
      </c>
      <c r="G146" s="10">
        <v>1000</v>
      </c>
      <c r="H146" s="17">
        <f>SUMIFS($J$14:$J$113,$H$14:$H$113,$G$144,$I$14:$I$113,G146)</f>
        <v>0</v>
      </c>
      <c r="J146" s="163"/>
      <c r="K146" s="164"/>
      <c r="M146" s="163"/>
      <c r="N146" s="164"/>
      <c r="P146" s="163"/>
      <c r="Q146" s="164"/>
      <c r="S146" s="16">
        <v>300</v>
      </c>
      <c r="T146" s="11">
        <f>SUMIFS($J$14:$J$113,$I$14:$I$113,$S146,$K$14:$K$113,T$145,$H$14:$H$113,$T$144)</f>
        <v>0</v>
      </c>
      <c r="U146" s="11">
        <f>SUMIFS($J$14:$J$113,$I$14:$I$113,$S146,$K$14:$K$113,U$145,$H$14:$H$113,$T$144)</f>
        <v>0</v>
      </c>
      <c r="V146" s="16">
        <f>SUM(T146:U146)*S146</f>
        <v>0</v>
      </c>
      <c r="W146" s="16">
        <f>T146+U146</f>
        <v>0</v>
      </c>
      <c r="AH146" s="15">
        <f>AN7</f>
        <v>0</v>
      </c>
      <c r="AI146" s="8">
        <f>AO7</f>
        <v>0</v>
      </c>
      <c r="AJ146" s="6">
        <f>AP7</f>
        <v>0</v>
      </c>
      <c r="AK146" s="6">
        <f>AQ7</f>
        <v>0</v>
      </c>
      <c r="AL146" s="13">
        <f>AR7</f>
        <v>0</v>
      </c>
      <c r="AN146" s="15">
        <f>AN8</f>
        <v>0</v>
      </c>
      <c r="AO146" s="8">
        <f>AO8</f>
        <v>0</v>
      </c>
      <c r="AP146" s="6">
        <f>AP8</f>
        <v>0</v>
      </c>
      <c r="AQ146" s="6">
        <f>AQ8</f>
        <v>0</v>
      </c>
      <c r="AR146" s="13">
        <f>AR8</f>
        <v>0</v>
      </c>
      <c r="AT146" s="15">
        <f>AN9</f>
        <v>0</v>
      </c>
      <c r="AU146" s="8">
        <f>AO9</f>
        <v>0</v>
      </c>
      <c r="AV146" s="6">
        <f>AP9</f>
        <v>0</v>
      </c>
      <c r="AW146" s="6">
        <f>AQ9</f>
        <v>0</v>
      </c>
      <c r="AX146" s="13">
        <f>AR9</f>
        <v>0</v>
      </c>
      <c r="AZ146" s="15">
        <f>AN10</f>
        <v>0</v>
      </c>
      <c r="BA146" s="8">
        <f>AO10</f>
        <v>0</v>
      </c>
      <c r="BB146" s="6">
        <f>AP10</f>
        <v>0</v>
      </c>
      <c r="BC146" s="6">
        <f>AQ10</f>
        <v>0</v>
      </c>
      <c r="BD146" s="13">
        <f>AR10</f>
        <v>0</v>
      </c>
      <c r="BF146" s="15">
        <f>AN11</f>
        <v>0</v>
      </c>
      <c r="BG146" s="8">
        <f>AO11</f>
        <v>0</v>
      </c>
      <c r="BH146" s="6">
        <f>AP11</f>
        <v>0</v>
      </c>
      <c r="BI146" s="6">
        <f>AQ11</f>
        <v>0</v>
      </c>
      <c r="BJ146" s="13">
        <f>AR11</f>
        <v>0</v>
      </c>
    </row>
    <row r="147" spans="1:62" ht="15.75" thickBot="1" x14ac:dyDescent="0.3">
      <c r="A147" s="8">
        <v>325</v>
      </c>
      <c r="B147" s="17">
        <f t="shared" si="42"/>
        <v>0</v>
      </c>
      <c r="D147" s="9">
        <v>3000</v>
      </c>
      <c r="E147" s="17">
        <f>SUMIFS($J$14:$J$113,$H$14:$H$113,$D$144,$I$14:$I$113,D147)</f>
        <v>0</v>
      </c>
      <c r="G147" s="31">
        <v>2000</v>
      </c>
      <c r="H147" s="17">
        <f>SUMIFS($J$14:$J$113,$H$14:$H$113,$G$144,$I$14:$I$113,G147)</f>
        <v>0</v>
      </c>
      <c r="J147" s="165"/>
      <c r="K147" s="166"/>
      <c r="M147" s="165"/>
      <c r="N147" s="166"/>
      <c r="P147" s="165"/>
      <c r="Q147" s="166"/>
      <c r="S147" s="16">
        <v>500</v>
      </c>
      <c r="T147" s="11">
        <f t="shared" ref="T147:U154" si="43">SUMIFS($J$14:$J$113,$I$14:$I$113,$S147,$K$14:$K$113,T$145,$H$14:$H$113,$T$144)</f>
        <v>0</v>
      </c>
      <c r="U147" s="11">
        <f t="shared" si="43"/>
        <v>0</v>
      </c>
      <c r="V147" s="16">
        <f t="shared" ref="V147:V154" si="44">SUM(T147:U147)*S147</f>
        <v>0</v>
      </c>
      <c r="W147" s="16">
        <f t="shared" ref="W147:W154" si="45">T147+U147</f>
        <v>0</v>
      </c>
      <c r="AA147" s="167" t="s">
        <v>37</v>
      </c>
      <c r="AB147" s="167"/>
      <c r="AC147" s="167"/>
      <c r="AD147" s="167" t="s">
        <v>113</v>
      </c>
      <c r="AE147" s="167"/>
      <c r="AF147" s="167"/>
      <c r="AH147" s="15">
        <f>AT7</f>
        <v>0</v>
      </c>
      <c r="AI147" s="8">
        <f>AU7</f>
        <v>0</v>
      </c>
      <c r="AJ147" s="6">
        <f>AV7</f>
        <v>0</v>
      </c>
      <c r="AK147" s="6">
        <f>AW7</f>
        <v>0</v>
      </c>
      <c r="AL147" s="13">
        <f>AX7</f>
        <v>0</v>
      </c>
      <c r="AN147" s="15">
        <f>AT8</f>
        <v>0</v>
      </c>
      <c r="AO147" s="8">
        <f>AU8</f>
        <v>0</v>
      </c>
      <c r="AP147" s="6">
        <f>AV8</f>
        <v>0</v>
      </c>
      <c r="AQ147" s="6">
        <f>AW8</f>
        <v>0</v>
      </c>
      <c r="AR147" s="13">
        <f>AX8</f>
        <v>0</v>
      </c>
      <c r="AT147" s="15">
        <f>AT9</f>
        <v>0</v>
      </c>
      <c r="AU147" s="8">
        <f>AU9</f>
        <v>0</v>
      </c>
      <c r="AV147" s="6">
        <f>AV9</f>
        <v>0</v>
      </c>
      <c r="AW147" s="6">
        <f>AW9</f>
        <v>0</v>
      </c>
      <c r="AX147" s="13">
        <f>AX9</f>
        <v>0</v>
      </c>
      <c r="AZ147" s="15">
        <f>AT10</f>
        <v>0</v>
      </c>
      <c r="BA147" s="8">
        <f>AU10</f>
        <v>0</v>
      </c>
      <c r="BB147" s="6">
        <f>AV10</f>
        <v>0</v>
      </c>
      <c r="BC147" s="6">
        <f>AW10</f>
        <v>0</v>
      </c>
      <c r="BD147" s="13">
        <f>AX10</f>
        <v>0</v>
      </c>
      <c r="BF147" s="15">
        <f>AT11</f>
        <v>0</v>
      </c>
      <c r="BG147" s="8">
        <f>AU11</f>
        <v>0</v>
      </c>
      <c r="BH147" s="6">
        <f>AV11</f>
        <v>0</v>
      </c>
      <c r="BI147" s="6">
        <f>AW11</f>
        <v>0</v>
      </c>
      <c r="BJ147" s="13">
        <f>AX11</f>
        <v>0</v>
      </c>
    </row>
    <row r="148" spans="1:62" ht="15.75" thickBot="1" x14ac:dyDescent="0.3">
      <c r="A148" s="8">
        <v>400</v>
      </c>
      <c r="B148" s="17">
        <f t="shared" si="42"/>
        <v>0</v>
      </c>
      <c r="D148" s="60" t="s">
        <v>24</v>
      </c>
      <c r="E148" s="62">
        <f>SUMPRODUCT(D146:D147,E146:E147)</f>
        <v>0</v>
      </c>
      <c r="G148" s="60" t="s">
        <v>24</v>
      </c>
      <c r="H148" s="62">
        <f>SUMPRODUCT(G146:G147,H146:H147)</f>
        <v>0</v>
      </c>
      <c r="J148" s="60" t="s">
        <v>29</v>
      </c>
      <c r="K148" s="62" t="s">
        <v>102</v>
      </c>
      <c r="M148" s="60" t="s">
        <v>29</v>
      </c>
      <c r="N148" s="62" t="s">
        <v>102</v>
      </c>
      <c r="P148" s="60" t="s">
        <v>29</v>
      </c>
      <c r="Q148" s="62" t="s">
        <v>102</v>
      </c>
      <c r="S148" s="15">
        <v>750</v>
      </c>
      <c r="T148" s="11">
        <f t="shared" si="43"/>
        <v>0</v>
      </c>
      <c r="U148" s="11">
        <f t="shared" si="43"/>
        <v>0</v>
      </c>
      <c r="V148" s="16">
        <f t="shared" si="44"/>
        <v>0</v>
      </c>
      <c r="W148" s="16">
        <f t="shared" si="45"/>
        <v>0</v>
      </c>
      <c r="AA148" s="167" t="str">
        <f>"TANKS: " &amp; SUM(B128:AE128,B146:B151,E146:E147,H146:H147,B142:AE142,W155)</f>
        <v>TANKS: 48</v>
      </c>
      <c r="AB148" s="167"/>
      <c r="AC148" s="167"/>
      <c r="AD148" s="167" t="str">
        <f>"LTRS: " &amp;SUM(AF128,B152,E148,H148,AF142,V155)</f>
        <v>LTRS: 39500</v>
      </c>
      <c r="AE148" s="167"/>
      <c r="AF148" s="167"/>
      <c r="AH148" s="15">
        <f>AZ7</f>
        <v>0</v>
      </c>
      <c r="AI148" s="8">
        <f>BA7</f>
        <v>0</v>
      </c>
      <c r="AJ148" s="6">
        <f>BB7</f>
        <v>0</v>
      </c>
      <c r="AK148" s="6">
        <f>BC7</f>
        <v>0</v>
      </c>
      <c r="AL148" s="13">
        <f>BD7</f>
        <v>0</v>
      </c>
      <c r="AN148" s="15">
        <f>AZ8</f>
        <v>0</v>
      </c>
      <c r="AO148" s="8">
        <f>BA8</f>
        <v>0</v>
      </c>
      <c r="AP148" s="6">
        <f>BB8</f>
        <v>0</v>
      </c>
      <c r="AQ148" s="6">
        <f>BC8</f>
        <v>0</v>
      </c>
      <c r="AR148" s="13">
        <f>BD8</f>
        <v>0</v>
      </c>
      <c r="AT148" s="15">
        <f>AZ9</f>
        <v>0</v>
      </c>
      <c r="AU148" s="8">
        <f>BA9</f>
        <v>0</v>
      </c>
      <c r="AV148" s="6">
        <f>BB9</f>
        <v>0</v>
      </c>
      <c r="AW148" s="6">
        <f>BC9</f>
        <v>0</v>
      </c>
      <c r="AX148" s="13">
        <f>BD9</f>
        <v>0</v>
      </c>
      <c r="AZ148" s="15">
        <f>AZ10</f>
        <v>0</v>
      </c>
      <c r="BA148" s="8">
        <f>BA10</f>
        <v>0</v>
      </c>
      <c r="BB148" s="6">
        <f>BB10</f>
        <v>0</v>
      </c>
      <c r="BC148" s="6">
        <f>BC10</f>
        <v>0</v>
      </c>
      <c r="BD148" s="13">
        <f>BD10</f>
        <v>0</v>
      </c>
      <c r="BF148" s="15">
        <f>AZ11</f>
        <v>0</v>
      </c>
      <c r="BG148" s="8">
        <f>BA11</f>
        <v>0</v>
      </c>
      <c r="BH148" s="6">
        <f>BB11</f>
        <v>0</v>
      </c>
      <c r="BI148" s="6">
        <f>BC11</f>
        <v>0</v>
      </c>
      <c r="BJ148" s="13">
        <f>BD11</f>
        <v>0</v>
      </c>
    </row>
    <row r="149" spans="1:62" x14ac:dyDescent="0.25">
      <c r="A149" s="8">
        <v>500</v>
      </c>
      <c r="B149" s="17">
        <f t="shared" si="42"/>
        <v>0</v>
      </c>
      <c r="J149" s="10" t="s">
        <v>17</v>
      </c>
      <c r="K149" s="17">
        <f>SUMIFS($J$14:$J$113,$H$14:$H$113,"CAP16_1",$K$14:$K$113,J149)</f>
        <v>0</v>
      </c>
      <c r="M149" s="10" t="s">
        <v>17</v>
      </c>
      <c r="N149" s="17">
        <f>SUMIFS($J$14:$J$113,$H$14:$H$113,"CAP16_2",$K$14:$K$113,M149)</f>
        <v>0</v>
      </c>
      <c r="P149" s="10" t="s">
        <v>17</v>
      </c>
      <c r="Q149" s="17">
        <f>SUMIFS($J$14:$J$113,$H$14:$H$113,"CAP19",$K$14:$K$113,P149)</f>
        <v>0</v>
      </c>
      <c r="S149" s="15">
        <v>1000</v>
      </c>
      <c r="T149" s="11">
        <f t="shared" si="43"/>
        <v>0</v>
      </c>
      <c r="U149" s="11">
        <f t="shared" si="43"/>
        <v>0</v>
      </c>
      <c r="V149" s="16">
        <f t="shared" si="44"/>
        <v>0</v>
      </c>
      <c r="W149" s="16">
        <f t="shared" si="45"/>
        <v>0</v>
      </c>
      <c r="AA149" s="167" t="s">
        <v>76</v>
      </c>
      <c r="AB149" s="167"/>
      <c r="AC149" s="167"/>
      <c r="AD149" s="176">
        <f>D114</f>
        <v>46008</v>
      </c>
      <c r="AE149" s="176"/>
      <c r="AF149" s="176"/>
      <c r="AH149" s="15">
        <f>BF7</f>
        <v>0</v>
      </c>
      <c r="AI149" s="8">
        <f>BG7</f>
        <v>0</v>
      </c>
      <c r="AJ149" s="6">
        <f>BH7</f>
        <v>0</v>
      </c>
      <c r="AK149" s="6">
        <f>BI7</f>
        <v>0</v>
      </c>
      <c r="AL149" s="13">
        <f>BJ7</f>
        <v>0</v>
      </c>
      <c r="AN149" s="15">
        <f>BF8</f>
        <v>0</v>
      </c>
      <c r="AO149" s="8">
        <f>BG8</f>
        <v>0</v>
      </c>
      <c r="AP149" s="6">
        <f>BH8</f>
        <v>0</v>
      </c>
      <c r="AQ149" s="6">
        <f>BI8</f>
        <v>0</v>
      </c>
      <c r="AR149" s="13">
        <f>BJ8</f>
        <v>0</v>
      </c>
      <c r="AT149" s="15">
        <f>BF9</f>
        <v>0</v>
      </c>
      <c r="AU149" s="8">
        <f>BG9</f>
        <v>0</v>
      </c>
      <c r="AV149" s="6">
        <f>BH9</f>
        <v>0</v>
      </c>
      <c r="AW149" s="6">
        <f>BI9</f>
        <v>0</v>
      </c>
      <c r="AX149" s="13">
        <f>BJ9</f>
        <v>0</v>
      </c>
      <c r="AZ149" s="15">
        <f>BF10</f>
        <v>0</v>
      </c>
      <c r="BA149" s="8">
        <f>BG10</f>
        <v>0</v>
      </c>
      <c r="BB149" s="6">
        <f>BH10</f>
        <v>0</v>
      </c>
      <c r="BC149" s="6">
        <f>BI10</f>
        <v>0</v>
      </c>
      <c r="BD149" s="13">
        <f>BJ10</f>
        <v>0</v>
      </c>
      <c r="BF149" s="15">
        <f>BF11</f>
        <v>0</v>
      </c>
      <c r="BG149" s="8">
        <f>BG11</f>
        <v>0</v>
      </c>
      <c r="BH149" s="6">
        <f>BH11</f>
        <v>0</v>
      </c>
      <c r="BI149" s="6">
        <f>BI11</f>
        <v>0</v>
      </c>
      <c r="BJ149" s="13">
        <f>BJ11</f>
        <v>0</v>
      </c>
    </row>
    <row r="150" spans="1:62" ht="15.75" thickBot="1" x14ac:dyDescent="0.3">
      <c r="A150" s="8">
        <v>750</v>
      </c>
      <c r="B150" s="17">
        <f t="shared" si="42"/>
        <v>0</v>
      </c>
      <c r="J150" s="8" t="s">
        <v>19</v>
      </c>
      <c r="K150" s="17">
        <f t="shared" ref="K150:K153" si="46">SUMIFS($J$14:$J$113,$H$14:$H$113,"CAP16_1",$K$14:$K$113,J150)</f>
        <v>0</v>
      </c>
      <c r="M150" s="8" t="s">
        <v>19</v>
      </c>
      <c r="N150" s="17">
        <f t="shared" ref="N150:N153" si="47">SUMIFS($J$14:$J$113,$H$14:$H$113,"CAP16_2",$K$14:$K$113,M150)</f>
        <v>0</v>
      </c>
      <c r="P150" s="8" t="s">
        <v>19</v>
      </c>
      <c r="Q150" s="17">
        <f t="shared" ref="Q150:Q153" si="48">SUMIFS($J$14:$J$113,$H$14:$H$113,"CAP19",$K$14:$K$113,P150)</f>
        <v>0</v>
      </c>
      <c r="S150" s="15">
        <v>1500</v>
      </c>
      <c r="T150" s="11">
        <f t="shared" si="43"/>
        <v>0</v>
      </c>
      <c r="U150" s="11">
        <f t="shared" si="43"/>
        <v>0</v>
      </c>
      <c r="V150" s="16">
        <f t="shared" si="44"/>
        <v>0</v>
      </c>
      <c r="W150" s="16">
        <f t="shared" si="45"/>
        <v>0</v>
      </c>
      <c r="AH150" s="59">
        <f>BL7</f>
        <v>0</v>
      </c>
      <c r="AI150" s="31">
        <f>BM7</f>
        <v>0</v>
      </c>
      <c r="AJ150" s="32">
        <f>BN7</f>
        <v>0</v>
      </c>
      <c r="AK150" s="32">
        <f>BO7</f>
        <v>0</v>
      </c>
      <c r="AL150" s="33">
        <f>BP7</f>
        <v>0</v>
      </c>
      <c r="AN150" s="59">
        <f>BL8</f>
        <v>0</v>
      </c>
      <c r="AO150" s="31">
        <f>BM8</f>
        <v>0</v>
      </c>
      <c r="AP150" s="32">
        <f>BN8</f>
        <v>0</v>
      </c>
      <c r="AQ150" s="32">
        <f>BO8</f>
        <v>0</v>
      </c>
      <c r="AR150" s="33">
        <f>BP8</f>
        <v>0</v>
      </c>
      <c r="AT150" s="59">
        <f>BL9</f>
        <v>0</v>
      </c>
      <c r="AU150" s="31">
        <f>BM9</f>
        <v>0</v>
      </c>
      <c r="AV150" s="32">
        <f>BN9</f>
        <v>0</v>
      </c>
      <c r="AW150" s="32">
        <f>BO9</f>
        <v>0</v>
      </c>
      <c r="AX150" s="33">
        <f>BP9</f>
        <v>0</v>
      </c>
      <c r="AZ150" s="59">
        <f>BL10</f>
        <v>0</v>
      </c>
      <c r="BA150" s="31">
        <f>BM10</f>
        <v>0</v>
      </c>
      <c r="BB150" s="32">
        <f>BN10</f>
        <v>0</v>
      </c>
      <c r="BC150" s="32">
        <f>BO10</f>
        <v>0</v>
      </c>
      <c r="BD150" s="33">
        <f>BP10</f>
        <v>0</v>
      </c>
      <c r="BF150" s="59">
        <f>BL11</f>
        <v>0</v>
      </c>
      <c r="BG150" s="31">
        <f>BM11</f>
        <v>0</v>
      </c>
      <c r="BH150" s="32">
        <f>BN11</f>
        <v>0</v>
      </c>
      <c r="BI150" s="32">
        <f>BO11</f>
        <v>0</v>
      </c>
      <c r="BJ150" s="33">
        <f>BP11</f>
        <v>0</v>
      </c>
    </row>
    <row r="151" spans="1:62" ht="15.75" thickBot="1" x14ac:dyDescent="0.3">
      <c r="A151" s="9">
        <v>1000</v>
      </c>
      <c r="B151" s="17">
        <f t="shared" si="42"/>
        <v>0</v>
      </c>
      <c r="J151" s="8" t="s">
        <v>32</v>
      </c>
      <c r="K151" s="17">
        <f t="shared" si="46"/>
        <v>0</v>
      </c>
      <c r="M151" s="8" t="s">
        <v>32</v>
      </c>
      <c r="N151" s="17">
        <f t="shared" si="47"/>
        <v>0</v>
      </c>
      <c r="P151" s="8" t="s">
        <v>32</v>
      </c>
      <c r="Q151" s="17">
        <f t="shared" si="48"/>
        <v>0</v>
      </c>
      <c r="S151" s="15">
        <v>2000</v>
      </c>
      <c r="T151" s="11">
        <f t="shared" si="43"/>
        <v>0</v>
      </c>
      <c r="U151" s="11">
        <f t="shared" si="43"/>
        <v>0</v>
      </c>
      <c r="V151" s="16">
        <f t="shared" si="44"/>
        <v>0</v>
      </c>
      <c r="W151" s="16">
        <f t="shared" si="45"/>
        <v>0</v>
      </c>
      <c r="AH151" s="35">
        <f>C7</f>
        <v>0</v>
      </c>
      <c r="AI151" s="158">
        <f>SUM(AI141:AI150)</f>
        <v>0</v>
      </c>
      <c r="AJ151" s="159"/>
      <c r="AK151" s="158">
        <f>BT7</f>
        <v>0</v>
      </c>
      <c r="AL151" s="159"/>
      <c r="AN151" s="35">
        <f>C8</f>
        <v>0</v>
      </c>
      <c r="AO151" s="158">
        <f>SUM(AO141:AO150)</f>
        <v>0</v>
      </c>
      <c r="AP151" s="159"/>
      <c r="AQ151" s="158">
        <f>BT8</f>
        <v>0</v>
      </c>
      <c r="AR151" s="159"/>
      <c r="AT151" s="35">
        <f>C9</f>
        <v>0</v>
      </c>
      <c r="AU151" s="158">
        <f>SUM(AU141:AU150)</f>
        <v>0</v>
      </c>
      <c r="AV151" s="159"/>
      <c r="AW151" s="158">
        <f>BT9</f>
        <v>0</v>
      </c>
      <c r="AX151" s="159"/>
      <c r="AZ151" s="35">
        <f>C10</f>
        <v>0</v>
      </c>
      <c r="BA151" s="158">
        <f>SUM(BA141:BA150)</f>
        <v>0</v>
      </c>
      <c r="BB151" s="159"/>
      <c r="BC151" s="158">
        <f>BT10</f>
        <v>0</v>
      </c>
      <c r="BD151" s="159"/>
      <c r="BF151" s="35">
        <f>C11</f>
        <v>0</v>
      </c>
      <c r="BG151" s="158">
        <f>SUM(BG141:BG150)</f>
        <v>0</v>
      </c>
      <c r="BH151" s="159"/>
      <c r="BI151" s="158">
        <f>BT11</f>
        <v>0</v>
      </c>
      <c r="BJ151" s="159"/>
    </row>
    <row r="152" spans="1:62" ht="15.75" thickBot="1" x14ac:dyDescent="0.3">
      <c r="A152" s="60" t="s">
        <v>24</v>
      </c>
      <c r="B152" s="62">
        <f>SUMPRODUCT(A146:A151,B146:B151)</f>
        <v>0</v>
      </c>
      <c r="J152" s="8" t="s">
        <v>33</v>
      </c>
      <c r="K152" s="17">
        <f t="shared" si="46"/>
        <v>0</v>
      </c>
      <c r="M152" s="8" t="s">
        <v>33</v>
      </c>
      <c r="N152" s="17">
        <f t="shared" si="47"/>
        <v>0</v>
      </c>
      <c r="P152" s="8" t="s">
        <v>33</v>
      </c>
      <c r="Q152" s="17">
        <f t="shared" si="48"/>
        <v>0</v>
      </c>
      <c r="S152" s="15">
        <v>3000</v>
      </c>
      <c r="T152" s="11">
        <f t="shared" si="43"/>
        <v>0</v>
      </c>
      <c r="U152" s="11">
        <f t="shared" si="43"/>
        <v>0</v>
      </c>
      <c r="V152" s="16">
        <f t="shared" si="44"/>
        <v>0</v>
      </c>
      <c r="W152" s="16">
        <f t="shared" si="45"/>
        <v>0</v>
      </c>
      <c r="AH152" s="35" t="s">
        <v>25</v>
      </c>
      <c r="AI152" s="158">
        <f>A7</f>
        <v>0</v>
      </c>
      <c r="AJ152" s="160"/>
      <c r="AK152" s="158">
        <f>BR7</f>
        <v>0</v>
      </c>
      <c r="AL152" s="159"/>
      <c r="AN152" s="35" t="s">
        <v>25</v>
      </c>
      <c r="AO152" s="158">
        <f>A8</f>
        <v>0</v>
      </c>
      <c r="AP152" s="160"/>
      <c r="AQ152" s="158">
        <f>BR8</f>
        <v>0</v>
      </c>
      <c r="AR152" s="159"/>
      <c r="AT152" s="35" t="s">
        <v>25</v>
      </c>
      <c r="AU152" s="158">
        <f>A9</f>
        <v>0</v>
      </c>
      <c r="AV152" s="160"/>
      <c r="AW152" s="158">
        <f>BR9</f>
        <v>0</v>
      </c>
      <c r="AX152" s="159"/>
      <c r="AZ152" s="35" t="s">
        <v>25</v>
      </c>
      <c r="BA152" s="158">
        <f>A10</f>
        <v>0</v>
      </c>
      <c r="BB152" s="160"/>
      <c r="BC152" s="158">
        <f>BR10</f>
        <v>0</v>
      </c>
      <c r="BD152" s="159"/>
      <c r="BF152" s="35" t="s">
        <v>25</v>
      </c>
      <c r="BG152" s="158">
        <f>A11</f>
        <v>0</v>
      </c>
      <c r="BH152" s="160"/>
      <c r="BI152" s="158">
        <f>BR11</f>
        <v>0</v>
      </c>
      <c r="BJ152" s="159"/>
    </row>
    <row r="153" spans="1:62" ht="15.75" thickBot="1" x14ac:dyDescent="0.3">
      <c r="J153" s="9" t="s">
        <v>80</v>
      </c>
      <c r="K153" s="17">
        <f t="shared" si="46"/>
        <v>0</v>
      </c>
      <c r="M153" s="9" t="s">
        <v>80</v>
      </c>
      <c r="N153" s="17">
        <f t="shared" si="47"/>
        <v>0</v>
      </c>
      <c r="P153" s="9" t="s">
        <v>80</v>
      </c>
      <c r="Q153" s="17">
        <f t="shared" si="48"/>
        <v>0</v>
      </c>
      <c r="S153" s="15">
        <v>5000</v>
      </c>
      <c r="T153" s="11">
        <f t="shared" si="43"/>
        <v>0</v>
      </c>
      <c r="U153" s="11">
        <f t="shared" si="43"/>
        <v>0</v>
      </c>
      <c r="V153" s="16">
        <f t="shared" si="44"/>
        <v>0</v>
      </c>
      <c r="W153" s="16">
        <f t="shared" si="45"/>
        <v>0</v>
      </c>
      <c r="AH153" s="58" t="s">
        <v>130</v>
      </c>
      <c r="AI153" s="58" t="s">
        <v>131</v>
      </c>
      <c r="AJ153" s="58" t="s">
        <v>132</v>
      </c>
      <c r="AK153" s="58" t="s">
        <v>166</v>
      </c>
      <c r="AL153" s="58" t="s">
        <v>33</v>
      </c>
      <c r="AN153" s="58" t="s">
        <v>130</v>
      </c>
      <c r="AO153" s="58" t="s">
        <v>131</v>
      </c>
      <c r="AP153" s="58" t="s">
        <v>132</v>
      </c>
      <c r="AQ153" s="58" t="s">
        <v>166</v>
      </c>
      <c r="AR153" s="58" t="s">
        <v>33</v>
      </c>
      <c r="AT153" s="58" t="s">
        <v>130</v>
      </c>
      <c r="AU153" s="58" t="s">
        <v>131</v>
      </c>
      <c r="AV153" s="58" t="s">
        <v>132</v>
      </c>
      <c r="AW153" s="58" t="s">
        <v>166</v>
      </c>
      <c r="AX153" s="58" t="s">
        <v>33</v>
      </c>
      <c r="AZ153" s="58" t="s">
        <v>130</v>
      </c>
      <c r="BA153" s="58" t="s">
        <v>131</v>
      </c>
      <c r="BB153" s="58" t="s">
        <v>132</v>
      </c>
      <c r="BC153" s="58" t="s">
        <v>166</v>
      </c>
      <c r="BD153" s="58" t="s">
        <v>33</v>
      </c>
      <c r="BF153" s="58" t="s">
        <v>130</v>
      </c>
      <c r="BG153" s="58" t="s">
        <v>131</v>
      </c>
      <c r="BH153" s="58" t="s">
        <v>132</v>
      </c>
      <c r="BI153" s="58" t="s">
        <v>166</v>
      </c>
      <c r="BJ153" s="58" t="s">
        <v>33</v>
      </c>
    </row>
    <row r="154" spans="1:62" ht="15.75" thickBot="1" x14ac:dyDescent="0.3">
      <c r="J154" s="60" t="s">
        <v>24</v>
      </c>
      <c r="K154" s="62">
        <f>SUM(K149:K153)</f>
        <v>0</v>
      </c>
      <c r="M154" s="60" t="s">
        <v>24</v>
      </c>
      <c r="N154" s="62">
        <f>SUM(N149:N153)</f>
        <v>0</v>
      </c>
      <c r="P154" s="60" t="s">
        <v>24</v>
      </c>
      <c r="Q154" s="62">
        <f>SUM(Q149:Q153)</f>
        <v>0</v>
      </c>
      <c r="S154" s="59">
        <v>10000</v>
      </c>
      <c r="T154" s="11">
        <f t="shared" si="43"/>
        <v>0</v>
      </c>
      <c r="U154" s="11">
        <f t="shared" si="43"/>
        <v>0</v>
      </c>
      <c r="V154" s="16">
        <f t="shared" si="44"/>
        <v>0</v>
      </c>
      <c r="W154" s="16">
        <f t="shared" si="45"/>
        <v>0</v>
      </c>
      <c r="AH154" s="34" t="str">
        <f>AZ19</f>
        <v/>
      </c>
      <c r="AI154" s="34" t="str">
        <f>BA19</f>
        <v/>
      </c>
      <c r="AJ154" s="34" t="str">
        <f>BB19</f>
        <v/>
      </c>
      <c r="AK154" s="35" t="str">
        <f>BC19</f>
        <v/>
      </c>
      <c r="AL154" s="35" t="str">
        <f>BD19</f>
        <v/>
      </c>
      <c r="AN154" s="34" t="str">
        <f>AZ20</f>
        <v/>
      </c>
      <c r="AO154" s="34" t="str">
        <f>BA20</f>
        <v/>
      </c>
      <c r="AP154" s="34" t="str">
        <f>BB20</f>
        <v/>
      </c>
      <c r="AQ154" s="35" t="str">
        <f>BC20</f>
        <v/>
      </c>
      <c r="AR154" s="35" t="str">
        <f>BD20</f>
        <v/>
      </c>
      <c r="AT154" s="34" t="str">
        <f>AZ21</f>
        <v/>
      </c>
      <c r="AU154" s="34" t="str">
        <f>BA21</f>
        <v/>
      </c>
      <c r="AV154" s="34" t="str">
        <f>BB21</f>
        <v/>
      </c>
      <c r="AW154" s="35" t="str">
        <f>BC21</f>
        <v/>
      </c>
      <c r="AX154" s="35" t="str">
        <f>BD21</f>
        <v/>
      </c>
      <c r="AZ154" s="34" t="str">
        <f>AZ22</f>
        <v/>
      </c>
      <c r="BA154" s="34" t="str">
        <f>BA22</f>
        <v/>
      </c>
      <c r="BB154" s="34" t="str">
        <f>BB22</f>
        <v/>
      </c>
      <c r="BC154" s="35" t="str">
        <f>BC22</f>
        <v/>
      </c>
      <c r="BD154" s="35" t="str">
        <f>BD22</f>
        <v/>
      </c>
      <c r="BF154" s="34" t="str">
        <f>AZ23</f>
        <v/>
      </c>
      <c r="BG154" s="34" t="str">
        <f>BA23</f>
        <v/>
      </c>
      <c r="BH154" s="34" t="str">
        <f>BB23</f>
        <v/>
      </c>
      <c r="BI154" s="35" t="str">
        <f>BC23</f>
        <v/>
      </c>
      <c r="BJ154" s="35" t="str">
        <f>BD23</f>
        <v/>
      </c>
    </row>
    <row r="155" spans="1:62" ht="15.75" thickBot="1" x14ac:dyDescent="0.3">
      <c r="S155" s="35"/>
      <c r="T155" s="61">
        <f>SUM(T146:T154)</f>
        <v>0</v>
      </c>
      <c r="U155" s="61">
        <f t="shared" ref="U155:W155" si="49">SUM(U146:U154)</f>
        <v>0</v>
      </c>
      <c r="V155" s="35">
        <f t="shared" si="49"/>
        <v>0</v>
      </c>
      <c r="W155" s="35">
        <f t="shared" si="49"/>
        <v>0</v>
      </c>
      <c r="AH155" s="58" t="s">
        <v>22</v>
      </c>
      <c r="AI155" s="58" t="s">
        <v>20</v>
      </c>
      <c r="AJ155" s="58" t="s">
        <v>34</v>
      </c>
      <c r="AK155" s="58" t="s">
        <v>127</v>
      </c>
      <c r="AL155" s="58" t="s">
        <v>129</v>
      </c>
      <c r="AN155" s="58" t="s">
        <v>22</v>
      </c>
      <c r="AO155" s="58" t="s">
        <v>20</v>
      </c>
      <c r="AP155" s="58" t="s">
        <v>34</v>
      </c>
      <c r="AQ155" s="58" t="s">
        <v>127</v>
      </c>
      <c r="AR155" s="58" t="s">
        <v>129</v>
      </c>
      <c r="AT155" s="58" t="s">
        <v>22</v>
      </c>
      <c r="AU155" s="58" t="s">
        <v>20</v>
      </c>
      <c r="AV155" s="58" t="s">
        <v>34</v>
      </c>
      <c r="AW155" s="58" t="s">
        <v>127</v>
      </c>
      <c r="AX155" s="58" t="s">
        <v>129</v>
      </c>
      <c r="AZ155" s="58" t="s">
        <v>22</v>
      </c>
      <c r="BA155" s="58" t="s">
        <v>20</v>
      </c>
      <c r="BB155" s="58" t="s">
        <v>34</v>
      </c>
      <c r="BC155" s="58" t="s">
        <v>127</v>
      </c>
      <c r="BD155" s="58" t="s">
        <v>129</v>
      </c>
      <c r="BF155" s="58" t="s">
        <v>22</v>
      </c>
      <c r="BG155" s="58" t="s">
        <v>20</v>
      </c>
      <c r="BH155" s="58" t="s">
        <v>34</v>
      </c>
      <c r="BI155" s="58" t="s">
        <v>127</v>
      </c>
      <c r="BJ155" s="58" t="s">
        <v>129</v>
      </c>
    </row>
    <row r="156" spans="1:62" ht="15.75" thickBot="1" x14ac:dyDescent="0.3">
      <c r="AH156" s="34" t="str">
        <f>AU19</f>
        <v/>
      </c>
      <c r="AI156" s="34" t="str">
        <f>AV19</f>
        <v/>
      </c>
      <c r="AJ156" s="34" t="str">
        <f>AW19</f>
        <v/>
      </c>
      <c r="AK156" s="35" t="str">
        <f>AX19</f>
        <v/>
      </c>
      <c r="AL156" s="35" t="str">
        <f>AY19</f>
        <v/>
      </c>
      <c r="AN156" s="34" t="str">
        <f>AU20</f>
        <v/>
      </c>
      <c r="AO156" s="34" t="str">
        <f>AV20</f>
        <v/>
      </c>
      <c r="AP156" s="34" t="str">
        <f>AW20</f>
        <v/>
      </c>
      <c r="AQ156" s="35" t="str">
        <f>AX20</f>
        <v/>
      </c>
      <c r="AR156" s="35" t="str">
        <f>AY20</f>
        <v/>
      </c>
      <c r="AT156" s="34" t="str">
        <f>AU21</f>
        <v/>
      </c>
      <c r="AU156" s="34" t="str">
        <f>AV21</f>
        <v/>
      </c>
      <c r="AV156" s="34" t="str">
        <f>AW21</f>
        <v/>
      </c>
      <c r="AW156" s="35" t="str">
        <f>AX21</f>
        <v/>
      </c>
      <c r="AX156" s="35" t="str">
        <f>AY21</f>
        <v/>
      </c>
      <c r="AZ156" s="34" t="str">
        <f>AU22</f>
        <v/>
      </c>
      <c r="BA156" s="34" t="str">
        <f>AV22</f>
        <v/>
      </c>
      <c r="BB156" s="34" t="str">
        <f>AW22</f>
        <v/>
      </c>
      <c r="BC156" s="35" t="str">
        <f>AX22</f>
        <v/>
      </c>
      <c r="BD156" s="35" t="str">
        <f>AY22</f>
        <v/>
      </c>
      <c r="BF156" s="34" t="str">
        <f>AU23</f>
        <v/>
      </c>
      <c r="BG156" s="34" t="str">
        <f>AV23</f>
        <v/>
      </c>
      <c r="BH156" s="34" t="str">
        <f>AW23</f>
        <v/>
      </c>
      <c r="BI156" s="35" t="str">
        <f>AX23</f>
        <v/>
      </c>
      <c r="BJ156" s="35" t="str">
        <f>AY23</f>
        <v/>
      </c>
    </row>
    <row r="157" spans="1:62" ht="13.7" customHeight="1" thickBot="1" x14ac:dyDescent="0.3"/>
    <row r="158" spans="1:62" ht="15.75" thickBot="1" x14ac:dyDescent="0.3">
      <c r="AH158" s="149" t="s">
        <v>37</v>
      </c>
      <c r="AI158" s="150"/>
      <c r="AJ158" s="150"/>
      <c r="AK158" s="151" t="str">
        <f>AD147</f>
        <v>KA41C4059</v>
      </c>
      <c r="AL158" s="151"/>
      <c r="AM158" s="152"/>
      <c r="AN158" s="157" t="str">
        <f>AA148</f>
        <v>TANKS: 48</v>
      </c>
      <c r="AO158" s="153"/>
      <c r="AP158" s="153" t="str">
        <f>AD148</f>
        <v>LTRS: 39500</v>
      </c>
      <c r="AQ158" s="153"/>
      <c r="AR158" s="154"/>
      <c r="AS158" s="150" t="s">
        <v>76</v>
      </c>
      <c r="AT158" s="150"/>
      <c r="AU158" s="155">
        <f>AD149</f>
        <v>46008</v>
      </c>
      <c r="AV158" s="155"/>
      <c r="AW158" s="156"/>
    </row>
    <row r="159" spans="1:62" ht="13.7" customHeight="1" x14ac:dyDescent="0.25"/>
    <row r="160" spans="1:62" ht="13.7" customHeight="1" thickBot="1" x14ac:dyDescent="0.3"/>
    <row r="161" spans="1:52" ht="13.7" customHeight="1" x14ac:dyDescent="0.25">
      <c r="A161" s="123" t="s">
        <v>31</v>
      </c>
      <c r="B161" s="113" t="s">
        <v>84</v>
      </c>
      <c r="C161" s="115"/>
      <c r="D161" s="113" t="s">
        <v>22</v>
      </c>
      <c r="E161" s="114"/>
      <c r="F161" s="114"/>
      <c r="G161" s="114"/>
      <c r="H161" s="115"/>
      <c r="I161" s="113" t="s">
        <v>20</v>
      </c>
      <c r="J161" s="114"/>
      <c r="K161" s="114"/>
      <c r="L161" s="114"/>
      <c r="M161" s="115"/>
      <c r="N161" s="113" t="s">
        <v>34</v>
      </c>
      <c r="O161" s="114"/>
      <c r="P161" s="114"/>
      <c r="Q161" s="114"/>
      <c r="R161" s="115"/>
      <c r="S161" s="113" t="s">
        <v>127</v>
      </c>
      <c r="T161" s="114"/>
      <c r="U161" s="114"/>
      <c r="V161" s="114"/>
      <c r="W161" s="115"/>
      <c r="X161" s="113" t="s">
        <v>129</v>
      </c>
      <c r="Y161" s="114"/>
      <c r="Z161" s="114"/>
      <c r="AA161" s="114"/>
      <c r="AB161" s="115"/>
      <c r="AC161" s="113" t="s">
        <v>26</v>
      </c>
      <c r="AD161" s="114"/>
      <c r="AE161" s="114"/>
      <c r="AF161" s="114"/>
      <c r="AG161" s="115"/>
      <c r="AH161" s="116" t="s">
        <v>24</v>
      </c>
      <c r="AI161" s="116" t="s">
        <v>86</v>
      </c>
      <c r="AJ161" s="81"/>
    </row>
    <row r="162" spans="1:52" ht="13.7" customHeight="1" thickBot="1" x14ac:dyDescent="0.3">
      <c r="A162" s="124"/>
      <c r="B162" s="12" t="s">
        <v>17</v>
      </c>
      <c r="C162" s="12" t="s">
        <v>19</v>
      </c>
      <c r="D162" s="9" t="s">
        <v>32</v>
      </c>
      <c r="E162" s="12" t="s">
        <v>17</v>
      </c>
      <c r="F162" s="12" t="s">
        <v>19</v>
      </c>
      <c r="G162" s="12" t="s">
        <v>33</v>
      </c>
      <c r="H162" s="14" t="s">
        <v>80</v>
      </c>
      <c r="I162" s="9" t="s">
        <v>32</v>
      </c>
      <c r="J162" s="12" t="s">
        <v>17</v>
      </c>
      <c r="K162" s="12" t="s">
        <v>19</v>
      </c>
      <c r="L162" s="12" t="s">
        <v>33</v>
      </c>
      <c r="M162" s="14" t="s">
        <v>80</v>
      </c>
      <c r="N162" s="9" t="s">
        <v>32</v>
      </c>
      <c r="O162" s="12" t="s">
        <v>17</v>
      </c>
      <c r="P162" s="12" t="s">
        <v>19</v>
      </c>
      <c r="Q162" s="12" t="s">
        <v>33</v>
      </c>
      <c r="R162" s="14" t="s">
        <v>80</v>
      </c>
      <c r="S162" s="9" t="s">
        <v>32</v>
      </c>
      <c r="T162" s="12" t="s">
        <v>17</v>
      </c>
      <c r="U162" s="12" t="s">
        <v>19</v>
      </c>
      <c r="V162" s="12" t="s">
        <v>33</v>
      </c>
      <c r="W162" s="14" t="s">
        <v>80</v>
      </c>
      <c r="X162" s="9" t="s">
        <v>32</v>
      </c>
      <c r="Y162" s="12" t="s">
        <v>17</v>
      </c>
      <c r="Z162" s="12" t="s">
        <v>19</v>
      </c>
      <c r="AA162" s="12" t="s">
        <v>33</v>
      </c>
      <c r="AB162" s="14" t="s">
        <v>80</v>
      </c>
      <c r="AC162" s="9" t="s">
        <v>32</v>
      </c>
      <c r="AD162" s="12" t="s">
        <v>17</v>
      </c>
      <c r="AE162" s="12" t="s">
        <v>19</v>
      </c>
      <c r="AF162" s="12" t="s">
        <v>33</v>
      </c>
      <c r="AG162" s="14" t="s">
        <v>80</v>
      </c>
      <c r="AH162" s="117"/>
      <c r="AI162" s="117"/>
      <c r="AJ162" s="81"/>
    </row>
    <row r="163" spans="1:52" ht="13.7" customHeight="1" x14ac:dyDescent="0.25">
      <c r="A163" s="16">
        <v>300</v>
      </c>
      <c r="B163" s="11">
        <f>T146</f>
        <v>0</v>
      </c>
      <c r="C163" s="11">
        <f>U146</f>
        <v>0</v>
      </c>
      <c r="D163" s="10">
        <f>B119+B133</f>
        <v>0</v>
      </c>
      <c r="E163" s="11">
        <f t="shared" ref="E163:AG171" si="50">C119+C133</f>
        <v>0</v>
      </c>
      <c r="F163" s="11">
        <f t="shared" si="50"/>
        <v>0</v>
      </c>
      <c r="G163" s="11">
        <f t="shared" si="50"/>
        <v>0</v>
      </c>
      <c r="H163" s="17">
        <f t="shared" si="50"/>
        <v>0</v>
      </c>
      <c r="I163" s="10">
        <f t="shared" si="50"/>
        <v>0</v>
      </c>
      <c r="J163" s="11">
        <f t="shared" si="50"/>
        <v>0</v>
      </c>
      <c r="K163" s="11">
        <f t="shared" si="50"/>
        <v>0</v>
      </c>
      <c r="L163" s="11">
        <f t="shared" si="50"/>
        <v>0</v>
      </c>
      <c r="M163" s="17">
        <f t="shared" si="50"/>
        <v>0</v>
      </c>
      <c r="N163" s="10">
        <f t="shared" si="50"/>
        <v>0</v>
      </c>
      <c r="O163" s="11">
        <f t="shared" si="50"/>
        <v>0</v>
      </c>
      <c r="P163" s="11">
        <f t="shared" si="50"/>
        <v>0</v>
      </c>
      <c r="Q163" s="11">
        <f t="shared" si="50"/>
        <v>0</v>
      </c>
      <c r="R163" s="17">
        <f t="shared" si="50"/>
        <v>0</v>
      </c>
      <c r="S163" s="10">
        <f t="shared" si="50"/>
        <v>0</v>
      </c>
      <c r="T163" s="11">
        <f t="shared" si="50"/>
        <v>0</v>
      </c>
      <c r="U163" s="11">
        <f t="shared" si="50"/>
        <v>0</v>
      </c>
      <c r="V163" s="11">
        <f t="shared" si="50"/>
        <v>0</v>
      </c>
      <c r="W163" s="17">
        <f t="shared" si="50"/>
        <v>0</v>
      </c>
      <c r="X163" s="10">
        <f t="shared" si="50"/>
        <v>0</v>
      </c>
      <c r="Y163" s="11">
        <f t="shared" si="50"/>
        <v>0</v>
      </c>
      <c r="Z163" s="11">
        <f t="shared" si="50"/>
        <v>0</v>
      </c>
      <c r="AA163" s="11">
        <f t="shared" si="50"/>
        <v>0</v>
      </c>
      <c r="AB163" s="17">
        <f t="shared" si="50"/>
        <v>0</v>
      </c>
      <c r="AC163" s="10">
        <f t="shared" si="50"/>
        <v>0</v>
      </c>
      <c r="AD163" s="11">
        <f t="shared" si="50"/>
        <v>0</v>
      </c>
      <c r="AE163" s="11">
        <f t="shared" si="50"/>
        <v>0</v>
      </c>
      <c r="AF163" s="11">
        <f t="shared" si="50"/>
        <v>0</v>
      </c>
      <c r="AG163" s="17">
        <f t="shared" si="50"/>
        <v>0</v>
      </c>
      <c r="AH163" s="16">
        <f>SUM(D163:AG163)*A163</f>
        <v>0</v>
      </c>
      <c r="AI163" s="16">
        <f>SUM(D163:AG163)</f>
        <v>0</v>
      </c>
      <c r="AJ163" s="82"/>
    </row>
    <row r="164" spans="1:52" ht="13.7" customHeight="1" x14ac:dyDescent="0.25">
      <c r="A164" s="16">
        <v>500</v>
      </c>
      <c r="B164" s="11">
        <f t="shared" ref="B164:C171" si="51">T147</f>
        <v>0</v>
      </c>
      <c r="C164" s="11">
        <f t="shared" si="51"/>
        <v>0</v>
      </c>
      <c r="D164" s="10">
        <f t="shared" ref="D164:D171" si="52">B120+B134</f>
        <v>0</v>
      </c>
      <c r="E164" s="11">
        <f t="shared" si="50"/>
        <v>20</v>
      </c>
      <c r="F164" s="11">
        <f t="shared" si="50"/>
        <v>0</v>
      </c>
      <c r="G164" s="11">
        <f t="shared" si="50"/>
        <v>0</v>
      </c>
      <c r="H164" s="17">
        <f t="shared" si="50"/>
        <v>0</v>
      </c>
      <c r="I164" s="10">
        <f t="shared" si="50"/>
        <v>0</v>
      </c>
      <c r="J164" s="11">
        <f t="shared" si="50"/>
        <v>0</v>
      </c>
      <c r="K164" s="11">
        <f t="shared" si="50"/>
        <v>0</v>
      </c>
      <c r="L164" s="11">
        <f t="shared" si="50"/>
        <v>0</v>
      </c>
      <c r="M164" s="17">
        <f t="shared" si="50"/>
        <v>0</v>
      </c>
      <c r="N164" s="10">
        <f t="shared" si="50"/>
        <v>0</v>
      </c>
      <c r="O164" s="11">
        <f t="shared" si="50"/>
        <v>0</v>
      </c>
      <c r="P164" s="11">
        <f t="shared" si="50"/>
        <v>0</v>
      </c>
      <c r="Q164" s="11">
        <f t="shared" si="50"/>
        <v>0</v>
      </c>
      <c r="R164" s="17">
        <f t="shared" si="50"/>
        <v>0</v>
      </c>
      <c r="S164" s="10">
        <f t="shared" si="50"/>
        <v>0</v>
      </c>
      <c r="T164" s="11">
        <f t="shared" si="50"/>
        <v>0</v>
      </c>
      <c r="U164" s="11">
        <f t="shared" si="50"/>
        <v>0</v>
      </c>
      <c r="V164" s="11">
        <f t="shared" si="50"/>
        <v>0</v>
      </c>
      <c r="W164" s="17">
        <f t="shared" si="50"/>
        <v>0</v>
      </c>
      <c r="X164" s="10">
        <f t="shared" si="50"/>
        <v>0</v>
      </c>
      <c r="Y164" s="11">
        <f t="shared" si="50"/>
        <v>0</v>
      </c>
      <c r="Z164" s="11">
        <f t="shared" si="50"/>
        <v>0</v>
      </c>
      <c r="AA164" s="11">
        <f t="shared" si="50"/>
        <v>0</v>
      </c>
      <c r="AB164" s="17">
        <f t="shared" si="50"/>
        <v>0</v>
      </c>
      <c r="AC164" s="10">
        <f t="shared" si="50"/>
        <v>0</v>
      </c>
      <c r="AD164" s="11">
        <f t="shared" si="50"/>
        <v>0</v>
      </c>
      <c r="AE164" s="11">
        <f t="shared" si="50"/>
        <v>0</v>
      </c>
      <c r="AF164" s="11">
        <f t="shared" si="50"/>
        <v>0</v>
      </c>
      <c r="AG164" s="17">
        <f t="shared" si="50"/>
        <v>0</v>
      </c>
      <c r="AH164" s="16">
        <f>SUM(D164:AG164)*A164</f>
        <v>10000</v>
      </c>
      <c r="AI164" s="16">
        <f t="shared" ref="AI164:AI172" si="53">SUM(D164:AG164)</f>
        <v>20</v>
      </c>
    </row>
    <row r="165" spans="1:52" ht="13.7" customHeight="1" x14ac:dyDescent="0.25">
      <c r="A165" s="15">
        <v>750</v>
      </c>
      <c r="B165" s="11">
        <f t="shared" si="51"/>
        <v>0</v>
      </c>
      <c r="C165" s="11">
        <f t="shared" si="51"/>
        <v>0</v>
      </c>
      <c r="D165" s="8">
        <f t="shared" si="52"/>
        <v>0</v>
      </c>
      <c r="E165" s="6">
        <f t="shared" si="50"/>
        <v>10</v>
      </c>
      <c r="F165" s="6">
        <f t="shared" si="50"/>
        <v>0</v>
      </c>
      <c r="G165" s="6">
        <f t="shared" si="50"/>
        <v>0</v>
      </c>
      <c r="H165" s="13">
        <f t="shared" si="50"/>
        <v>0</v>
      </c>
      <c r="I165" s="8">
        <f t="shared" si="50"/>
        <v>0</v>
      </c>
      <c r="J165" s="6">
        <f t="shared" si="50"/>
        <v>0</v>
      </c>
      <c r="K165" s="6">
        <f t="shared" si="50"/>
        <v>0</v>
      </c>
      <c r="L165" s="6">
        <f t="shared" si="50"/>
        <v>0</v>
      </c>
      <c r="M165" s="13">
        <f t="shared" si="50"/>
        <v>0</v>
      </c>
      <c r="N165" s="8">
        <f t="shared" si="50"/>
        <v>0</v>
      </c>
      <c r="O165" s="6">
        <f t="shared" si="50"/>
        <v>0</v>
      </c>
      <c r="P165" s="6">
        <f t="shared" si="50"/>
        <v>0</v>
      </c>
      <c r="Q165" s="6">
        <f t="shared" si="50"/>
        <v>0</v>
      </c>
      <c r="R165" s="13">
        <f t="shared" si="50"/>
        <v>0</v>
      </c>
      <c r="S165" s="8">
        <f t="shared" si="50"/>
        <v>0</v>
      </c>
      <c r="T165" s="6">
        <f t="shared" si="50"/>
        <v>0</v>
      </c>
      <c r="U165" s="6">
        <f t="shared" si="50"/>
        <v>0</v>
      </c>
      <c r="V165" s="6">
        <f t="shared" si="50"/>
        <v>0</v>
      </c>
      <c r="W165" s="13">
        <f t="shared" si="50"/>
        <v>0</v>
      </c>
      <c r="X165" s="8">
        <f t="shared" si="50"/>
        <v>0</v>
      </c>
      <c r="Y165" s="6">
        <f t="shared" si="50"/>
        <v>0</v>
      </c>
      <c r="Z165" s="6">
        <f t="shared" si="50"/>
        <v>0</v>
      </c>
      <c r="AA165" s="6">
        <f t="shared" si="50"/>
        <v>0</v>
      </c>
      <c r="AB165" s="13">
        <f t="shared" si="50"/>
        <v>0</v>
      </c>
      <c r="AC165" s="8">
        <f t="shared" si="50"/>
        <v>0</v>
      </c>
      <c r="AD165" s="6">
        <f t="shared" si="50"/>
        <v>0</v>
      </c>
      <c r="AE165" s="6">
        <f t="shared" si="50"/>
        <v>0</v>
      </c>
      <c r="AF165" s="6">
        <f t="shared" si="50"/>
        <v>0</v>
      </c>
      <c r="AG165" s="13">
        <f t="shared" si="50"/>
        <v>0</v>
      </c>
      <c r="AH165" s="16">
        <f>SUM(D165:AG165)*A165</f>
        <v>7500</v>
      </c>
      <c r="AI165" s="16">
        <f t="shared" si="53"/>
        <v>10</v>
      </c>
    </row>
    <row r="166" spans="1:52" ht="13.7" customHeight="1" x14ac:dyDescent="0.25">
      <c r="A166" s="15">
        <v>1000</v>
      </c>
      <c r="B166" s="11">
        <f t="shared" si="51"/>
        <v>0</v>
      </c>
      <c r="C166" s="11">
        <f t="shared" si="51"/>
        <v>0</v>
      </c>
      <c r="D166" s="8">
        <f t="shared" si="52"/>
        <v>0</v>
      </c>
      <c r="E166" s="6">
        <f t="shared" si="50"/>
        <v>10</v>
      </c>
      <c r="F166" s="6">
        <f t="shared" si="50"/>
        <v>0</v>
      </c>
      <c r="G166" s="6">
        <f t="shared" si="50"/>
        <v>0</v>
      </c>
      <c r="H166" s="13">
        <f t="shared" si="50"/>
        <v>0</v>
      </c>
      <c r="I166" s="8">
        <f t="shared" si="50"/>
        <v>0</v>
      </c>
      <c r="J166" s="6">
        <f t="shared" si="50"/>
        <v>0</v>
      </c>
      <c r="K166" s="6">
        <f t="shared" si="50"/>
        <v>0</v>
      </c>
      <c r="L166" s="6">
        <f t="shared" si="50"/>
        <v>0</v>
      </c>
      <c r="M166" s="13">
        <f t="shared" si="50"/>
        <v>0</v>
      </c>
      <c r="N166" s="8">
        <f t="shared" si="50"/>
        <v>0</v>
      </c>
      <c r="O166" s="6">
        <f t="shared" si="50"/>
        <v>0</v>
      </c>
      <c r="P166" s="6">
        <f t="shared" si="50"/>
        <v>0</v>
      </c>
      <c r="Q166" s="6">
        <f t="shared" si="50"/>
        <v>0</v>
      </c>
      <c r="R166" s="13">
        <f t="shared" si="50"/>
        <v>0</v>
      </c>
      <c r="S166" s="8">
        <f t="shared" si="50"/>
        <v>0</v>
      </c>
      <c r="T166" s="6">
        <f t="shared" si="50"/>
        <v>0</v>
      </c>
      <c r="U166" s="6">
        <f t="shared" si="50"/>
        <v>0</v>
      </c>
      <c r="V166" s="6">
        <f t="shared" si="50"/>
        <v>0</v>
      </c>
      <c r="W166" s="13">
        <f t="shared" si="50"/>
        <v>0</v>
      </c>
      <c r="X166" s="8">
        <f t="shared" si="50"/>
        <v>0</v>
      </c>
      <c r="Y166" s="6">
        <f t="shared" si="50"/>
        <v>0</v>
      </c>
      <c r="Z166" s="6">
        <f t="shared" si="50"/>
        <v>0</v>
      </c>
      <c r="AA166" s="6">
        <f t="shared" si="50"/>
        <v>0</v>
      </c>
      <c r="AB166" s="13">
        <f t="shared" si="50"/>
        <v>0</v>
      </c>
      <c r="AC166" s="8">
        <f t="shared" si="50"/>
        <v>0</v>
      </c>
      <c r="AD166" s="6">
        <f t="shared" si="50"/>
        <v>0</v>
      </c>
      <c r="AE166" s="6">
        <f t="shared" si="50"/>
        <v>0</v>
      </c>
      <c r="AF166" s="6">
        <f t="shared" si="50"/>
        <v>0</v>
      </c>
      <c r="AG166" s="13">
        <f t="shared" si="50"/>
        <v>0</v>
      </c>
      <c r="AH166" s="16">
        <f>SUM(D166:AG166)*A166</f>
        <v>10000</v>
      </c>
      <c r="AI166" s="16">
        <f t="shared" si="53"/>
        <v>10</v>
      </c>
    </row>
    <row r="167" spans="1:52" ht="13.7" customHeight="1" x14ac:dyDescent="0.25">
      <c r="A167" s="15">
        <v>1500</v>
      </c>
      <c r="B167" s="11">
        <f t="shared" si="51"/>
        <v>0</v>
      </c>
      <c r="C167" s="11">
        <f t="shared" si="51"/>
        <v>0</v>
      </c>
      <c r="D167" s="8">
        <f t="shared" si="52"/>
        <v>0</v>
      </c>
      <c r="E167" s="6">
        <f t="shared" si="50"/>
        <v>8</v>
      </c>
      <c r="F167" s="6">
        <f t="shared" si="50"/>
        <v>0</v>
      </c>
      <c r="G167" s="6">
        <f t="shared" si="50"/>
        <v>0</v>
      </c>
      <c r="H167" s="13">
        <f t="shared" si="50"/>
        <v>0</v>
      </c>
      <c r="I167" s="8">
        <f t="shared" si="50"/>
        <v>0</v>
      </c>
      <c r="J167" s="6">
        <f t="shared" si="50"/>
        <v>0</v>
      </c>
      <c r="K167" s="6">
        <f t="shared" si="50"/>
        <v>0</v>
      </c>
      <c r="L167" s="6">
        <f t="shared" si="50"/>
        <v>0</v>
      </c>
      <c r="M167" s="13">
        <f t="shared" si="50"/>
        <v>0</v>
      </c>
      <c r="N167" s="8">
        <f t="shared" si="50"/>
        <v>0</v>
      </c>
      <c r="O167" s="6">
        <f t="shared" si="50"/>
        <v>0</v>
      </c>
      <c r="P167" s="6">
        <f t="shared" si="50"/>
        <v>0</v>
      </c>
      <c r="Q167" s="6">
        <f t="shared" si="50"/>
        <v>0</v>
      </c>
      <c r="R167" s="13">
        <f t="shared" si="50"/>
        <v>0</v>
      </c>
      <c r="S167" s="8">
        <f t="shared" si="50"/>
        <v>0</v>
      </c>
      <c r="T167" s="6">
        <f t="shared" si="50"/>
        <v>0</v>
      </c>
      <c r="U167" s="6">
        <f t="shared" si="50"/>
        <v>0</v>
      </c>
      <c r="V167" s="6">
        <f t="shared" si="50"/>
        <v>0</v>
      </c>
      <c r="W167" s="13">
        <f t="shared" si="50"/>
        <v>0</v>
      </c>
      <c r="X167" s="8">
        <f t="shared" si="50"/>
        <v>0</v>
      </c>
      <c r="Y167" s="6">
        <f t="shared" si="50"/>
        <v>0</v>
      </c>
      <c r="Z167" s="6">
        <f t="shared" si="50"/>
        <v>0</v>
      </c>
      <c r="AA167" s="6">
        <f t="shared" si="50"/>
        <v>0</v>
      </c>
      <c r="AB167" s="13">
        <f t="shared" si="50"/>
        <v>0</v>
      </c>
      <c r="AC167" s="8">
        <f t="shared" si="50"/>
        <v>0</v>
      </c>
      <c r="AD167" s="6">
        <f t="shared" si="50"/>
        <v>0</v>
      </c>
      <c r="AE167" s="6">
        <f t="shared" si="50"/>
        <v>0</v>
      </c>
      <c r="AF167" s="6">
        <f t="shared" si="50"/>
        <v>0</v>
      </c>
      <c r="AG167" s="13">
        <f t="shared" si="50"/>
        <v>0</v>
      </c>
      <c r="AH167" s="16">
        <f>SUM(D167:AG167)*A167</f>
        <v>12000</v>
      </c>
      <c r="AI167" s="16">
        <f t="shared" si="53"/>
        <v>8</v>
      </c>
    </row>
    <row r="168" spans="1:52" ht="13.7" customHeight="1" x14ac:dyDescent="0.25">
      <c r="A168" s="15">
        <v>2000</v>
      </c>
      <c r="B168" s="11">
        <f t="shared" si="51"/>
        <v>0</v>
      </c>
      <c r="C168" s="11">
        <f t="shared" si="51"/>
        <v>0</v>
      </c>
      <c r="D168" s="8">
        <f t="shared" si="52"/>
        <v>0</v>
      </c>
      <c r="E168" s="6">
        <f t="shared" si="50"/>
        <v>0</v>
      </c>
      <c r="F168" s="6">
        <f t="shared" si="50"/>
        <v>0</v>
      </c>
      <c r="G168" s="6">
        <f t="shared" si="50"/>
        <v>0</v>
      </c>
      <c r="H168" s="13">
        <f t="shared" si="50"/>
        <v>0</v>
      </c>
      <c r="I168" s="8">
        <f t="shared" si="50"/>
        <v>0</v>
      </c>
      <c r="J168" s="6">
        <f t="shared" si="50"/>
        <v>0</v>
      </c>
      <c r="K168" s="6">
        <f t="shared" si="50"/>
        <v>0</v>
      </c>
      <c r="L168" s="6">
        <f t="shared" si="50"/>
        <v>0</v>
      </c>
      <c r="M168" s="13">
        <f t="shared" si="50"/>
        <v>0</v>
      </c>
      <c r="N168" s="8">
        <f t="shared" si="50"/>
        <v>0</v>
      </c>
      <c r="O168" s="6">
        <f t="shared" si="50"/>
        <v>0</v>
      </c>
      <c r="P168" s="6">
        <f t="shared" si="50"/>
        <v>0</v>
      </c>
      <c r="Q168" s="6">
        <f t="shared" si="50"/>
        <v>0</v>
      </c>
      <c r="R168" s="13">
        <f t="shared" si="50"/>
        <v>0</v>
      </c>
      <c r="S168" s="8">
        <f t="shared" si="50"/>
        <v>0</v>
      </c>
      <c r="T168" s="6">
        <f t="shared" si="50"/>
        <v>0</v>
      </c>
      <c r="U168" s="6">
        <f t="shared" si="50"/>
        <v>0</v>
      </c>
      <c r="V168" s="6">
        <f t="shared" si="50"/>
        <v>0</v>
      </c>
      <c r="W168" s="13">
        <f t="shared" si="50"/>
        <v>0</v>
      </c>
      <c r="X168" s="8">
        <f t="shared" si="50"/>
        <v>0</v>
      </c>
      <c r="Y168" s="6">
        <f t="shared" si="50"/>
        <v>0</v>
      </c>
      <c r="Z168" s="6">
        <f t="shared" si="50"/>
        <v>0</v>
      </c>
      <c r="AA168" s="6">
        <f t="shared" si="50"/>
        <v>0</v>
      </c>
      <c r="AB168" s="13">
        <f t="shared" si="50"/>
        <v>0</v>
      </c>
      <c r="AC168" s="8">
        <f t="shared" si="50"/>
        <v>0</v>
      </c>
      <c r="AD168" s="6">
        <f t="shared" si="50"/>
        <v>0</v>
      </c>
      <c r="AE168" s="6">
        <f t="shared" si="50"/>
        <v>0</v>
      </c>
      <c r="AF168" s="6">
        <f t="shared" si="50"/>
        <v>0</v>
      </c>
      <c r="AG168" s="13">
        <f t="shared" si="50"/>
        <v>0</v>
      </c>
      <c r="AH168" s="16">
        <f>SUM(D168:AG168)*A168</f>
        <v>0</v>
      </c>
      <c r="AI168" s="16">
        <f t="shared" si="53"/>
        <v>0</v>
      </c>
    </row>
    <row r="169" spans="1:52" ht="13.7" customHeight="1" x14ac:dyDescent="0.25">
      <c r="A169" s="15">
        <v>3000</v>
      </c>
      <c r="B169" s="11">
        <f t="shared" si="51"/>
        <v>0</v>
      </c>
      <c r="C169" s="11">
        <f t="shared" si="51"/>
        <v>0</v>
      </c>
      <c r="D169" s="8">
        <f t="shared" si="52"/>
        <v>0</v>
      </c>
      <c r="E169" s="6">
        <f t="shared" si="50"/>
        <v>0</v>
      </c>
      <c r="F169" s="6">
        <f t="shared" si="50"/>
        <v>0</v>
      </c>
      <c r="G169" s="6">
        <f t="shared" si="50"/>
        <v>0</v>
      </c>
      <c r="H169" s="13">
        <f t="shared" si="50"/>
        <v>0</v>
      </c>
      <c r="I169" s="8">
        <f t="shared" si="50"/>
        <v>0</v>
      </c>
      <c r="J169" s="6">
        <f t="shared" si="50"/>
        <v>0</v>
      </c>
      <c r="K169" s="6">
        <f t="shared" si="50"/>
        <v>0</v>
      </c>
      <c r="L169" s="6">
        <f t="shared" si="50"/>
        <v>0</v>
      </c>
      <c r="M169" s="13">
        <f t="shared" si="50"/>
        <v>0</v>
      </c>
      <c r="N169" s="8">
        <f t="shared" si="50"/>
        <v>0</v>
      </c>
      <c r="O169" s="6">
        <f t="shared" si="50"/>
        <v>0</v>
      </c>
      <c r="P169" s="6">
        <f t="shared" si="50"/>
        <v>0</v>
      </c>
      <c r="Q169" s="6">
        <f t="shared" si="50"/>
        <v>0</v>
      </c>
      <c r="R169" s="13">
        <f t="shared" si="50"/>
        <v>0</v>
      </c>
      <c r="S169" s="8">
        <f t="shared" si="50"/>
        <v>0</v>
      </c>
      <c r="T169" s="6">
        <f t="shared" si="50"/>
        <v>0</v>
      </c>
      <c r="U169" s="6">
        <f t="shared" si="50"/>
        <v>0</v>
      </c>
      <c r="V169" s="6">
        <f t="shared" si="50"/>
        <v>0</v>
      </c>
      <c r="W169" s="13">
        <f t="shared" si="50"/>
        <v>0</v>
      </c>
      <c r="X169" s="8">
        <f t="shared" si="50"/>
        <v>0</v>
      </c>
      <c r="Y169" s="6">
        <f t="shared" si="50"/>
        <v>0</v>
      </c>
      <c r="Z169" s="6">
        <f t="shared" si="50"/>
        <v>0</v>
      </c>
      <c r="AA169" s="6">
        <f t="shared" si="50"/>
        <v>0</v>
      </c>
      <c r="AB169" s="13">
        <f t="shared" si="50"/>
        <v>0</v>
      </c>
      <c r="AC169" s="8">
        <f t="shared" si="50"/>
        <v>0</v>
      </c>
      <c r="AD169" s="6">
        <f t="shared" si="50"/>
        <v>0</v>
      </c>
      <c r="AE169" s="6">
        <f t="shared" si="50"/>
        <v>0</v>
      </c>
      <c r="AF169" s="6">
        <f t="shared" si="50"/>
        <v>0</v>
      </c>
      <c r="AG169" s="13">
        <f t="shared" si="50"/>
        <v>0</v>
      </c>
      <c r="AH169" s="16">
        <f>SUM(D169:AG169)*A169</f>
        <v>0</v>
      </c>
      <c r="AI169" s="16">
        <f t="shared" si="53"/>
        <v>0</v>
      </c>
    </row>
    <row r="170" spans="1:52" ht="13.7" customHeight="1" x14ac:dyDescent="0.25">
      <c r="A170" s="15">
        <v>5000</v>
      </c>
      <c r="B170" s="11">
        <f t="shared" si="51"/>
        <v>0</v>
      </c>
      <c r="C170" s="11">
        <f t="shared" si="51"/>
        <v>0</v>
      </c>
      <c r="D170" s="8">
        <f t="shared" si="52"/>
        <v>0</v>
      </c>
      <c r="E170" s="6">
        <f t="shared" si="50"/>
        <v>0</v>
      </c>
      <c r="F170" s="6">
        <f t="shared" si="50"/>
        <v>0</v>
      </c>
      <c r="G170" s="6">
        <f t="shared" si="50"/>
        <v>0</v>
      </c>
      <c r="H170" s="13">
        <f t="shared" si="50"/>
        <v>0</v>
      </c>
      <c r="I170" s="8">
        <f t="shared" si="50"/>
        <v>0</v>
      </c>
      <c r="J170" s="6">
        <f t="shared" si="50"/>
        <v>0</v>
      </c>
      <c r="K170" s="6">
        <f t="shared" si="50"/>
        <v>0</v>
      </c>
      <c r="L170" s="6">
        <f t="shared" si="50"/>
        <v>0</v>
      </c>
      <c r="M170" s="13">
        <f t="shared" si="50"/>
        <v>0</v>
      </c>
      <c r="N170" s="8">
        <f t="shared" si="50"/>
        <v>0</v>
      </c>
      <c r="O170" s="6">
        <f t="shared" si="50"/>
        <v>0</v>
      </c>
      <c r="P170" s="6">
        <f t="shared" si="50"/>
        <v>0</v>
      </c>
      <c r="Q170" s="6">
        <f t="shared" si="50"/>
        <v>0</v>
      </c>
      <c r="R170" s="13">
        <f t="shared" si="50"/>
        <v>0</v>
      </c>
      <c r="S170" s="8">
        <f t="shared" si="50"/>
        <v>0</v>
      </c>
      <c r="T170" s="6">
        <f t="shared" si="50"/>
        <v>0</v>
      </c>
      <c r="U170" s="6">
        <f t="shared" si="50"/>
        <v>0</v>
      </c>
      <c r="V170" s="6">
        <f t="shared" si="50"/>
        <v>0</v>
      </c>
      <c r="W170" s="13">
        <f t="shared" si="50"/>
        <v>0</v>
      </c>
      <c r="X170" s="8">
        <f t="shared" si="50"/>
        <v>0</v>
      </c>
      <c r="Y170" s="6">
        <f t="shared" si="50"/>
        <v>0</v>
      </c>
      <c r="Z170" s="6">
        <f t="shared" si="50"/>
        <v>0</v>
      </c>
      <c r="AA170" s="6">
        <f t="shared" si="50"/>
        <v>0</v>
      </c>
      <c r="AB170" s="13">
        <f t="shared" si="50"/>
        <v>0</v>
      </c>
      <c r="AC170" s="8">
        <f t="shared" si="50"/>
        <v>0</v>
      </c>
      <c r="AD170" s="6">
        <f t="shared" si="50"/>
        <v>0</v>
      </c>
      <c r="AE170" s="6">
        <f t="shared" si="50"/>
        <v>0</v>
      </c>
      <c r="AF170" s="6">
        <f t="shared" si="50"/>
        <v>0</v>
      </c>
      <c r="AG170" s="13">
        <f t="shared" si="50"/>
        <v>0</v>
      </c>
      <c r="AH170" s="16">
        <f>SUM(D170:AG170)*A170</f>
        <v>0</v>
      </c>
      <c r="AI170" s="16">
        <f t="shared" si="53"/>
        <v>0</v>
      </c>
    </row>
    <row r="171" spans="1:52" ht="15" customHeight="1" thickBot="1" x14ac:dyDescent="0.3">
      <c r="A171" s="59">
        <v>10000</v>
      </c>
      <c r="B171" s="11">
        <f t="shared" si="51"/>
        <v>0</v>
      </c>
      <c r="C171" s="11">
        <f t="shared" si="51"/>
        <v>0</v>
      </c>
      <c r="D171" s="31">
        <f t="shared" si="52"/>
        <v>0</v>
      </c>
      <c r="E171" s="32">
        <f t="shared" si="50"/>
        <v>0</v>
      </c>
      <c r="F171" s="32">
        <f t="shared" si="50"/>
        <v>0</v>
      </c>
      <c r="G171" s="32">
        <f t="shared" si="50"/>
        <v>0</v>
      </c>
      <c r="H171" s="33">
        <f t="shared" si="50"/>
        <v>0</v>
      </c>
      <c r="I171" s="31">
        <f t="shared" si="50"/>
        <v>0</v>
      </c>
      <c r="J171" s="32">
        <f t="shared" si="50"/>
        <v>0</v>
      </c>
      <c r="K171" s="32">
        <f t="shared" si="50"/>
        <v>0</v>
      </c>
      <c r="L171" s="32">
        <f t="shared" si="50"/>
        <v>0</v>
      </c>
      <c r="M171" s="33">
        <f t="shared" si="50"/>
        <v>0</v>
      </c>
      <c r="N171" s="31">
        <f t="shared" si="50"/>
        <v>0</v>
      </c>
      <c r="O171" s="32">
        <f t="shared" si="50"/>
        <v>0</v>
      </c>
      <c r="P171" s="32">
        <f t="shared" si="50"/>
        <v>0</v>
      </c>
      <c r="Q171" s="32">
        <f t="shared" si="50"/>
        <v>0</v>
      </c>
      <c r="R171" s="33">
        <f t="shared" si="50"/>
        <v>0</v>
      </c>
      <c r="S171" s="31">
        <f t="shared" si="50"/>
        <v>0</v>
      </c>
      <c r="T171" s="32">
        <f t="shared" si="50"/>
        <v>0</v>
      </c>
      <c r="U171" s="32">
        <f t="shared" si="50"/>
        <v>0</v>
      </c>
      <c r="V171" s="32">
        <f t="shared" si="50"/>
        <v>0</v>
      </c>
      <c r="W171" s="33">
        <f t="shared" si="50"/>
        <v>0</v>
      </c>
      <c r="X171" s="31">
        <f t="shared" si="50"/>
        <v>0</v>
      </c>
      <c r="Y171" s="32">
        <f t="shared" si="50"/>
        <v>0</v>
      </c>
      <c r="Z171" s="32">
        <f t="shared" si="50"/>
        <v>0</v>
      </c>
      <c r="AA171" s="32">
        <f t="shared" si="50"/>
        <v>0</v>
      </c>
      <c r="AB171" s="33">
        <f t="shared" ref="AB171:AG171" si="54">Z127+Z141</f>
        <v>0</v>
      </c>
      <c r="AC171" s="31">
        <f t="shared" si="54"/>
        <v>0</v>
      </c>
      <c r="AD171" s="32">
        <f t="shared" si="54"/>
        <v>0</v>
      </c>
      <c r="AE171" s="32">
        <f t="shared" si="54"/>
        <v>0</v>
      </c>
      <c r="AF171" s="32">
        <f t="shared" si="54"/>
        <v>0</v>
      </c>
      <c r="AG171" s="33">
        <f t="shared" si="54"/>
        <v>0</v>
      </c>
      <c r="AH171" s="16">
        <f>SUM(D171:AG171)*A171</f>
        <v>0</v>
      </c>
      <c r="AI171" s="43">
        <f t="shared" si="53"/>
        <v>0</v>
      </c>
    </row>
    <row r="172" spans="1:52" ht="15" customHeight="1" thickBot="1" x14ac:dyDescent="0.3">
      <c r="A172" s="35"/>
      <c r="B172" s="61">
        <f>SUM(B163:B171)</f>
        <v>0</v>
      </c>
      <c r="C172" s="61">
        <f t="shared" ref="C172" si="55">SUM(C163:C171)</f>
        <v>0</v>
      </c>
      <c r="D172" s="60">
        <f t="shared" ref="D172:AI172" si="56">SUM(D163:D171)</f>
        <v>0</v>
      </c>
      <c r="E172" s="61">
        <f t="shared" si="56"/>
        <v>48</v>
      </c>
      <c r="F172" s="61">
        <f t="shared" si="56"/>
        <v>0</v>
      </c>
      <c r="G172" s="61">
        <f t="shared" si="56"/>
        <v>0</v>
      </c>
      <c r="H172" s="62">
        <f t="shared" si="56"/>
        <v>0</v>
      </c>
      <c r="I172" s="60">
        <f t="shared" si="56"/>
        <v>0</v>
      </c>
      <c r="J172" s="61">
        <f t="shared" si="56"/>
        <v>0</v>
      </c>
      <c r="K172" s="61">
        <f t="shared" si="56"/>
        <v>0</v>
      </c>
      <c r="L172" s="61">
        <f t="shared" si="56"/>
        <v>0</v>
      </c>
      <c r="M172" s="62">
        <f t="shared" si="56"/>
        <v>0</v>
      </c>
      <c r="N172" s="60">
        <f t="shared" si="56"/>
        <v>0</v>
      </c>
      <c r="O172" s="61">
        <f t="shared" si="56"/>
        <v>0</v>
      </c>
      <c r="P172" s="61">
        <f t="shared" si="56"/>
        <v>0</v>
      </c>
      <c r="Q172" s="61">
        <f t="shared" si="56"/>
        <v>0</v>
      </c>
      <c r="R172" s="62">
        <f t="shared" si="56"/>
        <v>0</v>
      </c>
      <c r="S172" s="60">
        <f t="shared" si="56"/>
        <v>0</v>
      </c>
      <c r="T172" s="61">
        <f t="shared" si="56"/>
        <v>0</v>
      </c>
      <c r="U172" s="61">
        <f t="shared" si="56"/>
        <v>0</v>
      </c>
      <c r="V172" s="61">
        <f t="shared" si="56"/>
        <v>0</v>
      </c>
      <c r="W172" s="62">
        <f t="shared" si="56"/>
        <v>0</v>
      </c>
      <c r="X172" s="60">
        <f t="shared" si="56"/>
        <v>0</v>
      </c>
      <c r="Y172" s="61">
        <f t="shared" si="56"/>
        <v>0</v>
      </c>
      <c r="Z172" s="61">
        <f t="shared" si="56"/>
        <v>0</v>
      </c>
      <c r="AA172" s="61">
        <f t="shared" si="56"/>
        <v>0</v>
      </c>
      <c r="AB172" s="62">
        <f t="shared" si="56"/>
        <v>0</v>
      </c>
      <c r="AC172" s="60">
        <f t="shared" si="56"/>
        <v>0</v>
      </c>
      <c r="AD172" s="61">
        <f t="shared" si="56"/>
        <v>0</v>
      </c>
      <c r="AE172" s="61">
        <f t="shared" si="56"/>
        <v>0</v>
      </c>
      <c r="AF172" s="61">
        <f t="shared" si="56"/>
        <v>0</v>
      </c>
      <c r="AG172" s="62">
        <f t="shared" si="56"/>
        <v>0</v>
      </c>
      <c r="AH172" s="35">
        <f>SUM(AH163:AH171)</f>
        <v>39500</v>
      </c>
      <c r="AI172" s="35">
        <f t="shared" si="53"/>
        <v>48</v>
      </c>
    </row>
    <row r="173" spans="1:52" ht="15.75" customHeight="1" x14ac:dyDescent="0.25"/>
    <row r="174" spans="1:52" ht="15.75" customHeight="1" x14ac:dyDescent="0.25"/>
    <row r="175" spans="1:52" ht="15" customHeight="1" x14ac:dyDescent="0.25">
      <c r="AX175" s="44"/>
      <c r="AY175" s="44"/>
      <c r="AZ175" s="44"/>
    </row>
    <row r="176" spans="1:52" ht="15" customHeight="1" x14ac:dyDescent="0.25">
      <c r="AX176" s="44"/>
      <c r="AY176" s="44"/>
      <c r="AZ176" s="44"/>
    </row>
    <row r="177" spans="50:54" ht="15" customHeight="1" x14ac:dyDescent="0.25">
      <c r="AX177" s="44"/>
      <c r="AY177" s="44"/>
      <c r="AZ177" s="44"/>
    </row>
    <row r="178" spans="50:54" ht="15" customHeight="1" x14ac:dyDescent="0.25">
      <c r="AX178" s="44"/>
      <c r="AY178" s="44"/>
      <c r="AZ178" s="44"/>
    </row>
    <row r="179" spans="50:54" ht="15" customHeight="1" x14ac:dyDescent="0.25">
      <c r="AX179" s="44"/>
      <c r="AY179" s="44"/>
      <c r="AZ179" s="44"/>
    </row>
    <row r="180" spans="50:54" ht="15" customHeight="1" x14ac:dyDescent="0.25">
      <c r="AX180" s="44"/>
      <c r="AY180" s="44"/>
      <c r="AZ180" s="44"/>
    </row>
    <row r="181" spans="50:54" ht="15" customHeight="1" x14ac:dyDescent="0.25">
      <c r="AX181" s="44"/>
    </row>
    <row r="182" spans="50:54" ht="15" customHeight="1" x14ac:dyDescent="0.25">
      <c r="AX182" s="44"/>
    </row>
    <row r="183" spans="50:54" ht="15" customHeight="1" x14ac:dyDescent="0.25">
      <c r="AX183" s="44"/>
    </row>
    <row r="184" spans="50:54" ht="15.75" customHeight="1" x14ac:dyDescent="0.25"/>
    <row r="186" spans="50:54" x14ac:dyDescent="0.25">
      <c r="BB186" s="44"/>
    </row>
    <row r="187" spans="50:54" ht="15" customHeight="1" x14ac:dyDescent="0.25"/>
    <row r="188" spans="50:54" ht="15" customHeight="1" x14ac:dyDescent="0.25"/>
    <row r="189" spans="50:54" ht="15" customHeight="1" x14ac:dyDescent="0.25"/>
  </sheetData>
  <mergeCells count="134">
    <mergeCell ref="AK158:AM158"/>
    <mergeCell ref="AN158:AO158"/>
    <mergeCell ref="AP158:AR158"/>
    <mergeCell ref="AS158:AT158"/>
    <mergeCell ref="AU158:AW158"/>
    <mergeCell ref="A161:A162"/>
    <mergeCell ref="B161:C161"/>
    <mergeCell ref="D161:H161"/>
    <mergeCell ref="I161:M161"/>
    <mergeCell ref="N161:R161"/>
    <mergeCell ref="S161:W161"/>
    <mergeCell ref="X161:AB161"/>
    <mergeCell ref="AC161:AG161"/>
    <mergeCell ref="AH161:AH162"/>
    <mergeCell ref="AI161:AI162"/>
    <mergeCell ref="AK152:AL152"/>
    <mergeCell ref="AO152:AP152"/>
    <mergeCell ref="AQ152:AR152"/>
    <mergeCell ref="AU152:AV152"/>
    <mergeCell ref="AW152:AX152"/>
    <mergeCell ref="BA152:BB152"/>
    <mergeCell ref="BC152:BD152"/>
    <mergeCell ref="BG152:BH152"/>
    <mergeCell ref="BI152:BJ152"/>
    <mergeCell ref="AK151:AL151"/>
    <mergeCell ref="AO151:AP151"/>
    <mergeCell ref="AQ151:AR151"/>
    <mergeCell ref="AU151:AV151"/>
    <mergeCell ref="AW151:AX151"/>
    <mergeCell ref="BA151:BB151"/>
    <mergeCell ref="BC151:BD151"/>
    <mergeCell ref="BG151:BH151"/>
    <mergeCell ref="BI151:BJ151"/>
    <mergeCell ref="BH137:BJ137"/>
    <mergeCell ref="AH138:AL138"/>
    <mergeCell ref="AN138:AR138"/>
    <mergeCell ref="AT138:AX138"/>
    <mergeCell ref="AZ138:BD138"/>
    <mergeCell ref="BF138:BJ138"/>
    <mergeCell ref="AH139:AL139"/>
    <mergeCell ref="AN139:AR139"/>
    <mergeCell ref="AT139:AX139"/>
    <mergeCell ref="AZ139:BD139"/>
    <mergeCell ref="BF139:BJ139"/>
    <mergeCell ref="AH137:AI137"/>
    <mergeCell ref="AJ137:AL137"/>
    <mergeCell ref="AN137:AO137"/>
    <mergeCell ref="AP137:AR137"/>
    <mergeCell ref="AT137:AU137"/>
    <mergeCell ref="AV137:AX137"/>
    <mergeCell ref="AZ137:BA137"/>
    <mergeCell ref="BB137:BD137"/>
    <mergeCell ref="BF137:BG137"/>
    <mergeCell ref="BG130:BH130"/>
    <mergeCell ref="BI130:BJ130"/>
    <mergeCell ref="A131:A132"/>
    <mergeCell ref="B131:F131"/>
    <mergeCell ref="L131:P131"/>
    <mergeCell ref="Q131:U131"/>
    <mergeCell ref="V131:Z131"/>
    <mergeCell ref="AA131:AE131"/>
    <mergeCell ref="AF131:AF132"/>
    <mergeCell ref="AG131:AG132"/>
    <mergeCell ref="AI131:AJ131"/>
    <mergeCell ref="AK131:AL131"/>
    <mergeCell ref="AO131:AP131"/>
    <mergeCell ref="AQ131:AR131"/>
    <mergeCell ref="AU131:AV131"/>
    <mergeCell ref="AW131:AX131"/>
    <mergeCell ref="BA131:BB131"/>
    <mergeCell ref="BC131:BD131"/>
    <mergeCell ref="BG131:BH131"/>
    <mergeCell ref="BI131:BJ131"/>
    <mergeCell ref="A130:AG130"/>
    <mergeCell ref="AI130:AJ130"/>
    <mergeCell ref="AK130:AL130"/>
    <mergeCell ref="AO130:AP130"/>
    <mergeCell ref="AQ130:AR130"/>
    <mergeCell ref="AU130:AV130"/>
    <mergeCell ref="AW130:AX130"/>
    <mergeCell ref="BA130:BB130"/>
    <mergeCell ref="BC130:BD130"/>
    <mergeCell ref="V117:Z117"/>
    <mergeCell ref="AA117:AE117"/>
    <mergeCell ref="AF117:AF118"/>
    <mergeCell ref="AG117:AG118"/>
    <mergeCell ref="AH117:AL117"/>
    <mergeCell ref="AN117:AR117"/>
    <mergeCell ref="AT117:AX117"/>
    <mergeCell ref="AZ117:BD117"/>
    <mergeCell ref="BF117:BJ117"/>
    <mergeCell ref="AH118:AL118"/>
    <mergeCell ref="AN118:AR118"/>
    <mergeCell ref="AT118:AX118"/>
    <mergeCell ref="AZ118:BD118"/>
    <mergeCell ref="BF118:BJ118"/>
    <mergeCell ref="AJ116:AL116"/>
    <mergeCell ref="AN116:AO116"/>
    <mergeCell ref="AP116:AR116"/>
    <mergeCell ref="AT116:AU116"/>
    <mergeCell ref="AV116:AX116"/>
    <mergeCell ref="AZ116:BA116"/>
    <mergeCell ref="BB116:BD116"/>
    <mergeCell ref="BF116:BG116"/>
    <mergeCell ref="BH116:BJ116"/>
    <mergeCell ref="AI151:AJ151"/>
    <mergeCell ref="AI152:AJ152"/>
    <mergeCell ref="AH158:AJ158"/>
    <mergeCell ref="A114:C114"/>
    <mergeCell ref="D114:G114"/>
    <mergeCell ref="G131:K131"/>
    <mergeCell ref="A116:AG116"/>
    <mergeCell ref="AH116:AI116"/>
    <mergeCell ref="A117:A118"/>
    <mergeCell ref="B117:F117"/>
    <mergeCell ref="G117:K117"/>
    <mergeCell ref="L117:P117"/>
    <mergeCell ref="Q117:U117"/>
    <mergeCell ref="D144:E144"/>
    <mergeCell ref="T144:U144"/>
    <mergeCell ref="A144:B144"/>
    <mergeCell ref="G144:H144"/>
    <mergeCell ref="J144:K147"/>
    <mergeCell ref="M144:N147"/>
    <mergeCell ref="P144:Q147"/>
    <mergeCell ref="S144:S145"/>
    <mergeCell ref="V144:V145"/>
    <mergeCell ref="W144:W145"/>
    <mergeCell ref="AA147:AC147"/>
    <mergeCell ref="AD147:AF147"/>
    <mergeCell ref="AA148:AC148"/>
    <mergeCell ref="AD148:AF148"/>
    <mergeCell ref="AA149:AC149"/>
    <mergeCell ref="AD149:AF149"/>
  </mergeCells>
  <pageMargins left="0" right="0" top="0" bottom="0" header="0.31496062992125984" footer="0.31496062992125984"/>
  <pageSetup paperSize="9" scale="88" orientation="landscape" verticalDpi="300" r:id="rId1"/>
  <headerFooter>
    <oddFooter>&amp;LPRINTED ON &amp;D AT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Y189"/>
  <sheetViews>
    <sheetView showZeros="0" zoomScaleNormal="100" workbookViewId="0">
      <selection sqref="A1:XFD1048576"/>
    </sheetView>
  </sheetViews>
  <sheetFormatPr defaultColWidth="9.140625" defaultRowHeight="15" x14ac:dyDescent="0.25"/>
  <cols>
    <col min="1" max="1" width="6.28515625" style="28" customWidth="1"/>
    <col min="2" max="2" width="5.85546875" style="28" customWidth="1"/>
    <col min="3" max="3" width="4.42578125" style="28" customWidth="1"/>
    <col min="4" max="4" width="6.28515625" style="28" customWidth="1"/>
    <col min="5" max="5" width="5.85546875" style="28" customWidth="1"/>
    <col min="6" max="6" width="4.42578125" style="28" customWidth="1"/>
    <col min="7" max="7" width="6.28515625" style="28" customWidth="1"/>
    <col min="8" max="8" width="5.85546875" style="28" customWidth="1"/>
    <col min="9" max="9" width="4.42578125" style="28" customWidth="1"/>
    <col min="10" max="10" width="6.28515625" style="28" customWidth="1"/>
    <col min="11" max="12" width="4.42578125" style="28" customWidth="1"/>
    <col min="13" max="13" width="6.28515625" style="28" customWidth="1"/>
    <col min="14" max="15" width="4.42578125" style="28" customWidth="1"/>
    <col min="16" max="16" width="6.28515625" style="28" customWidth="1"/>
    <col min="17" max="18" width="4.42578125" style="28" customWidth="1"/>
    <col min="19" max="19" width="6.28515625" style="28" customWidth="1"/>
    <col min="20" max="21" width="4.7109375" style="28" customWidth="1"/>
    <col min="22" max="22" width="6.28515625" style="28" customWidth="1"/>
    <col min="23" max="23" width="5.42578125" style="28" customWidth="1"/>
    <col min="24" max="31" width="4.42578125" style="28" customWidth="1"/>
    <col min="32" max="33" width="6.28515625" style="28" customWidth="1"/>
    <col min="34" max="62" width="5.85546875" style="28" customWidth="1"/>
    <col min="63" max="63" width="5.140625" style="28" bestFit="1" customWidth="1"/>
    <col min="64" max="64" width="5.7109375" style="28" bestFit="1" customWidth="1"/>
    <col min="65" max="65" width="5" style="28" bestFit="1" customWidth="1"/>
    <col min="66" max="67" width="4.140625" style="28" bestFit="1" customWidth="1"/>
    <col min="68" max="68" width="4.28515625" style="28" bestFit="1" customWidth="1"/>
    <col min="69" max="69" width="5.140625" style="28" bestFit="1" customWidth="1"/>
    <col min="70" max="70" width="7.42578125" style="28" bestFit="1" customWidth="1"/>
    <col min="71" max="71" width="12.5703125" style="28" bestFit="1" customWidth="1"/>
    <col min="72" max="72" width="6.140625" style="28" bestFit="1" customWidth="1"/>
    <col min="73" max="16384" width="9.140625" style="28"/>
  </cols>
  <sheetData>
    <row r="1" spans="1:77" ht="16.5" customHeight="1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15</v>
      </c>
      <c r="J1" s="24" t="s">
        <v>133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133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133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12</v>
      </c>
      <c r="AB1" s="24" t="s">
        <v>133</v>
      </c>
      <c r="AC1" s="24" t="s">
        <v>8</v>
      </c>
      <c r="AD1" s="24" t="s">
        <v>9</v>
      </c>
      <c r="AE1" s="24" t="s">
        <v>10</v>
      </c>
      <c r="AF1" s="24" t="s">
        <v>11</v>
      </c>
      <c r="AG1" s="24" t="s">
        <v>12</v>
      </c>
      <c r="AH1" s="24" t="s">
        <v>133</v>
      </c>
      <c r="AI1" s="24" t="s">
        <v>8</v>
      </c>
      <c r="AJ1" s="24" t="s">
        <v>9</v>
      </c>
      <c r="AK1" s="24" t="s">
        <v>10</v>
      </c>
      <c r="AL1" s="24" t="s">
        <v>11</v>
      </c>
      <c r="AM1" s="24" t="s">
        <v>12</v>
      </c>
      <c r="AN1" s="24" t="s">
        <v>133</v>
      </c>
      <c r="AO1" s="24" t="s">
        <v>8</v>
      </c>
      <c r="AP1" s="24" t="s">
        <v>9</v>
      </c>
      <c r="AQ1" s="24" t="s">
        <v>10</v>
      </c>
      <c r="AR1" s="24" t="s">
        <v>11</v>
      </c>
      <c r="AS1" s="24" t="s">
        <v>12</v>
      </c>
      <c r="AT1" s="24" t="s">
        <v>133</v>
      </c>
      <c r="AU1" s="24" t="s">
        <v>8</v>
      </c>
      <c r="AV1" s="24" t="s">
        <v>9</v>
      </c>
      <c r="AW1" s="24" t="s">
        <v>10</v>
      </c>
      <c r="AX1" s="24" t="s">
        <v>11</v>
      </c>
      <c r="AY1" s="24" t="s">
        <v>12</v>
      </c>
      <c r="AZ1" s="24" t="s">
        <v>133</v>
      </c>
      <c r="BA1" s="24" t="s">
        <v>8</v>
      </c>
      <c r="BB1" s="24" t="s">
        <v>9</v>
      </c>
      <c r="BC1" s="24" t="s">
        <v>10</v>
      </c>
      <c r="BD1" s="24" t="s">
        <v>11</v>
      </c>
      <c r="BE1" s="24" t="s">
        <v>12</v>
      </c>
      <c r="BF1" s="24" t="s">
        <v>133</v>
      </c>
      <c r="BG1" s="24" t="s">
        <v>8</v>
      </c>
      <c r="BH1" s="24" t="s">
        <v>9</v>
      </c>
      <c r="BI1" s="24" t="s">
        <v>10</v>
      </c>
      <c r="BJ1" s="24" t="s">
        <v>11</v>
      </c>
      <c r="BK1" s="24" t="s">
        <v>12</v>
      </c>
      <c r="BL1" s="24" t="s">
        <v>133</v>
      </c>
      <c r="BM1" s="24" t="s">
        <v>8</v>
      </c>
      <c r="BN1" s="24" t="s">
        <v>9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36</v>
      </c>
      <c r="BU1" s="26"/>
      <c r="BV1" s="27"/>
      <c r="BW1" s="27"/>
      <c r="BX1" s="27"/>
      <c r="BY1" s="27"/>
    </row>
    <row r="2" spans="1:77" s="56" customFormat="1" ht="78" thickBot="1" x14ac:dyDescent="0.3">
      <c r="A2" s="188">
        <v>21420</v>
      </c>
      <c r="B2" s="189">
        <v>46031</v>
      </c>
      <c r="C2" s="41" t="s">
        <v>239</v>
      </c>
      <c r="D2" s="41" t="s">
        <v>90</v>
      </c>
      <c r="E2" s="41" t="s">
        <v>42</v>
      </c>
      <c r="F2" s="41" t="s">
        <v>121</v>
      </c>
      <c r="G2" s="41" t="s">
        <v>122</v>
      </c>
      <c r="H2" s="41" t="s">
        <v>123</v>
      </c>
      <c r="I2" s="41"/>
      <c r="J2" s="41" t="s">
        <v>134</v>
      </c>
      <c r="K2" s="188">
        <v>1500</v>
      </c>
      <c r="L2" s="188">
        <v>8</v>
      </c>
      <c r="M2" s="41" t="s">
        <v>17</v>
      </c>
      <c r="N2" s="41" t="s">
        <v>22</v>
      </c>
      <c r="O2" s="188">
        <v>3.5</v>
      </c>
      <c r="P2" s="41" t="s">
        <v>134</v>
      </c>
      <c r="Q2" s="188">
        <v>1000</v>
      </c>
      <c r="R2" s="188">
        <v>10</v>
      </c>
      <c r="S2" s="41" t="s">
        <v>17</v>
      </c>
      <c r="T2" s="41" t="s">
        <v>22</v>
      </c>
      <c r="U2" s="188">
        <v>3.5</v>
      </c>
      <c r="V2" s="41" t="s">
        <v>134</v>
      </c>
      <c r="W2" s="188">
        <v>750</v>
      </c>
      <c r="X2" s="188">
        <v>10</v>
      </c>
      <c r="Y2" s="41" t="s">
        <v>17</v>
      </c>
      <c r="Z2" s="41" t="s">
        <v>22</v>
      </c>
      <c r="AA2" s="188">
        <v>3.5</v>
      </c>
      <c r="AB2" s="41" t="s">
        <v>134</v>
      </c>
      <c r="AC2" s="188">
        <v>500</v>
      </c>
      <c r="AD2" s="188">
        <v>20</v>
      </c>
      <c r="AE2" s="41" t="s">
        <v>17</v>
      </c>
      <c r="AF2" s="41" t="s">
        <v>22</v>
      </c>
      <c r="AG2" s="188">
        <v>3.5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 t="s">
        <v>91</v>
      </c>
      <c r="BS2" s="41" t="s">
        <v>253</v>
      </c>
      <c r="BT2" s="108">
        <f t="shared" ref="BT2" si="0">K2*L2+Q2*R2+W2*X2+AC2*AD2+AI2*AJ2+AO2*AP2+AU2*AV2+BA2*BB2+BG2*BH2+BM2*BN2</f>
        <v>39500</v>
      </c>
    </row>
    <row r="3" spans="1:77" s="56" customFormat="1" ht="15.75" thickBot="1" x14ac:dyDescent="0.3">
      <c r="A3" s="80"/>
      <c r="B3" s="49"/>
      <c r="C3" s="20"/>
      <c r="D3" s="20"/>
      <c r="E3" s="20"/>
      <c r="F3" s="20"/>
      <c r="G3" s="20"/>
      <c r="H3" s="20"/>
      <c r="I3" s="20"/>
      <c r="J3" s="48"/>
      <c r="K3" s="48"/>
      <c r="L3" s="48"/>
      <c r="M3" s="20"/>
      <c r="N3" s="20"/>
      <c r="O3" s="48"/>
      <c r="P3" s="48"/>
      <c r="Q3" s="48"/>
      <c r="R3" s="48"/>
      <c r="S3" s="20"/>
      <c r="T3" s="20"/>
      <c r="U3" s="48"/>
      <c r="V3" s="48"/>
      <c r="W3" s="48"/>
      <c r="X3" s="48"/>
      <c r="Y3" s="48"/>
      <c r="Z3" s="20"/>
      <c r="AA3" s="48"/>
      <c r="AB3" s="48"/>
      <c r="AC3" s="48"/>
      <c r="AD3" s="48"/>
      <c r="AE3" s="20"/>
      <c r="AF3" s="20"/>
      <c r="AG3" s="48"/>
      <c r="AH3" s="48"/>
      <c r="AI3" s="48"/>
      <c r="AJ3" s="48"/>
      <c r="AK3" s="20"/>
      <c r="AL3" s="20"/>
      <c r="AM3" s="48"/>
      <c r="AN3" s="48"/>
      <c r="AO3" s="48"/>
      <c r="AP3" s="48"/>
      <c r="AQ3" s="20"/>
      <c r="AR3" s="20"/>
      <c r="AS3" s="48"/>
      <c r="AT3" s="48"/>
      <c r="AU3" s="48"/>
      <c r="AV3" s="48"/>
      <c r="AW3" s="20"/>
      <c r="AX3" s="20"/>
      <c r="AY3" s="48"/>
      <c r="AZ3" s="48"/>
      <c r="BA3" s="48"/>
      <c r="BB3" s="48"/>
      <c r="BC3" s="20"/>
      <c r="BD3" s="20"/>
      <c r="BE3" s="48"/>
      <c r="BF3" s="48"/>
      <c r="BG3" s="48"/>
      <c r="BH3" s="48"/>
      <c r="BI3" s="20"/>
      <c r="BJ3" s="20"/>
      <c r="BK3" s="48"/>
      <c r="BL3" s="48"/>
      <c r="BM3" s="48"/>
      <c r="BN3" s="48"/>
      <c r="BO3" s="20"/>
      <c r="BP3" s="20"/>
      <c r="BQ3" s="48"/>
      <c r="BR3" s="20"/>
      <c r="BS3" s="20"/>
      <c r="BT3" s="55"/>
      <c r="BU3" s="20"/>
      <c r="BV3" s="20"/>
      <c r="BW3" s="20"/>
      <c r="BX3" s="20"/>
      <c r="BY3" s="20"/>
    </row>
    <row r="4" spans="1:77" s="56" customFormat="1" ht="15.75" thickBot="1" x14ac:dyDescent="0.3">
      <c r="A4" s="80"/>
      <c r="B4" s="49"/>
      <c r="C4" s="20"/>
      <c r="D4" s="20"/>
      <c r="E4" s="20"/>
      <c r="F4" s="20"/>
      <c r="G4" s="20"/>
      <c r="H4" s="20"/>
      <c r="I4" s="20"/>
      <c r="J4" s="48"/>
      <c r="K4" s="48"/>
      <c r="L4" s="48"/>
      <c r="M4" s="20"/>
      <c r="N4" s="20"/>
      <c r="O4" s="48"/>
      <c r="P4" s="48"/>
      <c r="Q4" s="48"/>
      <c r="R4" s="48"/>
      <c r="S4" s="20"/>
      <c r="T4" s="20"/>
      <c r="U4" s="48"/>
      <c r="V4" s="48"/>
      <c r="W4" s="48"/>
      <c r="X4" s="48"/>
      <c r="Y4" s="48"/>
      <c r="Z4" s="20"/>
      <c r="AA4" s="48"/>
      <c r="AB4" s="48"/>
      <c r="AC4" s="48"/>
      <c r="AD4" s="48"/>
      <c r="AE4" s="20"/>
      <c r="AF4" s="20"/>
      <c r="AG4" s="48"/>
      <c r="AH4" s="48"/>
      <c r="AI4" s="48"/>
      <c r="AJ4" s="48"/>
      <c r="AK4" s="20"/>
      <c r="AL4" s="20"/>
      <c r="AM4" s="48"/>
      <c r="AN4" s="48"/>
      <c r="AO4" s="48"/>
      <c r="AP4" s="48"/>
      <c r="AQ4" s="20"/>
      <c r="AR4" s="20"/>
      <c r="AS4" s="48"/>
      <c r="AT4" s="48"/>
      <c r="AU4" s="48"/>
      <c r="AV4" s="48"/>
      <c r="AW4" s="20"/>
      <c r="AX4" s="20"/>
      <c r="AY4" s="48"/>
      <c r="AZ4" s="48"/>
      <c r="BA4" s="48"/>
      <c r="BB4" s="48"/>
      <c r="BC4" s="20"/>
      <c r="BD4" s="20"/>
      <c r="BE4" s="48"/>
      <c r="BF4" s="48"/>
      <c r="BG4" s="48"/>
      <c r="BH4" s="48"/>
      <c r="BI4" s="20"/>
      <c r="BJ4" s="20"/>
      <c r="BK4" s="48"/>
      <c r="BL4" s="48"/>
      <c r="BM4" s="48"/>
      <c r="BN4" s="48"/>
      <c r="BO4" s="20"/>
      <c r="BP4" s="20"/>
      <c r="BQ4" s="48"/>
      <c r="BR4" s="20"/>
      <c r="BS4" s="20"/>
      <c r="BT4" s="55"/>
      <c r="BU4" s="20"/>
      <c r="BV4" s="20"/>
      <c r="BW4" s="20"/>
      <c r="BX4" s="20"/>
      <c r="BY4" s="20"/>
    </row>
    <row r="5" spans="1:77" s="56" customFormat="1" ht="15.75" thickBot="1" x14ac:dyDescent="0.3">
      <c r="A5" s="80"/>
      <c r="B5" s="49"/>
      <c r="C5" s="20"/>
      <c r="D5" s="20"/>
      <c r="E5" s="20"/>
      <c r="F5" s="20"/>
      <c r="G5" s="20"/>
      <c r="H5" s="20"/>
      <c r="I5" s="20"/>
      <c r="J5" s="48"/>
      <c r="K5" s="48"/>
      <c r="L5" s="48"/>
      <c r="M5" s="20"/>
      <c r="N5" s="20"/>
      <c r="O5" s="48"/>
      <c r="P5" s="48"/>
      <c r="Q5" s="48"/>
      <c r="R5" s="48"/>
      <c r="S5" s="20"/>
      <c r="T5" s="20"/>
      <c r="U5" s="48"/>
      <c r="V5" s="48"/>
      <c r="W5" s="48"/>
      <c r="X5" s="48"/>
      <c r="Y5" s="48"/>
      <c r="Z5" s="20"/>
      <c r="AA5" s="48"/>
      <c r="AB5" s="48"/>
      <c r="AC5" s="48"/>
      <c r="AD5" s="48"/>
      <c r="AE5" s="20"/>
      <c r="AF5" s="20"/>
      <c r="AG5" s="48"/>
      <c r="AH5" s="48"/>
      <c r="AI5" s="48"/>
      <c r="AJ5" s="48"/>
      <c r="AK5" s="20"/>
      <c r="AL5" s="20"/>
      <c r="AM5" s="48"/>
      <c r="AN5" s="48"/>
      <c r="AO5" s="48"/>
      <c r="AP5" s="48"/>
      <c r="AQ5" s="20"/>
      <c r="AR5" s="20"/>
      <c r="AS5" s="48"/>
      <c r="AT5" s="48"/>
      <c r="AU5" s="48"/>
      <c r="AV5" s="48"/>
      <c r="AW5" s="20"/>
      <c r="AX5" s="20"/>
      <c r="AY5" s="48"/>
      <c r="AZ5" s="48"/>
      <c r="BA5" s="48"/>
      <c r="BB5" s="48"/>
      <c r="BC5" s="20"/>
      <c r="BD5" s="20"/>
      <c r="BE5" s="48"/>
      <c r="BF5" s="48"/>
      <c r="BG5" s="48"/>
      <c r="BH5" s="48"/>
      <c r="BI5" s="20"/>
      <c r="BJ5" s="20"/>
      <c r="BK5" s="48"/>
      <c r="BL5" s="48"/>
      <c r="BM5" s="48"/>
      <c r="BN5" s="48"/>
      <c r="BO5" s="20"/>
      <c r="BP5" s="20"/>
      <c r="BQ5" s="48"/>
      <c r="BR5" s="20"/>
      <c r="BS5" s="20"/>
      <c r="BT5" s="55"/>
      <c r="BU5" s="20"/>
      <c r="BV5" s="20"/>
      <c r="BW5" s="20"/>
      <c r="BX5" s="20"/>
      <c r="BY5" s="20"/>
    </row>
    <row r="6" spans="1:77" s="56" customFormat="1" ht="15.75" thickBot="1" x14ac:dyDescent="0.3">
      <c r="A6" s="80"/>
      <c r="B6" s="49"/>
      <c r="C6" s="20"/>
      <c r="D6" s="20"/>
      <c r="E6" s="20"/>
      <c r="F6" s="20"/>
      <c r="G6" s="20"/>
      <c r="H6" s="20"/>
      <c r="I6" s="20"/>
      <c r="J6" s="48"/>
      <c r="K6" s="48"/>
      <c r="L6" s="48"/>
      <c r="M6" s="20"/>
      <c r="N6" s="20"/>
      <c r="O6" s="48"/>
      <c r="P6" s="48"/>
      <c r="Q6" s="48"/>
      <c r="R6" s="48"/>
      <c r="S6" s="20"/>
      <c r="T6" s="20"/>
      <c r="U6" s="48"/>
      <c r="V6" s="48"/>
      <c r="W6" s="48"/>
      <c r="X6" s="48"/>
      <c r="Y6" s="48"/>
      <c r="Z6" s="20"/>
      <c r="AA6" s="48"/>
      <c r="AB6" s="48"/>
      <c r="AC6" s="48"/>
      <c r="AD6" s="48"/>
      <c r="AE6" s="20"/>
      <c r="AF6" s="20"/>
      <c r="AG6" s="48"/>
      <c r="AH6" s="48"/>
      <c r="AI6" s="48"/>
      <c r="AJ6" s="48"/>
      <c r="AK6" s="20"/>
      <c r="AL6" s="20"/>
      <c r="AM6" s="48"/>
      <c r="AN6" s="48"/>
      <c r="AO6" s="48"/>
      <c r="AP6" s="48"/>
      <c r="AQ6" s="20"/>
      <c r="AR6" s="20"/>
      <c r="AS6" s="48"/>
      <c r="AT6" s="48"/>
      <c r="AU6" s="48"/>
      <c r="AV6" s="48"/>
      <c r="AW6" s="20"/>
      <c r="AX6" s="20"/>
      <c r="AY6" s="48"/>
      <c r="AZ6" s="48"/>
      <c r="BA6" s="48"/>
      <c r="BB6" s="48"/>
      <c r="BC6" s="20"/>
      <c r="BD6" s="20"/>
      <c r="BE6" s="48"/>
      <c r="BF6" s="48"/>
      <c r="BG6" s="48"/>
      <c r="BH6" s="48"/>
      <c r="BI6" s="20"/>
      <c r="BJ6" s="20"/>
      <c r="BK6" s="48"/>
      <c r="BL6" s="48"/>
      <c r="BM6" s="48"/>
      <c r="BN6" s="48"/>
      <c r="BO6" s="20"/>
      <c r="BP6" s="20"/>
      <c r="BQ6" s="48"/>
      <c r="BR6" s="20"/>
      <c r="BS6" s="20"/>
      <c r="BT6" s="55"/>
      <c r="BU6" s="20"/>
      <c r="BV6" s="20"/>
      <c r="BW6" s="20"/>
      <c r="BX6" s="20"/>
      <c r="BY6" s="20"/>
    </row>
    <row r="7" spans="1:77" s="56" customFormat="1" ht="15.75" thickBot="1" x14ac:dyDescent="0.3">
      <c r="A7" s="80"/>
      <c r="B7" s="49"/>
      <c r="C7" s="20"/>
      <c r="D7" s="20"/>
      <c r="E7" s="20"/>
      <c r="F7" s="20"/>
      <c r="G7" s="20"/>
      <c r="H7" s="20"/>
      <c r="I7" s="20"/>
      <c r="J7" s="48"/>
      <c r="K7" s="48"/>
      <c r="L7" s="48"/>
      <c r="M7" s="20"/>
      <c r="N7" s="20"/>
      <c r="O7" s="48"/>
      <c r="P7" s="48"/>
      <c r="Q7" s="48"/>
      <c r="R7" s="48"/>
      <c r="S7" s="20"/>
      <c r="T7" s="20"/>
      <c r="U7" s="48"/>
      <c r="V7" s="48"/>
      <c r="W7" s="48"/>
      <c r="X7" s="48"/>
      <c r="Y7" s="48"/>
      <c r="Z7" s="20"/>
      <c r="AA7" s="48"/>
      <c r="AB7" s="48"/>
      <c r="AC7" s="48"/>
      <c r="AD7" s="48"/>
      <c r="AE7" s="20"/>
      <c r="AF7" s="20"/>
      <c r="AG7" s="48"/>
      <c r="AH7" s="48"/>
      <c r="AI7" s="48"/>
      <c r="AJ7" s="48"/>
      <c r="AK7" s="20"/>
      <c r="AL7" s="20"/>
      <c r="AM7" s="48"/>
      <c r="AN7" s="48"/>
      <c r="AO7" s="48"/>
      <c r="AP7" s="48"/>
      <c r="AQ7" s="20"/>
      <c r="AR7" s="20"/>
      <c r="AS7" s="48"/>
      <c r="AT7" s="48"/>
      <c r="AU7" s="48"/>
      <c r="AV7" s="48"/>
      <c r="AW7" s="20"/>
      <c r="AX7" s="20"/>
      <c r="AY7" s="48"/>
      <c r="AZ7" s="48"/>
      <c r="BA7" s="48"/>
      <c r="BB7" s="48"/>
      <c r="BC7" s="20"/>
      <c r="BD7" s="20"/>
      <c r="BE7" s="48"/>
      <c r="BF7" s="48"/>
      <c r="BG7" s="48"/>
      <c r="BH7" s="48"/>
      <c r="BI7" s="20"/>
      <c r="BJ7" s="20"/>
      <c r="BK7" s="48"/>
      <c r="BL7" s="48"/>
      <c r="BM7" s="48"/>
      <c r="BN7" s="48"/>
      <c r="BO7" s="20"/>
      <c r="BP7" s="20"/>
      <c r="BQ7" s="48"/>
      <c r="BR7" s="20"/>
      <c r="BS7" s="20"/>
      <c r="BT7" s="55"/>
      <c r="BU7" s="20"/>
      <c r="BV7" s="20"/>
      <c r="BW7" s="20"/>
      <c r="BX7" s="20"/>
      <c r="BY7" s="20"/>
    </row>
    <row r="8" spans="1:77" s="56" customFormat="1" ht="15.75" thickBot="1" x14ac:dyDescent="0.3">
      <c r="A8" s="80"/>
      <c r="B8" s="49"/>
      <c r="C8" s="20"/>
      <c r="D8" s="20"/>
      <c r="E8" s="20"/>
      <c r="F8" s="20"/>
      <c r="G8" s="20"/>
      <c r="H8" s="20"/>
      <c r="I8" s="20"/>
      <c r="J8" s="48"/>
      <c r="K8" s="48"/>
      <c r="L8" s="48"/>
      <c r="M8" s="20"/>
      <c r="N8" s="20"/>
      <c r="O8" s="48"/>
      <c r="P8" s="48"/>
      <c r="Q8" s="48"/>
      <c r="R8" s="48"/>
      <c r="S8" s="20"/>
      <c r="T8" s="20"/>
      <c r="U8" s="48"/>
      <c r="V8" s="48"/>
      <c r="W8" s="48"/>
      <c r="X8" s="48"/>
      <c r="Y8" s="48"/>
      <c r="Z8" s="20"/>
      <c r="AA8" s="48"/>
      <c r="AB8" s="48"/>
      <c r="AC8" s="48"/>
      <c r="AD8" s="48"/>
      <c r="AE8" s="20"/>
      <c r="AF8" s="20"/>
      <c r="AG8" s="48"/>
      <c r="AH8" s="48"/>
      <c r="AI8" s="48"/>
      <c r="AJ8" s="48"/>
      <c r="AK8" s="20"/>
      <c r="AL8" s="20"/>
      <c r="AM8" s="48"/>
      <c r="AN8" s="48"/>
      <c r="AO8" s="48"/>
      <c r="AP8" s="48"/>
      <c r="AQ8" s="20"/>
      <c r="AR8" s="20"/>
      <c r="AS8" s="48"/>
      <c r="AT8" s="48"/>
      <c r="AU8" s="48"/>
      <c r="AV8" s="48"/>
      <c r="AW8" s="20"/>
      <c r="AX8" s="20"/>
      <c r="AY8" s="48"/>
      <c r="AZ8" s="48"/>
      <c r="BA8" s="48"/>
      <c r="BB8" s="48"/>
      <c r="BC8" s="20"/>
      <c r="BD8" s="20"/>
      <c r="BE8" s="48"/>
      <c r="BF8" s="48"/>
      <c r="BG8" s="48"/>
      <c r="BH8" s="48"/>
      <c r="BI8" s="20"/>
      <c r="BJ8" s="20"/>
      <c r="BK8" s="48"/>
      <c r="BL8" s="48"/>
      <c r="BM8" s="48"/>
      <c r="BN8" s="48"/>
      <c r="BO8" s="20"/>
      <c r="BP8" s="20"/>
      <c r="BQ8" s="48"/>
      <c r="BR8" s="20"/>
      <c r="BS8" s="20"/>
      <c r="BT8" s="55"/>
      <c r="BU8" s="20"/>
      <c r="BV8" s="20"/>
      <c r="BW8" s="20"/>
      <c r="BX8" s="20"/>
      <c r="BY8" s="20"/>
    </row>
    <row r="9" spans="1:77" s="56" customFormat="1" ht="15.75" thickBot="1" x14ac:dyDescent="0.3">
      <c r="A9" s="80"/>
      <c r="B9" s="49"/>
      <c r="C9" s="20"/>
      <c r="D9" s="20"/>
      <c r="E9" s="20"/>
      <c r="F9" s="20"/>
      <c r="G9" s="20"/>
      <c r="H9" s="20"/>
      <c r="I9" s="20"/>
      <c r="J9" s="48"/>
      <c r="K9" s="48"/>
      <c r="L9" s="48"/>
      <c r="M9" s="20"/>
      <c r="N9" s="20"/>
      <c r="O9" s="48"/>
      <c r="P9" s="48"/>
      <c r="Q9" s="48"/>
      <c r="R9" s="48"/>
      <c r="S9" s="20"/>
      <c r="T9" s="20"/>
      <c r="U9" s="48"/>
      <c r="V9" s="48"/>
      <c r="W9" s="48"/>
      <c r="X9" s="48"/>
      <c r="Y9" s="48"/>
      <c r="Z9" s="20"/>
      <c r="AA9" s="48"/>
      <c r="AB9" s="48"/>
      <c r="AC9" s="48"/>
      <c r="AD9" s="48"/>
      <c r="AE9" s="20"/>
      <c r="AF9" s="20"/>
      <c r="AG9" s="48"/>
      <c r="AH9" s="48"/>
      <c r="AI9" s="48"/>
      <c r="AJ9" s="48"/>
      <c r="AK9" s="20"/>
      <c r="AL9" s="20"/>
      <c r="AM9" s="48"/>
      <c r="AN9" s="48"/>
      <c r="AO9" s="48"/>
      <c r="AP9" s="48"/>
      <c r="AQ9" s="20"/>
      <c r="AR9" s="20"/>
      <c r="AS9" s="48"/>
      <c r="AT9" s="48"/>
      <c r="AU9" s="48"/>
      <c r="AV9" s="48"/>
      <c r="AW9" s="20"/>
      <c r="AX9" s="20"/>
      <c r="AY9" s="48"/>
      <c r="AZ9" s="48"/>
      <c r="BA9" s="48"/>
      <c r="BB9" s="48"/>
      <c r="BC9" s="20"/>
      <c r="BD9" s="20"/>
      <c r="BE9" s="48"/>
      <c r="BF9" s="48"/>
      <c r="BG9" s="48"/>
      <c r="BH9" s="48"/>
      <c r="BI9" s="20"/>
      <c r="BJ9" s="20"/>
      <c r="BK9" s="48"/>
      <c r="BL9" s="48"/>
      <c r="BM9" s="48"/>
      <c r="BN9" s="48"/>
      <c r="BO9" s="20"/>
      <c r="BP9" s="20"/>
      <c r="BQ9" s="48"/>
      <c r="BR9" s="20"/>
      <c r="BS9" s="20"/>
      <c r="BT9" s="55"/>
      <c r="BU9" s="20"/>
      <c r="BV9" s="20"/>
      <c r="BW9" s="20"/>
      <c r="BX9" s="20"/>
      <c r="BY9" s="20"/>
    </row>
    <row r="10" spans="1:77" s="56" customFormat="1" ht="15.75" thickBot="1" x14ac:dyDescent="0.3">
      <c r="A10" s="80"/>
      <c r="B10" s="49"/>
      <c r="C10" s="20"/>
      <c r="D10" s="20"/>
      <c r="E10" s="20"/>
      <c r="F10" s="20"/>
      <c r="G10" s="20"/>
      <c r="H10" s="20"/>
      <c r="I10" s="20"/>
      <c r="J10" s="48"/>
      <c r="K10" s="48"/>
      <c r="L10" s="48"/>
      <c r="M10" s="20"/>
      <c r="N10" s="20"/>
      <c r="O10" s="48"/>
      <c r="P10" s="48"/>
      <c r="Q10" s="48"/>
      <c r="R10" s="48"/>
      <c r="S10" s="20"/>
      <c r="T10" s="20"/>
      <c r="U10" s="48"/>
      <c r="V10" s="48"/>
      <c r="W10" s="48"/>
      <c r="X10" s="48"/>
      <c r="Y10" s="48"/>
      <c r="Z10" s="20"/>
      <c r="AA10" s="48"/>
      <c r="AB10" s="48"/>
      <c r="AC10" s="48"/>
      <c r="AD10" s="48"/>
      <c r="AE10" s="20"/>
      <c r="AF10" s="20"/>
      <c r="AG10" s="48"/>
      <c r="AH10" s="48"/>
      <c r="AI10" s="48"/>
      <c r="AJ10" s="48"/>
      <c r="AK10" s="20"/>
      <c r="AL10" s="20"/>
      <c r="AM10" s="48"/>
      <c r="AN10" s="48"/>
      <c r="AO10" s="48"/>
      <c r="AP10" s="48"/>
      <c r="AQ10" s="20"/>
      <c r="AR10" s="20"/>
      <c r="AS10" s="48"/>
      <c r="AT10" s="48"/>
      <c r="AU10" s="48"/>
      <c r="AV10" s="48"/>
      <c r="AW10" s="20"/>
      <c r="AX10" s="20"/>
      <c r="AY10" s="48"/>
      <c r="AZ10" s="48"/>
      <c r="BA10" s="48"/>
      <c r="BB10" s="48"/>
      <c r="BC10" s="20"/>
      <c r="BD10" s="20"/>
      <c r="BE10" s="48"/>
      <c r="BF10" s="48"/>
      <c r="BG10" s="48"/>
      <c r="BH10" s="48"/>
      <c r="BI10" s="20"/>
      <c r="BJ10" s="20"/>
      <c r="BK10" s="48"/>
      <c r="BL10" s="48"/>
      <c r="BM10" s="48"/>
      <c r="BN10" s="48"/>
      <c r="BO10" s="20"/>
      <c r="BP10" s="20"/>
      <c r="BQ10" s="48"/>
      <c r="BR10" s="20"/>
      <c r="BS10" s="20"/>
      <c r="BT10" s="55"/>
      <c r="BU10" s="20"/>
      <c r="BV10" s="20"/>
      <c r="BW10" s="20"/>
      <c r="BX10" s="20"/>
      <c r="BY10" s="20"/>
    </row>
    <row r="11" spans="1:77" s="56" customFormat="1" ht="15.75" thickBot="1" x14ac:dyDescent="0.3">
      <c r="A11" s="80"/>
      <c r="B11" s="49"/>
      <c r="C11" s="20"/>
      <c r="D11" s="20"/>
      <c r="E11" s="20"/>
      <c r="F11" s="20"/>
      <c r="G11" s="20"/>
      <c r="H11" s="20"/>
      <c r="I11" s="20"/>
      <c r="J11" s="48"/>
      <c r="K11" s="48"/>
      <c r="L11" s="48"/>
      <c r="M11" s="20"/>
      <c r="N11" s="20"/>
      <c r="O11" s="48"/>
      <c r="P11" s="48"/>
      <c r="Q11" s="48"/>
      <c r="R11" s="48"/>
      <c r="S11" s="20"/>
      <c r="T11" s="20"/>
      <c r="U11" s="48"/>
      <c r="V11" s="48"/>
      <c r="W11" s="48"/>
      <c r="X11" s="48"/>
      <c r="Y11" s="48"/>
      <c r="Z11" s="20"/>
      <c r="AA11" s="48"/>
      <c r="AB11" s="48"/>
      <c r="AC11" s="48"/>
      <c r="AD11" s="48"/>
      <c r="AE11" s="20"/>
      <c r="AF11" s="20"/>
      <c r="AG11" s="48"/>
      <c r="AH11" s="48"/>
      <c r="AI11" s="48"/>
      <c r="AJ11" s="48"/>
      <c r="AK11" s="20"/>
      <c r="AL11" s="20"/>
      <c r="AM11" s="48"/>
      <c r="AN11" s="48"/>
      <c r="AO11" s="48"/>
      <c r="AP11" s="48"/>
      <c r="AQ11" s="20"/>
      <c r="AR11" s="20"/>
      <c r="AS11" s="48"/>
      <c r="AT11" s="48"/>
      <c r="AU11" s="48"/>
      <c r="AV11" s="48"/>
      <c r="AW11" s="20"/>
      <c r="AX11" s="20"/>
      <c r="AY11" s="48"/>
      <c r="AZ11" s="48"/>
      <c r="BA11" s="48"/>
      <c r="BB11" s="48"/>
      <c r="BC11" s="20"/>
      <c r="BD11" s="20"/>
      <c r="BE11" s="48"/>
      <c r="BF11" s="48"/>
      <c r="BG11" s="48"/>
      <c r="BH11" s="48"/>
      <c r="BI11" s="20"/>
      <c r="BJ11" s="20"/>
      <c r="BK11" s="48"/>
      <c r="BL11" s="48"/>
      <c r="BM11" s="48"/>
      <c r="BN11" s="48"/>
      <c r="BO11" s="20"/>
      <c r="BP11" s="20"/>
      <c r="BQ11" s="48"/>
      <c r="BR11" s="20"/>
      <c r="BS11" s="20"/>
      <c r="BT11" s="55"/>
      <c r="BU11" s="20"/>
      <c r="BV11" s="20"/>
      <c r="BW11" s="20"/>
      <c r="BX11" s="20"/>
      <c r="BY11" s="20"/>
    </row>
    <row r="12" spans="1:77" s="40" customFormat="1" ht="15.75" thickBot="1" x14ac:dyDescent="0.3">
      <c r="A12" s="75"/>
      <c r="B12" s="2"/>
      <c r="C12" s="1"/>
      <c r="D12" s="1"/>
      <c r="E12" s="1"/>
      <c r="F12" s="25"/>
      <c r="G12" s="1"/>
      <c r="H12" s="1"/>
      <c r="I12" s="1"/>
      <c r="J12" s="3"/>
      <c r="K12" s="3"/>
      <c r="L12" s="3"/>
      <c r="M12" s="1"/>
      <c r="N12" s="1"/>
      <c r="O12" s="3"/>
      <c r="P12" s="3"/>
      <c r="Q12" s="3"/>
      <c r="R12" s="3"/>
      <c r="S12" s="1"/>
      <c r="T12" s="1"/>
      <c r="U12" s="3"/>
      <c r="V12" s="3"/>
      <c r="W12" s="1"/>
      <c r="X12" s="1"/>
      <c r="Y12" s="1"/>
      <c r="Z12" s="1"/>
      <c r="AA12" s="1"/>
      <c r="AB12" s="3"/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3"/>
      <c r="AO12" s="1"/>
      <c r="AP12" s="1"/>
      <c r="AQ12" s="1"/>
      <c r="AR12" s="1"/>
      <c r="AS12" s="1"/>
      <c r="AT12" s="3"/>
      <c r="AU12" s="1"/>
      <c r="AV12" s="1"/>
      <c r="AW12" s="1"/>
      <c r="AX12" s="1"/>
      <c r="AY12" s="1"/>
      <c r="AZ12" s="3"/>
      <c r="BA12" s="1"/>
      <c r="BB12" s="1"/>
      <c r="BC12" s="1"/>
      <c r="BD12" s="1"/>
      <c r="BE12" s="1"/>
      <c r="BF12" s="3"/>
      <c r="BG12" s="1"/>
      <c r="BH12" s="1"/>
      <c r="BI12" s="1"/>
      <c r="BJ12" s="1"/>
      <c r="BK12" s="1"/>
      <c r="BL12" s="3"/>
      <c r="BM12" s="1"/>
      <c r="BN12" s="1"/>
      <c r="BO12" s="1"/>
      <c r="BP12" s="1"/>
      <c r="BQ12" s="1"/>
      <c r="BR12" s="19"/>
      <c r="BS12" s="1"/>
      <c r="BT12" s="37"/>
      <c r="BU12" s="1"/>
      <c r="BV12" s="1"/>
      <c r="BW12" s="1"/>
      <c r="BX12" s="1"/>
      <c r="BY12" s="39"/>
    </row>
    <row r="13" spans="1:77" s="40" customFormat="1" ht="15.75" thickBot="1" x14ac:dyDescent="0.3">
      <c r="A13" s="48"/>
      <c r="B13" s="49"/>
      <c r="C13" s="20"/>
      <c r="D13" s="20"/>
      <c r="E13" s="20"/>
      <c r="F13" s="20"/>
      <c r="G13" s="20"/>
      <c r="H13" s="20"/>
      <c r="I13" s="20"/>
      <c r="J13" s="48"/>
      <c r="K13" s="48"/>
      <c r="L13" s="48"/>
      <c r="M13" s="20"/>
      <c r="N13" s="20"/>
      <c r="O13" s="48"/>
      <c r="P13" s="48"/>
      <c r="Q13" s="20"/>
      <c r="R13" s="20"/>
      <c r="S13" s="20"/>
      <c r="T13" s="20"/>
      <c r="U13" s="20"/>
      <c r="V13" s="48"/>
      <c r="W13" s="20"/>
      <c r="X13" s="20"/>
      <c r="Y13" s="20"/>
      <c r="Z13" s="20"/>
      <c r="AA13" s="20"/>
      <c r="AB13" s="48"/>
      <c r="AC13" s="20"/>
      <c r="AD13" s="20"/>
      <c r="AE13" s="20"/>
      <c r="AF13" s="20"/>
      <c r="AG13" s="20"/>
      <c r="AH13" s="48"/>
      <c r="AI13" s="20"/>
      <c r="AJ13" s="20"/>
      <c r="AK13" s="20"/>
      <c r="AL13" s="20"/>
      <c r="AM13" s="20"/>
      <c r="AN13" s="48"/>
      <c r="AO13" s="20"/>
      <c r="AP13" s="20"/>
      <c r="AQ13" s="20"/>
      <c r="AR13" s="20"/>
      <c r="AS13" s="20"/>
      <c r="AT13" s="48"/>
      <c r="AU13" s="20"/>
      <c r="AV13" s="20"/>
      <c r="AW13" s="20"/>
      <c r="AX13" s="20"/>
      <c r="AY13" s="20"/>
      <c r="AZ13" s="48"/>
      <c r="BA13" s="20"/>
      <c r="BB13" s="20"/>
      <c r="BC13" s="20"/>
      <c r="BD13" s="20"/>
      <c r="BE13" s="20"/>
      <c r="BF13" s="48"/>
      <c r="BG13" s="20"/>
      <c r="BH13" s="20"/>
      <c r="BI13" s="20"/>
      <c r="BJ13" s="20"/>
      <c r="BK13" s="20"/>
      <c r="BL13" s="48"/>
      <c r="BM13" s="20"/>
      <c r="BN13" s="20"/>
      <c r="BO13" s="20"/>
      <c r="BP13" s="20"/>
      <c r="BQ13" s="20"/>
      <c r="BR13" s="20"/>
      <c r="BS13" s="20"/>
      <c r="BT13" s="50"/>
      <c r="BU13" s="20"/>
      <c r="BV13" s="20"/>
      <c r="BW13" s="20"/>
      <c r="BX13" s="20"/>
      <c r="BY13" s="39"/>
    </row>
    <row r="14" spans="1:77" hidden="1" x14ac:dyDescent="0.25">
      <c r="H14" s="4" t="str">
        <f t="shared" ref="H14:L23" si="1">J2</f>
        <v>AG</v>
      </c>
      <c r="I14" s="4">
        <f t="shared" si="1"/>
        <v>1500</v>
      </c>
      <c r="J14" s="4">
        <f t="shared" si="1"/>
        <v>8</v>
      </c>
      <c r="K14" s="4" t="str">
        <f t="shared" si="1"/>
        <v>Y</v>
      </c>
      <c r="L14" s="4" t="str">
        <f t="shared" si="1"/>
        <v>3L</v>
      </c>
      <c r="O14" s="28" t="str">
        <f>J2</f>
        <v>AG</v>
      </c>
      <c r="P14" s="4" t="str">
        <f t="shared" ref="P14:R23" si="2">N2</f>
        <v>3L</v>
      </c>
      <c r="Q14" s="4">
        <f t="shared" si="2"/>
        <v>3.5</v>
      </c>
      <c r="R14" s="4" t="str">
        <f t="shared" si="2"/>
        <v>AG</v>
      </c>
      <c r="S14" s="4" t="str">
        <f t="shared" ref="S14:U23" si="3">T2</f>
        <v>3L</v>
      </c>
      <c r="T14" s="4">
        <f t="shared" si="3"/>
        <v>3.5</v>
      </c>
      <c r="U14" s="4" t="str">
        <f t="shared" si="3"/>
        <v>AG</v>
      </c>
      <c r="V14" s="4" t="str">
        <f t="shared" ref="V14:X23" si="4">Z2</f>
        <v>3L</v>
      </c>
      <c r="W14" s="4">
        <f t="shared" si="4"/>
        <v>3.5</v>
      </c>
      <c r="X14" s="4" t="str">
        <f t="shared" si="4"/>
        <v>AG</v>
      </c>
      <c r="Y14" s="4" t="str">
        <f t="shared" ref="Y14:AA23" si="5">AF2</f>
        <v>3L</v>
      </c>
      <c r="Z14" s="4">
        <f t="shared" si="5"/>
        <v>3.5</v>
      </c>
      <c r="AA14" s="4">
        <f t="shared" si="5"/>
        <v>0</v>
      </c>
      <c r="AB14" s="4">
        <f t="shared" ref="AB14:AD23" si="6">AL2</f>
        <v>0</v>
      </c>
      <c r="AC14" s="4">
        <f t="shared" si="6"/>
        <v>0</v>
      </c>
      <c r="AD14" s="4">
        <f t="shared" si="6"/>
        <v>0</v>
      </c>
      <c r="AE14" s="4">
        <f t="shared" ref="AE14:AG23" si="7">AR2</f>
        <v>0</v>
      </c>
      <c r="AF14" s="4">
        <f t="shared" si="7"/>
        <v>0</v>
      </c>
      <c r="AG14" s="4">
        <f t="shared" si="7"/>
        <v>0</v>
      </c>
      <c r="AH14" s="4">
        <f t="shared" ref="AH14:AJ23" si="8">AX2</f>
        <v>0</v>
      </c>
      <c r="AI14" s="4">
        <f t="shared" si="8"/>
        <v>0</v>
      </c>
      <c r="AJ14" s="4">
        <f t="shared" si="8"/>
        <v>0</v>
      </c>
      <c r="AK14" s="4">
        <f t="shared" ref="AK14:AM23" si="9">BD2</f>
        <v>0</v>
      </c>
      <c r="AL14" s="4">
        <f t="shared" si="9"/>
        <v>0</v>
      </c>
      <c r="AM14" s="4">
        <f t="shared" si="9"/>
        <v>0</v>
      </c>
      <c r="AN14" s="4">
        <f t="shared" ref="AN14:AP23" si="10">BJ2</f>
        <v>0</v>
      </c>
      <c r="AO14" s="4">
        <f t="shared" si="10"/>
        <v>0</v>
      </c>
      <c r="AP14" s="4">
        <f t="shared" si="10"/>
        <v>0</v>
      </c>
      <c r="AQ14" s="4">
        <f t="shared" ref="AQ14:AR23" si="11">BP2</f>
        <v>0</v>
      </c>
      <c r="AR14" s="4">
        <f t="shared" si="11"/>
        <v>0</v>
      </c>
      <c r="AT14" s="28">
        <v>1</v>
      </c>
      <c r="AU14" s="29">
        <f>IF($P$14="3L",$Q$14,IF($S$14="3L",$T$14,IF($V$14="3L",$W$14,IF($Y$14="3L",$Z$14,IF($AB$14="3L",$AC$14,IF($AE$14="3L",$AF$14,IF($AH$14="3L",$AI$14,IF($AK$14="3L",$AL$14,IF($AN$14="3L",$AO$14,IF($AQ$14="3L",$AR$14,""))))))))))</f>
        <v>3.5</v>
      </c>
      <c r="AV14" s="29" t="str">
        <f>IF($P$14="4L",$Q$14,IF($S$14="4L",$T$14,IF($V$14="4L",$W$14,IF($Y$14="4L",$Z$14,IF($AB$14="4L",$AC$14,IF($AE$14="4L",$AF$14,IF($AH$14="4L",$AI$14,IF($AK$14="4L",$AL$14,IF($AN$14="4L",$AO$14,IF($AQ$14="4L",$AR$14,""))))))))))</f>
        <v/>
      </c>
      <c r="AW14" s="29" t="str">
        <f>IF($P$14="5L",$Q$14,IF($S$14="5L",$T$14,IF($V$14="5L",$W$14,IF($Y$14="5L",$Z$14,IF($AB$14="5L",$AC$14,IF($AE$14="5L",$AF$14,IF($AH$14="5L",$AI$14,IF($AK$14="5L",$AL$14,IF($AN$14="5L",$AO$14,IF($AQ$14="5L",$AR$14,""))))))))))</f>
        <v/>
      </c>
      <c r="AX14" s="29" t="str">
        <f>IF($P$14="6L",$Q$14,IF($S$14="6L",$T$14,IF($V$14="6L",$W$14,IF($Y$14="6L",$Z$14,IF($AB$14="6L",$AC$14,IF($AE$14="6L",$AF$14,IF($AH$14="6L",$AI$14,IF($AK$14="6L",$AL$14,IF($AN$14="6L",$AO$14,IF($AQ$14="6L",$AR$14,""))))))))))</f>
        <v/>
      </c>
      <c r="AY14" s="29" t="str">
        <f>IF($P$14="7L",$Q$14,IF($S$14="7L",$T$14,IF($V$14="7L",$W$14,IF($Y$14="7L",$Z$14,IF($AB$14="7L",$AC$14,IF($AE$14="7L",$AF$14,IF($AH$14="7L",$AI$14,IF($AK$14="7L",$AL$14,IF($AN$14="7L",$AO$14,IF($AQ$14="7L",$AR$14,""))))))))))</f>
        <v/>
      </c>
      <c r="AZ14" s="29" t="str">
        <f t="shared" ref="AZ14:AZ23" si="12">IF($O$14="LOFT",$Q$14,IF($R$14="LOFT",$T$14,IF($U$14="LOFT",$W$14,IF($X$14="LOFT",$Z$14,IF($AA$14="LOFT",$AC$14,IF($AD$14="LOFT",$AF$14,IF($AG$14="LOFT",$AI$14,IF($AJ$14="LOFT",$AL$14,IF($AM$14="LOFT",$AO$14,IF($AP$14="LOFT",$AR$14,""))))))))))</f>
        <v/>
      </c>
      <c r="BA14" s="29" t="str">
        <f t="shared" ref="BA14:BA23" si="13">IF($O$14="UT",$Q$14,IF($R$14="UT",$T$14,IF($U$14="UT",$W$14,IF($X$14="UT",$Z$14,IF($AA$14="UT",$AC$14,IF($AD$14="UT",$AF$14,IF($AG$14="UT",$AI$14,IF($AJ$14="UT",$AL$14,IF($AM$14="UT",$AO$14,IF($AP$14="UT",$AR$14,""))))))))))</f>
        <v/>
      </c>
      <c r="BB14" s="29" t="str">
        <f t="shared" ref="BB14:BB23" si="14">IF($O$14="HT",$Q$14,IF($R$14="HT",$T$14,IF($U$14="HT",$W$14,IF($X$14="HT",$Z$14,IF($AA$14="HT",$AC$14,IF($AD$14="HT",$AF$14,IF($AG$14="HT",$AI$14,IF($AJ$14="HT",$AL$14,IF($AM$14="HT",$AO$14,IF($AP$14="HT",$AR$14,""))))))))))</f>
        <v/>
      </c>
      <c r="BC14" s="29" t="str">
        <f t="shared" ref="BC14:BC23" si="15">IF($O$14="PURE",$Q$14,IF($R$14="PURE",$T$14,IF($U$14="PURE",$W$14,IF($X$14="PURE",$Z$14,IF($AA$14="PURE",$AC$14,IF($AD$14="PURE",$AF$14,IF($AG$14="PURE",$AI$14,IF($AJ$14="PURE",$AL$14,IF($AM$14="PURE",$AO$14,IF($AP$14="PURE",$AR$14,""))))))))))</f>
        <v/>
      </c>
      <c r="BD14" s="29" t="str">
        <f>IF($P$14="FUM",$Q$14,IF($S$14="FUM",$T$14,IF($V$14="FUM",$W$14,IF($Y$14="FUM",$Z$14,IF($AB$14="FUM",$AC$14,IF($AE$14="FUM",$AF$14,IF($AH$14="FUM",$AI$14,IF($AK$14="FUM",$AL$14,IF($AN$14="FUM",$AO$14,IF($AQ$14="FUM",$AR$14,""))))))))))</f>
        <v/>
      </c>
    </row>
    <row r="15" spans="1:77" hidden="1" x14ac:dyDescent="0.25">
      <c r="H15" s="4">
        <f t="shared" si="1"/>
        <v>0</v>
      </c>
      <c r="I15" s="4">
        <f t="shared" si="1"/>
        <v>0</v>
      </c>
      <c r="J15" s="4">
        <f t="shared" si="1"/>
        <v>0</v>
      </c>
      <c r="K15" s="4">
        <f t="shared" si="1"/>
        <v>0</v>
      </c>
      <c r="L15" s="4">
        <f t="shared" si="1"/>
        <v>0</v>
      </c>
      <c r="O15" s="28">
        <f t="shared" ref="O15:O23" si="16">J3</f>
        <v>0</v>
      </c>
      <c r="P15" s="4">
        <f t="shared" si="2"/>
        <v>0</v>
      </c>
      <c r="Q15" s="4">
        <f t="shared" si="2"/>
        <v>0</v>
      </c>
      <c r="R15" s="4">
        <f t="shared" si="2"/>
        <v>0</v>
      </c>
      <c r="S15" s="4">
        <f t="shared" si="3"/>
        <v>0</v>
      </c>
      <c r="T15" s="4">
        <f t="shared" si="3"/>
        <v>0</v>
      </c>
      <c r="U15" s="4">
        <f t="shared" si="3"/>
        <v>0</v>
      </c>
      <c r="V15" s="4">
        <f t="shared" si="4"/>
        <v>0</v>
      </c>
      <c r="W15" s="4">
        <f t="shared" si="4"/>
        <v>0</v>
      </c>
      <c r="X15" s="4">
        <f t="shared" si="4"/>
        <v>0</v>
      </c>
      <c r="Y15" s="4">
        <f t="shared" si="5"/>
        <v>0</v>
      </c>
      <c r="Z15" s="4">
        <f t="shared" si="5"/>
        <v>0</v>
      </c>
      <c r="AA15" s="4">
        <f t="shared" si="5"/>
        <v>0</v>
      </c>
      <c r="AB15" s="4">
        <f t="shared" si="6"/>
        <v>0</v>
      </c>
      <c r="AC15" s="4">
        <f t="shared" si="6"/>
        <v>0</v>
      </c>
      <c r="AD15" s="4">
        <f t="shared" si="6"/>
        <v>0</v>
      </c>
      <c r="AE15" s="4">
        <f t="shared" si="7"/>
        <v>0</v>
      </c>
      <c r="AF15" s="4">
        <f t="shared" si="7"/>
        <v>0</v>
      </c>
      <c r="AG15" s="4">
        <f t="shared" si="7"/>
        <v>0</v>
      </c>
      <c r="AH15" s="4">
        <f t="shared" si="8"/>
        <v>0</v>
      </c>
      <c r="AI15" s="4">
        <f t="shared" si="8"/>
        <v>0</v>
      </c>
      <c r="AJ15" s="4">
        <f t="shared" si="8"/>
        <v>0</v>
      </c>
      <c r="AK15" s="4">
        <f t="shared" si="9"/>
        <v>0</v>
      </c>
      <c r="AL15" s="4">
        <f t="shared" si="9"/>
        <v>0</v>
      </c>
      <c r="AM15" s="4">
        <f t="shared" si="9"/>
        <v>0</v>
      </c>
      <c r="AN15" s="4">
        <f t="shared" si="10"/>
        <v>0</v>
      </c>
      <c r="AO15" s="4">
        <f t="shared" si="10"/>
        <v>0</v>
      </c>
      <c r="AP15" s="4">
        <f t="shared" si="10"/>
        <v>0</v>
      </c>
      <c r="AQ15" s="4">
        <f t="shared" si="11"/>
        <v>0</v>
      </c>
      <c r="AR15" s="4">
        <f t="shared" si="11"/>
        <v>0</v>
      </c>
      <c r="AT15" s="28">
        <v>2</v>
      </c>
      <c r="AU15" s="29" t="str">
        <f>IF($P$15="3L",$Q$15,IF($S$15="3L",$T$15,IF($V$15="3L",$W$15,IF($Y$15="3L",$Z$15,IF($AB$15="3L",$AC$15,IF($AE$15="3L",$AF$15,IF($AH$15="3L",$AI$15,IF($AK$15="3L",$AL$15,IF($AN$15="3L",$AO$15,IF($AQ$15="3L",$AR$15,""))))))))))</f>
        <v/>
      </c>
      <c r="AV15" s="29" t="str">
        <f>IF($P$15="4L",$Q$15,IF($S$15="4L",$T$15,IF($V$15="4L",$W$15,IF($Y$15="4L",$Z$15,IF($AB$15="4L",$AC$15,IF($AE$15="4L",$AF$15,IF($AH$15="4L",$AI$15,IF($AK$15="4L",$AL$15,IF($AN$15="4L",$AO$15,IF($AQ$15="4L",$AR$15,""))))))))))</f>
        <v/>
      </c>
      <c r="AW15" s="29" t="str">
        <f>IF($P$15="5L",$Q$15,IF($S$15="5L",$T$15,IF($V$15="5L",$W$15,IF($Y$15="5L",$Z$15,IF($AB$15="5L",$AC$15,IF($AE$15="5L",$AF$15,IF($AH$15="5L",$AI$15,IF($AK$15="5L",$AL$15,IF($AN$15="5L",$AO$15,IF($AQ$15="5L",$AR$15,""))))))))))</f>
        <v/>
      </c>
      <c r="AX15" s="29" t="str">
        <f>IF($P$15="6L",$Q$15,IF($S$15="6L",$T$15,IF($V$15="6L",$W$15,IF($Y$15="6L",$Z$15,IF($AB$15="6L",$AC$15,IF($AE$15="6L",$AF$15,IF($AH$15="6L",$AI$15,IF($AK$15="6L",$AL$15,IF($AN$15="6L",$AO$15,IF($AQ$15="6L",$AR$15,""))))))))))</f>
        <v/>
      </c>
      <c r="AY15" s="29" t="str">
        <f>IF($P$15="7L",$Q$15,IF($S$15="7L",$T$15,IF($V$15="7L",$W$15,IF($Y$15="7L",$Z$15,IF($AB$15="7L",$AC$15,IF($AE$15="7L",$AF$15,IF($AH$15="7L",$AI$15,IF($AK$15="7L",$AL$15,IF($AN$15="7L",$AO$15,IF($AQ$15="7L",$AR$15,""))))))))))</f>
        <v/>
      </c>
      <c r="AZ15" s="29" t="str">
        <f t="shared" si="12"/>
        <v/>
      </c>
      <c r="BA15" s="29" t="str">
        <f t="shared" si="13"/>
        <v/>
      </c>
      <c r="BB15" s="29" t="str">
        <f t="shared" si="14"/>
        <v/>
      </c>
      <c r="BC15" s="29" t="str">
        <f t="shared" si="15"/>
        <v/>
      </c>
      <c r="BD15" s="29" t="str">
        <f>IF($P$15="FUM",$Q$15,IF($S$15="FUM",$T$15,IF($V$15="FUM",$W$15,IF($Y$15="FUM",$Z$15,IF($AB$15="FUM",$AC$15,IF($AE$15="FUM",$AF$15,IF($AH$15="FUM",$AI$15,IF($AK$15="FUM",$AL$15,IF($AN$15="FUM",$AO$15,IF($AQ$15="FUM",$AR$15,""))))))))))</f>
        <v/>
      </c>
    </row>
    <row r="16" spans="1:77" hidden="1" x14ac:dyDescent="0.25">
      <c r="H16" s="4">
        <f t="shared" si="1"/>
        <v>0</v>
      </c>
      <c r="I16" s="4">
        <f t="shared" si="1"/>
        <v>0</v>
      </c>
      <c r="J16" s="4">
        <f t="shared" si="1"/>
        <v>0</v>
      </c>
      <c r="K16" s="4">
        <f t="shared" si="1"/>
        <v>0</v>
      </c>
      <c r="L16" s="4">
        <f t="shared" si="1"/>
        <v>0</v>
      </c>
      <c r="O16" s="28">
        <f t="shared" si="16"/>
        <v>0</v>
      </c>
      <c r="P16" s="4">
        <f t="shared" si="2"/>
        <v>0</v>
      </c>
      <c r="Q16" s="4">
        <f t="shared" si="2"/>
        <v>0</v>
      </c>
      <c r="R16" s="4">
        <f t="shared" si="2"/>
        <v>0</v>
      </c>
      <c r="S16" s="4">
        <f t="shared" si="3"/>
        <v>0</v>
      </c>
      <c r="T16" s="4">
        <f t="shared" si="3"/>
        <v>0</v>
      </c>
      <c r="U16" s="4">
        <f t="shared" si="3"/>
        <v>0</v>
      </c>
      <c r="V16" s="4">
        <f t="shared" si="4"/>
        <v>0</v>
      </c>
      <c r="W16" s="4">
        <f t="shared" si="4"/>
        <v>0</v>
      </c>
      <c r="X16" s="4">
        <f t="shared" si="4"/>
        <v>0</v>
      </c>
      <c r="Y16" s="4">
        <f t="shared" si="5"/>
        <v>0</v>
      </c>
      <c r="Z16" s="4">
        <f t="shared" si="5"/>
        <v>0</v>
      </c>
      <c r="AA16" s="4">
        <f t="shared" si="5"/>
        <v>0</v>
      </c>
      <c r="AB16" s="4">
        <f t="shared" si="6"/>
        <v>0</v>
      </c>
      <c r="AC16" s="4">
        <f t="shared" si="6"/>
        <v>0</v>
      </c>
      <c r="AD16" s="4">
        <f t="shared" si="6"/>
        <v>0</v>
      </c>
      <c r="AE16" s="4">
        <f t="shared" si="7"/>
        <v>0</v>
      </c>
      <c r="AF16" s="4">
        <f t="shared" si="7"/>
        <v>0</v>
      </c>
      <c r="AG16" s="4">
        <f t="shared" si="7"/>
        <v>0</v>
      </c>
      <c r="AH16" s="4">
        <f t="shared" si="8"/>
        <v>0</v>
      </c>
      <c r="AI16" s="4">
        <f t="shared" si="8"/>
        <v>0</v>
      </c>
      <c r="AJ16" s="4">
        <f t="shared" si="8"/>
        <v>0</v>
      </c>
      <c r="AK16" s="4">
        <f t="shared" si="9"/>
        <v>0</v>
      </c>
      <c r="AL16" s="4">
        <f t="shared" si="9"/>
        <v>0</v>
      </c>
      <c r="AM16" s="4">
        <f t="shared" si="9"/>
        <v>0</v>
      </c>
      <c r="AN16" s="4">
        <f t="shared" si="10"/>
        <v>0</v>
      </c>
      <c r="AO16" s="4">
        <f t="shared" si="10"/>
        <v>0</v>
      </c>
      <c r="AP16" s="4">
        <f t="shared" si="10"/>
        <v>0</v>
      </c>
      <c r="AQ16" s="4">
        <f t="shared" si="11"/>
        <v>0</v>
      </c>
      <c r="AR16" s="4">
        <f t="shared" si="11"/>
        <v>0</v>
      </c>
      <c r="AT16" s="28">
        <v>3</v>
      </c>
      <c r="AU16" s="29" t="str">
        <f>IF($P$16="3L",$Q$16,IF($S$16="3L",$T$16,IF($V$16="3L",$W$16,IF($Y$16="3L",$Z$16,IF($AB$16="3L",$AC$16,IF($AE$16="3L",$AF$16,IF($AH$16="3L",$AI$16,IF($AK$16="3L",$AL$16,IF($AN$16="3L",$AO$16,IF($AQ$16="3L",$AR$16,""))))))))))</f>
        <v/>
      </c>
      <c r="AV16" s="29" t="str">
        <f>IF($P$16="4L",$Q$16,IF($S$16="4L",$T$16,IF($V$16="4L",$W$16,IF($Y$16="4L",$Z$16,IF($AB$16="4L",$AC$16,IF($AE$16="4L",$AF$16,IF($AH$16="4L",$AI$16,IF($AK$16="4L",$AL$16,IF($AN$16="4L",$AO$16,IF($AQ$16="4L",$AR$16,""))))))))))</f>
        <v/>
      </c>
      <c r="AW16" s="29" t="str">
        <f>IF($P$16="5L",$Q$16,IF($S$16="5L",$T$16,IF($V$16="5L",$W$16,IF($Y$16="5L",$Z$16,IF($AB$16="5L",$AC$16,IF($AE$16="5L",$AF$16,IF($AH$16="5L",$AI$16,IF($AK$16="5L",$AL$16,IF($AN$16="5L",$AO$16,IF($AQ$16="5L",$AR$16,""))))))))))</f>
        <v/>
      </c>
      <c r="AX16" s="29" t="str">
        <f>IF($P$16="6L",$Q$16,IF($S$16="6L",$T$16,IF($V$16="6L",$W$16,IF($Y$16="6L",$Z$16,IF($AB$16="6L",$AC$16,IF($AE$16="6L",$AF$16,IF($AH$16="6L",$AI$16,IF($AK$16="6L",$AL$16,IF($AN$16="6L",$AO$16,IF($AQ$16="6L",$AR$16,""))))))))))</f>
        <v/>
      </c>
      <c r="AY16" s="29" t="str">
        <f>IF($P$16="7L",$Q$16,IF($S$16="7L",$T$16,IF($V$16="7L",$W$16,IF($Y$16="7L",$Z$16,IF($AB$16="7L",$AC$16,IF($AE$16="7L",$AF$16,IF($AH$16="7L",$AI$16,IF($AK$16="7L",$AL$16,IF($AN$16="7L",$AO$16,IF($AQ$16="7L",$AR$16,""))))))))))</f>
        <v/>
      </c>
      <c r="AZ16" s="29" t="str">
        <f t="shared" si="12"/>
        <v/>
      </c>
      <c r="BA16" s="29" t="str">
        <f t="shared" si="13"/>
        <v/>
      </c>
      <c r="BB16" s="29" t="str">
        <f t="shared" si="14"/>
        <v/>
      </c>
      <c r="BC16" s="29" t="str">
        <f t="shared" si="15"/>
        <v/>
      </c>
      <c r="BD16" s="29" t="str">
        <f>IF($P$16="FUM",$Q$16,IF($S$16="FUM",$T$16,IF($V$16="FUM",$W$16,IF($Y$16="FUM",$Z$16,IF($AB$16="FUM",$AC$16,IF($AE$16="FUM",$AF$16,IF($AH$16="FUM",$AI$16,IF($AK$16="FUM",$AL$16,IF($AN$16="FUM",$AO$16,IF($AQ$16="FUM",$AR$16,""))))))))))</f>
        <v/>
      </c>
    </row>
    <row r="17" spans="8:56" hidden="1" x14ac:dyDescent="0.25">
      <c r="H17" s="4">
        <f t="shared" si="1"/>
        <v>0</v>
      </c>
      <c r="I17" s="4">
        <f t="shared" si="1"/>
        <v>0</v>
      </c>
      <c r="J17" s="4">
        <f t="shared" si="1"/>
        <v>0</v>
      </c>
      <c r="K17" s="4">
        <f t="shared" si="1"/>
        <v>0</v>
      </c>
      <c r="L17" s="4">
        <f t="shared" si="1"/>
        <v>0</v>
      </c>
      <c r="O17" s="28">
        <f t="shared" si="16"/>
        <v>0</v>
      </c>
      <c r="P17" s="4">
        <f t="shared" si="2"/>
        <v>0</v>
      </c>
      <c r="Q17" s="4">
        <f t="shared" si="2"/>
        <v>0</v>
      </c>
      <c r="R17" s="4">
        <f t="shared" si="2"/>
        <v>0</v>
      </c>
      <c r="S17" s="4">
        <f t="shared" si="3"/>
        <v>0</v>
      </c>
      <c r="T17" s="4">
        <f t="shared" si="3"/>
        <v>0</v>
      </c>
      <c r="U17" s="4">
        <f t="shared" si="3"/>
        <v>0</v>
      </c>
      <c r="V17" s="4">
        <f t="shared" si="4"/>
        <v>0</v>
      </c>
      <c r="W17" s="4">
        <f t="shared" si="4"/>
        <v>0</v>
      </c>
      <c r="X17" s="4">
        <f t="shared" si="4"/>
        <v>0</v>
      </c>
      <c r="Y17" s="4">
        <f t="shared" si="5"/>
        <v>0</v>
      </c>
      <c r="Z17" s="4">
        <f t="shared" si="5"/>
        <v>0</v>
      </c>
      <c r="AA17" s="4">
        <f t="shared" si="5"/>
        <v>0</v>
      </c>
      <c r="AB17" s="4">
        <f t="shared" si="6"/>
        <v>0</v>
      </c>
      <c r="AC17" s="4">
        <f t="shared" si="6"/>
        <v>0</v>
      </c>
      <c r="AD17" s="4">
        <f t="shared" si="6"/>
        <v>0</v>
      </c>
      <c r="AE17" s="4">
        <f t="shared" si="7"/>
        <v>0</v>
      </c>
      <c r="AF17" s="4">
        <f t="shared" si="7"/>
        <v>0</v>
      </c>
      <c r="AG17" s="4">
        <f t="shared" si="7"/>
        <v>0</v>
      </c>
      <c r="AH17" s="4">
        <f t="shared" si="8"/>
        <v>0</v>
      </c>
      <c r="AI17" s="4">
        <f t="shared" si="8"/>
        <v>0</v>
      </c>
      <c r="AJ17" s="4">
        <f t="shared" si="8"/>
        <v>0</v>
      </c>
      <c r="AK17" s="4">
        <f t="shared" si="9"/>
        <v>0</v>
      </c>
      <c r="AL17" s="4">
        <f t="shared" si="9"/>
        <v>0</v>
      </c>
      <c r="AM17" s="4">
        <f t="shared" si="9"/>
        <v>0</v>
      </c>
      <c r="AN17" s="4">
        <f t="shared" si="10"/>
        <v>0</v>
      </c>
      <c r="AO17" s="4">
        <f t="shared" si="10"/>
        <v>0</v>
      </c>
      <c r="AP17" s="4">
        <f t="shared" si="10"/>
        <v>0</v>
      </c>
      <c r="AQ17" s="4">
        <f t="shared" si="11"/>
        <v>0</v>
      </c>
      <c r="AR17" s="4">
        <f t="shared" si="11"/>
        <v>0</v>
      </c>
      <c r="AT17" s="28">
        <v>4</v>
      </c>
      <c r="AU17" s="29" t="str">
        <f>IF($P$17="3L",$Q$17,IF($S$17="3L",$T$17,IF($V$17="3L",$W$17,IF($Y$17="3L",$Z$17,IF($AB$17="3L",$AC$17,IF($AE$17="3L",$AF$17,IF($AH$17="3L",$AI$17,IF($AK$17="3L",$AL$17,IF($AN$17="3L",$AO$17,IF($AQ$17="3L",$AR$17,""))))))))))</f>
        <v/>
      </c>
      <c r="AV17" s="29" t="str">
        <f>IF($P$17="4L",$Q$17,IF($S$17="4L",$T$17,IF($V$17="4L",$W$17,IF($Y$17="4L",$Z$17,IF($AB$17="4L",$AC$17,IF($AE$17="4L",$AF$17,IF($AH$17="4L",$AI$17,IF($AK$17="4L",$AL$17,IF($AN$17="4L",$AO$17,IF($AQ$17="4L",$AR$17,""))))))))))</f>
        <v/>
      </c>
      <c r="AW17" s="29" t="str">
        <f>IF($P$17="5L",$Q$17,IF($S$17="5L",$T$17,IF($V$17="5L",$W$17,IF($Y$17="5L",$Z$17,IF($AB$17="5L",$AC$17,IF($AE$17="5L",$AF$17,IF($AH$17="5L",$AI$17,IF($AK$17="5L",$AL$17,IF($AN$17="5L",$AO$17,IF($AQ$17="5L",$AR$17,""))))))))))</f>
        <v/>
      </c>
      <c r="AX17" s="29" t="str">
        <f>IF($P$17="6L",$Q$17,IF($S$17="6L",$T$17,IF($V$17="6L",$W$17,IF($Y$17="6L",$Z$17,IF($AB$17="6L",$AC$17,IF($AE$17="6L",$AF$17,IF($AH$17="6L",$AI$17,IF($AK$17="6L",$AL$17,IF($AN$17="6L",$AO$17,IF($AQ$17="6L",$AR$17,""))))))))))</f>
        <v/>
      </c>
      <c r="AY17" s="29" t="str">
        <f>IF($P$17="7L",$Q$17,IF($S$17="7L",$T$17,IF($V$17="7L",$W$17,IF($Y$17="7L",$Z$17,IF($AB$17="7L",$AC$17,IF($AE$17="7L",$AF$17,IF($AH$17="7L",$AI$17,IF($AK$17="7L",$AL$17,IF($AN$17="7L",$AO$17,IF($AQ$17="7L",$AR$17,""))))))))))</f>
        <v/>
      </c>
      <c r="AZ17" s="29" t="str">
        <f t="shared" si="12"/>
        <v/>
      </c>
      <c r="BA17" s="29" t="str">
        <f t="shared" si="13"/>
        <v/>
      </c>
      <c r="BB17" s="29" t="str">
        <f t="shared" si="14"/>
        <v/>
      </c>
      <c r="BC17" s="29" t="str">
        <f t="shared" si="15"/>
        <v/>
      </c>
      <c r="BD17" s="29" t="str">
        <f>IF($P$17="FUM",$Q$17,IF($S$17="FUM",$T$17,IF($V$17="FUM",$W$17,IF($Y$17="FUM",$Z$17,IF($AB$17="FUM",$AC$17,IF($AE$17="FUM",$AF$17,IF($AH$17="FUM",$AI$17,IF($AK$17="FUM",$AL$17,IF($AN$17="FUM",$AO$17,IF($AQ$17="FUM",$AR$17,""))))))))))</f>
        <v/>
      </c>
    </row>
    <row r="18" spans="8:56" hidden="1" x14ac:dyDescent="0.25">
      <c r="H18" s="4">
        <f t="shared" si="1"/>
        <v>0</v>
      </c>
      <c r="I18" s="4">
        <f t="shared" si="1"/>
        <v>0</v>
      </c>
      <c r="J18" s="4">
        <f t="shared" si="1"/>
        <v>0</v>
      </c>
      <c r="K18" s="4">
        <f t="shared" si="1"/>
        <v>0</v>
      </c>
      <c r="L18" s="4">
        <f t="shared" si="1"/>
        <v>0</v>
      </c>
      <c r="O18" s="28">
        <f t="shared" si="16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3"/>
        <v>0</v>
      </c>
      <c r="T18" s="4">
        <f t="shared" si="3"/>
        <v>0</v>
      </c>
      <c r="U18" s="4">
        <f t="shared" si="3"/>
        <v>0</v>
      </c>
      <c r="V18" s="4">
        <f t="shared" si="4"/>
        <v>0</v>
      </c>
      <c r="W18" s="4">
        <f t="shared" si="4"/>
        <v>0</v>
      </c>
      <c r="X18" s="4">
        <f t="shared" si="4"/>
        <v>0</v>
      </c>
      <c r="Y18" s="4">
        <f t="shared" si="5"/>
        <v>0</v>
      </c>
      <c r="Z18" s="4">
        <f t="shared" si="5"/>
        <v>0</v>
      </c>
      <c r="AA18" s="4">
        <f t="shared" si="5"/>
        <v>0</v>
      </c>
      <c r="AB18" s="4">
        <f t="shared" si="6"/>
        <v>0</v>
      </c>
      <c r="AC18" s="4">
        <f t="shared" si="6"/>
        <v>0</v>
      </c>
      <c r="AD18" s="4">
        <f t="shared" si="6"/>
        <v>0</v>
      </c>
      <c r="AE18" s="4">
        <f t="shared" si="7"/>
        <v>0</v>
      </c>
      <c r="AF18" s="4">
        <f t="shared" si="7"/>
        <v>0</v>
      </c>
      <c r="AG18" s="4">
        <f t="shared" si="7"/>
        <v>0</v>
      </c>
      <c r="AH18" s="4">
        <f t="shared" si="8"/>
        <v>0</v>
      </c>
      <c r="AI18" s="4">
        <f t="shared" si="8"/>
        <v>0</v>
      </c>
      <c r="AJ18" s="4">
        <f t="shared" si="8"/>
        <v>0</v>
      </c>
      <c r="AK18" s="4">
        <f t="shared" si="9"/>
        <v>0</v>
      </c>
      <c r="AL18" s="4">
        <f t="shared" si="9"/>
        <v>0</v>
      </c>
      <c r="AM18" s="4">
        <f t="shared" si="9"/>
        <v>0</v>
      </c>
      <c r="AN18" s="4">
        <f t="shared" si="10"/>
        <v>0</v>
      </c>
      <c r="AO18" s="4">
        <f t="shared" si="10"/>
        <v>0</v>
      </c>
      <c r="AP18" s="4">
        <f t="shared" si="10"/>
        <v>0</v>
      </c>
      <c r="AQ18" s="4">
        <f t="shared" si="11"/>
        <v>0</v>
      </c>
      <c r="AR18" s="4">
        <f t="shared" si="11"/>
        <v>0</v>
      </c>
      <c r="AT18" s="28">
        <v>5</v>
      </c>
      <c r="AU18" s="29" t="str">
        <f>IF($P$18="3L",$Q$18,IF($S$18="3L",$T$18,IF($V$18="3L",$W$18,IF($Y$18="3L",$Z$18,IF($AB$18="3L",$AC$18,IF($AE$18="3L",$AF$18,IF($AH$18="3L",$AI$18,IF($AK$18="3L",$AL$18,IF($AN$18="3L",$AO$18,IF($AQ$18="3L",$AR$18,""))))))))))</f>
        <v/>
      </c>
      <c r="AV18" s="29" t="str">
        <f>IF($P$18="4L",$Q$18,IF($S$18="4L",$T$18,IF($V$18="4L",$W$18,IF($Y$18="4L",$Z$18,IF($AB$18="4L",$AC$18,IF($AE$18="4L",$AF$18,IF($AH$18="4L",$AI$18,IF($AK$18="4L",$AL$18,IF($AN$18="4L",$AO$18,IF($AQ$18="4L",$AR$18,""))))))))))</f>
        <v/>
      </c>
      <c r="AW18" s="29" t="str">
        <f>IF($P$18="5L",$Q$18,IF($S$18="5L",$T$18,IF($V$18="5L",$W$18,IF($Y$18="5L",$Z$18,IF($AB$18="5L",$AC$18,IF($AE$18="5L",$AF$18,IF($AH$18="5L",$AI$18,IF($AK$18="5L",$AL$18,IF($AN$18="5L",$AO$18,IF($AQ$18="5L",$AR$18,""))))))))))</f>
        <v/>
      </c>
      <c r="AX18" s="29" t="str">
        <f>IF($P$18="6L",$Q$18,IF($S$18="6L",$T$18,IF($V$18="6L",$W$18,IF($Y$18="6L",$Z$18,IF($AB$18="6L",$AC$18,IF($AE$18="6L",$AF$18,IF($AH$18="6L",$AI$18,IF($AK$18="6L",$AL$18,IF($AN$18="6L",$AO$18,IF($AQ$18="6L",$AR$18,""))))))))))</f>
        <v/>
      </c>
      <c r="AY18" s="29" t="str">
        <f>IF($P$18="7L",$Q$18,IF($S$18="7L",$T$18,IF($V$18="7L",$W$18,IF($Y$18="7L",$Z$18,IF($AB$18="7L",$AC$18,IF($AE$18="7L",$AF$18,IF($AH$18="7L",$AI$18,IF($AK$18="7L",$AL$18,IF($AN$18="7L",$AO$18,IF($AQ$18="7L",$AR$18,""))))))))))</f>
        <v/>
      </c>
      <c r="AZ18" s="29" t="str">
        <f t="shared" si="12"/>
        <v/>
      </c>
      <c r="BA18" s="29" t="str">
        <f t="shared" si="13"/>
        <v/>
      </c>
      <c r="BB18" s="29" t="str">
        <f t="shared" si="14"/>
        <v/>
      </c>
      <c r="BC18" s="29" t="str">
        <f t="shared" si="15"/>
        <v/>
      </c>
      <c r="BD18" s="29" t="str">
        <f>IF($P$18="FUM",$Q$18,IF($S$18="FUM",$T$18,IF($V$18="FUM",$W$18,IF($Y$18="FUM",$Z$18,IF($AB$18="FUM",$AC$18,IF($AE$18="FUM",$AF$18,IF($AH$18="FUM",$AI$18,IF($AK$18="FUM",$AL$18,IF($AN$18="FUM",$AO$18,IF($AQ$18="FUM",$AR$18,""))))))))))</f>
        <v/>
      </c>
    </row>
    <row r="19" spans="8:56" hidden="1" x14ac:dyDescent="0.25"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0</v>
      </c>
      <c r="L19" s="4">
        <f t="shared" si="1"/>
        <v>0</v>
      </c>
      <c r="O19" s="28">
        <f t="shared" si="16"/>
        <v>0</v>
      </c>
      <c r="P19" s="4">
        <f t="shared" si="2"/>
        <v>0</v>
      </c>
      <c r="Q19" s="4">
        <f t="shared" si="2"/>
        <v>0</v>
      </c>
      <c r="R19" s="4">
        <f t="shared" si="2"/>
        <v>0</v>
      </c>
      <c r="S19" s="4">
        <f t="shared" si="3"/>
        <v>0</v>
      </c>
      <c r="T19" s="4">
        <f t="shared" si="3"/>
        <v>0</v>
      </c>
      <c r="U19" s="4">
        <f t="shared" si="3"/>
        <v>0</v>
      </c>
      <c r="V19" s="4">
        <f t="shared" si="4"/>
        <v>0</v>
      </c>
      <c r="W19" s="4">
        <f t="shared" si="4"/>
        <v>0</v>
      </c>
      <c r="X19" s="4">
        <f t="shared" si="4"/>
        <v>0</v>
      </c>
      <c r="Y19" s="4">
        <f t="shared" si="5"/>
        <v>0</v>
      </c>
      <c r="Z19" s="4">
        <f t="shared" si="5"/>
        <v>0</v>
      </c>
      <c r="AA19" s="4">
        <f t="shared" si="5"/>
        <v>0</v>
      </c>
      <c r="AB19" s="4">
        <f t="shared" si="6"/>
        <v>0</v>
      </c>
      <c r="AC19" s="4">
        <f t="shared" si="6"/>
        <v>0</v>
      </c>
      <c r="AD19" s="4">
        <f t="shared" si="6"/>
        <v>0</v>
      </c>
      <c r="AE19" s="4">
        <f t="shared" si="7"/>
        <v>0</v>
      </c>
      <c r="AF19" s="4">
        <f t="shared" si="7"/>
        <v>0</v>
      </c>
      <c r="AG19" s="4">
        <f t="shared" si="7"/>
        <v>0</v>
      </c>
      <c r="AH19" s="4">
        <f t="shared" si="8"/>
        <v>0</v>
      </c>
      <c r="AI19" s="4">
        <f t="shared" si="8"/>
        <v>0</v>
      </c>
      <c r="AJ19" s="4">
        <f t="shared" si="8"/>
        <v>0</v>
      </c>
      <c r="AK19" s="4">
        <f t="shared" si="9"/>
        <v>0</v>
      </c>
      <c r="AL19" s="4">
        <f t="shared" si="9"/>
        <v>0</v>
      </c>
      <c r="AM19" s="4">
        <f t="shared" si="9"/>
        <v>0</v>
      </c>
      <c r="AN19" s="4">
        <f t="shared" si="10"/>
        <v>0</v>
      </c>
      <c r="AO19" s="4">
        <f t="shared" si="10"/>
        <v>0</v>
      </c>
      <c r="AP19" s="4">
        <f t="shared" si="10"/>
        <v>0</v>
      </c>
      <c r="AQ19" s="4">
        <f t="shared" si="11"/>
        <v>0</v>
      </c>
      <c r="AR19" s="4">
        <f t="shared" si="11"/>
        <v>0</v>
      </c>
      <c r="AT19" s="28">
        <v>6</v>
      </c>
      <c r="AU19" s="29" t="str">
        <f>IF($P$19="3L",$Q$19,IF($S$19="3L",$T$19,IF($V$19="3L",$W$19,IF($Y$19="3L",$Z$19,IF($AB$19="3L",$AC$19,IF($AE$19="3L",$AF$19,IF($AH$19="3L",$AI$19,IF($AK$19="3L",$AL$19,IF($AN$19="3L",$AO$19,IF($AQ$19="3L",$AR$19,""))))))))))</f>
        <v/>
      </c>
      <c r="AV19" s="29" t="str">
        <f>IF($P$19="4L",$Q$19,IF($S$19="4L",$T$19,IF($V$19="4L",$W$19,IF($Y$19="4L",$Z$19,IF($AB$19="4L",$AC$19,IF($AE$19="4L",$AF$19,IF($AH$19="4L",$AI$19,IF($AK$19="4L",$AL$19,IF($AN$19="4L",$AO$19,IF($AQ$19="4L",$AR$19,""))))))))))</f>
        <v/>
      </c>
      <c r="AW19" s="29" t="str">
        <f>IF($P$19="5L",$Q$19,IF($S$19="5L",$T$19,IF($V$19="5L",$W$19,IF($Y$19="5L",$Z$19,IF($AB$19="5L",$AC$19,IF($AE$19="5L",$AF$19,IF($AH$19="5L",$AI$19,IF($AK$19="5L",$AL$19,IF($AN$19="5L",$AO$19,IF($AQ$19="5L",$AR$19,""))))))))))</f>
        <v/>
      </c>
      <c r="AX19" s="29" t="str">
        <f>IF($P$19="6L",$Q$19,IF($S$19="6L",$T$19,IF($V$19="6L",$W$19,IF($Y$19="6L",$Z$19,IF($AB$19="6L",$AC$19,IF($AE$19="6L",$AF$19,IF($AH$19="6L",$AI$19,IF($AK$19="6L",$AL$19,IF($AN$19="6L",$AO$19,IF($AQ$19="6L",$AR$19,""))))))))))</f>
        <v/>
      </c>
      <c r="AY19" s="29" t="str">
        <f>IF($P$19="7L",$Q$19,IF($S$19="7L",$T$19,IF($V$19="7L",$W$19,IF($Y$19="7L",$Z$19,IF($AB$19="7L",$AC$19,IF($AE$19="7L",$AF$19,IF($AH$19="7L",$AI$19,IF($AK$19="7L",$AL$19,IF($AN$19="7L",$AO$19,IF($AQ$19="7L",$AR$19,""))))))))))</f>
        <v/>
      </c>
      <c r="AZ19" s="29" t="str">
        <f t="shared" si="12"/>
        <v/>
      </c>
      <c r="BA19" s="29" t="str">
        <f t="shared" si="13"/>
        <v/>
      </c>
      <c r="BB19" s="29" t="str">
        <f t="shared" si="14"/>
        <v/>
      </c>
      <c r="BC19" s="29" t="str">
        <f t="shared" si="15"/>
        <v/>
      </c>
      <c r="BD19" s="29" t="str">
        <f>IF($P$19="FUM",$Q$19,IF($S$19="FUM",$T$19,IF($V$19="FUM",$W$19,IF($Y$19="FUM",$Z$19,IF($AB$19="FUM",$AC$19,IF($AE$19="FUM",$AF$19,IF($AH$19="FUM",$AI$19,IF($AK$19="FUM",$AL$19,IF($AN$19="FUM",$AO$19,IF($AQ$19="FUM",$AR$19,""))))))))))</f>
        <v/>
      </c>
    </row>
    <row r="20" spans="8:56" hidden="1" x14ac:dyDescent="0.25"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0</v>
      </c>
      <c r="O20" s="28">
        <f t="shared" si="16"/>
        <v>0</v>
      </c>
      <c r="P20" s="4">
        <f t="shared" si="2"/>
        <v>0</v>
      </c>
      <c r="Q20" s="4">
        <f t="shared" si="2"/>
        <v>0</v>
      </c>
      <c r="R20" s="4">
        <f t="shared" si="2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4"/>
        <v>0</v>
      </c>
      <c r="W20" s="4">
        <f t="shared" si="4"/>
        <v>0</v>
      </c>
      <c r="X20" s="4">
        <f t="shared" si="4"/>
        <v>0</v>
      </c>
      <c r="Y20" s="4">
        <f t="shared" si="5"/>
        <v>0</v>
      </c>
      <c r="Z20" s="4">
        <f t="shared" si="5"/>
        <v>0</v>
      </c>
      <c r="AA20" s="4">
        <f t="shared" si="5"/>
        <v>0</v>
      </c>
      <c r="AB20" s="4">
        <f t="shared" si="6"/>
        <v>0</v>
      </c>
      <c r="AC20" s="4">
        <f t="shared" si="6"/>
        <v>0</v>
      </c>
      <c r="AD20" s="4">
        <f t="shared" si="6"/>
        <v>0</v>
      </c>
      <c r="AE20" s="4">
        <f t="shared" si="7"/>
        <v>0</v>
      </c>
      <c r="AF20" s="4">
        <f t="shared" si="7"/>
        <v>0</v>
      </c>
      <c r="AG20" s="4">
        <f t="shared" si="7"/>
        <v>0</v>
      </c>
      <c r="AH20" s="4">
        <f t="shared" si="8"/>
        <v>0</v>
      </c>
      <c r="AI20" s="4">
        <f t="shared" si="8"/>
        <v>0</v>
      </c>
      <c r="AJ20" s="4">
        <f t="shared" si="8"/>
        <v>0</v>
      </c>
      <c r="AK20" s="4">
        <f t="shared" si="9"/>
        <v>0</v>
      </c>
      <c r="AL20" s="4">
        <f t="shared" si="9"/>
        <v>0</v>
      </c>
      <c r="AM20" s="4">
        <f t="shared" si="9"/>
        <v>0</v>
      </c>
      <c r="AN20" s="4">
        <f t="shared" si="10"/>
        <v>0</v>
      </c>
      <c r="AO20" s="4">
        <f t="shared" si="10"/>
        <v>0</v>
      </c>
      <c r="AP20" s="4">
        <f t="shared" si="10"/>
        <v>0</v>
      </c>
      <c r="AQ20" s="4">
        <f t="shared" si="11"/>
        <v>0</v>
      </c>
      <c r="AR20" s="4">
        <f t="shared" si="11"/>
        <v>0</v>
      </c>
      <c r="AT20" s="28">
        <v>7</v>
      </c>
      <c r="AU20" s="29" t="str">
        <f>IF($P$20="3L",$Q$20,IF($S$20="3L",$T$20,IF($V$20="3L",$W$20,IF($Y$20="3L",$Z$20,IF($AB$20="3L",$AC$20,IF($AE$20="3L",$AF$20,IF($AH$20="3L",$AI$20,IF($AK$20="3L",$AL$20,IF($AN$20="3L",$AO$20,IF($AQ$20="3L",$AR$20,""))))))))))</f>
        <v/>
      </c>
      <c r="AV20" s="29" t="str">
        <f>IF($P$20="4L",$Q$20,IF($S$20="4L",$T$20,IF($V$20="4L",$W$20,IF($Y$20="4L",$Z$20,IF($AB$20="4L",$AC$20,IF($AE$20="4L",$AF$20,IF($AH$20="4L",$AI$20,IF($AK$20="4L",$AL$20,IF($AN$20="4L",$AO$20,IF($AQ$20="4L",$AR$20,""))))))))))</f>
        <v/>
      </c>
      <c r="AW20" s="29" t="str">
        <f>IF($P$20="5L",$Q$20,IF($S$20="5L",$T$20,IF($V$20="5L",$W$20,IF($Y$20="5L",$Z$20,IF($AB$20="5L",$AC$20,IF($AE$20="5L",$AF$20,IF($AH$20="5L",$AI$20,IF($AK$20="5L",$AL$20,IF($AN$20="5L",$AO$20,IF($AQ$20="5L",$AR$20,""))))))))))</f>
        <v/>
      </c>
      <c r="AX20" s="29" t="str">
        <f>IF($P$20="6L",$Q$20,IF($S$20="6L",$T$20,IF($V$20="6L",$W$20,IF($Y$20="6L",$Z$20,IF($AB$20="6L",$AC$20,IF($AE$20="6L",$AF$20,IF($AH$20="6L",$AI$20,IF($AK$20="6L",$AL$20,IF($AN$20="6L",$AO$20,IF($AQ$20="6L",$AR$20,""))))))))))</f>
        <v/>
      </c>
      <c r="AY20" s="29" t="str">
        <f>IF($P$20="7L",$Q$20,IF($S$20="7L",$T$20,IF($V$20="7L",$W$20,IF($Y$20="7L",$Z$20,IF($AB$20="7L",$AC$20,IF($AE$20="7L",$AF$20,IF($AH$20="7L",$AI$20,IF($AK$20="7L",$AL$20,IF($AN$20="7L",$AO$20,IF($AQ$20="7L",$AR$20,""))))))))))</f>
        <v/>
      </c>
      <c r="AZ20" s="29" t="str">
        <f t="shared" si="12"/>
        <v/>
      </c>
      <c r="BA20" s="29" t="str">
        <f t="shared" si="13"/>
        <v/>
      </c>
      <c r="BB20" s="29" t="str">
        <f t="shared" si="14"/>
        <v/>
      </c>
      <c r="BC20" s="29" t="str">
        <f t="shared" si="15"/>
        <v/>
      </c>
      <c r="BD20" s="29" t="str">
        <f>IF($P$20="FUM",$Q$20,IF($S$20="FUM",$T$20,IF($V$20="FUM",$W$20,IF($Y$20="FUM",$Z$20,IF($AB$20="FUM",$AC$20,IF($AE$20="FUM",$AF$20,IF($AH$20="FUM",$AI$20,IF($AK$20="FUM",$AL$20,IF($AN$20="FUM",$AO$20,IF($AQ$20="FUM",$AR$20,""))))))))))</f>
        <v/>
      </c>
    </row>
    <row r="21" spans="8:56" hidden="1" x14ac:dyDescent="0.25">
      <c r="H21" s="4">
        <f t="shared" si="1"/>
        <v>0</v>
      </c>
      <c r="I21" s="4">
        <f t="shared" si="1"/>
        <v>0</v>
      </c>
      <c r="J21" s="4">
        <f t="shared" si="1"/>
        <v>0</v>
      </c>
      <c r="K21" s="4">
        <f t="shared" si="1"/>
        <v>0</v>
      </c>
      <c r="L21" s="4">
        <f t="shared" si="1"/>
        <v>0</v>
      </c>
      <c r="O21" s="28">
        <f t="shared" si="16"/>
        <v>0</v>
      </c>
      <c r="P21" s="4">
        <f t="shared" si="2"/>
        <v>0</v>
      </c>
      <c r="Q21" s="4">
        <f t="shared" si="2"/>
        <v>0</v>
      </c>
      <c r="R21" s="4">
        <f t="shared" si="2"/>
        <v>0</v>
      </c>
      <c r="S21" s="4">
        <f t="shared" si="3"/>
        <v>0</v>
      </c>
      <c r="T21" s="4">
        <f t="shared" si="3"/>
        <v>0</v>
      </c>
      <c r="U21" s="4">
        <f t="shared" si="3"/>
        <v>0</v>
      </c>
      <c r="V21" s="4">
        <f t="shared" si="4"/>
        <v>0</v>
      </c>
      <c r="W21" s="4">
        <f t="shared" si="4"/>
        <v>0</v>
      </c>
      <c r="X21" s="4">
        <f t="shared" si="4"/>
        <v>0</v>
      </c>
      <c r="Y21" s="4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6"/>
        <v>0</v>
      </c>
      <c r="AC21" s="4">
        <f t="shared" si="6"/>
        <v>0</v>
      </c>
      <c r="AD21" s="4">
        <f t="shared" si="6"/>
        <v>0</v>
      </c>
      <c r="AE21" s="4">
        <f t="shared" si="7"/>
        <v>0</v>
      </c>
      <c r="AF21" s="4">
        <f t="shared" si="7"/>
        <v>0</v>
      </c>
      <c r="AG21" s="4">
        <f t="shared" si="7"/>
        <v>0</v>
      </c>
      <c r="AH21" s="4">
        <f t="shared" si="8"/>
        <v>0</v>
      </c>
      <c r="AI21" s="4">
        <f t="shared" si="8"/>
        <v>0</v>
      </c>
      <c r="AJ21" s="4">
        <f t="shared" si="8"/>
        <v>0</v>
      </c>
      <c r="AK21" s="4">
        <f t="shared" si="9"/>
        <v>0</v>
      </c>
      <c r="AL21" s="4">
        <f t="shared" si="9"/>
        <v>0</v>
      </c>
      <c r="AM21" s="4">
        <f t="shared" si="9"/>
        <v>0</v>
      </c>
      <c r="AN21" s="4">
        <f t="shared" si="10"/>
        <v>0</v>
      </c>
      <c r="AO21" s="4">
        <f t="shared" si="10"/>
        <v>0</v>
      </c>
      <c r="AP21" s="4">
        <f t="shared" si="10"/>
        <v>0</v>
      </c>
      <c r="AQ21" s="4">
        <f t="shared" si="11"/>
        <v>0</v>
      </c>
      <c r="AR21" s="4">
        <f t="shared" si="11"/>
        <v>0</v>
      </c>
      <c r="AT21" s="28">
        <v>8</v>
      </c>
      <c r="AU21" s="29" t="str">
        <f>IF($P$21="3L",$Q$21,IF($S$21="3L",$T$21,IF($V$21="3L",$W$21,IF($Y$21="3L",$Z$21,IF($AB$21="3L",$AC$21,IF($AE$21="3L",$AF$21,IF($AH$21="3L",$AI$21,IF($AK$21="3L",$AL$21,IF($AN$21="3L",$AO$21,IF($AQ$21="3L",$AR$21,""))))))))))</f>
        <v/>
      </c>
      <c r="AV21" s="29" t="str">
        <f>IF($P$21="4L",$Q$21,IF($S$21="4L",$T$21,IF($V$21="4L",$W$21,IF($Y$21="4L",$Z$21,IF($AB$21="4L",$AC$21,IF($AE$21="4L",$AF$21,IF($AH$21="4L",$AI$21,IF($AK$21="4L",$AL$21,IF($AN$21="4L",$AO$21,IF($AQ$21="4L",$AR$21,""))))))))))</f>
        <v/>
      </c>
      <c r="AW21" s="29" t="str">
        <f>IF($P$21="5L",$Q$21,IF($S$21="5L",$T$21,IF($V$21="5L",$W$21,IF($Y$21="5L",$Z$21,IF($AB$21="5L",$AC$21,IF($AE$21="5L",$AF$21,IF($AH$21="5L",$AI$21,IF($AK$21="5L",$AL$21,IF($AN$21="5L",$AO$21,IF($AQ$21="5L",$AR$21,""))))))))))</f>
        <v/>
      </c>
      <c r="AX21" s="29" t="str">
        <f>IF($P$21="6L",$Q$21,IF($S$21="6L",$T$21,IF($V$21="6L",$W$21,IF($Y$21="6L",$Z$21,IF($AB$21="6L",$AC$21,IF($AE$21="6L",$AF$21,IF($AH$21="6L",$AI$21,IF($AK$21="6L",$AL$21,IF($AN$21="6L",$AO$21,IF($AQ$21="6L",$AR$21,""))))))))))</f>
        <v/>
      </c>
      <c r="AY21" s="29" t="str">
        <f>IF($P$21="7L",$Q$21,IF($S$21="7L",$T$21,IF($V$21="7L",$W$21,IF($Y$21="7L",$Z$21,IF($AB$21="7L",$AC$21,IF($AE$21="7L",$AF$21,IF($AH$21="7L",$AI$21,IF($AK$21="7L",$AL$21,IF($AN$21="7L",$AO$21,IF($AQ$21="7L",$AR$21,""))))))))))</f>
        <v/>
      </c>
      <c r="AZ21" s="29" t="str">
        <f t="shared" si="12"/>
        <v/>
      </c>
      <c r="BA21" s="29" t="str">
        <f t="shared" si="13"/>
        <v/>
      </c>
      <c r="BB21" s="29" t="str">
        <f t="shared" si="14"/>
        <v/>
      </c>
      <c r="BC21" s="29" t="str">
        <f t="shared" si="15"/>
        <v/>
      </c>
      <c r="BD21" s="29" t="str">
        <f>IF($P$21="FUM",$Q$21,IF($S$21="FUM",$T$21,IF($V$21="FUM",$W$21,IF($Y$21="FUM",$Z$21,IF($AB$21="FUM",$AC$21,IF($AE$21="FUM",$AF$21,IF($AH$21="FUM",$AI$21,IF($AK$21="FUM",$AL$21,IF($AN$21="FUM",$AO$21,IF($AQ$21="FUM",$AR$21,""))))))))))</f>
        <v/>
      </c>
    </row>
    <row r="22" spans="8:56" hidden="1" x14ac:dyDescent="0.25">
      <c r="H22" s="4">
        <f t="shared" si="1"/>
        <v>0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O22" s="28">
        <f t="shared" si="16"/>
        <v>0</v>
      </c>
      <c r="P22" s="4">
        <f t="shared" si="2"/>
        <v>0</v>
      </c>
      <c r="Q22" s="4">
        <f t="shared" si="2"/>
        <v>0</v>
      </c>
      <c r="R22" s="4">
        <f t="shared" si="2"/>
        <v>0</v>
      </c>
      <c r="S22" s="4">
        <f t="shared" si="3"/>
        <v>0</v>
      </c>
      <c r="T22" s="4">
        <f t="shared" si="3"/>
        <v>0</v>
      </c>
      <c r="U22" s="4">
        <f t="shared" si="3"/>
        <v>0</v>
      </c>
      <c r="V22" s="4">
        <f t="shared" si="4"/>
        <v>0</v>
      </c>
      <c r="W22" s="4">
        <f t="shared" si="4"/>
        <v>0</v>
      </c>
      <c r="X22" s="4">
        <f t="shared" si="4"/>
        <v>0</v>
      </c>
      <c r="Y22" s="4">
        <f t="shared" si="5"/>
        <v>0</v>
      </c>
      <c r="Z22" s="4">
        <f t="shared" si="5"/>
        <v>0</v>
      </c>
      <c r="AA22" s="4">
        <f t="shared" si="5"/>
        <v>0</v>
      </c>
      <c r="AB22" s="4">
        <f t="shared" si="6"/>
        <v>0</v>
      </c>
      <c r="AC22" s="4">
        <f t="shared" si="6"/>
        <v>0</v>
      </c>
      <c r="AD22" s="4">
        <f t="shared" si="6"/>
        <v>0</v>
      </c>
      <c r="AE22" s="4">
        <f t="shared" si="7"/>
        <v>0</v>
      </c>
      <c r="AF22" s="4">
        <f t="shared" si="7"/>
        <v>0</v>
      </c>
      <c r="AG22" s="4">
        <f t="shared" si="7"/>
        <v>0</v>
      </c>
      <c r="AH22" s="4">
        <f t="shared" si="8"/>
        <v>0</v>
      </c>
      <c r="AI22" s="4">
        <f t="shared" si="8"/>
        <v>0</v>
      </c>
      <c r="AJ22" s="4">
        <f t="shared" si="8"/>
        <v>0</v>
      </c>
      <c r="AK22" s="4">
        <f t="shared" si="9"/>
        <v>0</v>
      </c>
      <c r="AL22" s="4">
        <f t="shared" si="9"/>
        <v>0</v>
      </c>
      <c r="AM22" s="4">
        <f t="shared" si="9"/>
        <v>0</v>
      </c>
      <c r="AN22" s="4">
        <f t="shared" si="10"/>
        <v>0</v>
      </c>
      <c r="AO22" s="4">
        <f t="shared" si="10"/>
        <v>0</v>
      </c>
      <c r="AP22" s="4">
        <f t="shared" si="10"/>
        <v>0</v>
      </c>
      <c r="AQ22" s="4">
        <f t="shared" si="11"/>
        <v>0</v>
      </c>
      <c r="AR22" s="4">
        <f t="shared" si="11"/>
        <v>0</v>
      </c>
      <c r="AT22" s="28">
        <v>9</v>
      </c>
      <c r="AU22" s="29" t="str">
        <f>IF($P$22="3L",$Q$22,IF($S$22="3L",$T$22,IF($V$22="3L",$W$22,IF($Y$22="3L",$Z$22,IF($AB$22="3L",$AC$22,IF($AE$22="3L",$AF$22,IF($AH$22="3L",$AI$22,IF($AK$22="3L",$AL$22,IF($AN$22="3L",$AO$22,IF($AQ$22="3L",$AR$22,""))))))))))</f>
        <v/>
      </c>
      <c r="AV22" s="29" t="str">
        <f>IF($P$22="4L",$Q$22,IF($S$22="4L",$T$22,IF($V$22="4L",$W$22,IF($Y$22="4L",$Z$22,IF($AB$22="4L",$AC$22,IF($AE$22="4L",$AF$22,IF($AH$22="4L",$AI$22,IF($AK$22="4L",$AL$22,IF($AN$22="4L",$AO$22,IF($AQ$22="4L",$AR$22,""))))))))))</f>
        <v/>
      </c>
      <c r="AW22" s="29" t="str">
        <f>IF($P$22="5L",$Q$22,IF($S$22="5L",$T$22,IF($V$22="5L",$W$22,IF($Y$22="5L",$Z$22,IF($AB$22="5L",$AC$22,IF($AE$22="5L",$AF$22,IF($AH$22="5L",$AI$22,IF($AK$22="5L",$AL$22,IF($AN$22="5L",$AO$22,IF($AQ$22="5L",$AR$22,""))))))))))</f>
        <v/>
      </c>
      <c r="AX22" s="29" t="str">
        <f>IF($P$22="6L",$Q$22,IF($S$22="6L",$T$22,IF($V$22="6L",$W$22,IF($Y$22="6L",$Z$22,IF($AB$22="6L",$AC$22,IF($AE$22="6L",$AF$22,IF($AH$22="6L",$AI$22,IF($AK$22="6L",$AL$22,IF($AN$22="6L",$AO$22,IF($AQ$22="6L",$AR$22,""))))))))))</f>
        <v/>
      </c>
      <c r="AY22" s="29" t="str">
        <f>IF($P$22="7L",$Q$22,IF($S$22="7L",$T$22,IF($V$22="7L",$W$22,IF($Y$22="7L",$Z$22,IF($AB$22="7L",$AC$22,IF($AE$22="7L",$AF$22,IF($AH$22="7L",$AI$22,IF($AK$22="7L",$AL$22,IF($AN$22="7L",$AO$22,IF($AQ$22="7L",$AR$22,""))))))))))</f>
        <v/>
      </c>
      <c r="AZ22" s="29" t="str">
        <f t="shared" si="12"/>
        <v/>
      </c>
      <c r="BA22" s="29" t="str">
        <f t="shared" si="13"/>
        <v/>
      </c>
      <c r="BB22" s="29" t="str">
        <f t="shared" si="14"/>
        <v/>
      </c>
      <c r="BC22" s="29" t="str">
        <f t="shared" si="15"/>
        <v/>
      </c>
      <c r="BD22" s="29" t="str">
        <f>IF($P$22="FUM",$Q$22,IF($S$22="FUM",$T$22,IF($V$22="FUM",$W$22,IF($Y$22="FUM",$Z$22,IF($AB$22="FUM",$AC$22,IF($AE$22="FUM",$AF$22,IF($AH$22="FUM",$AI$22,IF($AK$22="FUM",$AL$22,IF($AN$22="FUM",$AO$22,IF($AQ$22="FUM",$AR$22,""))))))))))</f>
        <v/>
      </c>
    </row>
    <row r="23" spans="8:56" hidden="1" x14ac:dyDescent="0.25">
      <c r="H23" s="4">
        <f t="shared" si="1"/>
        <v>0</v>
      </c>
      <c r="I23" s="4">
        <f t="shared" si="1"/>
        <v>0</v>
      </c>
      <c r="J23" s="4">
        <f t="shared" si="1"/>
        <v>0</v>
      </c>
      <c r="K23" s="4">
        <f t="shared" si="1"/>
        <v>0</v>
      </c>
      <c r="L23" s="4">
        <f t="shared" si="1"/>
        <v>0</v>
      </c>
      <c r="O23" s="28">
        <f t="shared" si="16"/>
        <v>0</v>
      </c>
      <c r="P23" s="4">
        <f t="shared" si="2"/>
        <v>0</v>
      </c>
      <c r="Q23" s="4">
        <f t="shared" si="2"/>
        <v>0</v>
      </c>
      <c r="R23" s="4">
        <f t="shared" si="2"/>
        <v>0</v>
      </c>
      <c r="S23" s="4">
        <f t="shared" si="3"/>
        <v>0</v>
      </c>
      <c r="T23" s="4">
        <f t="shared" si="3"/>
        <v>0</v>
      </c>
      <c r="U23" s="4">
        <f t="shared" si="3"/>
        <v>0</v>
      </c>
      <c r="V23" s="4">
        <f t="shared" si="4"/>
        <v>0</v>
      </c>
      <c r="W23" s="4">
        <f t="shared" si="4"/>
        <v>0</v>
      </c>
      <c r="X23" s="4">
        <f t="shared" si="4"/>
        <v>0</v>
      </c>
      <c r="Y23" s="4">
        <f t="shared" si="5"/>
        <v>0</v>
      </c>
      <c r="Z23" s="4">
        <f t="shared" si="5"/>
        <v>0</v>
      </c>
      <c r="AA23" s="4">
        <f t="shared" si="5"/>
        <v>0</v>
      </c>
      <c r="AB23" s="4">
        <f t="shared" si="6"/>
        <v>0</v>
      </c>
      <c r="AC23" s="4">
        <f t="shared" si="6"/>
        <v>0</v>
      </c>
      <c r="AD23" s="4">
        <f t="shared" si="6"/>
        <v>0</v>
      </c>
      <c r="AE23" s="4">
        <f t="shared" si="7"/>
        <v>0</v>
      </c>
      <c r="AF23" s="4">
        <f t="shared" si="7"/>
        <v>0</v>
      </c>
      <c r="AG23" s="4">
        <f t="shared" si="7"/>
        <v>0</v>
      </c>
      <c r="AH23" s="4">
        <f t="shared" si="8"/>
        <v>0</v>
      </c>
      <c r="AI23" s="4">
        <f t="shared" si="8"/>
        <v>0</v>
      </c>
      <c r="AJ23" s="4">
        <f t="shared" si="8"/>
        <v>0</v>
      </c>
      <c r="AK23" s="4">
        <f t="shared" si="9"/>
        <v>0</v>
      </c>
      <c r="AL23" s="4">
        <f t="shared" si="9"/>
        <v>0</v>
      </c>
      <c r="AM23" s="4">
        <f t="shared" si="9"/>
        <v>0</v>
      </c>
      <c r="AN23" s="4">
        <f t="shared" si="10"/>
        <v>0</v>
      </c>
      <c r="AO23" s="4">
        <f t="shared" si="10"/>
        <v>0</v>
      </c>
      <c r="AP23" s="4">
        <f t="shared" si="10"/>
        <v>0</v>
      </c>
      <c r="AQ23" s="4">
        <f t="shared" si="11"/>
        <v>0</v>
      </c>
      <c r="AR23" s="4">
        <f t="shared" si="11"/>
        <v>0</v>
      </c>
      <c r="AT23" s="28">
        <v>10</v>
      </c>
      <c r="AU23" s="29" t="str">
        <f>IF($P$23="3L",$Q$23,IF($S$23="3L",$T$23,IF($V$23="3L",$W$23,IF($Y$23="3L",$Z$23,IF($AB$23="3L",$AC$23,IF($AE$23="3L",$AF$23,IF($AH$23="3L",$AI$23,IF($AK$23="3L",$AL$23,IF($AN$23="3L",$AO$23,IF($AQ$23="3L",$AR$23,""))))))))))</f>
        <v/>
      </c>
      <c r="AV23" s="29" t="str">
        <f>IF($P$23="4L",$Q$23,IF($S$23="4L",$T$23,IF($V$23="4L",$W$23,IF($Y$23="4L",$Z$23,IF($AB$23="4L",$AC$23,IF($AE$23="4L",$AF$23,IF($AH$23="4L",$AI$23,IF($AK$23="4L",$AL$23,IF($AN$23="4L",$AO$23,IF($AQ$23="4L",$AR$23,""))))))))))</f>
        <v/>
      </c>
      <c r="AW23" s="29" t="str">
        <f>IF($P$23="5L",$Q$23,IF($S$23="5L",$T$23,IF($V$23="5L",$W$23,IF($Y$23="5L",$Z$23,IF($AB$23="5L",$AC$23,IF($AE$23="5L",$AF$23,IF($AH$23="5L",$AI$23,IF($AK$23="5L",$AL$23,IF($AN$23="5L",$AO$23,IF($AQ$23="5L",$AR$23,""))))))))))</f>
        <v/>
      </c>
      <c r="AX23" s="29" t="str">
        <f>IF($P$23="6L",$Q$23,IF($S$23="6L",$T$23,IF($V$23="6L",$W$23,IF($Y$23="6L",$Z$23,IF($AB$23="6L",$AC$23,IF($AE$23="6L",$AF$23,IF($AH$23="6L",$AI$23,IF($AK$23="6L",$AL$23,IF($AN$23="6L",$AO$23,IF($AQ$23="6L",$AR$23,""))))))))))</f>
        <v/>
      </c>
      <c r="AY23" s="29" t="str">
        <f>IF($P$23="7L",$Q$23,IF($S$23="7L",$T$23,IF($V$23="7L",$W$23,IF($Y$23="7L",$Z$23,IF($AB$23="7L",$AC$23,IF($AE$23="7L",$AF$23,IF($AH$23="7L",$AI$23,IF($AK$23="7L",$AL$23,IF($AN$23="7L",$AO$23,IF($AQ$23="7L",$AR$23,""))))))))))</f>
        <v/>
      </c>
      <c r="AZ23" s="29" t="str">
        <f t="shared" si="12"/>
        <v/>
      </c>
      <c r="BA23" s="29" t="str">
        <f t="shared" si="13"/>
        <v/>
      </c>
      <c r="BB23" s="29" t="str">
        <f t="shared" si="14"/>
        <v/>
      </c>
      <c r="BC23" s="29" t="str">
        <f t="shared" si="15"/>
        <v/>
      </c>
      <c r="BD23" s="29" t="str">
        <f>IF($P$23="FUM",$Q$23,IF($S$23="FUM",$T$23,IF($V$23="FUM",$W$23,IF($Y$23="FUM",$Z$23,IF($AB$23="FUM",$AC$23,IF($AE$23="FUM",$AF$23,IF($AH$23="FUM",$AI$23,IF($AK$23="FUM",$AL$23,IF($AN$23="FUM",$AO$23,IF($AQ$23="FUM",$AR$23,""))))))))))</f>
        <v/>
      </c>
    </row>
    <row r="24" spans="8:56" hidden="1" x14ac:dyDescent="0.25">
      <c r="H24" s="4" t="str">
        <f t="shared" ref="H24:L33" si="17">P2</f>
        <v>AG</v>
      </c>
      <c r="I24" s="4">
        <f t="shared" si="17"/>
        <v>1000</v>
      </c>
      <c r="J24" s="4">
        <f t="shared" si="17"/>
        <v>10</v>
      </c>
      <c r="K24" s="4" t="str">
        <f t="shared" si="17"/>
        <v>Y</v>
      </c>
      <c r="L24" s="4" t="str">
        <f t="shared" si="17"/>
        <v>3L</v>
      </c>
    </row>
    <row r="25" spans="8:56" hidden="1" x14ac:dyDescent="0.25">
      <c r="H25" s="4">
        <f t="shared" si="17"/>
        <v>0</v>
      </c>
      <c r="I25" s="4">
        <f t="shared" si="17"/>
        <v>0</v>
      </c>
      <c r="J25" s="4">
        <f t="shared" si="17"/>
        <v>0</v>
      </c>
      <c r="K25" s="4">
        <f t="shared" si="17"/>
        <v>0</v>
      </c>
      <c r="L25" s="4">
        <f t="shared" si="17"/>
        <v>0</v>
      </c>
    </row>
    <row r="26" spans="8:56" hidden="1" x14ac:dyDescent="0.25">
      <c r="H26" s="4">
        <f t="shared" si="17"/>
        <v>0</v>
      </c>
      <c r="I26" s="4">
        <f t="shared" si="17"/>
        <v>0</v>
      </c>
      <c r="J26" s="4">
        <f t="shared" si="17"/>
        <v>0</v>
      </c>
      <c r="K26" s="4">
        <f t="shared" si="17"/>
        <v>0</v>
      </c>
      <c r="L26" s="4">
        <f t="shared" si="17"/>
        <v>0</v>
      </c>
    </row>
    <row r="27" spans="8:56" hidden="1" x14ac:dyDescent="0.25">
      <c r="H27" s="4">
        <f t="shared" si="17"/>
        <v>0</v>
      </c>
      <c r="I27" s="4">
        <f t="shared" si="17"/>
        <v>0</v>
      </c>
      <c r="J27" s="4">
        <f t="shared" si="17"/>
        <v>0</v>
      </c>
      <c r="K27" s="4">
        <f t="shared" si="17"/>
        <v>0</v>
      </c>
      <c r="L27" s="4">
        <f t="shared" si="17"/>
        <v>0</v>
      </c>
    </row>
    <row r="28" spans="8:56" hidden="1" x14ac:dyDescent="0.25">
      <c r="H28" s="4">
        <f t="shared" si="17"/>
        <v>0</v>
      </c>
      <c r="I28" s="4">
        <f t="shared" si="17"/>
        <v>0</v>
      </c>
      <c r="J28" s="4">
        <f t="shared" si="17"/>
        <v>0</v>
      </c>
      <c r="K28" s="4">
        <f t="shared" si="17"/>
        <v>0</v>
      </c>
      <c r="L28" s="4">
        <f t="shared" si="17"/>
        <v>0</v>
      </c>
    </row>
    <row r="29" spans="8:56" hidden="1" x14ac:dyDescent="0.25"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</row>
    <row r="30" spans="8:56" hidden="1" x14ac:dyDescent="0.25">
      <c r="H30" s="4">
        <f t="shared" si="17"/>
        <v>0</v>
      </c>
      <c r="I30" s="4">
        <f t="shared" si="17"/>
        <v>0</v>
      </c>
      <c r="J30" s="4">
        <f t="shared" si="17"/>
        <v>0</v>
      </c>
      <c r="K30" s="4">
        <f t="shared" si="17"/>
        <v>0</v>
      </c>
      <c r="L30" s="4">
        <f t="shared" si="17"/>
        <v>0</v>
      </c>
    </row>
    <row r="31" spans="8:56" hidden="1" x14ac:dyDescent="0.25">
      <c r="H31" s="4">
        <f t="shared" si="17"/>
        <v>0</v>
      </c>
      <c r="I31" s="4">
        <f t="shared" si="17"/>
        <v>0</v>
      </c>
      <c r="J31" s="4">
        <f t="shared" si="17"/>
        <v>0</v>
      </c>
      <c r="K31" s="4">
        <f t="shared" si="17"/>
        <v>0</v>
      </c>
      <c r="L31" s="4">
        <f t="shared" si="17"/>
        <v>0</v>
      </c>
    </row>
    <row r="32" spans="8:56" hidden="1" x14ac:dyDescent="0.25">
      <c r="H32" s="4">
        <f t="shared" si="17"/>
        <v>0</v>
      </c>
      <c r="I32" s="4">
        <f t="shared" si="17"/>
        <v>0</v>
      </c>
      <c r="J32" s="4">
        <f t="shared" si="17"/>
        <v>0</v>
      </c>
      <c r="K32" s="4">
        <f t="shared" si="17"/>
        <v>0</v>
      </c>
      <c r="L32" s="4">
        <f t="shared" si="17"/>
        <v>0</v>
      </c>
    </row>
    <row r="33" spans="8:12" hidden="1" x14ac:dyDescent="0.25">
      <c r="H33" s="4">
        <f t="shared" si="17"/>
        <v>0</v>
      </c>
      <c r="I33" s="4">
        <f t="shared" si="17"/>
        <v>0</v>
      </c>
      <c r="J33" s="4">
        <f t="shared" si="17"/>
        <v>0</v>
      </c>
      <c r="K33" s="4">
        <f t="shared" si="17"/>
        <v>0</v>
      </c>
      <c r="L33" s="4">
        <f t="shared" si="17"/>
        <v>0</v>
      </c>
    </row>
    <row r="34" spans="8:12" hidden="1" x14ac:dyDescent="0.25">
      <c r="H34" s="4" t="str">
        <f t="shared" ref="H34:L43" si="18">V2</f>
        <v>AG</v>
      </c>
      <c r="I34" s="4">
        <f t="shared" si="18"/>
        <v>750</v>
      </c>
      <c r="J34" s="4">
        <f t="shared" si="18"/>
        <v>10</v>
      </c>
      <c r="K34" s="4" t="str">
        <f t="shared" si="18"/>
        <v>Y</v>
      </c>
      <c r="L34" s="4" t="str">
        <f t="shared" si="18"/>
        <v>3L</v>
      </c>
    </row>
    <row r="35" spans="8:12" hidden="1" x14ac:dyDescent="0.25">
      <c r="H35" s="4">
        <f t="shared" si="18"/>
        <v>0</v>
      </c>
      <c r="I35" s="4">
        <f t="shared" si="18"/>
        <v>0</v>
      </c>
      <c r="J35" s="4">
        <f t="shared" si="18"/>
        <v>0</v>
      </c>
      <c r="K35" s="4">
        <f t="shared" si="18"/>
        <v>0</v>
      </c>
      <c r="L35" s="4">
        <f t="shared" si="18"/>
        <v>0</v>
      </c>
    </row>
    <row r="36" spans="8:12" hidden="1" x14ac:dyDescent="0.25">
      <c r="H36" s="4">
        <f t="shared" si="18"/>
        <v>0</v>
      </c>
      <c r="I36" s="4">
        <f t="shared" si="18"/>
        <v>0</v>
      </c>
      <c r="J36" s="4">
        <f t="shared" si="18"/>
        <v>0</v>
      </c>
      <c r="K36" s="4">
        <f t="shared" si="18"/>
        <v>0</v>
      </c>
      <c r="L36" s="4">
        <f t="shared" si="18"/>
        <v>0</v>
      </c>
    </row>
    <row r="37" spans="8:12" hidden="1" x14ac:dyDescent="0.25">
      <c r="H37" s="4">
        <f t="shared" si="18"/>
        <v>0</v>
      </c>
      <c r="I37" s="4">
        <f t="shared" si="18"/>
        <v>0</v>
      </c>
      <c r="J37" s="4">
        <f t="shared" si="18"/>
        <v>0</v>
      </c>
      <c r="K37" s="4">
        <f t="shared" si="18"/>
        <v>0</v>
      </c>
      <c r="L37" s="4">
        <f t="shared" si="18"/>
        <v>0</v>
      </c>
    </row>
    <row r="38" spans="8:12" hidden="1" x14ac:dyDescent="0.25">
      <c r="H38" s="4">
        <f t="shared" si="18"/>
        <v>0</v>
      </c>
      <c r="I38" s="4">
        <f t="shared" si="18"/>
        <v>0</v>
      </c>
      <c r="J38" s="4">
        <f t="shared" si="18"/>
        <v>0</v>
      </c>
      <c r="K38" s="4">
        <f t="shared" si="18"/>
        <v>0</v>
      </c>
      <c r="L38" s="4">
        <f t="shared" si="18"/>
        <v>0</v>
      </c>
    </row>
    <row r="39" spans="8:12" hidden="1" x14ac:dyDescent="0.25">
      <c r="H39" s="4">
        <f t="shared" si="18"/>
        <v>0</v>
      </c>
      <c r="I39" s="4">
        <f t="shared" si="18"/>
        <v>0</v>
      </c>
      <c r="J39" s="4">
        <f t="shared" si="18"/>
        <v>0</v>
      </c>
      <c r="K39" s="4">
        <f t="shared" si="18"/>
        <v>0</v>
      </c>
      <c r="L39" s="4">
        <f t="shared" si="18"/>
        <v>0</v>
      </c>
    </row>
    <row r="40" spans="8:12" hidden="1" x14ac:dyDescent="0.25">
      <c r="H40" s="4">
        <f t="shared" si="18"/>
        <v>0</v>
      </c>
      <c r="I40" s="4">
        <f t="shared" si="18"/>
        <v>0</v>
      </c>
      <c r="J40" s="4">
        <f t="shared" si="18"/>
        <v>0</v>
      </c>
      <c r="K40" s="4">
        <f t="shared" si="18"/>
        <v>0</v>
      </c>
      <c r="L40" s="4">
        <f t="shared" si="18"/>
        <v>0</v>
      </c>
    </row>
    <row r="41" spans="8:12" hidden="1" x14ac:dyDescent="0.25">
      <c r="H41" s="4">
        <f t="shared" si="18"/>
        <v>0</v>
      </c>
      <c r="I41" s="4">
        <f t="shared" si="18"/>
        <v>0</v>
      </c>
      <c r="J41" s="4">
        <f t="shared" si="18"/>
        <v>0</v>
      </c>
      <c r="K41" s="4">
        <f t="shared" si="18"/>
        <v>0</v>
      </c>
      <c r="L41" s="4">
        <f t="shared" si="18"/>
        <v>0</v>
      </c>
    </row>
    <row r="42" spans="8:12" hidden="1" x14ac:dyDescent="0.25">
      <c r="H42" s="4">
        <f t="shared" si="18"/>
        <v>0</v>
      </c>
      <c r="I42" s="4">
        <f t="shared" si="18"/>
        <v>0</v>
      </c>
      <c r="J42" s="4">
        <f t="shared" si="18"/>
        <v>0</v>
      </c>
      <c r="K42" s="4">
        <f t="shared" si="18"/>
        <v>0</v>
      </c>
      <c r="L42" s="4">
        <f t="shared" si="18"/>
        <v>0</v>
      </c>
    </row>
    <row r="43" spans="8:12" hidden="1" x14ac:dyDescent="0.25">
      <c r="H43" s="4">
        <f t="shared" si="18"/>
        <v>0</v>
      </c>
      <c r="I43" s="4">
        <f t="shared" si="18"/>
        <v>0</v>
      </c>
      <c r="J43" s="4">
        <f t="shared" si="18"/>
        <v>0</v>
      </c>
      <c r="K43" s="4">
        <f t="shared" si="18"/>
        <v>0</v>
      </c>
      <c r="L43" s="4">
        <f t="shared" si="18"/>
        <v>0</v>
      </c>
    </row>
    <row r="44" spans="8:12" hidden="1" x14ac:dyDescent="0.25">
      <c r="H44" s="4" t="str">
        <f t="shared" ref="H44:L53" si="19">AB2</f>
        <v>AG</v>
      </c>
      <c r="I44" s="4">
        <f t="shared" si="19"/>
        <v>500</v>
      </c>
      <c r="J44" s="4">
        <f t="shared" si="19"/>
        <v>20</v>
      </c>
      <c r="K44" s="4" t="str">
        <f t="shared" si="19"/>
        <v>Y</v>
      </c>
      <c r="L44" s="4" t="str">
        <f t="shared" si="19"/>
        <v>3L</v>
      </c>
    </row>
    <row r="45" spans="8:12" hidden="1" x14ac:dyDescent="0.25">
      <c r="H45" s="4">
        <f t="shared" si="19"/>
        <v>0</v>
      </c>
      <c r="I45" s="4">
        <f t="shared" si="19"/>
        <v>0</v>
      </c>
      <c r="J45" s="4">
        <f t="shared" si="19"/>
        <v>0</v>
      </c>
      <c r="K45" s="4">
        <f t="shared" si="19"/>
        <v>0</v>
      </c>
      <c r="L45" s="4">
        <f t="shared" si="19"/>
        <v>0</v>
      </c>
    </row>
    <row r="46" spans="8:12" hidden="1" x14ac:dyDescent="0.25">
      <c r="H46" s="4">
        <f t="shared" si="19"/>
        <v>0</v>
      </c>
      <c r="I46" s="4">
        <f t="shared" si="19"/>
        <v>0</v>
      </c>
      <c r="J46" s="4">
        <f t="shared" si="19"/>
        <v>0</v>
      </c>
      <c r="K46" s="4">
        <f t="shared" si="19"/>
        <v>0</v>
      </c>
      <c r="L46" s="4">
        <f t="shared" si="19"/>
        <v>0</v>
      </c>
    </row>
    <row r="47" spans="8:12" hidden="1" x14ac:dyDescent="0.25">
      <c r="H47" s="4">
        <f t="shared" si="19"/>
        <v>0</v>
      </c>
      <c r="I47" s="4">
        <f t="shared" si="19"/>
        <v>0</v>
      </c>
      <c r="J47" s="4">
        <f t="shared" si="19"/>
        <v>0</v>
      </c>
      <c r="K47" s="4">
        <f t="shared" si="19"/>
        <v>0</v>
      </c>
      <c r="L47" s="4">
        <f t="shared" si="19"/>
        <v>0</v>
      </c>
    </row>
    <row r="48" spans="8:12" hidden="1" x14ac:dyDescent="0.25">
      <c r="H48" s="4">
        <f t="shared" si="19"/>
        <v>0</v>
      </c>
      <c r="I48" s="4">
        <f t="shared" si="19"/>
        <v>0</v>
      </c>
      <c r="J48" s="4">
        <f t="shared" si="19"/>
        <v>0</v>
      </c>
      <c r="K48" s="4">
        <f t="shared" si="19"/>
        <v>0</v>
      </c>
      <c r="L48" s="4">
        <f t="shared" si="19"/>
        <v>0</v>
      </c>
    </row>
    <row r="49" spans="8:12" hidden="1" x14ac:dyDescent="0.25">
      <c r="H49" s="4">
        <f t="shared" si="19"/>
        <v>0</v>
      </c>
      <c r="I49" s="4">
        <f t="shared" si="19"/>
        <v>0</v>
      </c>
      <c r="J49" s="4">
        <f t="shared" si="19"/>
        <v>0</v>
      </c>
      <c r="K49" s="4">
        <f t="shared" si="19"/>
        <v>0</v>
      </c>
      <c r="L49" s="4">
        <f t="shared" si="19"/>
        <v>0</v>
      </c>
    </row>
    <row r="50" spans="8:12" hidden="1" x14ac:dyDescent="0.25">
      <c r="H50" s="4">
        <f t="shared" si="19"/>
        <v>0</v>
      </c>
      <c r="I50" s="4">
        <f t="shared" si="19"/>
        <v>0</v>
      </c>
      <c r="J50" s="4">
        <f t="shared" si="19"/>
        <v>0</v>
      </c>
      <c r="K50" s="4">
        <f t="shared" si="19"/>
        <v>0</v>
      </c>
      <c r="L50" s="4">
        <f t="shared" si="19"/>
        <v>0</v>
      </c>
    </row>
    <row r="51" spans="8:12" hidden="1" x14ac:dyDescent="0.25">
      <c r="H51" s="4">
        <f t="shared" si="19"/>
        <v>0</v>
      </c>
      <c r="I51" s="4">
        <f t="shared" si="19"/>
        <v>0</v>
      </c>
      <c r="J51" s="4">
        <f t="shared" si="19"/>
        <v>0</v>
      </c>
      <c r="K51" s="4">
        <f t="shared" si="19"/>
        <v>0</v>
      </c>
      <c r="L51" s="4">
        <f t="shared" si="19"/>
        <v>0</v>
      </c>
    </row>
    <row r="52" spans="8:12" hidden="1" x14ac:dyDescent="0.25">
      <c r="H52" s="4">
        <f t="shared" si="19"/>
        <v>0</v>
      </c>
      <c r="I52" s="4">
        <f t="shared" si="19"/>
        <v>0</v>
      </c>
      <c r="J52" s="4">
        <f t="shared" si="19"/>
        <v>0</v>
      </c>
      <c r="K52" s="4">
        <f t="shared" si="19"/>
        <v>0</v>
      </c>
      <c r="L52" s="4">
        <f t="shared" si="19"/>
        <v>0</v>
      </c>
    </row>
    <row r="53" spans="8:12" hidden="1" x14ac:dyDescent="0.25">
      <c r="H53" s="4">
        <f t="shared" si="19"/>
        <v>0</v>
      </c>
      <c r="I53" s="4">
        <f t="shared" si="19"/>
        <v>0</v>
      </c>
      <c r="J53" s="4">
        <f t="shared" si="19"/>
        <v>0</v>
      </c>
      <c r="K53" s="4">
        <f t="shared" si="19"/>
        <v>0</v>
      </c>
      <c r="L53" s="4">
        <f t="shared" si="19"/>
        <v>0</v>
      </c>
    </row>
    <row r="54" spans="8:12" hidden="1" x14ac:dyDescent="0.25">
      <c r="H54" s="4">
        <f t="shared" ref="H54:L63" si="20">AH2</f>
        <v>0</v>
      </c>
      <c r="I54" s="4">
        <f t="shared" si="20"/>
        <v>0</v>
      </c>
      <c r="J54" s="4">
        <f t="shared" si="20"/>
        <v>0</v>
      </c>
      <c r="K54" s="4">
        <f t="shared" si="20"/>
        <v>0</v>
      </c>
      <c r="L54" s="4">
        <f t="shared" si="20"/>
        <v>0</v>
      </c>
    </row>
    <row r="55" spans="8:12" hidden="1" x14ac:dyDescent="0.25">
      <c r="H55" s="4">
        <f t="shared" si="20"/>
        <v>0</v>
      </c>
      <c r="I55" s="4">
        <f t="shared" si="20"/>
        <v>0</v>
      </c>
      <c r="J55" s="4">
        <f t="shared" si="20"/>
        <v>0</v>
      </c>
      <c r="K55" s="4">
        <f t="shared" si="20"/>
        <v>0</v>
      </c>
      <c r="L55" s="4">
        <f t="shared" si="20"/>
        <v>0</v>
      </c>
    </row>
    <row r="56" spans="8:12" hidden="1" x14ac:dyDescent="0.25">
      <c r="H56" s="4">
        <f t="shared" si="20"/>
        <v>0</v>
      </c>
      <c r="I56" s="4">
        <f t="shared" si="20"/>
        <v>0</v>
      </c>
      <c r="J56" s="4">
        <f t="shared" si="20"/>
        <v>0</v>
      </c>
      <c r="K56" s="4">
        <f t="shared" si="20"/>
        <v>0</v>
      </c>
      <c r="L56" s="4">
        <f t="shared" si="20"/>
        <v>0</v>
      </c>
    </row>
    <row r="57" spans="8:12" hidden="1" x14ac:dyDescent="0.25">
      <c r="H57" s="4">
        <f t="shared" si="20"/>
        <v>0</v>
      </c>
      <c r="I57" s="4">
        <f t="shared" si="20"/>
        <v>0</v>
      </c>
      <c r="J57" s="4">
        <f t="shared" si="20"/>
        <v>0</v>
      </c>
      <c r="K57" s="4">
        <f t="shared" si="20"/>
        <v>0</v>
      </c>
      <c r="L57" s="4">
        <f t="shared" si="20"/>
        <v>0</v>
      </c>
    </row>
    <row r="58" spans="8:12" hidden="1" x14ac:dyDescent="0.25">
      <c r="H58" s="4">
        <f t="shared" si="20"/>
        <v>0</v>
      </c>
      <c r="I58" s="4">
        <f t="shared" si="20"/>
        <v>0</v>
      </c>
      <c r="J58" s="4">
        <f t="shared" si="20"/>
        <v>0</v>
      </c>
      <c r="K58" s="4">
        <f t="shared" si="20"/>
        <v>0</v>
      </c>
      <c r="L58" s="4">
        <f t="shared" si="20"/>
        <v>0</v>
      </c>
    </row>
    <row r="59" spans="8:12" hidden="1" x14ac:dyDescent="0.25">
      <c r="H59" s="4">
        <f t="shared" si="20"/>
        <v>0</v>
      </c>
      <c r="I59" s="4">
        <f t="shared" si="20"/>
        <v>0</v>
      </c>
      <c r="J59" s="4">
        <f t="shared" si="20"/>
        <v>0</v>
      </c>
      <c r="K59" s="4">
        <f t="shared" si="20"/>
        <v>0</v>
      </c>
      <c r="L59" s="4">
        <f t="shared" si="20"/>
        <v>0</v>
      </c>
    </row>
    <row r="60" spans="8:12" hidden="1" x14ac:dyDescent="0.25">
      <c r="H60" s="4">
        <f t="shared" si="20"/>
        <v>0</v>
      </c>
      <c r="I60" s="4">
        <f t="shared" si="20"/>
        <v>0</v>
      </c>
      <c r="J60" s="4">
        <f t="shared" si="20"/>
        <v>0</v>
      </c>
      <c r="K60" s="4">
        <f t="shared" si="20"/>
        <v>0</v>
      </c>
      <c r="L60" s="4">
        <f t="shared" si="20"/>
        <v>0</v>
      </c>
    </row>
    <row r="61" spans="8:12" hidden="1" x14ac:dyDescent="0.25">
      <c r="H61" s="4">
        <f t="shared" si="20"/>
        <v>0</v>
      </c>
      <c r="I61" s="4">
        <f t="shared" si="20"/>
        <v>0</v>
      </c>
      <c r="J61" s="4">
        <f t="shared" si="20"/>
        <v>0</v>
      </c>
      <c r="K61" s="4">
        <f t="shared" si="20"/>
        <v>0</v>
      </c>
      <c r="L61" s="4">
        <f t="shared" si="20"/>
        <v>0</v>
      </c>
    </row>
    <row r="62" spans="8:12" hidden="1" x14ac:dyDescent="0.25">
      <c r="H62" s="4">
        <f t="shared" si="20"/>
        <v>0</v>
      </c>
      <c r="I62" s="4">
        <f t="shared" si="20"/>
        <v>0</v>
      </c>
      <c r="J62" s="4">
        <f t="shared" si="20"/>
        <v>0</v>
      </c>
      <c r="K62" s="4">
        <f t="shared" si="20"/>
        <v>0</v>
      </c>
      <c r="L62" s="4">
        <f t="shared" si="20"/>
        <v>0</v>
      </c>
    </row>
    <row r="63" spans="8:12" hidden="1" x14ac:dyDescent="0.25">
      <c r="H63" s="4">
        <f t="shared" si="20"/>
        <v>0</v>
      </c>
      <c r="I63" s="4">
        <f t="shared" si="20"/>
        <v>0</v>
      </c>
      <c r="J63" s="4">
        <f t="shared" si="20"/>
        <v>0</v>
      </c>
      <c r="K63" s="4">
        <f t="shared" si="20"/>
        <v>0</v>
      </c>
      <c r="L63" s="4">
        <f t="shared" si="20"/>
        <v>0</v>
      </c>
    </row>
    <row r="64" spans="8:12" hidden="1" x14ac:dyDescent="0.25">
      <c r="H64" s="4">
        <f t="shared" ref="H64:L73" si="21">AN2</f>
        <v>0</v>
      </c>
      <c r="I64" s="4">
        <f t="shared" si="21"/>
        <v>0</v>
      </c>
      <c r="J64" s="4">
        <f t="shared" si="21"/>
        <v>0</v>
      </c>
      <c r="K64" s="4">
        <f t="shared" si="21"/>
        <v>0</v>
      </c>
      <c r="L64" s="4">
        <f t="shared" si="21"/>
        <v>0</v>
      </c>
    </row>
    <row r="65" spans="8:12" hidden="1" x14ac:dyDescent="0.25">
      <c r="H65" s="4">
        <f t="shared" si="21"/>
        <v>0</v>
      </c>
      <c r="I65" s="4">
        <f t="shared" si="21"/>
        <v>0</v>
      </c>
      <c r="J65" s="4">
        <f t="shared" si="21"/>
        <v>0</v>
      </c>
      <c r="K65" s="4">
        <f t="shared" si="21"/>
        <v>0</v>
      </c>
      <c r="L65" s="4">
        <f t="shared" si="21"/>
        <v>0</v>
      </c>
    </row>
    <row r="66" spans="8:12" hidden="1" x14ac:dyDescent="0.25">
      <c r="H66" s="4">
        <f t="shared" si="21"/>
        <v>0</v>
      </c>
      <c r="I66" s="4">
        <f t="shared" si="21"/>
        <v>0</v>
      </c>
      <c r="J66" s="4">
        <f t="shared" si="21"/>
        <v>0</v>
      </c>
      <c r="K66" s="4">
        <f t="shared" si="21"/>
        <v>0</v>
      </c>
      <c r="L66" s="4">
        <f t="shared" si="21"/>
        <v>0</v>
      </c>
    </row>
    <row r="67" spans="8:12" hidden="1" x14ac:dyDescent="0.25">
      <c r="H67" s="4">
        <f t="shared" si="21"/>
        <v>0</v>
      </c>
      <c r="I67" s="4">
        <f t="shared" si="21"/>
        <v>0</v>
      </c>
      <c r="J67" s="4">
        <f t="shared" si="21"/>
        <v>0</v>
      </c>
      <c r="K67" s="4">
        <f t="shared" si="21"/>
        <v>0</v>
      </c>
      <c r="L67" s="4">
        <f t="shared" si="21"/>
        <v>0</v>
      </c>
    </row>
    <row r="68" spans="8:12" hidden="1" x14ac:dyDescent="0.25">
      <c r="H68" s="4">
        <f t="shared" si="21"/>
        <v>0</v>
      </c>
      <c r="I68" s="4">
        <f t="shared" si="21"/>
        <v>0</v>
      </c>
      <c r="J68" s="4">
        <f t="shared" si="21"/>
        <v>0</v>
      </c>
      <c r="K68" s="4">
        <f t="shared" si="21"/>
        <v>0</v>
      </c>
      <c r="L68" s="4">
        <f t="shared" si="21"/>
        <v>0</v>
      </c>
    </row>
    <row r="69" spans="8:12" hidden="1" x14ac:dyDescent="0.25">
      <c r="H69" s="4">
        <f t="shared" si="21"/>
        <v>0</v>
      </c>
      <c r="I69" s="4">
        <f t="shared" si="21"/>
        <v>0</v>
      </c>
      <c r="J69" s="4">
        <f t="shared" si="21"/>
        <v>0</v>
      </c>
      <c r="K69" s="4">
        <f t="shared" si="21"/>
        <v>0</v>
      </c>
      <c r="L69" s="4">
        <f t="shared" si="21"/>
        <v>0</v>
      </c>
    </row>
    <row r="70" spans="8:12" hidden="1" x14ac:dyDescent="0.25">
      <c r="H70" s="4">
        <f t="shared" si="21"/>
        <v>0</v>
      </c>
      <c r="I70" s="4">
        <f t="shared" si="21"/>
        <v>0</v>
      </c>
      <c r="J70" s="4">
        <f t="shared" si="21"/>
        <v>0</v>
      </c>
      <c r="K70" s="4">
        <f t="shared" si="21"/>
        <v>0</v>
      </c>
      <c r="L70" s="4">
        <f t="shared" si="21"/>
        <v>0</v>
      </c>
    </row>
    <row r="71" spans="8:12" hidden="1" x14ac:dyDescent="0.25">
      <c r="H71" s="4">
        <f t="shared" si="21"/>
        <v>0</v>
      </c>
      <c r="I71" s="4">
        <f t="shared" si="21"/>
        <v>0</v>
      </c>
      <c r="J71" s="4">
        <f t="shared" si="21"/>
        <v>0</v>
      </c>
      <c r="K71" s="4">
        <f t="shared" si="21"/>
        <v>0</v>
      </c>
      <c r="L71" s="4">
        <f t="shared" si="21"/>
        <v>0</v>
      </c>
    </row>
    <row r="72" spans="8:12" hidden="1" x14ac:dyDescent="0.25">
      <c r="H72" s="4">
        <f t="shared" si="21"/>
        <v>0</v>
      </c>
      <c r="I72" s="4">
        <f t="shared" si="21"/>
        <v>0</v>
      </c>
      <c r="J72" s="4">
        <f t="shared" si="21"/>
        <v>0</v>
      </c>
      <c r="K72" s="4">
        <f t="shared" si="21"/>
        <v>0</v>
      </c>
      <c r="L72" s="4">
        <f t="shared" si="21"/>
        <v>0</v>
      </c>
    </row>
    <row r="73" spans="8:12" hidden="1" x14ac:dyDescent="0.25">
      <c r="H73" s="4">
        <f t="shared" si="21"/>
        <v>0</v>
      </c>
      <c r="I73" s="4">
        <f t="shared" si="21"/>
        <v>0</v>
      </c>
      <c r="J73" s="4">
        <f t="shared" si="21"/>
        <v>0</v>
      </c>
      <c r="K73" s="4">
        <f t="shared" si="21"/>
        <v>0</v>
      </c>
      <c r="L73" s="4">
        <f t="shared" si="21"/>
        <v>0</v>
      </c>
    </row>
    <row r="74" spans="8:12" hidden="1" x14ac:dyDescent="0.25">
      <c r="H74" s="4">
        <f t="shared" ref="H74:L83" si="22">AT2</f>
        <v>0</v>
      </c>
      <c r="I74" s="4">
        <f t="shared" si="22"/>
        <v>0</v>
      </c>
      <c r="J74" s="4">
        <f t="shared" si="22"/>
        <v>0</v>
      </c>
      <c r="K74" s="4">
        <f t="shared" si="22"/>
        <v>0</v>
      </c>
      <c r="L74" s="4">
        <f t="shared" si="22"/>
        <v>0</v>
      </c>
    </row>
    <row r="75" spans="8:12" hidden="1" x14ac:dyDescent="0.25">
      <c r="H75" s="4">
        <f t="shared" si="22"/>
        <v>0</v>
      </c>
      <c r="I75" s="4">
        <f t="shared" si="22"/>
        <v>0</v>
      </c>
      <c r="J75" s="4">
        <f t="shared" si="22"/>
        <v>0</v>
      </c>
      <c r="K75" s="4">
        <f t="shared" si="22"/>
        <v>0</v>
      </c>
      <c r="L75" s="4">
        <f t="shared" si="22"/>
        <v>0</v>
      </c>
    </row>
    <row r="76" spans="8:12" hidden="1" x14ac:dyDescent="0.25"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0</v>
      </c>
    </row>
    <row r="77" spans="8:12" hidden="1" x14ac:dyDescent="0.25">
      <c r="H77" s="4">
        <f t="shared" si="22"/>
        <v>0</v>
      </c>
      <c r="I77" s="4">
        <f t="shared" si="22"/>
        <v>0</v>
      </c>
      <c r="J77" s="4">
        <f t="shared" si="22"/>
        <v>0</v>
      </c>
      <c r="K77" s="4">
        <f t="shared" si="22"/>
        <v>0</v>
      </c>
      <c r="L77" s="4">
        <f t="shared" si="22"/>
        <v>0</v>
      </c>
    </row>
    <row r="78" spans="8:12" hidden="1" x14ac:dyDescent="0.25">
      <c r="H78" s="4">
        <f t="shared" si="22"/>
        <v>0</v>
      </c>
      <c r="I78" s="4">
        <f t="shared" si="22"/>
        <v>0</v>
      </c>
      <c r="J78" s="4">
        <f t="shared" si="22"/>
        <v>0</v>
      </c>
      <c r="K78" s="4">
        <f t="shared" si="22"/>
        <v>0</v>
      </c>
      <c r="L78" s="4">
        <f t="shared" si="22"/>
        <v>0</v>
      </c>
    </row>
    <row r="79" spans="8:12" hidden="1" x14ac:dyDescent="0.25">
      <c r="H79" s="4">
        <f t="shared" si="22"/>
        <v>0</v>
      </c>
      <c r="I79" s="4">
        <f t="shared" si="22"/>
        <v>0</v>
      </c>
      <c r="J79" s="4">
        <f t="shared" si="22"/>
        <v>0</v>
      </c>
      <c r="K79" s="4">
        <f t="shared" si="22"/>
        <v>0</v>
      </c>
      <c r="L79" s="4">
        <f t="shared" si="22"/>
        <v>0</v>
      </c>
    </row>
    <row r="80" spans="8:12" hidden="1" x14ac:dyDescent="0.25">
      <c r="H80" s="4">
        <f t="shared" si="22"/>
        <v>0</v>
      </c>
      <c r="I80" s="4">
        <f t="shared" si="22"/>
        <v>0</v>
      </c>
      <c r="J80" s="4">
        <f t="shared" si="22"/>
        <v>0</v>
      </c>
      <c r="K80" s="4">
        <f t="shared" si="22"/>
        <v>0</v>
      </c>
      <c r="L80" s="4">
        <f t="shared" si="22"/>
        <v>0</v>
      </c>
    </row>
    <row r="81" spans="8:12" hidden="1" x14ac:dyDescent="0.25">
      <c r="H81" s="4">
        <f t="shared" si="22"/>
        <v>0</v>
      </c>
      <c r="I81" s="4">
        <f t="shared" si="22"/>
        <v>0</v>
      </c>
      <c r="J81" s="4">
        <f t="shared" si="22"/>
        <v>0</v>
      </c>
      <c r="K81" s="4">
        <f t="shared" si="22"/>
        <v>0</v>
      </c>
      <c r="L81" s="4">
        <f t="shared" si="22"/>
        <v>0</v>
      </c>
    </row>
    <row r="82" spans="8:12" hidden="1" x14ac:dyDescent="0.25"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</row>
    <row r="83" spans="8:12" hidden="1" x14ac:dyDescent="0.25">
      <c r="H83" s="4">
        <f t="shared" si="22"/>
        <v>0</v>
      </c>
      <c r="I83" s="4">
        <f t="shared" si="22"/>
        <v>0</v>
      </c>
      <c r="J83" s="4">
        <f t="shared" si="22"/>
        <v>0</v>
      </c>
      <c r="K83" s="4">
        <f t="shared" si="22"/>
        <v>0</v>
      </c>
      <c r="L83" s="4">
        <f t="shared" si="22"/>
        <v>0</v>
      </c>
    </row>
    <row r="84" spans="8:12" hidden="1" x14ac:dyDescent="0.25">
      <c r="H84" s="4">
        <f t="shared" ref="H84:L93" si="23">AZ2</f>
        <v>0</v>
      </c>
      <c r="I84" s="4">
        <f t="shared" si="23"/>
        <v>0</v>
      </c>
      <c r="J84" s="4">
        <f t="shared" si="23"/>
        <v>0</v>
      </c>
      <c r="K84" s="4">
        <f t="shared" si="23"/>
        <v>0</v>
      </c>
      <c r="L84" s="4">
        <f t="shared" si="23"/>
        <v>0</v>
      </c>
    </row>
    <row r="85" spans="8:12" hidden="1" x14ac:dyDescent="0.25">
      <c r="H85" s="4">
        <f t="shared" si="23"/>
        <v>0</v>
      </c>
      <c r="I85" s="4">
        <f t="shared" si="23"/>
        <v>0</v>
      </c>
      <c r="J85" s="4">
        <f t="shared" si="23"/>
        <v>0</v>
      </c>
      <c r="K85" s="4">
        <f t="shared" si="23"/>
        <v>0</v>
      </c>
      <c r="L85" s="4">
        <f t="shared" si="23"/>
        <v>0</v>
      </c>
    </row>
    <row r="86" spans="8:12" hidden="1" x14ac:dyDescent="0.25">
      <c r="H86" s="4">
        <f t="shared" si="23"/>
        <v>0</v>
      </c>
      <c r="I86" s="4">
        <f t="shared" si="23"/>
        <v>0</v>
      </c>
      <c r="J86" s="4">
        <f t="shared" si="23"/>
        <v>0</v>
      </c>
      <c r="K86" s="4">
        <f t="shared" si="23"/>
        <v>0</v>
      </c>
      <c r="L86" s="4">
        <f t="shared" si="23"/>
        <v>0</v>
      </c>
    </row>
    <row r="87" spans="8:12" hidden="1" x14ac:dyDescent="0.25">
      <c r="H87" s="4">
        <f t="shared" si="23"/>
        <v>0</v>
      </c>
      <c r="I87" s="4">
        <f t="shared" si="23"/>
        <v>0</v>
      </c>
      <c r="J87" s="4">
        <f t="shared" si="23"/>
        <v>0</v>
      </c>
      <c r="K87" s="4">
        <f t="shared" si="23"/>
        <v>0</v>
      </c>
      <c r="L87" s="4">
        <f t="shared" si="23"/>
        <v>0</v>
      </c>
    </row>
    <row r="88" spans="8:12" hidden="1" x14ac:dyDescent="0.25">
      <c r="H88" s="4">
        <f t="shared" si="23"/>
        <v>0</v>
      </c>
      <c r="I88" s="4">
        <f t="shared" si="23"/>
        <v>0</v>
      </c>
      <c r="J88" s="4">
        <f t="shared" si="23"/>
        <v>0</v>
      </c>
      <c r="K88" s="4">
        <f t="shared" si="23"/>
        <v>0</v>
      </c>
      <c r="L88" s="4">
        <f t="shared" si="23"/>
        <v>0</v>
      </c>
    </row>
    <row r="89" spans="8:12" hidden="1" x14ac:dyDescent="0.25">
      <c r="H89" s="4">
        <f t="shared" si="23"/>
        <v>0</v>
      </c>
      <c r="I89" s="4">
        <f t="shared" si="23"/>
        <v>0</v>
      </c>
      <c r="J89" s="4">
        <f t="shared" si="23"/>
        <v>0</v>
      </c>
      <c r="K89" s="4">
        <f t="shared" si="23"/>
        <v>0</v>
      </c>
      <c r="L89" s="4">
        <f t="shared" si="23"/>
        <v>0</v>
      </c>
    </row>
    <row r="90" spans="8:12" hidden="1" x14ac:dyDescent="0.25">
      <c r="H90" s="4">
        <f t="shared" si="23"/>
        <v>0</v>
      </c>
      <c r="I90" s="4">
        <f t="shared" si="23"/>
        <v>0</v>
      </c>
      <c r="J90" s="4">
        <f t="shared" si="23"/>
        <v>0</v>
      </c>
      <c r="K90" s="4">
        <f t="shared" si="23"/>
        <v>0</v>
      </c>
      <c r="L90" s="4">
        <f t="shared" si="23"/>
        <v>0</v>
      </c>
    </row>
    <row r="91" spans="8:12" hidden="1" x14ac:dyDescent="0.25">
      <c r="H91" s="4">
        <f t="shared" si="23"/>
        <v>0</v>
      </c>
      <c r="I91" s="4">
        <f t="shared" si="23"/>
        <v>0</v>
      </c>
      <c r="J91" s="4">
        <f t="shared" si="23"/>
        <v>0</v>
      </c>
      <c r="K91" s="4">
        <f t="shared" si="23"/>
        <v>0</v>
      </c>
      <c r="L91" s="4">
        <f t="shared" si="23"/>
        <v>0</v>
      </c>
    </row>
    <row r="92" spans="8:12" hidden="1" x14ac:dyDescent="0.25">
      <c r="H92" s="4">
        <f t="shared" si="23"/>
        <v>0</v>
      </c>
      <c r="I92" s="4">
        <f t="shared" si="23"/>
        <v>0</v>
      </c>
      <c r="J92" s="4">
        <f t="shared" si="23"/>
        <v>0</v>
      </c>
      <c r="K92" s="4">
        <f t="shared" si="23"/>
        <v>0</v>
      </c>
      <c r="L92" s="4">
        <f t="shared" si="23"/>
        <v>0</v>
      </c>
    </row>
    <row r="93" spans="8:12" hidden="1" x14ac:dyDescent="0.25">
      <c r="H93" s="4">
        <f t="shared" si="23"/>
        <v>0</v>
      </c>
      <c r="I93" s="4">
        <f t="shared" si="23"/>
        <v>0</v>
      </c>
      <c r="J93" s="4">
        <f t="shared" si="23"/>
        <v>0</v>
      </c>
      <c r="K93" s="4">
        <f t="shared" si="23"/>
        <v>0</v>
      </c>
      <c r="L93" s="4">
        <f t="shared" si="23"/>
        <v>0</v>
      </c>
    </row>
    <row r="94" spans="8:12" hidden="1" x14ac:dyDescent="0.25">
      <c r="H94" s="4">
        <f t="shared" ref="H94:L103" si="24">BF2</f>
        <v>0</v>
      </c>
      <c r="I94" s="4">
        <f t="shared" si="24"/>
        <v>0</v>
      </c>
      <c r="J94" s="4">
        <f t="shared" si="24"/>
        <v>0</v>
      </c>
      <c r="K94" s="4">
        <f t="shared" si="24"/>
        <v>0</v>
      </c>
      <c r="L94" s="4">
        <f t="shared" si="24"/>
        <v>0</v>
      </c>
    </row>
    <row r="95" spans="8:12" hidden="1" x14ac:dyDescent="0.25">
      <c r="H95" s="4">
        <f t="shared" si="24"/>
        <v>0</v>
      </c>
      <c r="I95" s="4">
        <f t="shared" si="24"/>
        <v>0</v>
      </c>
      <c r="J95" s="4">
        <f t="shared" si="24"/>
        <v>0</v>
      </c>
      <c r="K95" s="4">
        <f t="shared" si="24"/>
        <v>0</v>
      </c>
      <c r="L95" s="4">
        <f t="shared" si="24"/>
        <v>0</v>
      </c>
    </row>
    <row r="96" spans="8:12" hidden="1" x14ac:dyDescent="0.25">
      <c r="H96" s="4">
        <f t="shared" si="24"/>
        <v>0</v>
      </c>
      <c r="I96" s="4">
        <f t="shared" si="24"/>
        <v>0</v>
      </c>
      <c r="J96" s="4">
        <f t="shared" si="24"/>
        <v>0</v>
      </c>
      <c r="K96" s="4">
        <f t="shared" si="24"/>
        <v>0</v>
      </c>
      <c r="L96" s="4">
        <f t="shared" si="24"/>
        <v>0</v>
      </c>
    </row>
    <row r="97" spans="8:12" hidden="1" x14ac:dyDescent="0.25">
      <c r="H97" s="4">
        <f t="shared" si="24"/>
        <v>0</v>
      </c>
      <c r="I97" s="4">
        <f t="shared" si="24"/>
        <v>0</v>
      </c>
      <c r="J97" s="4">
        <f t="shared" si="24"/>
        <v>0</v>
      </c>
      <c r="K97" s="4">
        <f t="shared" si="24"/>
        <v>0</v>
      </c>
      <c r="L97" s="4">
        <f t="shared" si="24"/>
        <v>0</v>
      </c>
    </row>
    <row r="98" spans="8:12" hidden="1" x14ac:dyDescent="0.25">
      <c r="H98" s="4">
        <f t="shared" si="24"/>
        <v>0</v>
      </c>
      <c r="I98" s="4">
        <f t="shared" si="24"/>
        <v>0</v>
      </c>
      <c r="J98" s="4">
        <f t="shared" si="24"/>
        <v>0</v>
      </c>
      <c r="K98" s="4">
        <f t="shared" si="24"/>
        <v>0</v>
      </c>
      <c r="L98" s="4">
        <f t="shared" si="24"/>
        <v>0</v>
      </c>
    </row>
    <row r="99" spans="8:12" hidden="1" x14ac:dyDescent="0.25">
      <c r="H99" s="4">
        <f t="shared" si="24"/>
        <v>0</v>
      </c>
      <c r="I99" s="4">
        <f t="shared" si="24"/>
        <v>0</v>
      </c>
      <c r="J99" s="4">
        <f t="shared" si="24"/>
        <v>0</v>
      </c>
      <c r="K99" s="4">
        <f t="shared" si="24"/>
        <v>0</v>
      </c>
      <c r="L99" s="4">
        <f t="shared" si="24"/>
        <v>0</v>
      </c>
    </row>
    <row r="100" spans="8:12" hidden="1" x14ac:dyDescent="0.25">
      <c r="H100" s="4">
        <f t="shared" si="24"/>
        <v>0</v>
      </c>
      <c r="I100" s="4">
        <f t="shared" si="24"/>
        <v>0</v>
      </c>
      <c r="J100" s="4">
        <f t="shared" si="24"/>
        <v>0</v>
      </c>
      <c r="K100" s="4">
        <f t="shared" si="24"/>
        <v>0</v>
      </c>
      <c r="L100" s="4">
        <f t="shared" si="24"/>
        <v>0</v>
      </c>
    </row>
    <row r="101" spans="8:12" hidden="1" x14ac:dyDescent="0.25">
      <c r="H101" s="4">
        <f t="shared" si="24"/>
        <v>0</v>
      </c>
      <c r="I101" s="4">
        <f t="shared" si="24"/>
        <v>0</v>
      </c>
      <c r="J101" s="4">
        <f t="shared" si="24"/>
        <v>0</v>
      </c>
      <c r="K101" s="4">
        <f t="shared" si="24"/>
        <v>0</v>
      </c>
      <c r="L101" s="4">
        <f t="shared" si="24"/>
        <v>0</v>
      </c>
    </row>
    <row r="102" spans="8:12" hidden="1" x14ac:dyDescent="0.25">
      <c r="H102" s="4">
        <f t="shared" si="24"/>
        <v>0</v>
      </c>
      <c r="I102" s="4">
        <f t="shared" si="24"/>
        <v>0</v>
      </c>
      <c r="J102" s="4">
        <f t="shared" si="24"/>
        <v>0</v>
      </c>
      <c r="K102" s="4">
        <f t="shared" si="24"/>
        <v>0</v>
      </c>
      <c r="L102" s="4">
        <f t="shared" si="24"/>
        <v>0</v>
      </c>
    </row>
    <row r="103" spans="8:12" hidden="1" x14ac:dyDescent="0.25">
      <c r="H103" s="4">
        <f t="shared" si="24"/>
        <v>0</v>
      </c>
      <c r="I103" s="4">
        <f t="shared" si="24"/>
        <v>0</v>
      </c>
      <c r="J103" s="4">
        <f t="shared" si="24"/>
        <v>0</v>
      </c>
      <c r="K103" s="4">
        <f t="shared" si="24"/>
        <v>0</v>
      </c>
      <c r="L103" s="4">
        <f t="shared" si="24"/>
        <v>0</v>
      </c>
    </row>
    <row r="104" spans="8:12" hidden="1" x14ac:dyDescent="0.25">
      <c r="H104" s="4">
        <f t="shared" ref="H104:L113" si="25">BL2</f>
        <v>0</v>
      </c>
      <c r="I104" s="4">
        <f t="shared" si="25"/>
        <v>0</v>
      </c>
      <c r="J104" s="4">
        <f t="shared" si="25"/>
        <v>0</v>
      </c>
      <c r="K104" s="4">
        <f t="shared" si="25"/>
        <v>0</v>
      </c>
      <c r="L104" s="4">
        <f t="shared" si="25"/>
        <v>0</v>
      </c>
    </row>
    <row r="105" spans="8:12" hidden="1" x14ac:dyDescent="0.25">
      <c r="H105" s="4">
        <f t="shared" si="25"/>
        <v>0</v>
      </c>
      <c r="I105" s="4">
        <f t="shared" si="25"/>
        <v>0</v>
      </c>
      <c r="J105" s="4">
        <f t="shared" si="25"/>
        <v>0</v>
      </c>
      <c r="K105" s="4">
        <f t="shared" si="25"/>
        <v>0</v>
      </c>
      <c r="L105" s="4">
        <f t="shared" si="25"/>
        <v>0</v>
      </c>
    </row>
    <row r="106" spans="8:12" hidden="1" x14ac:dyDescent="0.25">
      <c r="H106" s="4">
        <f t="shared" si="25"/>
        <v>0</v>
      </c>
      <c r="I106" s="4">
        <f t="shared" si="25"/>
        <v>0</v>
      </c>
      <c r="J106" s="4">
        <f t="shared" si="25"/>
        <v>0</v>
      </c>
      <c r="K106" s="4">
        <f t="shared" si="25"/>
        <v>0</v>
      </c>
      <c r="L106" s="4">
        <f t="shared" si="25"/>
        <v>0</v>
      </c>
    </row>
    <row r="107" spans="8:12" hidden="1" x14ac:dyDescent="0.25">
      <c r="H107" s="4">
        <f t="shared" si="25"/>
        <v>0</v>
      </c>
      <c r="I107" s="4">
        <f t="shared" si="25"/>
        <v>0</v>
      </c>
      <c r="J107" s="4">
        <f t="shared" si="25"/>
        <v>0</v>
      </c>
      <c r="K107" s="4">
        <f t="shared" si="25"/>
        <v>0</v>
      </c>
      <c r="L107" s="4">
        <f t="shared" si="25"/>
        <v>0</v>
      </c>
    </row>
    <row r="108" spans="8:12" hidden="1" x14ac:dyDescent="0.25">
      <c r="H108" s="4">
        <f t="shared" si="25"/>
        <v>0</v>
      </c>
      <c r="I108" s="4">
        <f t="shared" si="25"/>
        <v>0</v>
      </c>
      <c r="J108" s="4">
        <f t="shared" si="25"/>
        <v>0</v>
      </c>
      <c r="K108" s="4">
        <f t="shared" si="25"/>
        <v>0</v>
      </c>
      <c r="L108" s="4">
        <f t="shared" si="25"/>
        <v>0</v>
      </c>
    </row>
    <row r="109" spans="8:12" hidden="1" x14ac:dyDescent="0.25">
      <c r="H109" s="4">
        <f t="shared" si="25"/>
        <v>0</v>
      </c>
      <c r="I109" s="4">
        <f t="shared" si="25"/>
        <v>0</v>
      </c>
      <c r="J109" s="4">
        <f t="shared" si="25"/>
        <v>0</v>
      </c>
      <c r="K109" s="4">
        <f t="shared" si="25"/>
        <v>0</v>
      </c>
      <c r="L109" s="4">
        <f t="shared" si="25"/>
        <v>0</v>
      </c>
    </row>
    <row r="110" spans="8:12" hidden="1" x14ac:dyDescent="0.25">
      <c r="H110" s="4">
        <f t="shared" si="25"/>
        <v>0</v>
      </c>
      <c r="I110" s="4">
        <f t="shared" si="25"/>
        <v>0</v>
      </c>
      <c r="J110" s="4">
        <f t="shared" si="25"/>
        <v>0</v>
      </c>
      <c r="K110" s="4">
        <f t="shared" si="25"/>
        <v>0</v>
      </c>
      <c r="L110" s="4">
        <f t="shared" si="25"/>
        <v>0</v>
      </c>
    </row>
    <row r="111" spans="8:12" hidden="1" x14ac:dyDescent="0.25">
      <c r="H111" s="4">
        <f t="shared" si="25"/>
        <v>0</v>
      </c>
      <c r="I111" s="4">
        <f t="shared" si="25"/>
        <v>0</v>
      </c>
      <c r="J111" s="4">
        <f t="shared" si="25"/>
        <v>0</v>
      </c>
      <c r="K111" s="4">
        <f t="shared" si="25"/>
        <v>0</v>
      </c>
      <c r="L111" s="4">
        <f t="shared" si="25"/>
        <v>0</v>
      </c>
    </row>
    <row r="112" spans="8:12" hidden="1" x14ac:dyDescent="0.25">
      <c r="H112" s="4">
        <f t="shared" si="25"/>
        <v>0</v>
      </c>
      <c r="I112" s="4">
        <f t="shared" si="25"/>
        <v>0</v>
      </c>
      <c r="J112" s="4">
        <f t="shared" si="25"/>
        <v>0</v>
      </c>
      <c r="K112" s="4">
        <f t="shared" si="25"/>
        <v>0</v>
      </c>
      <c r="L112" s="4">
        <f t="shared" si="25"/>
        <v>0</v>
      </c>
    </row>
    <row r="113" spans="1:62" hidden="1" x14ac:dyDescent="0.25">
      <c r="H113" s="45">
        <f t="shared" si="25"/>
        <v>0</v>
      </c>
      <c r="I113" s="45">
        <f t="shared" si="25"/>
        <v>0</v>
      </c>
      <c r="J113" s="4">
        <f t="shared" si="25"/>
        <v>0</v>
      </c>
      <c r="K113" s="4">
        <f t="shared" si="25"/>
        <v>0</v>
      </c>
      <c r="L113" s="4">
        <f t="shared" si="25"/>
        <v>0</v>
      </c>
    </row>
    <row r="114" spans="1:62" x14ac:dyDescent="0.25">
      <c r="A114" s="168" t="s">
        <v>85</v>
      </c>
      <c r="B114" s="169"/>
      <c r="C114" s="170"/>
      <c r="D114" s="171">
        <v>46008</v>
      </c>
      <c r="E114" s="172"/>
      <c r="F114" s="172"/>
      <c r="G114" s="172"/>
      <c r="H114" s="46"/>
      <c r="I114" s="54"/>
    </row>
    <row r="115" spans="1:62" ht="15.75" thickBot="1" x14ac:dyDescent="0.3">
      <c r="A115" s="110"/>
      <c r="B115" s="110"/>
      <c r="C115" s="110"/>
      <c r="D115" s="110"/>
      <c r="E115" s="110"/>
      <c r="F115" s="110"/>
      <c r="G115" s="110"/>
      <c r="H115" s="54"/>
      <c r="I115" s="54"/>
    </row>
    <row r="116" spans="1:62" ht="16.5" thickBot="1" x14ac:dyDescent="0.3">
      <c r="A116" s="173" t="s">
        <v>248</v>
      </c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5"/>
      <c r="AH116" s="118" t="s">
        <v>35</v>
      </c>
      <c r="AI116" s="118"/>
      <c r="AJ116" s="118" t="str">
        <f>F2</f>
        <v>AP08</v>
      </c>
      <c r="AK116" s="118"/>
      <c r="AL116" s="118"/>
      <c r="AN116" s="118" t="s">
        <v>35</v>
      </c>
      <c r="AO116" s="118"/>
      <c r="AP116" s="118">
        <f>F3</f>
        <v>0</v>
      </c>
      <c r="AQ116" s="118"/>
      <c r="AR116" s="118"/>
      <c r="AT116" s="118" t="s">
        <v>35</v>
      </c>
      <c r="AU116" s="118"/>
      <c r="AV116" s="118">
        <f>F4</f>
        <v>0</v>
      </c>
      <c r="AW116" s="118"/>
      <c r="AX116" s="118"/>
      <c r="AZ116" s="118" t="s">
        <v>35</v>
      </c>
      <c r="BA116" s="118"/>
      <c r="BB116" s="118">
        <f>F5</f>
        <v>0</v>
      </c>
      <c r="BC116" s="118"/>
      <c r="BD116" s="118"/>
      <c r="BF116" s="118" t="s">
        <v>35</v>
      </c>
      <c r="BG116" s="118"/>
      <c r="BH116" s="118">
        <f>F6</f>
        <v>0</v>
      </c>
      <c r="BI116" s="118"/>
      <c r="BJ116" s="118"/>
    </row>
    <row r="117" spans="1:62" x14ac:dyDescent="0.25">
      <c r="A117" s="123" t="s">
        <v>31</v>
      </c>
      <c r="B117" s="113" t="s">
        <v>22</v>
      </c>
      <c r="C117" s="114"/>
      <c r="D117" s="114"/>
      <c r="E117" s="114"/>
      <c r="F117" s="115"/>
      <c r="G117" s="113" t="s">
        <v>20</v>
      </c>
      <c r="H117" s="114"/>
      <c r="I117" s="114"/>
      <c r="J117" s="114"/>
      <c r="K117" s="115"/>
      <c r="L117" s="113" t="s">
        <v>34</v>
      </c>
      <c r="M117" s="114"/>
      <c r="N117" s="114"/>
      <c r="O117" s="114"/>
      <c r="P117" s="115"/>
      <c r="Q117" s="113" t="s">
        <v>127</v>
      </c>
      <c r="R117" s="114"/>
      <c r="S117" s="114"/>
      <c r="T117" s="114"/>
      <c r="U117" s="115"/>
      <c r="V117" s="113" t="s">
        <v>129</v>
      </c>
      <c r="W117" s="114"/>
      <c r="X117" s="114"/>
      <c r="Y117" s="114"/>
      <c r="Z117" s="115"/>
      <c r="AA117" s="113" t="s">
        <v>26</v>
      </c>
      <c r="AB117" s="114"/>
      <c r="AC117" s="114"/>
      <c r="AD117" s="114"/>
      <c r="AE117" s="115"/>
      <c r="AF117" s="116" t="s">
        <v>24</v>
      </c>
      <c r="AG117" s="116" t="s">
        <v>86</v>
      </c>
      <c r="AH117" s="118" t="str">
        <f>G2</f>
        <v>PAWAN PUTRA AGENCY</v>
      </c>
      <c r="AI117" s="118"/>
      <c r="AJ117" s="118"/>
      <c r="AK117" s="118"/>
      <c r="AL117" s="118"/>
      <c r="AN117" s="118">
        <f>G3</f>
        <v>0</v>
      </c>
      <c r="AO117" s="118"/>
      <c r="AP117" s="118"/>
      <c r="AQ117" s="118"/>
      <c r="AR117" s="118"/>
      <c r="AT117" s="118">
        <f>G4</f>
        <v>0</v>
      </c>
      <c r="AU117" s="118"/>
      <c r="AV117" s="118"/>
      <c r="AW117" s="118"/>
      <c r="AX117" s="118"/>
      <c r="AZ117" s="118">
        <f>G5</f>
        <v>0</v>
      </c>
      <c r="BA117" s="118"/>
      <c r="BB117" s="118"/>
      <c r="BC117" s="118"/>
      <c r="BD117" s="118"/>
      <c r="BF117" s="118">
        <f>G6</f>
        <v>0</v>
      </c>
      <c r="BG117" s="118"/>
      <c r="BH117" s="118"/>
      <c r="BI117" s="118"/>
      <c r="BJ117" s="118"/>
    </row>
    <row r="118" spans="1:62" ht="15.75" thickBot="1" x14ac:dyDescent="0.3">
      <c r="A118" s="124"/>
      <c r="B118" s="9" t="s">
        <v>32</v>
      </c>
      <c r="C118" s="12" t="s">
        <v>17</v>
      </c>
      <c r="D118" s="12" t="s">
        <v>19</v>
      </c>
      <c r="E118" s="12" t="s">
        <v>33</v>
      </c>
      <c r="F118" s="14" t="s">
        <v>80</v>
      </c>
      <c r="G118" s="9" t="s">
        <v>32</v>
      </c>
      <c r="H118" s="12" t="s">
        <v>17</v>
      </c>
      <c r="I118" s="12" t="s">
        <v>19</v>
      </c>
      <c r="J118" s="12" t="s">
        <v>33</v>
      </c>
      <c r="K118" s="14" t="s">
        <v>80</v>
      </c>
      <c r="L118" s="9" t="s">
        <v>32</v>
      </c>
      <c r="M118" s="12" t="s">
        <v>17</v>
      </c>
      <c r="N118" s="12" t="s">
        <v>19</v>
      </c>
      <c r="O118" s="12" t="s">
        <v>33</v>
      </c>
      <c r="P118" s="14" t="s">
        <v>80</v>
      </c>
      <c r="Q118" s="9" t="s">
        <v>32</v>
      </c>
      <c r="R118" s="12" t="s">
        <v>17</v>
      </c>
      <c r="S118" s="12" t="s">
        <v>19</v>
      </c>
      <c r="T118" s="12" t="s">
        <v>33</v>
      </c>
      <c r="U118" s="14" t="s">
        <v>80</v>
      </c>
      <c r="V118" s="9" t="s">
        <v>32</v>
      </c>
      <c r="W118" s="12" t="s">
        <v>17</v>
      </c>
      <c r="X118" s="12" t="s">
        <v>19</v>
      </c>
      <c r="Y118" s="12" t="s">
        <v>33</v>
      </c>
      <c r="Z118" s="14" t="s">
        <v>80</v>
      </c>
      <c r="AA118" s="9" t="s">
        <v>32</v>
      </c>
      <c r="AB118" s="12" t="s">
        <v>17</v>
      </c>
      <c r="AC118" s="12" t="s">
        <v>19</v>
      </c>
      <c r="AD118" s="12" t="s">
        <v>33</v>
      </c>
      <c r="AE118" s="14" t="s">
        <v>80</v>
      </c>
      <c r="AF118" s="117"/>
      <c r="AG118" s="117"/>
      <c r="AH118" s="118" t="str">
        <f>H2</f>
        <v>TIRUPATHI</v>
      </c>
      <c r="AI118" s="118"/>
      <c r="AJ118" s="118"/>
      <c r="AK118" s="118"/>
      <c r="AL118" s="118"/>
      <c r="AN118" s="118">
        <f>H3</f>
        <v>0</v>
      </c>
      <c r="AO118" s="118"/>
      <c r="AP118" s="118"/>
      <c r="AQ118" s="118"/>
      <c r="AR118" s="118"/>
      <c r="AT118" s="118">
        <f>H4</f>
        <v>0</v>
      </c>
      <c r="AU118" s="118"/>
      <c r="AV118" s="118"/>
      <c r="AW118" s="118"/>
      <c r="AX118" s="118"/>
      <c r="AZ118" s="118">
        <f>H5</f>
        <v>0</v>
      </c>
      <c r="BA118" s="118"/>
      <c r="BB118" s="118"/>
      <c r="BC118" s="118"/>
      <c r="BD118" s="118"/>
      <c r="BF118" s="118">
        <f>H6</f>
        <v>0</v>
      </c>
      <c r="BG118" s="118"/>
      <c r="BH118" s="118"/>
      <c r="BI118" s="118"/>
      <c r="BJ118" s="118"/>
    </row>
    <row r="119" spans="1:62" ht="15.75" thickBot="1" x14ac:dyDescent="0.3">
      <c r="A119" s="16">
        <v>300</v>
      </c>
      <c r="B119" s="10">
        <f t="shared" ref="B119:F127" si="26">SUMIFS($J$14:$J$113,$I$14:$I$113,$A119,$K$14:$K$113,B$118,$L$14:$L$113,$B$117,$H$14:$H$113,"AG")</f>
        <v>0</v>
      </c>
      <c r="C119" s="11">
        <f t="shared" si="26"/>
        <v>0</v>
      </c>
      <c r="D119" s="11">
        <f t="shared" si="26"/>
        <v>0</v>
      </c>
      <c r="E119" s="11">
        <f t="shared" si="26"/>
        <v>0</v>
      </c>
      <c r="F119" s="17">
        <f t="shared" si="26"/>
        <v>0</v>
      </c>
      <c r="G119" s="10">
        <f t="shared" ref="G119:K127" si="27">SUMIFS($J$14:$J$113,$I$14:$I$113,$A119,$K$14:$K$113,G$118,$L$14:$L$113,$G$117,$H$14:$H$113,"AG")</f>
        <v>0</v>
      </c>
      <c r="H119" s="11">
        <f t="shared" si="27"/>
        <v>0</v>
      </c>
      <c r="I119" s="11">
        <f t="shared" si="27"/>
        <v>0</v>
      </c>
      <c r="J119" s="11">
        <f t="shared" si="27"/>
        <v>0</v>
      </c>
      <c r="K119" s="17">
        <f t="shared" si="27"/>
        <v>0</v>
      </c>
      <c r="L119" s="10">
        <f t="shared" ref="L119:P127" si="28">SUMIFS($J$14:$J$113,$I$14:$I$113,$A119,$K$14:$K$113,L$118,$L$14:$L$113,$L$117,$H$14:$H$113,"AG")</f>
        <v>0</v>
      </c>
      <c r="M119" s="11">
        <f t="shared" si="28"/>
        <v>0</v>
      </c>
      <c r="N119" s="11">
        <f t="shared" si="28"/>
        <v>0</v>
      </c>
      <c r="O119" s="11">
        <f t="shared" si="28"/>
        <v>0</v>
      </c>
      <c r="P119" s="17">
        <f t="shared" si="28"/>
        <v>0</v>
      </c>
      <c r="Q119" s="10">
        <f t="shared" ref="Q119:U127" si="29">SUMIFS($J$14:$J$113,$I$14:$I$113,$A119,$K$14:$K$113,Q$118,$L$14:$L$113,$Q$117,$H$14:$H$113,"AG")</f>
        <v>0</v>
      </c>
      <c r="R119" s="11">
        <f t="shared" si="29"/>
        <v>0</v>
      </c>
      <c r="S119" s="11">
        <f t="shared" si="29"/>
        <v>0</v>
      </c>
      <c r="T119" s="11">
        <f t="shared" si="29"/>
        <v>0</v>
      </c>
      <c r="U119" s="17">
        <f t="shared" si="29"/>
        <v>0</v>
      </c>
      <c r="V119" s="10">
        <f t="shared" ref="V119:AE127" si="30">SUMIFS($J$14:$J$113,$I$14:$I$113,$A119,$K$14:$K$113,V$118,$L$14:$L$113,$L$117,$H$14:$H$113,"AG")</f>
        <v>0</v>
      </c>
      <c r="W119" s="11">
        <f t="shared" si="30"/>
        <v>0</v>
      </c>
      <c r="X119" s="11">
        <f t="shared" si="30"/>
        <v>0</v>
      </c>
      <c r="Y119" s="11">
        <f t="shared" si="30"/>
        <v>0</v>
      </c>
      <c r="Z119" s="17">
        <f t="shared" si="30"/>
        <v>0</v>
      </c>
      <c r="AA119" s="10">
        <f t="shared" si="30"/>
        <v>0</v>
      </c>
      <c r="AB119" s="11">
        <f t="shared" si="30"/>
        <v>0</v>
      </c>
      <c r="AC119" s="11">
        <f t="shared" si="30"/>
        <v>0</v>
      </c>
      <c r="AD119" s="11">
        <f t="shared" si="30"/>
        <v>0</v>
      </c>
      <c r="AE119" s="17">
        <f t="shared" si="30"/>
        <v>0</v>
      </c>
      <c r="AF119" s="16">
        <f>SUM(B119:AE119)*A119</f>
        <v>0</v>
      </c>
      <c r="AG119" s="16">
        <f>SUM(B119:AE119)</f>
        <v>0</v>
      </c>
      <c r="AH119" s="30" t="s">
        <v>136</v>
      </c>
      <c r="AI119" s="30" t="s">
        <v>27</v>
      </c>
      <c r="AJ119" s="30" t="s">
        <v>28</v>
      </c>
      <c r="AK119" s="30" t="s">
        <v>29</v>
      </c>
      <c r="AL119" s="30" t="s">
        <v>30</v>
      </c>
      <c r="AN119" s="30" t="s">
        <v>136</v>
      </c>
      <c r="AO119" s="30" t="s">
        <v>27</v>
      </c>
      <c r="AP119" s="30" t="s">
        <v>28</v>
      </c>
      <c r="AQ119" s="30" t="s">
        <v>29</v>
      </c>
      <c r="AR119" s="30" t="s">
        <v>30</v>
      </c>
      <c r="AT119" s="30" t="s">
        <v>136</v>
      </c>
      <c r="AU119" s="30" t="s">
        <v>27</v>
      </c>
      <c r="AV119" s="30" t="s">
        <v>28</v>
      </c>
      <c r="AW119" s="30" t="s">
        <v>29</v>
      </c>
      <c r="AX119" s="30" t="s">
        <v>30</v>
      </c>
      <c r="AZ119" s="30" t="s">
        <v>136</v>
      </c>
      <c r="BA119" s="30" t="s">
        <v>27</v>
      </c>
      <c r="BB119" s="30" t="s">
        <v>28</v>
      </c>
      <c r="BC119" s="30" t="s">
        <v>29</v>
      </c>
      <c r="BD119" s="30" t="s">
        <v>30</v>
      </c>
      <c r="BF119" s="30" t="s">
        <v>136</v>
      </c>
      <c r="BG119" s="30" t="s">
        <v>27</v>
      </c>
      <c r="BH119" s="30" t="s">
        <v>28</v>
      </c>
      <c r="BI119" s="30" t="s">
        <v>29</v>
      </c>
      <c r="BJ119" s="30" t="s">
        <v>30</v>
      </c>
    </row>
    <row r="120" spans="1:62" x14ac:dyDescent="0.25">
      <c r="A120" s="16">
        <v>500</v>
      </c>
      <c r="B120" s="10">
        <f t="shared" si="26"/>
        <v>0</v>
      </c>
      <c r="C120" s="11">
        <f t="shared" si="26"/>
        <v>20</v>
      </c>
      <c r="D120" s="11">
        <f t="shared" si="26"/>
        <v>0</v>
      </c>
      <c r="E120" s="11">
        <f t="shared" si="26"/>
        <v>0</v>
      </c>
      <c r="F120" s="17">
        <f t="shared" si="26"/>
        <v>0</v>
      </c>
      <c r="G120" s="10">
        <f t="shared" si="27"/>
        <v>0</v>
      </c>
      <c r="H120" s="11">
        <f t="shared" si="27"/>
        <v>0</v>
      </c>
      <c r="I120" s="11">
        <f t="shared" si="27"/>
        <v>0</v>
      </c>
      <c r="J120" s="11">
        <f t="shared" si="27"/>
        <v>0</v>
      </c>
      <c r="K120" s="17">
        <f t="shared" si="27"/>
        <v>0</v>
      </c>
      <c r="L120" s="10">
        <f t="shared" si="28"/>
        <v>0</v>
      </c>
      <c r="M120" s="11">
        <f t="shared" si="28"/>
        <v>0</v>
      </c>
      <c r="N120" s="11">
        <f t="shared" si="28"/>
        <v>0</v>
      </c>
      <c r="O120" s="11">
        <f t="shared" si="28"/>
        <v>0</v>
      </c>
      <c r="P120" s="17">
        <f t="shared" si="28"/>
        <v>0</v>
      </c>
      <c r="Q120" s="10">
        <f t="shared" si="29"/>
        <v>0</v>
      </c>
      <c r="R120" s="11">
        <f t="shared" si="29"/>
        <v>0</v>
      </c>
      <c r="S120" s="11">
        <f t="shared" si="29"/>
        <v>0</v>
      </c>
      <c r="T120" s="11">
        <f t="shared" si="29"/>
        <v>0</v>
      </c>
      <c r="U120" s="17">
        <f t="shared" si="29"/>
        <v>0</v>
      </c>
      <c r="V120" s="10">
        <f t="shared" si="30"/>
        <v>0</v>
      </c>
      <c r="W120" s="11">
        <f t="shared" si="30"/>
        <v>0</v>
      </c>
      <c r="X120" s="11">
        <f t="shared" si="30"/>
        <v>0</v>
      </c>
      <c r="Y120" s="11">
        <f t="shared" si="30"/>
        <v>0</v>
      </c>
      <c r="Z120" s="17">
        <f t="shared" si="30"/>
        <v>0</v>
      </c>
      <c r="AA120" s="10">
        <f t="shared" si="30"/>
        <v>0</v>
      </c>
      <c r="AB120" s="11">
        <f t="shared" si="30"/>
        <v>0</v>
      </c>
      <c r="AC120" s="11">
        <f t="shared" si="30"/>
        <v>0</v>
      </c>
      <c r="AD120" s="11">
        <f t="shared" si="30"/>
        <v>0</v>
      </c>
      <c r="AE120" s="17">
        <f t="shared" si="30"/>
        <v>0</v>
      </c>
      <c r="AF120" s="16">
        <f t="shared" ref="AF120:AF127" si="31">SUM(B120:AE120)*A120</f>
        <v>10000</v>
      </c>
      <c r="AG120" s="16">
        <f t="shared" ref="AG120:AG128" si="32">SUM(B120:AE120)</f>
        <v>20</v>
      </c>
      <c r="AH120" s="16" t="str">
        <f>J2</f>
        <v>AG</v>
      </c>
      <c r="AI120" s="10">
        <f>K2</f>
        <v>1500</v>
      </c>
      <c r="AJ120" s="11">
        <f>L2</f>
        <v>8</v>
      </c>
      <c r="AK120" s="11" t="str">
        <f>M2</f>
        <v>Y</v>
      </c>
      <c r="AL120" s="17" t="str">
        <f>N2</f>
        <v>3L</v>
      </c>
      <c r="AN120" s="16">
        <f>J3</f>
        <v>0</v>
      </c>
      <c r="AO120" s="10">
        <f>K3</f>
        <v>0</v>
      </c>
      <c r="AP120" s="11">
        <f>L3</f>
        <v>0</v>
      </c>
      <c r="AQ120" s="11">
        <f>M3</f>
        <v>0</v>
      </c>
      <c r="AR120" s="17">
        <f>N3</f>
        <v>0</v>
      </c>
      <c r="AT120" s="16">
        <f>J4</f>
        <v>0</v>
      </c>
      <c r="AU120" s="10">
        <f>K4</f>
        <v>0</v>
      </c>
      <c r="AV120" s="11">
        <f>L4</f>
        <v>0</v>
      </c>
      <c r="AW120" s="11">
        <f>M4</f>
        <v>0</v>
      </c>
      <c r="AX120" s="17">
        <f>N4</f>
        <v>0</v>
      </c>
      <c r="AZ120" s="16">
        <f>J5</f>
        <v>0</v>
      </c>
      <c r="BA120" s="10">
        <f>K5</f>
        <v>0</v>
      </c>
      <c r="BB120" s="11">
        <f>L5</f>
        <v>0</v>
      </c>
      <c r="BC120" s="11">
        <f>M5</f>
        <v>0</v>
      </c>
      <c r="BD120" s="17">
        <f>N5</f>
        <v>0</v>
      </c>
      <c r="BF120" s="16">
        <f>J6</f>
        <v>0</v>
      </c>
      <c r="BG120" s="10">
        <f>K6</f>
        <v>0</v>
      </c>
      <c r="BH120" s="11">
        <f>L6</f>
        <v>0</v>
      </c>
      <c r="BI120" s="11">
        <f>M6</f>
        <v>0</v>
      </c>
      <c r="BJ120" s="17">
        <f>N6</f>
        <v>0</v>
      </c>
    </row>
    <row r="121" spans="1:62" x14ac:dyDescent="0.25">
      <c r="A121" s="15">
        <v>750</v>
      </c>
      <c r="B121" s="8">
        <f t="shared" si="26"/>
        <v>0</v>
      </c>
      <c r="C121" s="6">
        <f t="shared" si="26"/>
        <v>10</v>
      </c>
      <c r="D121" s="6">
        <f t="shared" si="26"/>
        <v>0</v>
      </c>
      <c r="E121" s="6">
        <f t="shared" si="26"/>
        <v>0</v>
      </c>
      <c r="F121" s="13">
        <f t="shared" si="26"/>
        <v>0</v>
      </c>
      <c r="G121" s="8">
        <f t="shared" si="27"/>
        <v>0</v>
      </c>
      <c r="H121" s="6">
        <f t="shared" si="27"/>
        <v>0</v>
      </c>
      <c r="I121" s="6">
        <f t="shared" si="27"/>
        <v>0</v>
      </c>
      <c r="J121" s="6">
        <f t="shared" si="27"/>
        <v>0</v>
      </c>
      <c r="K121" s="13">
        <f t="shared" si="27"/>
        <v>0</v>
      </c>
      <c r="L121" s="8">
        <f t="shared" si="28"/>
        <v>0</v>
      </c>
      <c r="M121" s="6">
        <f t="shared" si="28"/>
        <v>0</v>
      </c>
      <c r="N121" s="6">
        <f t="shared" si="28"/>
        <v>0</v>
      </c>
      <c r="O121" s="6">
        <f t="shared" si="28"/>
        <v>0</v>
      </c>
      <c r="P121" s="13">
        <f t="shared" si="28"/>
        <v>0</v>
      </c>
      <c r="Q121" s="8">
        <f t="shared" si="29"/>
        <v>0</v>
      </c>
      <c r="R121" s="6">
        <f t="shared" si="29"/>
        <v>0</v>
      </c>
      <c r="S121" s="6">
        <f t="shared" si="29"/>
        <v>0</v>
      </c>
      <c r="T121" s="6">
        <f t="shared" si="29"/>
        <v>0</v>
      </c>
      <c r="U121" s="13">
        <f t="shared" si="29"/>
        <v>0</v>
      </c>
      <c r="V121" s="8">
        <f t="shared" si="30"/>
        <v>0</v>
      </c>
      <c r="W121" s="6">
        <f t="shared" si="30"/>
        <v>0</v>
      </c>
      <c r="X121" s="6">
        <f t="shared" si="30"/>
        <v>0</v>
      </c>
      <c r="Y121" s="6">
        <f t="shared" si="30"/>
        <v>0</v>
      </c>
      <c r="Z121" s="13">
        <f t="shared" si="30"/>
        <v>0</v>
      </c>
      <c r="AA121" s="8">
        <f t="shared" si="30"/>
        <v>0</v>
      </c>
      <c r="AB121" s="6">
        <f t="shared" si="30"/>
        <v>0</v>
      </c>
      <c r="AC121" s="6">
        <f t="shared" si="30"/>
        <v>0</v>
      </c>
      <c r="AD121" s="6">
        <f t="shared" si="30"/>
        <v>0</v>
      </c>
      <c r="AE121" s="13">
        <f t="shared" si="30"/>
        <v>0</v>
      </c>
      <c r="AF121" s="16">
        <f t="shared" si="31"/>
        <v>7500</v>
      </c>
      <c r="AG121" s="16">
        <f t="shared" si="32"/>
        <v>10</v>
      </c>
      <c r="AH121" s="15" t="str">
        <f>P2</f>
        <v>AG</v>
      </c>
      <c r="AI121" s="8">
        <f>Q2</f>
        <v>1000</v>
      </c>
      <c r="AJ121" s="6">
        <f>R2</f>
        <v>10</v>
      </c>
      <c r="AK121" s="6" t="str">
        <f>S2</f>
        <v>Y</v>
      </c>
      <c r="AL121" s="13" t="str">
        <f>T2</f>
        <v>3L</v>
      </c>
      <c r="AN121" s="15">
        <f>P3</f>
        <v>0</v>
      </c>
      <c r="AO121" s="8">
        <f>Q3</f>
        <v>0</v>
      </c>
      <c r="AP121" s="6">
        <f>R3</f>
        <v>0</v>
      </c>
      <c r="AQ121" s="6">
        <f>S3</f>
        <v>0</v>
      </c>
      <c r="AR121" s="13">
        <f>T3</f>
        <v>0</v>
      </c>
      <c r="AT121" s="15">
        <f>P4</f>
        <v>0</v>
      </c>
      <c r="AU121" s="8">
        <f>Q4</f>
        <v>0</v>
      </c>
      <c r="AV121" s="6">
        <f>R4</f>
        <v>0</v>
      </c>
      <c r="AW121" s="6">
        <f>S4</f>
        <v>0</v>
      </c>
      <c r="AX121" s="13">
        <f>T4</f>
        <v>0</v>
      </c>
      <c r="AZ121" s="15">
        <f>P5</f>
        <v>0</v>
      </c>
      <c r="BA121" s="8">
        <f>Q5</f>
        <v>0</v>
      </c>
      <c r="BB121" s="6">
        <f>R5</f>
        <v>0</v>
      </c>
      <c r="BC121" s="6">
        <f>S5</f>
        <v>0</v>
      </c>
      <c r="BD121" s="13">
        <f>T5</f>
        <v>0</v>
      </c>
      <c r="BF121" s="15">
        <f>P6</f>
        <v>0</v>
      </c>
      <c r="BG121" s="8">
        <f>Q6</f>
        <v>0</v>
      </c>
      <c r="BH121" s="6">
        <f>R6</f>
        <v>0</v>
      </c>
      <c r="BI121" s="6">
        <f>S6</f>
        <v>0</v>
      </c>
      <c r="BJ121" s="13">
        <f>T6</f>
        <v>0</v>
      </c>
    </row>
    <row r="122" spans="1:62" x14ac:dyDescent="0.25">
      <c r="A122" s="15">
        <v>1000</v>
      </c>
      <c r="B122" s="8">
        <f t="shared" si="26"/>
        <v>0</v>
      </c>
      <c r="C122" s="6">
        <f t="shared" si="26"/>
        <v>10</v>
      </c>
      <c r="D122" s="6">
        <f t="shared" si="26"/>
        <v>0</v>
      </c>
      <c r="E122" s="6">
        <f t="shared" si="26"/>
        <v>0</v>
      </c>
      <c r="F122" s="13">
        <f t="shared" si="26"/>
        <v>0</v>
      </c>
      <c r="G122" s="8">
        <f t="shared" si="27"/>
        <v>0</v>
      </c>
      <c r="H122" s="6">
        <f t="shared" si="27"/>
        <v>0</v>
      </c>
      <c r="I122" s="6">
        <f t="shared" si="27"/>
        <v>0</v>
      </c>
      <c r="J122" s="6">
        <f t="shared" si="27"/>
        <v>0</v>
      </c>
      <c r="K122" s="13">
        <f t="shared" si="27"/>
        <v>0</v>
      </c>
      <c r="L122" s="8">
        <f t="shared" si="28"/>
        <v>0</v>
      </c>
      <c r="M122" s="6">
        <f t="shared" si="28"/>
        <v>0</v>
      </c>
      <c r="N122" s="6">
        <f t="shared" si="28"/>
        <v>0</v>
      </c>
      <c r="O122" s="6">
        <f t="shared" si="28"/>
        <v>0</v>
      </c>
      <c r="P122" s="13">
        <f t="shared" si="28"/>
        <v>0</v>
      </c>
      <c r="Q122" s="8">
        <f t="shared" si="29"/>
        <v>0</v>
      </c>
      <c r="R122" s="6">
        <f t="shared" si="29"/>
        <v>0</v>
      </c>
      <c r="S122" s="6">
        <f t="shared" si="29"/>
        <v>0</v>
      </c>
      <c r="T122" s="6">
        <f t="shared" si="29"/>
        <v>0</v>
      </c>
      <c r="U122" s="13">
        <f t="shared" si="29"/>
        <v>0</v>
      </c>
      <c r="V122" s="8">
        <f t="shared" si="30"/>
        <v>0</v>
      </c>
      <c r="W122" s="6">
        <f t="shared" si="30"/>
        <v>0</v>
      </c>
      <c r="X122" s="6">
        <f t="shared" si="30"/>
        <v>0</v>
      </c>
      <c r="Y122" s="6">
        <f t="shared" si="30"/>
        <v>0</v>
      </c>
      <c r="Z122" s="13">
        <f t="shared" si="30"/>
        <v>0</v>
      </c>
      <c r="AA122" s="8">
        <f t="shared" si="30"/>
        <v>0</v>
      </c>
      <c r="AB122" s="6">
        <f t="shared" si="30"/>
        <v>0</v>
      </c>
      <c r="AC122" s="6">
        <f t="shared" si="30"/>
        <v>0</v>
      </c>
      <c r="AD122" s="6">
        <f t="shared" si="30"/>
        <v>0</v>
      </c>
      <c r="AE122" s="13">
        <f t="shared" si="30"/>
        <v>0</v>
      </c>
      <c r="AF122" s="16">
        <f t="shared" si="31"/>
        <v>10000</v>
      </c>
      <c r="AG122" s="16">
        <f t="shared" si="32"/>
        <v>10</v>
      </c>
      <c r="AH122" s="15" t="str">
        <f>V2</f>
        <v>AG</v>
      </c>
      <c r="AI122" s="8">
        <f>W2</f>
        <v>750</v>
      </c>
      <c r="AJ122" s="6">
        <f>X2</f>
        <v>10</v>
      </c>
      <c r="AK122" s="6" t="str">
        <f>Y2</f>
        <v>Y</v>
      </c>
      <c r="AL122" s="13" t="str">
        <f>Z2</f>
        <v>3L</v>
      </c>
      <c r="AN122" s="15">
        <f>V3</f>
        <v>0</v>
      </c>
      <c r="AO122" s="8">
        <f>W3</f>
        <v>0</v>
      </c>
      <c r="AP122" s="6">
        <f>X3</f>
        <v>0</v>
      </c>
      <c r="AQ122" s="6">
        <f>Y3</f>
        <v>0</v>
      </c>
      <c r="AR122" s="13">
        <f>Z3</f>
        <v>0</v>
      </c>
      <c r="AT122" s="15">
        <f>V4</f>
        <v>0</v>
      </c>
      <c r="AU122" s="8">
        <f>W4</f>
        <v>0</v>
      </c>
      <c r="AV122" s="6">
        <f>X4</f>
        <v>0</v>
      </c>
      <c r="AW122" s="6">
        <f>Y4</f>
        <v>0</v>
      </c>
      <c r="AX122" s="13">
        <f>Z4</f>
        <v>0</v>
      </c>
      <c r="AZ122" s="15">
        <f>V5</f>
        <v>0</v>
      </c>
      <c r="BA122" s="8">
        <f>W5</f>
        <v>0</v>
      </c>
      <c r="BB122" s="6">
        <f>X5</f>
        <v>0</v>
      </c>
      <c r="BC122" s="6">
        <f>Y5</f>
        <v>0</v>
      </c>
      <c r="BD122" s="13">
        <f>Z5</f>
        <v>0</v>
      </c>
      <c r="BF122" s="15">
        <f>V6</f>
        <v>0</v>
      </c>
      <c r="BG122" s="8">
        <f>W6</f>
        <v>0</v>
      </c>
      <c r="BH122" s="6">
        <f>X6</f>
        <v>0</v>
      </c>
      <c r="BI122" s="6">
        <f>Y6</f>
        <v>0</v>
      </c>
      <c r="BJ122" s="13">
        <f>Z6</f>
        <v>0</v>
      </c>
    </row>
    <row r="123" spans="1:62" x14ac:dyDescent="0.25">
      <c r="A123" s="15">
        <v>1500</v>
      </c>
      <c r="B123" s="8">
        <f t="shared" si="26"/>
        <v>0</v>
      </c>
      <c r="C123" s="6">
        <f t="shared" si="26"/>
        <v>8</v>
      </c>
      <c r="D123" s="6">
        <f t="shared" si="26"/>
        <v>0</v>
      </c>
      <c r="E123" s="6">
        <f t="shared" si="26"/>
        <v>0</v>
      </c>
      <c r="F123" s="13">
        <f t="shared" si="26"/>
        <v>0</v>
      </c>
      <c r="G123" s="8">
        <f t="shared" si="27"/>
        <v>0</v>
      </c>
      <c r="H123" s="6">
        <f t="shared" si="27"/>
        <v>0</v>
      </c>
      <c r="I123" s="6">
        <f t="shared" si="27"/>
        <v>0</v>
      </c>
      <c r="J123" s="6">
        <f t="shared" si="27"/>
        <v>0</v>
      </c>
      <c r="K123" s="13">
        <f t="shared" si="27"/>
        <v>0</v>
      </c>
      <c r="L123" s="8">
        <f t="shared" si="28"/>
        <v>0</v>
      </c>
      <c r="M123" s="6">
        <f t="shared" si="28"/>
        <v>0</v>
      </c>
      <c r="N123" s="6">
        <f t="shared" si="28"/>
        <v>0</v>
      </c>
      <c r="O123" s="6">
        <f t="shared" si="28"/>
        <v>0</v>
      </c>
      <c r="P123" s="13">
        <f t="shared" si="28"/>
        <v>0</v>
      </c>
      <c r="Q123" s="8">
        <f t="shared" si="29"/>
        <v>0</v>
      </c>
      <c r="R123" s="6">
        <f t="shared" si="29"/>
        <v>0</v>
      </c>
      <c r="S123" s="6">
        <f t="shared" si="29"/>
        <v>0</v>
      </c>
      <c r="T123" s="6">
        <f t="shared" si="29"/>
        <v>0</v>
      </c>
      <c r="U123" s="13">
        <f t="shared" si="29"/>
        <v>0</v>
      </c>
      <c r="V123" s="8">
        <f t="shared" si="30"/>
        <v>0</v>
      </c>
      <c r="W123" s="6">
        <f t="shared" si="30"/>
        <v>0</v>
      </c>
      <c r="X123" s="6">
        <f t="shared" si="30"/>
        <v>0</v>
      </c>
      <c r="Y123" s="6">
        <f t="shared" si="30"/>
        <v>0</v>
      </c>
      <c r="Z123" s="13">
        <f t="shared" si="30"/>
        <v>0</v>
      </c>
      <c r="AA123" s="8">
        <f t="shared" si="30"/>
        <v>0</v>
      </c>
      <c r="AB123" s="6">
        <f t="shared" si="30"/>
        <v>0</v>
      </c>
      <c r="AC123" s="6">
        <f t="shared" si="30"/>
        <v>0</v>
      </c>
      <c r="AD123" s="6">
        <f t="shared" si="30"/>
        <v>0</v>
      </c>
      <c r="AE123" s="13">
        <f t="shared" si="30"/>
        <v>0</v>
      </c>
      <c r="AF123" s="16">
        <f t="shared" si="31"/>
        <v>12000</v>
      </c>
      <c r="AG123" s="16">
        <f t="shared" si="32"/>
        <v>8</v>
      </c>
      <c r="AH123" s="15" t="str">
        <f>AB2</f>
        <v>AG</v>
      </c>
      <c r="AI123" s="8">
        <f>AC2</f>
        <v>500</v>
      </c>
      <c r="AJ123" s="6">
        <f>AD2</f>
        <v>20</v>
      </c>
      <c r="AK123" s="6" t="str">
        <f>AE2</f>
        <v>Y</v>
      </c>
      <c r="AL123" s="13" t="str">
        <f>AF2</f>
        <v>3L</v>
      </c>
      <c r="AN123" s="15">
        <f>AB3</f>
        <v>0</v>
      </c>
      <c r="AO123" s="8">
        <f>AC3</f>
        <v>0</v>
      </c>
      <c r="AP123" s="6">
        <f>AD3</f>
        <v>0</v>
      </c>
      <c r="AQ123" s="6">
        <f>AE3</f>
        <v>0</v>
      </c>
      <c r="AR123" s="13">
        <f>AF3</f>
        <v>0</v>
      </c>
      <c r="AT123" s="15">
        <f>AB4</f>
        <v>0</v>
      </c>
      <c r="AU123" s="8">
        <f>AC4</f>
        <v>0</v>
      </c>
      <c r="AV123" s="6">
        <f>AD4</f>
        <v>0</v>
      </c>
      <c r="AW123" s="6">
        <f>AE4</f>
        <v>0</v>
      </c>
      <c r="AX123" s="13">
        <f>AF4</f>
        <v>0</v>
      </c>
      <c r="AZ123" s="15">
        <f>AB5</f>
        <v>0</v>
      </c>
      <c r="BA123" s="8">
        <f>AC5</f>
        <v>0</v>
      </c>
      <c r="BB123" s="6">
        <f>AD5</f>
        <v>0</v>
      </c>
      <c r="BC123" s="6">
        <f>AE5</f>
        <v>0</v>
      </c>
      <c r="BD123" s="13">
        <f>AF5</f>
        <v>0</v>
      </c>
      <c r="BF123" s="15">
        <f>AB6</f>
        <v>0</v>
      </c>
      <c r="BG123" s="8">
        <f>AC6</f>
        <v>0</v>
      </c>
      <c r="BH123" s="6">
        <f>AD6</f>
        <v>0</v>
      </c>
      <c r="BI123" s="6">
        <f>AE6</f>
        <v>0</v>
      </c>
      <c r="BJ123" s="13">
        <f>AF6</f>
        <v>0</v>
      </c>
    </row>
    <row r="124" spans="1:62" x14ac:dyDescent="0.25">
      <c r="A124" s="15">
        <v>2000</v>
      </c>
      <c r="B124" s="8">
        <f t="shared" si="26"/>
        <v>0</v>
      </c>
      <c r="C124" s="6">
        <f t="shared" si="26"/>
        <v>0</v>
      </c>
      <c r="D124" s="6">
        <f t="shared" si="26"/>
        <v>0</v>
      </c>
      <c r="E124" s="6">
        <f t="shared" si="26"/>
        <v>0</v>
      </c>
      <c r="F124" s="13">
        <f t="shared" si="26"/>
        <v>0</v>
      </c>
      <c r="G124" s="8">
        <f t="shared" si="27"/>
        <v>0</v>
      </c>
      <c r="H124" s="6">
        <f t="shared" si="27"/>
        <v>0</v>
      </c>
      <c r="I124" s="6">
        <f t="shared" si="27"/>
        <v>0</v>
      </c>
      <c r="J124" s="6">
        <f t="shared" si="27"/>
        <v>0</v>
      </c>
      <c r="K124" s="13">
        <f t="shared" si="27"/>
        <v>0</v>
      </c>
      <c r="L124" s="8">
        <f t="shared" si="28"/>
        <v>0</v>
      </c>
      <c r="M124" s="6">
        <f t="shared" si="28"/>
        <v>0</v>
      </c>
      <c r="N124" s="6">
        <f t="shared" si="28"/>
        <v>0</v>
      </c>
      <c r="O124" s="6">
        <f t="shared" si="28"/>
        <v>0</v>
      </c>
      <c r="P124" s="13">
        <f t="shared" si="28"/>
        <v>0</v>
      </c>
      <c r="Q124" s="8">
        <f t="shared" si="29"/>
        <v>0</v>
      </c>
      <c r="R124" s="6">
        <f t="shared" si="29"/>
        <v>0</v>
      </c>
      <c r="S124" s="6">
        <f t="shared" si="29"/>
        <v>0</v>
      </c>
      <c r="T124" s="6">
        <f t="shared" si="29"/>
        <v>0</v>
      </c>
      <c r="U124" s="13">
        <f t="shared" si="29"/>
        <v>0</v>
      </c>
      <c r="V124" s="8">
        <f t="shared" si="30"/>
        <v>0</v>
      </c>
      <c r="W124" s="6">
        <f t="shared" si="30"/>
        <v>0</v>
      </c>
      <c r="X124" s="6">
        <f t="shared" si="30"/>
        <v>0</v>
      </c>
      <c r="Y124" s="6">
        <f t="shared" si="30"/>
        <v>0</v>
      </c>
      <c r="Z124" s="13">
        <f t="shared" si="30"/>
        <v>0</v>
      </c>
      <c r="AA124" s="8">
        <f t="shared" si="30"/>
        <v>0</v>
      </c>
      <c r="AB124" s="6">
        <f t="shared" si="30"/>
        <v>0</v>
      </c>
      <c r="AC124" s="6">
        <f t="shared" si="30"/>
        <v>0</v>
      </c>
      <c r="AD124" s="6">
        <f t="shared" si="30"/>
        <v>0</v>
      </c>
      <c r="AE124" s="13">
        <f t="shared" si="30"/>
        <v>0</v>
      </c>
      <c r="AF124" s="16">
        <f t="shared" si="31"/>
        <v>0</v>
      </c>
      <c r="AG124" s="16">
        <f t="shared" si="32"/>
        <v>0</v>
      </c>
      <c r="AH124" s="15">
        <f>AH2</f>
        <v>0</v>
      </c>
      <c r="AI124" s="8">
        <f>AI2</f>
        <v>0</v>
      </c>
      <c r="AJ124" s="6">
        <f>AJ2</f>
        <v>0</v>
      </c>
      <c r="AK124" s="6">
        <f>AK2</f>
        <v>0</v>
      </c>
      <c r="AL124" s="13">
        <f>AL2</f>
        <v>0</v>
      </c>
      <c r="AN124" s="15">
        <f>AH3</f>
        <v>0</v>
      </c>
      <c r="AO124" s="8">
        <f>AI3</f>
        <v>0</v>
      </c>
      <c r="AP124" s="6">
        <f>AJ3</f>
        <v>0</v>
      </c>
      <c r="AQ124" s="6">
        <f>AK3</f>
        <v>0</v>
      </c>
      <c r="AR124" s="13">
        <f>AL3</f>
        <v>0</v>
      </c>
      <c r="AT124" s="15">
        <f>AH4</f>
        <v>0</v>
      </c>
      <c r="AU124" s="8">
        <f>AI4</f>
        <v>0</v>
      </c>
      <c r="AV124" s="6">
        <f>AJ4</f>
        <v>0</v>
      </c>
      <c r="AW124" s="6">
        <f>AK4</f>
        <v>0</v>
      </c>
      <c r="AX124" s="13">
        <f>AL4</f>
        <v>0</v>
      </c>
      <c r="AZ124" s="15">
        <f>AH5</f>
        <v>0</v>
      </c>
      <c r="BA124" s="8">
        <f>AI5</f>
        <v>0</v>
      </c>
      <c r="BB124" s="6">
        <f>AJ5</f>
        <v>0</v>
      </c>
      <c r="BC124" s="6">
        <f>AK5</f>
        <v>0</v>
      </c>
      <c r="BD124" s="13">
        <f>AL5</f>
        <v>0</v>
      </c>
      <c r="BF124" s="15">
        <f>AH6</f>
        <v>0</v>
      </c>
      <c r="BG124" s="8">
        <f>AI6</f>
        <v>0</v>
      </c>
      <c r="BH124" s="6">
        <f>AJ6</f>
        <v>0</v>
      </c>
      <c r="BI124" s="6">
        <f>AK6</f>
        <v>0</v>
      </c>
      <c r="BJ124" s="13">
        <f>AL6</f>
        <v>0</v>
      </c>
    </row>
    <row r="125" spans="1:62" x14ac:dyDescent="0.25">
      <c r="A125" s="15">
        <v>3000</v>
      </c>
      <c r="B125" s="8">
        <f t="shared" si="26"/>
        <v>0</v>
      </c>
      <c r="C125" s="6">
        <f t="shared" si="26"/>
        <v>0</v>
      </c>
      <c r="D125" s="6">
        <f t="shared" si="26"/>
        <v>0</v>
      </c>
      <c r="E125" s="6">
        <f t="shared" si="26"/>
        <v>0</v>
      </c>
      <c r="F125" s="13">
        <f t="shared" si="26"/>
        <v>0</v>
      </c>
      <c r="G125" s="8">
        <f t="shared" si="27"/>
        <v>0</v>
      </c>
      <c r="H125" s="6">
        <f t="shared" si="27"/>
        <v>0</v>
      </c>
      <c r="I125" s="6">
        <f t="shared" si="27"/>
        <v>0</v>
      </c>
      <c r="J125" s="6">
        <f t="shared" si="27"/>
        <v>0</v>
      </c>
      <c r="K125" s="13">
        <f t="shared" si="27"/>
        <v>0</v>
      </c>
      <c r="L125" s="8">
        <f t="shared" si="28"/>
        <v>0</v>
      </c>
      <c r="M125" s="6">
        <f t="shared" si="28"/>
        <v>0</v>
      </c>
      <c r="N125" s="6">
        <f t="shared" si="28"/>
        <v>0</v>
      </c>
      <c r="O125" s="6">
        <f t="shared" si="28"/>
        <v>0</v>
      </c>
      <c r="P125" s="13">
        <f t="shared" si="28"/>
        <v>0</v>
      </c>
      <c r="Q125" s="8">
        <f t="shared" si="29"/>
        <v>0</v>
      </c>
      <c r="R125" s="6">
        <f t="shared" si="29"/>
        <v>0</v>
      </c>
      <c r="S125" s="6">
        <f t="shared" si="29"/>
        <v>0</v>
      </c>
      <c r="T125" s="6">
        <f t="shared" si="29"/>
        <v>0</v>
      </c>
      <c r="U125" s="13">
        <f t="shared" si="29"/>
        <v>0</v>
      </c>
      <c r="V125" s="8">
        <f t="shared" si="30"/>
        <v>0</v>
      </c>
      <c r="W125" s="6">
        <f t="shared" si="30"/>
        <v>0</v>
      </c>
      <c r="X125" s="6">
        <f t="shared" si="30"/>
        <v>0</v>
      </c>
      <c r="Y125" s="6">
        <f t="shared" si="30"/>
        <v>0</v>
      </c>
      <c r="Z125" s="13">
        <f t="shared" si="30"/>
        <v>0</v>
      </c>
      <c r="AA125" s="8">
        <f t="shared" si="30"/>
        <v>0</v>
      </c>
      <c r="AB125" s="6">
        <f t="shared" si="30"/>
        <v>0</v>
      </c>
      <c r="AC125" s="6">
        <f t="shared" si="30"/>
        <v>0</v>
      </c>
      <c r="AD125" s="6">
        <f t="shared" si="30"/>
        <v>0</v>
      </c>
      <c r="AE125" s="13">
        <f t="shared" si="30"/>
        <v>0</v>
      </c>
      <c r="AF125" s="16">
        <f t="shared" si="31"/>
        <v>0</v>
      </c>
      <c r="AG125" s="16">
        <f t="shared" si="32"/>
        <v>0</v>
      </c>
      <c r="AH125" s="15">
        <f>AN2</f>
        <v>0</v>
      </c>
      <c r="AI125" s="8">
        <f>AO2</f>
        <v>0</v>
      </c>
      <c r="AJ125" s="6">
        <f>AP2</f>
        <v>0</v>
      </c>
      <c r="AK125" s="6">
        <f>AQ2</f>
        <v>0</v>
      </c>
      <c r="AL125" s="13">
        <f>AR2</f>
        <v>0</v>
      </c>
      <c r="AN125" s="15">
        <f>AN3</f>
        <v>0</v>
      </c>
      <c r="AO125" s="8">
        <f>AO3</f>
        <v>0</v>
      </c>
      <c r="AP125" s="6">
        <f>AP3</f>
        <v>0</v>
      </c>
      <c r="AQ125" s="6">
        <f>AQ3</f>
        <v>0</v>
      </c>
      <c r="AR125" s="13">
        <f>AR3</f>
        <v>0</v>
      </c>
      <c r="AT125" s="15">
        <f>AN4</f>
        <v>0</v>
      </c>
      <c r="AU125" s="8">
        <f>AO4</f>
        <v>0</v>
      </c>
      <c r="AV125" s="6">
        <f>AP4</f>
        <v>0</v>
      </c>
      <c r="AW125" s="6">
        <f>AQ4</f>
        <v>0</v>
      </c>
      <c r="AX125" s="13">
        <f>AR4</f>
        <v>0</v>
      </c>
      <c r="AZ125" s="15">
        <f>AN5</f>
        <v>0</v>
      </c>
      <c r="BA125" s="8">
        <f>AO5</f>
        <v>0</v>
      </c>
      <c r="BB125" s="6">
        <f>AP5</f>
        <v>0</v>
      </c>
      <c r="BC125" s="6">
        <f>AQ5</f>
        <v>0</v>
      </c>
      <c r="BD125" s="13">
        <f>AR5</f>
        <v>0</v>
      </c>
      <c r="BF125" s="15">
        <f>AN6</f>
        <v>0</v>
      </c>
      <c r="BG125" s="8">
        <f>AO6</f>
        <v>0</v>
      </c>
      <c r="BH125" s="6">
        <f>AP6</f>
        <v>0</v>
      </c>
      <c r="BI125" s="6">
        <f>AQ6</f>
        <v>0</v>
      </c>
      <c r="BJ125" s="13">
        <f>AR6</f>
        <v>0</v>
      </c>
    </row>
    <row r="126" spans="1:62" x14ac:dyDescent="0.25">
      <c r="A126" s="15">
        <v>5000</v>
      </c>
      <c r="B126" s="8">
        <f t="shared" si="26"/>
        <v>0</v>
      </c>
      <c r="C126" s="6">
        <f t="shared" si="26"/>
        <v>0</v>
      </c>
      <c r="D126" s="6">
        <f t="shared" si="26"/>
        <v>0</v>
      </c>
      <c r="E126" s="6">
        <f t="shared" si="26"/>
        <v>0</v>
      </c>
      <c r="F126" s="13">
        <f t="shared" si="26"/>
        <v>0</v>
      </c>
      <c r="G126" s="8">
        <f t="shared" si="27"/>
        <v>0</v>
      </c>
      <c r="H126" s="6">
        <f t="shared" si="27"/>
        <v>0</v>
      </c>
      <c r="I126" s="6">
        <f t="shared" si="27"/>
        <v>0</v>
      </c>
      <c r="J126" s="6">
        <f t="shared" si="27"/>
        <v>0</v>
      </c>
      <c r="K126" s="13">
        <f t="shared" si="27"/>
        <v>0</v>
      </c>
      <c r="L126" s="8">
        <f t="shared" si="28"/>
        <v>0</v>
      </c>
      <c r="M126" s="6">
        <f t="shared" si="28"/>
        <v>0</v>
      </c>
      <c r="N126" s="6">
        <f t="shared" si="28"/>
        <v>0</v>
      </c>
      <c r="O126" s="6">
        <f t="shared" si="28"/>
        <v>0</v>
      </c>
      <c r="P126" s="13">
        <f t="shared" si="28"/>
        <v>0</v>
      </c>
      <c r="Q126" s="8">
        <f t="shared" si="29"/>
        <v>0</v>
      </c>
      <c r="R126" s="6">
        <f t="shared" si="29"/>
        <v>0</v>
      </c>
      <c r="S126" s="6">
        <f t="shared" si="29"/>
        <v>0</v>
      </c>
      <c r="T126" s="6">
        <f t="shared" si="29"/>
        <v>0</v>
      </c>
      <c r="U126" s="13">
        <f t="shared" si="29"/>
        <v>0</v>
      </c>
      <c r="V126" s="8">
        <f t="shared" si="30"/>
        <v>0</v>
      </c>
      <c r="W126" s="6">
        <f t="shared" si="30"/>
        <v>0</v>
      </c>
      <c r="X126" s="6">
        <f t="shared" si="30"/>
        <v>0</v>
      </c>
      <c r="Y126" s="6">
        <f t="shared" si="30"/>
        <v>0</v>
      </c>
      <c r="Z126" s="13">
        <f t="shared" si="30"/>
        <v>0</v>
      </c>
      <c r="AA126" s="8">
        <f t="shared" si="30"/>
        <v>0</v>
      </c>
      <c r="AB126" s="6">
        <f t="shared" si="30"/>
        <v>0</v>
      </c>
      <c r="AC126" s="6">
        <f t="shared" si="30"/>
        <v>0</v>
      </c>
      <c r="AD126" s="6">
        <f t="shared" si="30"/>
        <v>0</v>
      </c>
      <c r="AE126" s="13">
        <f t="shared" si="30"/>
        <v>0</v>
      </c>
      <c r="AF126" s="16">
        <f t="shared" si="31"/>
        <v>0</v>
      </c>
      <c r="AG126" s="16">
        <f t="shared" si="32"/>
        <v>0</v>
      </c>
      <c r="AH126" s="15">
        <f>AT2</f>
        <v>0</v>
      </c>
      <c r="AI126" s="8">
        <f>AU2</f>
        <v>0</v>
      </c>
      <c r="AJ126" s="6">
        <f>AV2</f>
        <v>0</v>
      </c>
      <c r="AK126" s="6">
        <f>AW2</f>
        <v>0</v>
      </c>
      <c r="AL126" s="13">
        <f>AX2</f>
        <v>0</v>
      </c>
      <c r="AN126" s="15">
        <f>AT3</f>
        <v>0</v>
      </c>
      <c r="AO126" s="8">
        <f>AU3</f>
        <v>0</v>
      </c>
      <c r="AP126" s="6">
        <f>AV3</f>
        <v>0</v>
      </c>
      <c r="AQ126" s="6">
        <f>AW3</f>
        <v>0</v>
      </c>
      <c r="AR126" s="13">
        <f>AX3</f>
        <v>0</v>
      </c>
      <c r="AT126" s="15">
        <f>AT4</f>
        <v>0</v>
      </c>
      <c r="AU126" s="8">
        <f>AU4</f>
        <v>0</v>
      </c>
      <c r="AV126" s="6">
        <f>AV4</f>
        <v>0</v>
      </c>
      <c r="AW126" s="6">
        <f>AW4</f>
        <v>0</v>
      </c>
      <c r="AX126" s="13">
        <f>AX4</f>
        <v>0</v>
      </c>
      <c r="AZ126" s="15">
        <f>AT5</f>
        <v>0</v>
      </c>
      <c r="BA126" s="8">
        <f>AU5</f>
        <v>0</v>
      </c>
      <c r="BB126" s="6">
        <f>AV5</f>
        <v>0</v>
      </c>
      <c r="BC126" s="6">
        <f>AW5</f>
        <v>0</v>
      </c>
      <c r="BD126" s="13">
        <f>AX5</f>
        <v>0</v>
      </c>
      <c r="BF126" s="15">
        <f>AT6</f>
        <v>0</v>
      </c>
      <c r="BG126" s="8">
        <f>AU6</f>
        <v>0</v>
      </c>
      <c r="BH126" s="6">
        <f>AV6</f>
        <v>0</v>
      </c>
      <c r="BI126" s="6">
        <f>AW6</f>
        <v>0</v>
      </c>
      <c r="BJ126" s="13">
        <f>AX6</f>
        <v>0</v>
      </c>
    </row>
    <row r="127" spans="1:62" ht="15.75" thickBot="1" x14ac:dyDescent="0.3">
      <c r="A127" s="59">
        <v>10000</v>
      </c>
      <c r="B127" s="31">
        <f t="shared" si="26"/>
        <v>0</v>
      </c>
      <c r="C127" s="32">
        <f t="shared" si="26"/>
        <v>0</v>
      </c>
      <c r="D127" s="32">
        <f t="shared" si="26"/>
        <v>0</v>
      </c>
      <c r="E127" s="32">
        <f t="shared" si="26"/>
        <v>0</v>
      </c>
      <c r="F127" s="33">
        <f t="shared" si="26"/>
        <v>0</v>
      </c>
      <c r="G127" s="31">
        <f t="shared" si="27"/>
        <v>0</v>
      </c>
      <c r="H127" s="32">
        <f t="shared" si="27"/>
        <v>0</v>
      </c>
      <c r="I127" s="32">
        <f t="shared" si="27"/>
        <v>0</v>
      </c>
      <c r="J127" s="32">
        <f t="shared" si="27"/>
        <v>0</v>
      </c>
      <c r="K127" s="33">
        <f t="shared" si="27"/>
        <v>0</v>
      </c>
      <c r="L127" s="31">
        <f t="shared" si="28"/>
        <v>0</v>
      </c>
      <c r="M127" s="32">
        <f t="shared" si="28"/>
        <v>0</v>
      </c>
      <c r="N127" s="32">
        <f t="shared" si="28"/>
        <v>0</v>
      </c>
      <c r="O127" s="32">
        <f t="shared" si="28"/>
        <v>0</v>
      </c>
      <c r="P127" s="33">
        <f t="shared" si="28"/>
        <v>0</v>
      </c>
      <c r="Q127" s="31">
        <f t="shared" si="29"/>
        <v>0</v>
      </c>
      <c r="R127" s="32">
        <f t="shared" si="29"/>
        <v>0</v>
      </c>
      <c r="S127" s="32">
        <f t="shared" si="29"/>
        <v>0</v>
      </c>
      <c r="T127" s="32">
        <f t="shared" si="29"/>
        <v>0</v>
      </c>
      <c r="U127" s="33">
        <f t="shared" si="29"/>
        <v>0</v>
      </c>
      <c r="V127" s="31">
        <f t="shared" si="30"/>
        <v>0</v>
      </c>
      <c r="W127" s="32">
        <f t="shared" si="30"/>
        <v>0</v>
      </c>
      <c r="X127" s="32">
        <f t="shared" si="30"/>
        <v>0</v>
      </c>
      <c r="Y127" s="32">
        <f t="shared" si="30"/>
        <v>0</v>
      </c>
      <c r="Z127" s="33">
        <f t="shared" si="30"/>
        <v>0</v>
      </c>
      <c r="AA127" s="31">
        <f t="shared" si="30"/>
        <v>0</v>
      </c>
      <c r="AB127" s="32">
        <f t="shared" si="30"/>
        <v>0</v>
      </c>
      <c r="AC127" s="32">
        <f t="shared" si="30"/>
        <v>0</v>
      </c>
      <c r="AD127" s="32">
        <f t="shared" si="30"/>
        <v>0</v>
      </c>
      <c r="AE127" s="33">
        <f t="shared" si="30"/>
        <v>0</v>
      </c>
      <c r="AF127" s="16">
        <f t="shared" si="31"/>
        <v>0</v>
      </c>
      <c r="AG127" s="43">
        <f t="shared" si="32"/>
        <v>0</v>
      </c>
      <c r="AH127" s="15">
        <f>AZ2</f>
        <v>0</v>
      </c>
      <c r="AI127" s="8">
        <f>BA2</f>
        <v>0</v>
      </c>
      <c r="AJ127" s="6">
        <f>BB2</f>
        <v>0</v>
      </c>
      <c r="AK127" s="6">
        <f>BC2</f>
        <v>0</v>
      </c>
      <c r="AL127" s="13">
        <f>BD2</f>
        <v>0</v>
      </c>
      <c r="AN127" s="15">
        <f>AZ3</f>
        <v>0</v>
      </c>
      <c r="AO127" s="8">
        <f>BA3</f>
        <v>0</v>
      </c>
      <c r="AP127" s="6">
        <f>BB3</f>
        <v>0</v>
      </c>
      <c r="AQ127" s="6">
        <f>BC3</f>
        <v>0</v>
      </c>
      <c r="AR127" s="13">
        <f>BD3</f>
        <v>0</v>
      </c>
      <c r="AT127" s="15">
        <f>AZ4</f>
        <v>0</v>
      </c>
      <c r="AU127" s="8">
        <f>BA4</f>
        <v>0</v>
      </c>
      <c r="AV127" s="6">
        <f>BB4</f>
        <v>0</v>
      </c>
      <c r="AW127" s="6">
        <f>BC4</f>
        <v>0</v>
      </c>
      <c r="AX127" s="13">
        <f>BD4</f>
        <v>0</v>
      </c>
      <c r="AZ127" s="15">
        <f>AZ5</f>
        <v>0</v>
      </c>
      <c r="BA127" s="8">
        <f>BA5</f>
        <v>0</v>
      </c>
      <c r="BB127" s="6">
        <f>BB5</f>
        <v>0</v>
      </c>
      <c r="BC127" s="6">
        <f>BC5</f>
        <v>0</v>
      </c>
      <c r="BD127" s="13">
        <f>BD5</f>
        <v>0</v>
      </c>
      <c r="BF127" s="15">
        <f>AZ6</f>
        <v>0</v>
      </c>
      <c r="BG127" s="8">
        <f>BA6</f>
        <v>0</v>
      </c>
      <c r="BH127" s="6">
        <f>BB6</f>
        <v>0</v>
      </c>
      <c r="BI127" s="6">
        <f>BC6</f>
        <v>0</v>
      </c>
      <c r="BJ127" s="13">
        <f>BD6</f>
        <v>0</v>
      </c>
    </row>
    <row r="128" spans="1:62" ht="15.75" thickBot="1" x14ac:dyDescent="0.3">
      <c r="A128" s="35"/>
      <c r="B128" s="60">
        <f t="shared" ref="B128:AG128" si="33">SUM(B119:B127)</f>
        <v>0</v>
      </c>
      <c r="C128" s="61">
        <f t="shared" si="33"/>
        <v>48</v>
      </c>
      <c r="D128" s="61">
        <f t="shared" si="33"/>
        <v>0</v>
      </c>
      <c r="E128" s="61">
        <f t="shared" si="33"/>
        <v>0</v>
      </c>
      <c r="F128" s="62">
        <f t="shared" si="33"/>
        <v>0</v>
      </c>
      <c r="G128" s="60">
        <f t="shared" si="33"/>
        <v>0</v>
      </c>
      <c r="H128" s="61">
        <f t="shared" si="33"/>
        <v>0</v>
      </c>
      <c r="I128" s="61">
        <f t="shared" si="33"/>
        <v>0</v>
      </c>
      <c r="J128" s="61">
        <f t="shared" si="33"/>
        <v>0</v>
      </c>
      <c r="K128" s="62">
        <f t="shared" si="33"/>
        <v>0</v>
      </c>
      <c r="L128" s="60">
        <f t="shared" si="33"/>
        <v>0</v>
      </c>
      <c r="M128" s="61">
        <f t="shared" si="33"/>
        <v>0</v>
      </c>
      <c r="N128" s="61">
        <f t="shared" si="33"/>
        <v>0</v>
      </c>
      <c r="O128" s="61">
        <f t="shared" si="33"/>
        <v>0</v>
      </c>
      <c r="P128" s="62">
        <f t="shared" si="33"/>
        <v>0</v>
      </c>
      <c r="Q128" s="60">
        <f t="shared" si="33"/>
        <v>0</v>
      </c>
      <c r="R128" s="61">
        <f t="shared" si="33"/>
        <v>0</v>
      </c>
      <c r="S128" s="61">
        <f t="shared" si="33"/>
        <v>0</v>
      </c>
      <c r="T128" s="61">
        <f t="shared" si="33"/>
        <v>0</v>
      </c>
      <c r="U128" s="62">
        <f t="shared" si="33"/>
        <v>0</v>
      </c>
      <c r="V128" s="60">
        <f t="shared" si="33"/>
        <v>0</v>
      </c>
      <c r="W128" s="61">
        <f t="shared" si="33"/>
        <v>0</v>
      </c>
      <c r="X128" s="61">
        <f t="shared" si="33"/>
        <v>0</v>
      </c>
      <c r="Y128" s="61">
        <f t="shared" si="33"/>
        <v>0</v>
      </c>
      <c r="Z128" s="62">
        <f t="shared" si="33"/>
        <v>0</v>
      </c>
      <c r="AA128" s="60">
        <f t="shared" si="33"/>
        <v>0</v>
      </c>
      <c r="AB128" s="61">
        <f t="shared" si="33"/>
        <v>0</v>
      </c>
      <c r="AC128" s="61">
        <f t="shared" si="33"/>
        <v>0</v>
      </c>
      <c r="AD128" s="61">
        <f t="shared" si="33"/>
        <v>0</v>
      </c>
      <c r="AE128" s="62">
        <f t="shared" si="33"/>
        <v>0</v>
      </c>
      <c r="AF128" s="35">
        <f>SUM(AF119:AF127)</f>
        <v>39500</v>
      </c>
      <c r="AG128" s="35">
        <f t="shared" si="32"/>
        <v>48</v>
      </c>
      <c r="AH128" s="15">
        <f>BF2</f>
        <v>0</v>
      </c>
      <c r="AI128" s="8">
        <f>BG2</f>
        <v>0</v>
      </c>
      <c r="AJ128" s="6">
        <f>BH2</f>
        <v>0</v>
      </c>
      <c r="AK128" s="6">
        <f>BI2</f>
        <v>0</v>
      </c>
      <c r="AL128" s="13">
        <f>BJ2</f>
        <v>0</v>
      </c>
      <c r="AN128" s="15">
        <f>BF3</f>
        <v>0</v>
      </c>
      <c r="AO128" s="8">
        <f>BG3</f>
        <v>0</v>
      </c>
      <c r="AP128" s="6">
        <f>BH3</f>
        <v>0</v>
      </c>
      <c r="AQ128" s="6">
        <f>BI3</f>
        <v>0</v>
      </c>
      <c r="AR128" s="13">
        <f>BJ3</f>
        <v>0</v>
      </c>
      <c r="AT128" s="15">
        <f>BF4</f>
        <v>0</v>
      </c>
      <c r="AU128" s="8">
        <f>BG4</f>
        <v>0</v>
      </c>
      <c r="AV128" s="6">
        <f>BH4</f>
        <v>0</v>
      </c>
      <c r="AW128" s="6">
        <f>BI4</f>
        <v>0</v>
      </c>
      <c r="AX128" s="13">
        <f>BJ4</f>
        <v>0</v>
      </c>
      <c r="AZ128" s="15">
        <f>BF5</f>
        <v>0</v>
      </c>
      <c r="BA128" s="8">
        <f>BG5</f>
        <v>0</v>
      </c>
      <c r="BB128" s="6">
        <f>BH5</f>
        <v>0</v>
      </c>
      <c r="BC128" s="6">
        <f>BI5</f>
        <v>0</v>
      </c>
      <c r="BD128" s="13">
        <f>BJ5</f>
        <v>0</v>
      </c>
      <c r="BF128" s="15">
        <f>BF6</f>
        <v>0</v>
      </c>
      <c r="BG128" s="8">
        <f>BG6</f>
        <v>0</v>
      </c>
      <c r="BH128" s="6">
        <f>BH6</f>
        <v>0</v>
      </c>
      <c r="BI128" s="6">
        <f>BI6</f>
        <v>0</v>
      </c>
      <c r="BJ128" s="13">
        <f>BJ6</f>
        <v>0</v>
      </c>
    </row>
    <row r="129" spans="1:62" ht="15.75" thickBo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9">
        <f>BL2</f>
        <v>0</v>
      </c>
      <c r="AI129" s="31">
        <f>BM2</f>
        <v>0</v>
      </c>
      <c r="AJ129" s="32">
        <f>BN2</f>
        <v>0</v>
      </c>
      <c r="AK129" s="32">
        <f>BO2</f>
        <v>0</v>
      </c>
      <c r="AL129" s="33">
        <f>BP2</f>
        <v>0</v>
      </c>
      <c r="AN129" s="59">
        <f>BL3</f>
        <v>0</v>
      </c>
      <c r="AO129" s="31">
        <f>BM3</f>
        <v>0</v>
      </c>
      <c r="AP129" s="32">
        <f>BN3</f>
        <v>0</v>
      </c>
      <c r="AQ129" s="32">
        <f>BO3</f>
        <v>0</v>
      </c>
      <c r="AR129" s="33">
        <f>BP3</f>
        <v>0</v>
      </c>
      <c r="AT129" s="59">
        <f>BL4</f>
        <v>0</v>
      </c>
      <c r="AU129" s="31">
        <f>BM4</f>
        <v>0</v>
      </c>
      <c r="AV129" s="32">
        <f>BN4</f>
        <v>0</v>
      </c>
      <c r="AW129" s="32">
        <f>BO4</f>
        <v>0</v>
      </c>
      <c r="AX129" s="33">
        <f>BP4</f>
        <v>0</v>
      </c>
      <c r="AZ129" s="59">
        <f>BL5</f>
        <v>0</v>
      </c>
      <c r="BA129" s="31">
        <f>BM5</f>
        <v>0</v>
      </c>
      <c r="BB129" s="32">
        <f>BN5</f>
        <v>0</v>
      </c>
      <c r="BC129" s="32">
        <f>BO5</f>
        <v>0</v>
      </c>
      <c r="BD129" s="33">
        <f>BP5</f>
        <v>0</v>
      </c>
      <c r="BF129" s="59">
        <f>BL6</f>
        <v>0</v>
      </c>
      <c r="BG129" s="31">
        <f>BM6</f>
        <v>0</v>
      </c>
      <c r="BH129" s="32">
        <f>BN6</f>
        <v>0</v>
      </c>
      <c r="BI129" s="32">
        <f>BO6</f>
        <v>0</v>
      </c>
      <c r="BJ129" s="33">
        <f>BP6</f>
        <v>0</v>
      </c>
    </row>
    <row r="130" spans="1:62" ht="16.5" thickBot="1" x14ac:dyDescent="0.3">
      <c r="A130" s="173" t="s">
        <v>249</v>
      </c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5"/>
      <c r="AH130" s="35" t="str">
        <f>C2</f>
        <v>A/C</v>
      </c>
      <c r="AI130" s="158">
        <f>SUM(AJ120:AJ129)</f>
        <v>48</v>
      </c>
      <c r="AJ130" s="159"/>
      <c r="AK130" s="158">
        <f>BT2</f>
        <v>39500</v>
      </c>
      <c r="AL130" s="159"/>
      <c r="AN130" s="35">
        <f>C3</f>
        <v>0</v>
      </c>
      <c r="AO130" s="158">
        <f>SUM(AP120:AP129)</f>
        <v>0</v>
      </c>
      <c r="AP130" s="159"/>
      <c r="AQ130" s="158">
        <f>BT3</f>
        <v>0</v>
      </c>
      <c r="AR130" s="159"/>
      <c r="AT130" s="35">
        <f>C4</f>
        <v>0</v>
      </c>
      <c r="AU130" s="158">
        <f>SUM(AV120:AV129)</f>
        <v>0</v>
      </c>
      <c r="AV130" s="159"/>
      <c r="AW130" s="158">
        <f>BT4</f>
        <v>0</v>
      </c>
      <c r="AX130" s="159"/>
      <c r="AZ130" s="35">
        <f>C5</f>
        <v>0</v>
      </c>
      <c r="BA130" s="158">
        <f>SUM(BB120:BB129)</f>
        <v>0</v>
      </c>
      <c r="BB130" s="159"/>
      <c r="BC130" s="158">
        <f>BT5</f>
        <v>0</v>
      </c>
      <c r="BD130" s="159"/>
      <c r="BF130" s="35">
        <f>C6</f>
        <v>0</v>
      </c>
      <c r="BG130" s="158">
        <f>SUM(BG120:BG129)</f>
        <v>0</v>
      </c>
      <c r="BH130" s="159"/>
      <c r="BI130" s="158">
        <f>BT6</f>
        <v>0</v>
      </c>
      <c r="BJ130" s="159"/>
    </row>
    <row r="131" spans="1:62" ht="15.75" thickBot="1" x14ac:dyDescent="0.3">
      <c r="A131" s="123" t="s">
        <v>31</v>
      </c>
      <c r="B131" s="113" t="s">
        <v>22</v>
      </c>
      <c r="C131" s="114"/>
      <c r="D131" s="114"/>
      <c r="E131" s="114"/>
      <c r="F131" s="115"/>
      <c r="G131" s="113" t="s">
        <v>20</v>
      </c>
      <c r="H131" s="114"/>
      <c r="I131" s="114"/>
      <c r="J131" s="114"/>
      <c r="K131" s="115"/>
      <c r="L131" s="113" t="s">
        <v>34</v>
      </c>
      <c r="M131" s="114"/>
      <c r="N131" s="114"/>
      <c r="O131" s="114"/>
      <c r="P131" s="115"/>
      <c r="Q131" s="113" t="s">
        <v>127</v>
      </c>
      <c r="R131" s="114"/>
      <c r="S131" s="114"/>
      <c r="T131" s="114"/>
      <c r="U131" s="115"/>
      <c r="V131" s="113" t="s">
        <v>129</v>
      </c>
      <c r="W131" s="114"/>
      <c r="X131" s="114"/>
      <c r="Y131" s="114"/>
      <c r="Z131" s="115"/>
      <c r="AA131" s="113" t="s">
        <v>26</v>
      </c>
      <c r="AB131" s="114"/>
      <c r="AC131" s="114"/>
      <c r="AD131" s="114"/>
      <c r="AE131" s="115"/>
      <c r="AF131" s="116" t="s">
        <v>24</v>
      </c>
      <c r="AG131" s="116" t="s">
        <v>86</v>
      </c>
      <c r="AH131" s="35" t="s">
        <v>25</v>
      </c>
      <c r="AI131" s="158">
        <f>A2</f>
        <v>21420</v>
      </c>
      <c r="AJ131" s="160"/>
      <c r="AK131" s="158" t="str">
        <f>BR2</f>
        <v>COD</v>
      </c>
      <c r="AL131" s="159"/>
      <c r="AN131" s="35" t="s">
        <v>25</v>
      </c>
      <c r="AO131" s="158">
        <f>A3</f>
        <v>0</v>
      </c>
      <c r="AP131" s="160"/>
      <c r="AQ131" s="158">
        <f>BR3</f>
        <v>0</v>
      </c>
      <c r="AR131" s="159"/>
      <c r="AT131" s="35" t="s">
        <v>25</v>
      </c>
      <c r="AU131" s="158">
        <f>A4</f>
        <v>0</v>
      </c>
      <c r="AV131" s="160"/>
      <c r="AW131" s="158">
        <f>BR4</f>
        <v>0</v>
      </c>
      <c r="AX131" s="159"/>
      <c r="AZ131" s="35" t="s">
        <v>25</v>
      </c>
      <c r="BA131" s="158">
        <f>A5</f>
        <v>0</v>
      </c>
      <c r="BB131" s="160"/>
      <c r="BC131" s="158">
        <f>BR5</f>
        <v>0</v>
      </c>
      <c r="BD131" s="159"/>
      <c r="BF131" s="35" t="s">
        <v>25</v>
      </c>
      <c r="BG131" s="158">
        <f>A6</f>
        <v>0</v>
      </c>
      <c r="BH131" s="160"/>
      <c r="BI131" s="158">
        <f>BR6</f>
        <v>0</v>
      </c>
      <c r="BJ131" s="159"/>
    </row>
    <row r="132" spans="1:62" ht="15.75" thickBot="1" x14ac:dyDescent="0.3">
      <c r="A132" s="124"/>
      <c r="B132" s="9" t="s">
        <v>32</v>
      </c>
      <c r="C132" s="12" t="s">
        <v>17</v>
      </c>
      <c r="D132" s="12" t="s">
        <v>19</v>
      </c>
      <c r="E132" s="12" t="s">
        <v>33</v>
      </c>
      <c r="F132" s="14" t="s">
        <v>80</v>
      </c>
      <c r="G132" s="9" t="s">
        <v>32</v>
      </c>
      <c r="H132" s="12" t="s">
        <v>17</v>
      </c>
      <c r="I132" s="12" t="s">
        <v>19</v>
      </c>
      <c r="J132" s="12" t="s">
        <v>33</v>
      </c>
      <c r="K132" s="14" t="s">
        <v>80</v>
      </c>
      <c r="L132" s="9" t="s">
        <v>32</v>
      </c>
      <c r="M132" s="12" t="s">
        <v>17</v>
      </c>
      <c r="N132" s="12" t="s">
        <v>19</v>
      </c>
      <c r="O132" s="12" t="s">
        <v>33</v>
      </c>
      <c r="P132" s="14" t="s">
        <v>80</v>
      </c>
      <c r="Q132" s="9" t="s">
        <v>32</v>
      </c>
      <c r="R132" s="12" t="s">
        <v>17</v>
      </c>
      <c r="S132" s="12" t="s">
        <v>19</v>
      </c>
      <c r="T132" s="12" t="s">
        <v>33</v>
      </c>
      <c r="U132" s="14" t="s">
        <v>80</v>
      </c>
      <c r="V132" s="9" t="s">
        <v>32</v>
      </c>
      <c r="W132" s="12" t="s">
        <v>17</v>
      </c>
      <c r="X132" s="12" t="s">
        <v>19</v>
      </c>
      <c r="Y132" s="12" t="s">
        <v>33</v>
      </c>
      <c r="Z132" s="14" t="s">
        <v>80</v>
      </c>
      <c r="AA132" s="9" t="s">
        <v>32</v>
      </c>
      <c r="AB132" s="12" t="s">
        <v>17</v>
      </c>
      <c r="AC132" s="12" t="s">
        <v>19</v>
      </c>
      <c r="AD132" s="12" t="s">
        <v>33</v>
      </c>
      <c r="AE132" s="14" t="s">
        <v>80</v>
      </c>
      <c r="AF132" s="117"/>
      <c r="AG132" s="117"/>
      <c r="AH132" s="58" t="s">
        <v>130</v>
      </c>
      <c r="AI132" s="58" t="s">
        <v>131</v>
      </c>
      <c r="AJ132" s="58" t="s">
        <v>132</v>
      </c>
      <c r="AK132" s="58" t="s">
        <v>166</v>
      </c>
      <c r="AL132" s="58" t="s">
        <v>33</v>
      </c>
      <c r="AN132" s="58" t="s">
        <v>130</v>
      </c>
      <c r="AO132" s="58" t="s">
        <v>131</v>
      </c>
      <c r="AP132" s="58" t="s">
        <v>132</v>
      </c>
      <c r="AQ132" s="58" t="s">
        <v>166</v>
      </c>
      <c r="AR132" s="58" t="s">
        <v>33</v>
      </c>
      <c r="AT132" s="58" t="s">
        <v>130</v>
      </c>
      <c r="AU132" s="58" t="s">
        <v>131</v>
      </c>
      <c r="AV132" s="58" t="s">
        <v>132</v>
      </c>
      <c r="AW132" s="58" t="s">
        <v>166</v>
      </c>
      <c r="AX132" s="58" t="s">
        <v>33</v>
      </c>
      <c r="AZ132" s="58" t="s">
        <v>130</v>
      </c>
      <c r="BA132" s="58" t="s">
        <v>131</v>
      </c>
      <c r="BB132" s="58" t="s">
        <v>132</v>
      </c>
      <c r="BC132" s="58" t="s">
        <v>166</v>
      </c>
      <c r="BD132" s="58" t="s">
        <v>33</v>
      </c>
      <c r="BF132" s="58" t="s">
        <v>130</v>
      </c>
      <c r="BG132" s="58" t="s">
        <v>131</v>
      </c>
      <c r="BH132" s="58" t="s">
        <v>132</v>
      </c>
      <c r="BI132" s="58" t="s">
        <v>166</v>
      </c>
      <c r="BJ132" s="58" t="s">
        <v>33</v>
      </c>
    </row>
    <row r="133" spans="1:62" ht="15.75" thickBot="1" x14ac:dyDescent="0.3">
      <c r="A133" s="16">
        <v>300</v>
      </c>
      <c r="B133" s="10">
        <f t="shared" ref="B133:F141" si="34">SUMIFS($J$14:$J$113,$I$14:$I$113,$A133,$K$14:$K$113,B$118,$L$14:$L$113,$B$117,$H$14:$H$113,"NG")</f>
        <v>0</v>
      </c>
      <c r="C133" s="11">
        <f t="shared" si="34"/>
        <v>0</v>
      </c>
      <c r="D133" s="11">
        <f t="shared" si="34"/>
        <v>0</v>
      </c>
      <c r="E133" s="11">
        <f t="shared" si="34"/>
        <v>0</v>
      </c>
      <c r="F133" s="17">
        <f t="shared" si="34"/>
        <v>0</v>
      </c>
      <c r="G133" s="10">
        <f t="shared" ref="G133:K141" si="35">SUMIFS($J$14:$J$113,$I$14:$I$113,$A133,$K$14:$K$113,G$118,$L$14:$L$113,$G$117,$H$14:$H$113,"NG")</f>
        <v>0</v>
      </c>
      <c r="H133" s="11">
        <f t="shared" si="35"/>
        <v>0</v>
      </c>
      <c r="I133" s="11">
        <f t="shared" si="35"/>
        <v>0</v>
      </c>
      <c r="J133" s="11">
        <f t="shared" si="35"/>
        <v>0</v>
      </c>
      <c r="K133" s="17">
        <f t="shared" si="35"/>
        <v>0</v>
      </c>
      <c r="L133" s="10">
        <f t="shared" ref="L133:P141" si="36">SUMIFS($J$14:$J$113,$I$14:$I$113,$A133,$K$14:$K$113,L$118,$L$14:$L$113,$L$117,$H$14:$H$113,"NG")</f>
        <v>0</v>
      </c>
      <c r="M133" s="11">
        <f t="shared" si="36"/>
        <v>0</v>
      </c>
      <c r="N133" s="11">
        <f t="shared" si="36"/>
        <v>0</v>
      </c>
      <c r="O133" s="11">
        <f t="shared" si="36"/>
        <v>0</v>
      </c>
      <c r="P133" s="17">
        <f t="shared" si="36"/>
        <v>0</v>
      </c>
      <c r="Q133" s="10">
        <f t="shared" ref="Q133:U141" si="37">SUMIFS($J$14:$J$113,$I$14:$I$113,$A133,$K$14:$K$113,Q$118,$L$14:$L$113,$Q$117,$H$14:$H$113,"NG")</f>
        <v>0</v>
      </c>
      <c r="R133" s="11">
        <f t="shared" si="37"/>
        <v>0</v>
      </c>
      <c r="S133" s="11">
        <f t="shared" si="37"/>
        <v>0</v>
      </c>
      <c r="T133" s="11">
        <f t="shared" si="37"/>
        <v>0</v>
      </c>
      <c r="U133" s="17">
        <f t="shared" si="37"/>
        <v>0</v>
      </c>
      <c r="V133" s="10">
        <f t="shared" ref="V133:AE141" si="38">SUMIFS($J$14:$J$113,$I$14:$I$113,$A133,$K$14:$K$113,V$118,$L$14:$L$113,$L$117,$H$14:$H$113,"NG")</f>
        <v>0</v>
      </c>
      <c r="W133" s="11">
        <f t="shared" si="38"/>
        <v>0</v>
      </c>
      <c r="X133" s="11">
        <f t="shared" si="38"/>
        <v>0</v>
      </c>
      <c r="Y133" s="11">
        <f t="shared" si="38"/>
        <v>0</v>
      </c>
      <c r="Z133" s="17">
        <f t="shared" si="38"/>
        <v>0</v>
      </c>
      <c r="AA133" s="10">
        <f t="shared" si="38"/>
        <v>0</v>
      </c>
      <c r="AB133" s="11">
        <f t="shared" si="38"/>
        <v>0</v>
      </c>
      <c r="AC133" s="11">
        <f t="shared" si="38"/>
        <v>0</v>
      </c>
      <c r="AD133" s="11">
        <f t="shared" si="38"/>
        <v>0</v>
      </c>
      <c r="AE133" s="17">
        <f t="shared" si="38"/>
        <v>0</v>
      </c>
      <c r="AF133" s="16">
        <f>SUM(B133:AE133)*A133</f>
        <v>0</v>
      </c>
      <c r="AG133" s="16">
        <f>SUM(B133:AE133)</f>
        <v>0</v>
      </c>
      <c r="AH133" s="34" t="str">
        <f>AZ14</f>
        <v/>
      </c>
      <c r="AI133" s="34" t="str">
        <f>BA14</f>
        <v/>
      </c>
      <c r="AJ133" s="34" t="str">
        <f>BB14</f>
        <v/>
      </c>
      <c r="AK133" s="35" t="str">
        <f>BC14</f>
        <v/>
      </c>
      <c r="AL133" s="35" t="str">
        <f>BD14</f>
        <v/>
      </c>
      <c r="AN133" s="34" t="str">
        <f>AZ15</f>
        <v/>
      </c>
      <c r="AO133" s="34" t="str">
        <f>BA15</f>
        <v/>
      </c>
      <c r="AP133" s="34" t="str">
        <f>BB15</f>
        <v/>
      </c>
      <c r="AQ133" s="35" t="str">
        <f>BC15</f>
        <v/>
      </c>
      <c r="AR133" s="35" t="str">
        <f>BD15</f>
        <v/>
      </c>
      <c r="AT133" s="34" t="str">
        <f>AZ16</f>
        <v/>
      </c>
      <c r="AU133" s="34" t="str">
        <f>BA16</f>
        <v/>
      </c>
      <c r="AV133" s="34" t="str">
        <f>BB16</f>
        <v/>
      </c>
      <c r="AW133" s="35" t="str">
        <f>BC16</f>
        <v/>
      </c>
      <c r="AX133" s="35" t="str">
        <f>BD16</f>
        <v/>
      </c>
      <c r="AZ133" s="34" t="str">
        <f>AZ17</f>
        <v/>
      </c>
      <c r="BA133" s="34" t="str">
        <f>BA17</f>
        <v/>
      </c>
      <c r="BB133" s="34" t="str">
        <f>BB17</f>
        <v/>
      </c>
      <c r="BC133" s="35" t="str">
        <f>BC17</f>
        <v/>
      </c>
      <c r="BD133" s="35" t="str">
        <f>BD17</f>
        <v/>
      </c>
      <c r="BF133" s="34" t="str">
        <f>AZ18</f>
        <v/>
      </c>
      <c r="BG133" s="34" t="str">
        <f>BA18</f>
        <v/>
      </c>
      <c r="BH133" s="34" t="str">
        <f>BB18</f>
        <v/>
      </c>
      <c r="BI133" s="35" t="str">
        <f>BC18</f>
        <v/>
      </c>
      <c r="BJ133" s="35" t="str">
        <f>BD18</f>
        <v/>
      </c>
    </row>
    <row r="134" spans="1:62" ht="15.75" thickBot="1" x14ac:dyDescent="0.3">
      <c r="A134" s="16">
        <v>500</v>
      </c>
      <c r="B134" s="10">
        <f t="shared" si="34"/>
        <v>0</v>
      </c>
      <c r="C134" s="11">
        <f t="shared" si="34"/>
        <v>0</v>
      </c>
      <c r="D134" s="11">
        <f t="shared" si="34"/>
        <v>0</v>
      </c>
      <c r="E134" s="11">
        <f t="shared" si="34"/>
        <v>0</v>
      </c>
      <c r="F134" s="17">
        <f t="shared" si="34"/>
        <v>0</v>
      </c>
      <c r="G134" s="10">
        <f t="shared" si="35"/>
        <v>0</v>
      </c>
      <c r="H134" s="11">
        <f t="shared" si="35"/>
        <v>0</v>
      </c>
      <c r="I134" s="11">
        <f t="shared" si="35"/>
        <v>0</v>
      </c>
      <c r="J134" s="11">
        <f t="shared" si="35"/>
        <v>0</v>
      </c>
      <c r="K134" s="17">
        <f t="shared" si="35"/>
        <v>0</v>
      </c>
      <c r="L134" s="10">
        <f t="shared" si="36"/>
        <v>0</v>
      </c>
      <c r="M134" s="11">
        <f t="shared" si="36"/>
        <v>0</v>
      </c>
      <c r="N134" s="11">
        <f t="shared" si="36"/>
        <v>0</v>
      </c>
      <c r="O134" s="11">
        <f t="shared" si="36"/>
        <v>0</v>
      </c>
      <c r="P134" s="17">
        <f t="shared" si="36"/>
        <v>0</v>
      </c>
      <c r="Q134" s="10">
        <f t="shared" si="37"/>
        <v>0</v>
      </c>
      <c r="R134" s="11">
        <f t="shared" si="37"/>
        <v>0</v>
      </c>
      <c r="S134" s="11">
        <f t="shared" si="37"/>
        <v>0</v>
      </c>
      <c r="T134" s="11">
        <f t="shared" si="37"/>
        <v>0</v>
      </c>
      <c r="U134" s="17">
        <f t="shared" si="37"/>
        <v>0</v>
      </c>
      <c r="V134" s="10">
        <f t="shared" si="38"/>
        <v>0</v>
      </c>
      <c r="W134" s="11">
        <f t="shared" si="38"/>
        <v>0</v>
      </c>
      <c r="X134" s="11">
        <f t="shared" si="38"/>
        <v>0</v>
      </c>
      <c r="Y134" s="11">
        <f t="shared" si="38"/>
        <v>0</v>
      </c>
      <c r="Z134" s="17">
        <f t="shared" si="38"/>
        <v>0</v>
      </c>
      <c r="AA134" s="10">
        <f t="shared" si="38"/>
        <v>0</v>
      </c>
      <c r="AB134" s="11">
        <f t="shared" si="38"/>
        <v>0</v>
      </c>
      <c r="AC134" s="11">
        <f t="shared" si="38"/>
        <v>0</v>
      </c>
      <c r="AD134" s="11">
        <f t="shared" si="38"/>
        <v>0</v>
      </c>
      <c r="AE134" s="17">
        <f t="shared" si="38"/>
        <v>0</v>
      </c>
      <c r="AF134" s="16">
        <f t="shared" ref="AF134:AF141" si="39">SUM(B134:AE134)*A134</f>
        <v>0</v>
      </c>
      <c r="AG134" s="16">
        <f t="shared" ref="AG134:AG142" si="40">SUM(B134:AE134)</f>
        <v>0</v>
      </c>
      <c r="AH134" s="58" t="s">
        <v>22</v>
      </c>
      <c r="AI134" s="58" t="s">
        <v>20</v>
      </c>
      <c r="AJ134" s="58" t="s">
        <v>34</v>
      </c>
      <c r="AK134" s="58" t="s">
        <v>127</v>
      </c>
      <c r="AL134" s="58" t="s">
        <v>129</v>
      </c>
      <c r="AN134" s="58" t="s">
        <v>22</v>
      </c>
      <c r="AO134" s="58" t="s">
        <v>20</v>
      </c>
      <c r="AP134" s="58" t="s">
        <v>34</v>
      </c>
      <c r="AQ134" s="58" t="s">
        <v>127</v>
      </c>
      <c r="AR134" s="58" t="s">
        <v>129</v>
      </c>
      <c r="AT134" s="58" t="s">
        <v>22</v>
      </c>
      <c r="AU134" s="58" t="s">
        <v>20</v>
      </c>
      <c r="AV134" s="58" t="s">
        <v>34</v>
      </c>
      <c r="AW134" s="58" t="s">
        <v>127</v>
      </c>
      <c r="AX134" s="58" t="s">
        <v>129</v>
      </c>
      <c r="AZ134" s="58" t="s">
        <v>22</v>
      </c>
      <c r="BA134" s="58" t="s">
        <v>20</v>
      </c>
      <c r="BB134" s="58" t="s">
        <v>34</v>
      </c>
      <c r="BC134" s="58" t="s">
        <v>127</v>
      </c>
      <c r="BD134" s="58" t="s">
        <v>129</v>
      </c>
      <c r="BF134" s="58" t="s">
        <v>22</v>
      </c>
      <c r="BG134" s="58" t="s">
        <v>20</v>
      </c>
      <c r="BH134" s="58" t="s">
        <v>34</v>
      </c>
      <c r="BI134" s="58" t="s">
        <v>127</v>
      </c>
      <c r="BJ134" s="58" t="s">
        <v>129</v>
      </c>
    </row>
    <row r="135" spans="1:62" ht="15.75" thickBot="1" x14ac:dyDescent="0.3">
      <c r="A135" s="15">
        <v>750</v>
      </c>
      <c r="B135" s="8">
        <f t="shared" si="34"/>
        <v>0</v>
      </c>
      <c r="C135" s="6">
        <f t="shared" si="34"/>
        <v>0</v>
      </c>
      <c r="D135" s="6">
        <f t="shared" si="34"/>
        <v>0</v>
      </c>
      <c r="E135" s="6">
        <f t="shared" si="34"/>
        <v>0</v>
      </c>
      <c r="F135" s="13">
        <f t="shared" si="34"/>
        <v>0</v>
      </c>
      <c r="G135" s="8">
        <f t="shared" si="35"/>
        <v>0</v>
      </c>
      <c r="H135" s="6">
        <f t="shared" si="35"/>
        <v>0</v>
      </c>
      <c r="I135" s="6">
        <f t="shared" si="35"/>
        <v>0</v>
      </c>
      <c r="J135" s="6">
        <f t="shared" si="35"/>
        <v>0</v>
      </c>
      <c r="K135" s="13">
        <f t="shared" si="35"/>
        <v>0</v>
      </c>
      <c r="L135" s="8">
        <f t="shared" si="36"/>
        <v>0</v>
      </c>
      <c r="M135" s="6">
        <f t="shared" si="36"/>
        <v>0</v>
      </c>
      <c r="N135" s="6">
        <f t="shared" si="36"/>
        <v>0</v>
      </c>
      <c r="O135" s="6">
        <f t="shared" si="36"/>
        <v>0</v>
      </c>
      <c r="P135" s="13">
        <f t="shared" si="36"/>
        <v>0</v>
      </c>
      <c r="Q135" s="8">
        <f t="shared" si="37"/>
        <v>0</v>
      </c>
      <c r="R135" s="6">
        <f t="shared" si="37"/>
        <v>0</v>
      </c>
      <c r="S135" s="6">
        <f t="shared" si="37"/>
        <v>0</v>
      </c>
      <c r="T135" s="6">
        <f t="shared" si="37"/>
        <v>0</v>
      </c>
      <c r="U135" s="13">
        <f t="shared" si="37"/>
        <v>0</v>
      </c>
      <c r="V135" s="8">
        <f t="shared" si="38"/>
        <v>0</v>
      </c>
      <c r="W135" s="6">
        <f t="shared" si="38"/>
        <v>0</v>
      </c>
      <c r="X135" s="6">
        <f t="shared" si="38"/>
        <v>0</v>
      </c>
      <c r="Y135" s="6">
        <f t="shared" si="38"/>
        <v>0</v>
      </c>
      <c r="Z135" s="13">
        <f t="shared" si="38"/>
        <v>0</v>
      </c>
      <c r="AA135" s="8">
        <f t="shared" si="38"/>
        <v>0</v>
      </c>
      <c r="AB135" s="6">
        <f t="shared" si="38"/>
        <v>0</v>
      </c>
      <c r="AC135" s="6">
        <f t="shared" si="38"/>
        <v>0</v>
      </c>
      <c r="AD135" s="6">
        <f t="shared" si="38"/>
        <v>0</v>
      </c>
      <c r="AE135" s="13">
        <f t="shared" si="38"/>
        <v>0</v>
      </c>
      <c r="AF135" s="16">
        <f t="shared" si="39"/>
        <v>0</v>
      </c>
      <c r="AG135" s="16">
        <f t="shared" si="40"/>
        <v>0</v>
      </c>
      <c r="AH135" s="34">
        <f>AU14</f>
        <v>3.5</v>
      </c>
      <c r="AI135" s="34" t="str">
        <f>AV14</f>
        <v/>
      </c>
      <c r="AJ135" s="34" t="str">
        <f>AW14</f>
        <v/>
      </c>
      <c r="AK135" s="35" t="str">
        <f>AX14</f>
        <v/>
      </c>
      <c r="AL135" s="35" t="str">
        <f>AY14</f>
        <v/>
      </c>
      <c r="AN135" s="34" t="str">
        <f>AU15</f>
        <v/>
      </c>
      <c r="AO135" s="34" t="str">
        <f>AV15</f>
        <v/>
      </c>
      <c r="AP135" s="34" t="str">
        <f>AW15</f>
        <v/>
      </c>
      <c r="AQ135" s="35" t="str">
        <f>AX15</f>
        <v/>
      </c>
      <c r="AR135" s="35" t="str">
        <f>AY15</f>
        <v/>
      </c>
      <c r="AT135" s="34" t="str">
        <f>AU16</f>
        <v/>
      </c>
      <c r="AU135" s="34" t="str">
        <f>AV16</f>
        <v/>
      </c>
      <c r="AV135" s="34" t="str">
        <f>AW16</f>
        <v/>
      </c>
      <c r="AW135" s="35" t="str">
        <f>AX16</f>
        <v/>
      </c>
      <c r="AX135" s="35" t="str">
        <f>AY16</f>
        <v/>
      </c>
      <c r="AZ135" s="34" t="str">
        <f>AU17</f>
        <v/>
      </c>
      <c r="BA135" s="34" t="str">
        <f>AV17</f>
        <v/>
      </c>
      <c r="BB135" s="34" t="str">
        <f>AW17</f>
        <v/>
      </c>
      <c r="BC135" s="35" t="str">
        <f>AX17</f>
        <v/>
      </c>
      <c r="BD135" s="35" t="str">
        <f>AY17</f>
        <v/>
      </c>
      <c r="BF135" s="34" t="str">
        <f>AU18</f>
        <v/>
      </c>
      <c r="BG135" s="34" t="str">
        <f>AV18</f>
        <v/>
      </c>
      <c r="BH135" s="34" t="str">
        <f>AW18</f>
        <v/>
      </c>
      <c r="BI135" s="35" t="str">
        <f>AX18</f>
        <v/>
      </c>
      <c r="BJ135" s="35" t="str">
        <f>AY18</f>
        <v/>
      </c>
    </row>
    <row r="136" spans="1:62" x14ac:dyDescent="0.25">
      <c r="A136" s="15">
        <v>1000</v>
      </c>
      <c r="B136" s="8">
        <f t="shared" si="34"/>
        <v>0</v>
      </c>
      <c r="C136" s="6">
        <f t="shared" si="34"/>
        <v>0</v>
      </c>
      <c r="D136" s="6">
        <f t="shared" si="34"/>
        <v>0</v>
      </c>
      <c r="E136" s="6">
        <f t="shared" si="34"/>
        <v>0</v>
      </c>
      <c r="F136" s="13">
        <f t="shared" si="34"/>
        <v>0</v>
      </c>
      <c r="G136" s="8">
        <f t="shared" si="35"/>
        <v>0</v>
      </c>
      <c r="H136" s="6">
        <f t="shared" si="35"/>
        <v>0</v>
      </c>
      <c r="I136" s="6">
        <f t="shared" si="35"/>
        <v>0</v>
      </c>
      <c r="J136" s="6">
        <f t="shared" si="35"/>
        <v>0</v>
      </c>
      <c r="K136" s="13">
        <f t="shared" si="35"/>
        <v>0</v>
      </c>
      <c r="L136" s="8">
        <f t="shared" si="36"/>
        <v>0</v>
      </c>
      <c r="M136" s="6">
        <f t="shared" si="36"/>
        <v>0</v>
      </c>
      <c r="N136" s="6">
        <f t="shared" si="36"/>
        <v>0</v>
      </c>
      <c r="O136" s="6">
        <f t="shared" si="36"/>
        <v>0</v>
      </c>
      <c r="P136" s="13">
        <f t="shared" si="36"/>
        <v>0</v>
      </c>
      <c r="Q136" s="8">
        <f t="shared" si="37"/>
        <v>0</v>
      </c>
      <c r="R136" s="6">
        <f t="shared" si="37"/>
        <v>0</v>
      </c>
      <c r="S136" s="6">
        <f t="shared" si="37"/>
        <v>0</v>
      </c>
      <c r="T136" s="6">
        <f t="shared" si="37"/>
        <v>0</v>
      </c>
      <c r="U136" s="13">
        <f t="shared" si="37"/>
        <v>0</v>
      </c>
      <c r="V136" s="8">
        <f t="shared" si="38"/>
        <v>0</v>
      </c>
      <c r="W136" s="6">
        <f t="shared" si="38"/>
        <v>0</v>
      </c>
      <c r="X136" s="6">
        <f t="shared" si="38"/>
        <v>0</v>
      </c>
      <c r="Y136" s="6">
        <f t="shared" si="38"/>
        <v>0</v>
      </c>
      <c r="Z136" s="13">
        <f t="shared" si="38"/>
        <v>0</v>
      </c>
      <c r="AA136" s="8">
        <f t="shared" si="38"/>
        <v>0</v>
      </c>
      <c r="AB136" s="6">
        <f t="shared" si="38"/>
        <v>0</v>
      </c>
      <c r="AC136" s="6">
        <f t="shared" si="38"/>
        <v>0</v>
      </c>
      <c r="AD136" s="6">
        <f t="shared" si="38"/>
        <v>0</v>
      </c>
      <c r="AE136" s="13">
        <f t="shared" si="38"/>
        <v>0</v>
      </c>
      <c r="AF136" s="16">
        <f t="shared" si="39"/>
        <v>0</v>
      </c>
      <c r="AG136" s="16">
        <f t="shared" si="40"/>
        <v>0</v>
      </c>
    </row>
    <row r="137" spans="1:62" x14ac:dyDescent="0.25">
      <c r="A137" s="15">
        <v>1500</v>
      </c>
      <c r="B137" s="8">
        <f t="shared" si="34"/>
        <v>0</v>
      </c>
      <c r="C137" s="6">
        <f t="shared" si="34"/>
        <v>0</v>
      </c>
      <c r="D137" s="6">
        <f t="shared" si="34"/>
        <v>0</v>
      </c>
      <c r="E137" s="6">
        <f t="shared" si="34"/>
        <v>0</v>
      </c>
      <c r="F137" s="13">
        <f t="shared" si="34"/>
        <v>0</v>
      </c>
      <c r="G137" s="8">
        <f t="shared" si="35"/>
        <v>0</v>
      </c>
      <c r="H137" s="6">
        <f t="shared" si="35"/>
        <v>0</v>
      </c>
      <c r="I137" s="6">
        <f t="shared" si="35"/>
        <v>0</v>
      </c>
      <c r="J137" s="6">
        <f t="shared" si="35"/>
        <v>0</v>
      </c>
      <c r="K137" s="13">
        <f t="shared" si="35"/>
        <v>0</v>
      </c>
      <c r="L137" s="8">
        <f t="shared" si="36"/>
        <v>0</v>
      </c>
      <c r="M137" s="6">
        <f t="shared" si="36"/>
        <v>0</v>
      </c>
      <c r="N137" s="6">
        <f t="shared" si="36"/>
        <v>0</v>
      </c>
      <c r="O137" s="6">
        <f t="shared" si="36"/>
        <v>0</v>
      </c>
      <c r="P137" s="13">
        <f t="shared" si="36"/>
        <v>0</v>
      </c>
      <c r="Q137" s="8">
        <f t="shared" si="37"/>
        <v>0</v>
      </c>
      <c r="R137" s="6">
        <f t="shared" si="37"/>
        <v>0</v>
      </c>
      <c r="S137" s="6">
        <f t="shared" si="37"/>
        <v>0</v>
      </c>
      <c r="T137" s="6">
        <f t="shared" si="37"/>
        <v>0</v>
      </c>
      <c r="U137" s="13">
        <f t="shared" si="37"/>
        <v>0</v>
      </c>
      <c r="V137" s="8">
        <f t="shared" si="38"/>
        <v>0</v>
      </c>
      <c r="W137" s="6">
        <f t="shared" si="38"/>
        <v>0</v>
      </c>
      <c r="X137" s="6">
        <f t="shared" si="38"/>
        <v>0</v>
      </c>
      <c r="Y137" s="6">
        <f t="shared" si="38"/>
        <v>0</v>
      </c>
      <c r="Z137" s="13">
        <f t="shared" si="38"/>
        <v>0</v>
      </c>
      <c r="AA137" s="8">
        <f t="shared" si="38"/>
        <v>0</v>
      </c>
      <c r="AB137" s="6">
        <f t="shared" si="38"/>
        <v>0</v>
      </c>
      <c r="AC137" s="6">
        <f t="shared" si="38"/>
        <v>0</v>
      </c>
      <c r="AD137" s="6">
        <f t="shared" si="38"/>
        <v>0</v>
      </c>
      <c r="AE137" s="13">
        <f t="shared" si="38"/>
        <v>0</v>
      </c>
      <c r="AF137" s="16">
        <f t="shared" si="39"/>
        <v>0</v>
      </c>
      <c r="AG137" s="16">
        <f t="shared" si="40"/>
        <v>0</v>
      </c>
      <c r="AH137" s="118" t="s">
        <v>35</v>
      </c>
      <c r="AI137" s="118"/>
      <c r="AJ137" s="118">
        <f>F7</f>
        <v>0</v>
      </c>
      <c r="AK137" s="118"/>
      <c r="AL137" s="118"/>
      <c r="AN137" s="118" t="s">
        <v>35</v>
      </c>
      <c r="AO137" s="118"/>
      <c r="AP137" s="118">
        <f>F8</f>
        <v>0</v>
      </c>
      <c r="AQ137" s="118"/>
      <c r="AR137" s="118"/>
      <c r="AT137" s="118" t="s">
        <v>35</v>
      </c>
      <c r="AU137" s="118"/>
      <c r="AV137" s="118">
        <f>F9</f>
        <v>0</v>
      </c>
      <c r="AW137" s="118"/>
      <c r="AX137" s="118"/>
      <c r="AZ137" s="118" t="s">
        <v>35</v>
      </c>
      <c r="BA137" s="118"/>
      <c r="BB137" s="118">
        <f>F10</f>
        <v>0</v>
      </c>
      <c r="BC137" s="118"/>
      <c r="BD137" s="118"/>
      <c r="BF137" s="118" t="s">
        <v>35</v>
      </c>
      <c r="BG137" s="118"/>
      <c r="BH137" s="118">
        <f>F11</f>
        <v>0</v>
      </c>
      <c r="BI137" s="118"/>
      <c r="BJ137" s="118"/>
    </row>
    <row r="138" spans="1:62" x14ac:dyDescent="0.25">
      <c r="A138" s="15">
        <v>2000</v>
      </c>
      <c r="B138" s="8">
        <f t="shared" si="34"/>
        <v>0</v>
      </c>
      <c r="C138" s="6">
        <f t="shared" si="34"/>
        <v>0</v>
      </c>
      <c r="D138" s="6">
        <f t="shared" si="34"/>
        <v>0</v>
      </c>
      <c r="E138" s="6">
        <f t="shared" si="34"/>
        <v>0</v>
      </c>
      <c r="F138" s="13">
        <f t="shared" si="34"/>
        <v>0</v>
      </c>
      <c r="G138" s="8">
        <f t="shared" si="35"/>
        <v>0</v>
      </c>
      <c r="H138" s="6">
        <f t="shared" si="35"/>
        <v>0</v>
      </c>
      <c r="I138" s="6">
        <f t="shared" si="35"/>
        <v>0</v>
      </c>
      <c r="J138" s="6">
        <f t="shared" si="35"/>
        <v>0</v>
      </c>
      <c r="K138" s="13">
        <f t="shared" si="35"/>
        <v>0</v>
      </c>
      <c r="L138" s="8">
        <f t="shared" si="36"/>
        <v>0</v>
      </c>
      <c r="M138" s="6">
        <f t="shared" si="36"/>
        <v>0</v>
      </c>
      <c r="N138" s="6">
        <f t="shared" si="36"/>
        <v>0</v>
      </c>
      <c r="O138" s="6">
        <f t="shared" si="36"/>
        <v>0</v>
      </c>
      <c r="P138" s="13">
        <f t="shared" si="36"/>
        <v>0</v>
      </c>
      <c r="Q138" s="8">
        <f t="shared" si="37"/>
        <v>0</v>
      </c>
      <c r="R138" s="6">
        <f t="shared" si="37"/>
        <v>0</v>
      </c>
      <c r="S138" s="6">
        <f t="shared" si="37"/>
        <v>0</v>
      </c>
      <c r="T138" s="6">
        <f t="shared" si="37"/>
        <v>0</v>
      </c>
      <c r="U138" s="13">
        <f t="shared" si="37"/>
        <v>0</v>
      </c>
      <c r="V138" s="8">
        <f t="shared" si="38"/>
        <v>0</v>
      </c>
      <c r="W138" s="6">
        <f t="shared" si="38"/>
        <v>0</v>
      </c>
      <c r="X138" s="6">
        <f t="shared" si="38"/>
        <v>0</v>
      </c>
      <c r="Y138" s="6">
        <f t="shared" si="38"/>
        <v>0</v>
      </c>
      <c r="Z138" s="13">
        <f t="shared" si="38"/>
        <v>0</v>
      </c>
      <c r="AA138" s="8">
        <f t="shared" si="38"/>
        <v>0</v>
      </c>
      <c r="AB138" s="6">
        <f t="shared" si="38"/>
        <v>0</v>
      </c>
      <c r="AC138" s="6">
        <f t="shared" si="38"/>
        <v>0</v>
      </c>
      <c r="AD138" s="6">
        <f t="shared" si="38"/>
        <v>0</v>
      </c>
      <c r="AE138" s="13">
        <f t="shared" si="38"/>
        <v>0</v>
      </c>
      <c r="AF138" s="16">
        <f t="shared" si="39"/>
        <v>0</v>
      </c>
      <c r="AG138" s="16">
        <f t="shared" si="40"/>
        <v>0</v>
      </c>
      <c r="AH138" s="118">
        <f>G7</f>
        <v>0</v>
      </c>
      <c r="AI138" s="118"/>
      <c r="AJ138" s="118"/>
      <c r="AK138" s="118"/>
      <c r="AL138" s="118"/>
      <c r="AN138" s="118">
        <f>G8</f>
        <v>0</v>
      </c>
      <c r="AO138" s="118">
        <f>G8</f>
        <v>0</v>
      </c>
      <c r="AP138" s="118"/>
      <c r="AQ138" s="118"/>
      <c r="AR138" s="118"/>
      <c r="AT138" s="118">
        <f>G9</f>
        <v>0</v>
      </c>
      <c r="AU138" s="118"/>
      <c r="AV138" s="118"/>
      <c r="AW138" s="118"/>
      <c r="AX138" s="118"/>
      <c r="AZ138" s="118">
        <f>G10</f>
        <v>0</v>
      </c>
      <c r="BA138" s="118"/>
      <c r="BB138" s="118"/>
      <c r="BC138" s="118"/>
      <c r="BD138" s="118"/>
      <c r="BF138" s="118">
        <f>G11</f>
        <v>0</v>
      </c>
      <c r="BG138" s="118"/>
      <c r="BH138" s="118"/>
      <c r="BI138" s="118"/>
      <c r="BJ138" s="118"/>
    </row>
    <row r="139" spans="1:62" ht="15.75" thickBot="1" x14ac:dyDescent="0.3">
      <c r="A139" s="15">
        <v>3000</v>
      </c>
      <c r="B139" s="8">
        <f t="shared" si="34"/>
        <v>0</v>
      </c>
      <c r="C139" s="6">
        <f t="shared" si="34"/>
        <v>0</v>
      </c>
      <c r="D139" s="6">
        <f t="shared" si="34"/>
        <v>0</v>
      </c>
      <c r="E139" s="6">
        <f t="shared" si="34"/>
        <v>0</v>
      </c>
      <c r="F139" s="13">
        <f t="shared" si="34"/>
        <v>0</v>
      </c>
      <c r="G139" s="8">
        <f t="shared" si="35"/>
        <v>0</v>
      </c>
      <c r="H139" s="6">
        <f t="shared" si="35"/>
        <v>0</v>
      </c>
      <c r="I139" s="6">
        <f t="shared" si="35"/>
        <v>0</v>
      </c>
      <c r="J139" s="6">
        <f t="shared" si="35"/>
        <v>0</v>
      </c>
      <c r="K139" s="13">
        <f t="shared" si="35"/>
        <v>0</v>
      </c>
      <c r="L139" s="8">
        <f t="shared" si="36"/>
        <v>0</v>
      </c>
      <c r="M139" s="6">
        <f t="shared" si="36"/>
        <v>0</v>
      </c>
      <c r="N139" s="6">
        <f t="shared" si="36"/>
        <v>0</v>
      </c>
      <c r="O139" s="6">
        <f t="shared" si="36"/>
        <v>0</v>
      </c>
      <c r="P139" s="13">
        <f t="shared" si="36"/>
        <v>0</v>
      </c>
      <c r="Q139" s="8">
        <f t="shared" si="37"/>
        <v>0</v>
      </c>
      <c r="R139" s="6">
        <f t="shared" si="37"/>
        <v>0</v>
      </c>
      <c r="S139" s="6">
        <f t="shared" si="37"/>
        <v>0</v>
      </c>
      <c r="T139" s="6">
        <f t="shared" si="37"/>
        <v>0</v>
      </c>
      <c r="U139" s="13">
        <f t="shared" si="37"/>
        <v>0</v>
      </c>
      <c r="V139" s="8">
        <f t="shared" si="38"/>
        <v>0</v>
      </c>
      <c r="W139" s="6">
        <f t="shared" si="38"/>
        <v>0</v>
      </c>
      <c r="X139" s="6">
        <f t="shared" si="38"/>
        <v>0</v>
      </c>
      <c r="Y139" s="6">
        <f t="shared" si="38"/>
        <v>0</v>
      </c>
      <c r="Z139" s="13">
        <f t="shared" si="38"/>
        <v>0</v>
      </c>
      <c r="AA139" s="8">
        <f t="shared" si="38"/>
        <v>0</v>
      </c>
      <c r="AB139" s="6">
        <f t="shared" si="38"/>
        <v>0</v>
      </c>
      <c r="AC139" s="6">
        <f t="shared" si="38"/>
        <v>0</v>
      </c>
      <c r="AD139" s="6">
        <f t="shared" si="38"/>
        <v>0</v>
      </c>
      <c r="AE139" s="13">
        <f t="shared" si="38"/>
        <v>0</v>
      </c>
      <c r="AF139" s="16">
        <f t="shared" si="39"/>
        <v>0</v>
      </c>
      <c r="AG139" s="16">
        <f t="shared" si="40"/>
        <v>0</v>
      </c>
      <c r="AH139" s="118">
        <f>H7</f>
        <v>0</v>
      </c>
      <c r="AI139" s="118"/>
      <c r="AJ139" s="118"/>
      <c r="AK139" s="118"/>
      <c r="AL139" s="118"/>
      <c r="AN139" s="118">
        <f>H8</f>
        <v>0</v>
      </c>
      <c r="AO139" s="118">
        <f>H8</f>
        <v>0</v>
      </c>
      <c r="AP139" s="118"/>
      <c r="AQ139" s="118"/>
      <c r="AR139" s="118"/>
      <c r="AT139" s="118">
        <f>H9</f>
        <v>0</v>
      </c>
      <c r="AU139" s="118"/>
      <c r="AV139" s="118"/>
      <c r="AW139" s="118"/>
      <c r="AX139" s="118"/>
      <c r="AZ139" s="118">
        <f>H10</f>
        <v>0</v>
      </c>
      <c r="BA139" s="118"/>
      <c r="BB139" s="118"/>
      <c r="BC139" s="118"/>
      <c r="BD139" s="118"/>
      <c r="BF139" s="118">
        <f>H11</f>
        <v>0</v>
      </c>
      <c r="BG139" s="118"/>
      <c r="BH139" s="118"/>
      <c r="BI139" s="118"/>
      <c r="BJ139" s="118"/>
    </row>
    <row r="140" spans="1:62" ht="15.75" thickBot="1" x14ac:dyDescent="0.3">
      <c r="A140" s="15">
        <v>5000</v>
      </c>
      <c r="B140" s="8">
        <f t="shared" si="34"/>
        <v>0</v>
      </c>
      <c r="C140" s="6">
        <f t="shared" si="34"/>
        <v>0</v>
      </c>
      <c r="D140" s="6">
        <f t="shared" si="34"/>
        <v>0</v>
      </c>
      <c r="E140" s="6">
        <f t="shared" si="34"/>
        <v>0</v>
      </c>
      <c r="F140" s="13">
        <f t="shared" si="34"/>
        <v>0</v>
      </c>
      <c r="G140" s="8">
        <f t="shared" si="35"/>
        <v>0</v>
      </c>
      <c r="H140" s="6">
        <f t="shared" si="35"/>
        <v>0</v>
      </c>
      <c r="I140" s="6">
        <f t="shared" si="35"/>
        <v>0</v>
      </c>
      <c r="J140" s="6">
        <f t="shared" si="35"/>
        <v>0</v>
      </c>
      <c r="K140" s="13">
        <f t="shared" si="35"/>
        <v>0</v>
      </c>
      <c r="L140" s="8">
        <f t="shared" si="36"/>
        <v>0</v>
      </c>
      <c r="M140" s="6">
        <f t="shared" si="36"/>
        <v>0</v>
      </c>
      <c r="N140" s="6">
        <f t="shared" si="36"/>
        <v>0</v>
      </c>
      <c r="O140" s="6">
        <f t="shared" si="36"/>
        <v>0</v>
      </c>
      <c r="P140" s="13">
        <f t="shared" si="36"/>
        <v>0</v>
      </c>
      <c r="Q140" s="8">
        <f t="shared" si="37"/>
        <v>0</v>
      </c>
      <c r="R140" s="6">
        <f t="shared" si="37"/>
        <v>0</v>
      </c>
      <c r="S140" s="6">
        <f t="shared" si="37"/>
        <v>0</v>
      </c>
      <c r="T140" s="6">
        <f t="shared" si="37"/>
        <v>0</v>
      </c>
      <c r="U140" s="13">
        <f t="shared" si="37"/>
        <v>0</v>
      </c>
      <c r="V140" s="8">
        <f t="shared" si="38"/>
        <v>0</v>
      </c>
      <c r="W140" s="6">
        <f t="shared" si="38"/>
        <v>0</v>
      </c>
      <c r="X140" s="6">
        <f t="shared" si="38"/>
        <v>0</v>
      </c>
      <c r="Y140" s="6">
        <f t="shared" si="38"/>
        <v>0</v>
      </c>
      <c r="Z140" s="13">
        <f t="shared" si="38"/>
        <v>0</v>
      </c>
      <c r="AA140" s="8">
        <f t="shared" si="38"/>
        <v>0</v>
      </c>
      <c r="AB140" s="6">
        <f t="shared" si="38"/>
        <v>0</v>
      </c>
      <c r="AC140" s="6">
        <f t="shared" si="38"/>
        <v>0</v>
      </c>
      <c r="AD140" s="6">
        <f t="shared" si="38"/>
        <v>0</v>
      </c>
      <c r="AE140" s="13">
        <f t="shared" si="38"/>
        <v>0</v>
      </c>
      <c r="AF140" s="16">
        <f t="shared" si="39"/>
        <v>0</v>
      </c>
      <c r="AG140" s="16">
        <f t="shared" si="40"/>
        <v>0</v>
      </c>
      <c r="AH140" s="30" t="s">
        <v>136</v>
      </c>
      <c r="AI140" s="30" t="s">
        <v>27</v>
      </c>
      <c r="AJ140" s="30" t="s">
        <v>28</v>
      </c>
      <c r="AK140" s="30" t="s">
        <v>29</v>
      </c>
      <c r="AL140" s="30" t="s">
        <v>30</v>
      </c>
      <c r="AN140" s="30" t="s">
        <v>136</v>
      </c>
      <c r="AO140" s="30" t="s">
        <v>27</v>
      </c>
      <c r="AP140" s="30" t="s">
        <v>28</v>
      </c>
      <c r="AQ140" s="30" t="s">
        <v>29</v>
      </c>
      <c r="AR140" s="30" t="s">
        <v>30</v>
      </c>
      <c r="AT140" s="30" t="s">
        <v>136</v>
      </c>
      <c r="AU140" s="30" t="s">
        <v>27</v>
      </c>
      <c r="AV140" s="30" t="s">
        <v>28</v>
      </c>
      <c r="AW140" s="30" t="s">
        <v>29</v>
      </c>
      <c r="AX140" s="30" t="s">
        <v>30</v>
      </c>
      <c r="AZ140" s="30" t="s">
        <v>136</v>
      </c>
      <c r="BA140" s="30" t="s">
        <v>27</v>
      </c>
      <c r="BB140" s="30" t="s">
        <v>28</v>
      </c>
      <c r="BC140" s="30" t="s">
        <v>29</v>
      </c>
      <c r="BD140" s="30" t="s">
        <v>30</v>
      </c>
      <c r="BF140" s="30" t="s">
        <v>136</v>
      </c>
      <c r="BG140" s="30" t="s">
        <v>27</v>
      </c>
      <c r="BH140" s="30" t="s">
        <v>28</v>
      </c>
      <c r="BI140" s="30" t="s">
        <v>29</v>
      </c>
      <c r="BJ140" s="30" t="s">
        <v>30</v>
      </c>
    </row>
    <row r="141" spans="1:62" ht="15.75" thickBot="1" x14ac:dyDescent="0.3">
      <c r="A141" s="59">
        <v>10000</v>
      </c>
      <c r="B141" s="31">
        <f t="shared" si="34"/>
        <v>0</v>
      </c>
      <c r="C141" s="32">
        <f t="shared" si="34"/>
        <v>0</v>
      </c>
      <c r="D141" s="32">
        <f t="shared" si="34"/>
        <v>0</v>
      </c>
      <c r="E141" s="32">
        <f t="shared" si="34"/>
        <v>0</v>
      </c>
      <c r="F141" s="33">
        <f t="shared" si="34"/>
        <v>0</v>
      </c>
      <c r="G141" s="31">
        <f t="shared" si="35"/>
        <v>0</v>
      </c>
      <c r="H141" s="32">
        <f t="shared" si="35"/>
        <v>0</v>
      </c>
      <c r="I141" s="32">
        <f t="shared" si="35"/>
        <v>0</v>
      </c>
      <c r="J141" s="32">
        <f t="shared" si="35"/>
        <v>0</v>
      </c>
      <c r="K141" s="33">
        <f t="shared" si="35"/>
        <v>0</v>
      </c>
      <c r="L141" s="31">
        <f t="shared" si="36"/>
        <v>0</v>
      </c>
      <c r="M141" s="32">
        <f t="shared" si="36"/>
        <v>0</v>
      </c>
      <c r="N141" s="32">
        <f t="shared" si="36"/>
        <v>0</v>
      </c>
      <c r="O141" s="32">
        <f t="shared" si="36"/>
        <v>0</v>
      </c>
      <c r="P141" s="33">
        <f t="shared" si="36"/>
        <v>0</v>
      </c>
      <c r="Q141" s="31">
        <f t="shared" si="37"/>
        <v>0</v>
      </c>
      <c r="R141" s="32">
        <f t="shared" si="37"/>
        <v>0</v>
      </c>
      <c r="S141" s="32">
        <f t="shared" si="37"/>
        <v>0</v>
      </c>
      <c r="T141" s="32">
        <f t="shared" si="37"/>
        <v>0</v>
      </c>
      <c r="U141" s="33">
        <f t="shared" si="37"/>
        <v>0</v>
      </c>
      <c r="V141" s="31">
        <f t="shared" si="38"/>
        <v>0</v>
      </c>
      <c r="W141" s="32">
        <f t="shared" si="38"/>
        <v>0</v>
      </c>
      <c r="X141" s="32">
        <f t="shared" si="38"/>
        <v>0</v>
      </c>
      <c r="Y141" s="32">
        <f t="shared" si="38"/>
        <v>0</v>
      </c>
      <c r="Z141" s="33">
        <f t="shared" si="38"/>
        <v>0</v>
      </c>
      <c r="AA141" s="31">
        <f t="shared" si="38"/>
        <v>0</v>
      </c>
      <c r="AB141" s="32">
        <f t="shared" si="38"/>
        <v>0</v>
      </c>
      <c r="AC141" s="32">
        <f t="shared" si="38"/>
        <v>0</v>
      </c>
      <c r="AD141" s="32">
        <f t="shared" si="38"/>
        <v>0</v>
      </c>
      <c r="AE141" s="33">
        <f t="shared" si="38"/>
        <v>0</v>
      </c>
      <c r="AF141" s="16">
        <f t="shared" si="39"/>
        <v>0</v>
      </c>
      <c r="AG141" s="43">
        <f t="shared" si="40"/>
        <v>0</v>
      </c>
      <c r="AH141" s="16">
        <f>J7</f>
        <v>0</v>
      </c>
      <c r="AI141" s="10">
        <f>K7</f>
        <v>0</v>
      </c>
      <c r="AJ141" s="11">
        <f>L7</f>
        <v>0</v>
      </c>
      <c r="AK141" s="11">
        <f>M7</f>
        <v>0</v>
      </c>
      <c r="AL141" s="17">
        <f>N7</f>
        <v>0</v>
      </c>
      <c r="AN141" s="16">
        <f>J8</f>
        <v>0</v>
      </c>
      <c r="AO141" s="10">
        <f>K8</f>
        <v>0</v>
      </c>
      <c r="AP141" s="11">
        <f>L8</f>
        <v>0</v>
      </c>
      <c r="AQ141" s="11">
        <f>M8</f>
        <v>0</v>
      </c>
      <c r="AR141" s="17">
        <f>N8</f>
        <v>0</v>
      </c>
      <c r="AT141" s="16">
        <f>J9</f>
        <v>0</v>
      </c>
      <c r="AU141" s="10">
        <f>K9</f>
        <v>0</v>
      </c>
      <c r="AV141" s="11">
        <f>L9</f>
        <v>0</v>
      </c>
      <c r="AW141" s="11">
        <f>M9</f>
        <v>0</v>
      </c>
      <c r="AX141" s="17">
        <f>N9</f>
        <v>0</v>
      </c>
      <c r="AZ141" s="16">
        <f>J10</f>
        <v>0</v>
      </c>
      <c r="BA141" s="10">
        <f>K10</f>
        <v>0</v>
      </c>
      <c r="BB141" s="11">
        <f>L10</f>
        <v>0</v>
      </c>
      <c r="BC141" s="11">
        <f>M10</f>
        <v>0</v>
      </c>
      <c r="BD141" s="17">
        <f>N10</f>
        <v>0</v>
      </c>
      <c r="BF141" s="16">
        <f>J11</f>
        <v>0</v>
      </c>
      <c r="BG141" s="10">
        <f>K11</f>
        <v>0</v>
      </c>
      <c r="BH141" s="11">
        <f>L11</f>
        <v>0</v>
      </c>
      <c r="BI141" s="11">
        <f>M11</f>
        <v>0</v>
      </c>
      <c r="BJ141" s="17">
        <f>N11</f>
        <v>0</v>
      </c>
    </row>
    <row r="142" spans="1:62" ht="15.75" thickBot="1" x14ac:dyDescent="0.3">
      <c r="A142" s="35"/>
      <c r="B142" s="60">
        <f t="shared" ref="B142:AG142" si="41">SUM(B133:B141)</f>
        <v>0</v>
      </c>
      <c r="C142" s="61">
        <f t="shared" si="41"/>
        <v>0</v>
      </c>
      <c r="D142" s="61">
        <f t="shared" si="41"/>
        <v>0</v>
      </c>
      <c r="E142" s="61">
        <f t="shared" si="41"/>
        <v>0</v>
      </c>
      <c r="F142" s="62">
        <f t="shared" si="41"/>
        <v>0</v>
      </c>
      <c r="G142" s="60">
        <f t="shared" si="41"/>
        <v>0</v>
      </c>
      <c r="H142" s="61">
        <f t="shared" si="41"/>
        <v>0</v>
      </c>
      <c r="I142" s="61">
        <f t="shared" si="41"/>
        <v>0</v>
      </c>
      <c r="J142" s="61">
        <f t="shared" si="41"/>
        <v>0</v>
      </c>
      <c r="K142" s="62">
        <f t="shared" si="41"/>
        <v>0</v>
      </c>
      <c r="L142" s="60">
        <f t="shared" si="41"/>
        <v>0</v>
      </c>
      <c r="M142" s="61">
        <f t="shared" si="41"/>
        <v>0</v>
      </c>
      <c r="N142" s="61">
        <f t="shared" si="41"/>
        <v>0</v>
      </c>
      <c r="O142" s="61">
        <f t="shared" si="41"/>
        <v>0</v>
      </c>
      <c r="P142" s="62">
        <f t="shared" si="41"/>
        <v>0</v>
      </c>
      <c r="Q142" s="60">
        <f t="shared" si="41"/>
        <v>0</v>
      </c>
      <c r="R142" s="61">
        <f t="shared" si="41"/>
        <v>0</v>
      </c>
      <c r="S142" s="61">
        <f t="shared" si="41"/>
        <v>0</v>
      </c>
      <c r="T142" s="61">
        <f t="shared" si="41"/>
        <v>0</v>
      </c>
      <c r="U142" s="62">
        <f t="shared" si="41"/>
        <v>0</v>
      </c>
      <c r="V142" s="60">
        <f t="shared" si="41"/>
        <v>0</v>
      </c>
      <c r="W142" s="61">
        <f t="shared" si="41"/>
        <v>0</v>
      </c>
      <c r="X142" s="61">
        <f t="shared" si="41"/>
        <v>0</v>
      </c>
      <c r="Y142" s="61">
        <f t="shared" si="41"/>
        <v>0</v>
      </c>
      <c r="Z142" s="62">
        <f t="shared" si="41"/>
        <v>0</v>
      </c>
      <c r="AA142" s="60">
        <f t="shared" si="41"/>
        <v>0</v>
      </c>
      <c r="AB142" s="61">
        <f t="shared" si="41"/>
        <v>0</v>
      </c>
      <c r="AC142" s="61">
        <f t="shared" si="41"/>
        <v>0</v>
      </c>
      <c r="AD142" s="61">
        <f t="shared" si="41"/>
        <v>0</v>
      </c>
      <c r="AE142" s="62">
        <f t="shared" si="41"/>
        <v>0</v>
      </c>
      <c r="AF142" s="35">
        <f t="shared" si="41"/>
        <v>0</v>
      </c>
      <c r="AG142" s="35">
        <f t="shared" si="40"/>
        <v>0</v>
      </c>
      <c r="AH142" s="15">
        <f>P7</f>
        <v>0</v>
      </c>
      <c r="AI142" s="8">
        <f>Q7</f>
        <v>0</v>
      </c>
      <c r="AJ142" s="6">
        <f>R7</f>
        <v>0</v>
      </c>
      <c r="AK142" s="6">
        <f>S7</f>
        <v>0</v>
      </c>
      <c r="AL142" s="13">
        <f>T7</f>
        <v>0</v>
      </c>
      <c r="AN142" s="15">
        <f>P8</f>
        <v>0</v>
      </c>
      <c r="AO142" s="8">
        <f>Q8</f>
        <v>0</v>
      </c>
      <c r="AP142" s="6">
        <f>R8</f>
        <v>0</v>
      </c>
      <c r="AQ142" s="6">
        <f>S8</f>
        <v>0</v>
      </c>
      <c r="AR142" s="13">
        <f>T8</f>
        <v>0</v>
      </c>
      <c r="AT142" s="15">
        <f>P9</f>
        <v>0</v>
      </c>
      <c r="AU142" s="8">
        <f>Q9</f>
        <v>0</v>
      </c>
      <c r="AV142" s="6">
        <f>R9</f>
        <v>0</v>
      </c>
      <c r="AW142" s="6">
        <f>S9</f>
        <v>0</v>
      </c>
      <c r="AX142" s="13">
        <f>T9</f>
        <v>0</v>
      </c>
      <c r="AZ142" s="15">
        <f>P10</f>
        <v>0</v>
      </c>
      <c r="BA142" s="8">
        <f>Q10</f>
        <v>0</v>
      </c>
      <c r="BB142" s="6">
        <f>R10</f>
        <v>0</v>
      </c>
      <c r="BC142" s="6">
        <f>S10</f>
        <v>0</v>
      </c>
      <c r="BD142" s="13">
        <f>T10</f>
        <v>0</v>
      </c>
      <c r="BF142" s="15">
        <f>P11</f>
        <v>0</v>
      </c>
      <c r="BG142" s="8">
        <f>Q11</f>
        <v>0</v>
      </c>
      <c r="BH142" s="6">
        <f>R11</f>
        <v>0</v>
      </c>
      <c r="BI142" s="6">
        <f>S11</f>
        <v>0</v>
      </c>
      <c r="BJ142" s="13">
        <f>T11</f>
        <v>0</v>
      </c>
    </row>
    <row r="143" spans="1:62" ht="15.75" thickBot="1" x14ac:dyDescent="0.3">
      <c r="AH143" s="15">
        <f>V7</f>
        <v>0</v>
      </c>
      <c r="AI143" s="8">
        <f>W7</f>
        <v>0</v>
      </c>
      <c r="AJ143" s="6">
        <f>X7</f>
        <v>0</v>
      </c>
      <c r="AK143" s="6">
        <f>Y7</f>
        <v>0</v>
      </c>
      <c r="AL143" s="13">
        <f>Z7</f>
        <v>0</v>
      </c>
      <c r="AN143" s="15">
        <f>V8</f>
        <v>0</v>
      </c>
      <c r="AO143" s="8">
        <f>W8</f>
        <v>0</v>
      </c>
      <c r="AP143" s="6">
        <f>X8</f>
        <v>0</v>
      </c>
      <c r="AQ143" s="6">
        <f>Y8</f>
        <v>0</v>
      </c>
      <c r="AR143" s="13">
        <f>Z8</f>
        <v>0</v>
      </c>
      <c r="AT143" s="15">
        <f>V9</f>
        <v>0</v>
      </c>
      <c r="AU143" s="8">
        <f>W9</f>
        <v>0</v>
      </c>
      <c r="AV143" s="6">
        <f>X9</f>
        <v>0</v>
      </c>
      <c r="AW143" s="6">
        <f>Y9</f>
        <v>0</v>
      </c>
      <c r="AX143" s="13">
        <f>Z9</f>
        <v>0</v>
      </c>
      <c r="AZ143" s="15">
        <f>V10</f>
        <v>0</v>
      </c>
      <c r="BA143" s="8">
        <f>W10</f>
        <v>0</v>
      </c>
      <c r="BB143" s="6">
        <f>X10</f>
        <v>0</v>
      </c>
      <c r="BC143" s="6">
        <f>Y10</f>
        <v>0</v>
      </c>
      <c r="BD143" s="13">
        <f>Z10</f>
        <v>0</v>
      </c>
      <c r="BF143" s="15">
        <f>V11</f>
        <v>0</v>
      </c>
      <c r="BG143" s="8">
        <f>W11</f>
        <v>0</v>
      </c>
      <c r="BH143" s="6">
        <f>X11</f>
        <v>0</v>
      </c>
      <c r="BI143" s="6">
        <f>Y11</f>
        <v>0</v>
      </c>
      <c r="BJ143" s="13">
        <f>Z11</f>
        <v>0</v>
      </c>
    </row>
    <row r="144" spans="1:62" ht="15.75" customHeight="1" thickBot="1" x14ac:dyDescent="0.3">
      <c r="A144" s="111" t="s">
        <v>130</v>
      </c>
      <c r="B144" s="112"/>
      <c r="D144" s="111" t="s">
        <v>131</v>
      </c>
      <c r="E144" s="112"/>
      <c r="G144" s="111" t="s">
        <v>132</v>
      </c>
      <c r="H144" s="112"/>
      <c r="J144" s="161" t="s">
        <v>250</v>
      </c>
      <c r="K144" s="162"/>
      <c r="M144" s="161" t="s">
        <v>251</v>
      </c>
      <c r="N144" s="162"/>
      <c r="P144" s="161" t="s">
        <v>252</v>
      </c>
      <c r="Q144" s="162"/>
      <c r="S144" s="123" t="s">
        <v>31</v>
      </c>
      <c r="T144" s="113" t="s">
        <v>84</v>
      </c>
      <c r="U144" s="115"/>
      <c r="V144" s="116" t="s">
        <v>24</v>
      </c>
      <c r="W144" s="116" t="s">
        <v>86</v>
      </c>
      <c r="AH144" s="15">
        <f>AB7</f>
        <v>0</v>
      </c>
      <c r="AI144" s="8">
        <f>AC7</f>
        <v>0</v>
      </c>
      <c r="AJ144" s="6">
        <f>AD7</f>
        <v>0</v>
      </c>
      <c r="AK144" s="6">
        <f>AE7</f>
        <v>0</v>
      </c>
      <c r="AL144" s="13">
        <f>AF7</f>
        <v>0</v>
      </c>
      <c r="AN144" s="15">
        <f>AB8</f>
        <v>0</v>
      </c>
      <c r="AO144" s="8">
        <f>AC8</f>
        <v>0</v>
      </c>
      <c r="AP144" s="6">
        <f>AD8</f>
        <v>0</v>
      </c>
      <c r="AQ144" s="6">
        <f>AE8</f>
        <v>0</v>
      </c>
      <c r="AR144" s="13">
        <f>AF8</f>
        <v>0</v>
      </c>
      <c r="AT144" s="15">
        <f>AB9</f>
        <v>0</v>
      </c>
      <c r="AU144" s="8">
        <f>AC9</f>
        <v>0</v>
      </c>
      <c r="AV144" s="6">
        <f>AD9</f>
        <v>0</v>
      </c>
      <c r="AW144" s="6">
        <f>AE9</f>
        <v>0</v>
      </c>
      <c r="AX144" s="13">
        <f>AF9</f>
        <v>0</v>
      </c>
      <c r="AZ144" s="15">
        <f>AB10</f>
        <v>0</v>
      </c>
      <c r="BA144" s="8">
        <f>AC10</f>
        <v>0</v>
      </c>
      <c r="BB144" s="6">
        <f>AD10</f>
        <v>0</v>
      </c>
      <c r="BC144" s="6">
        <f>AE10</f>
        <v>0</v>
      </c>
      <c r="BD144" s="13">
        <f>AF10</f>
        <v>0</v>
      </c>
      <c r="BF144" s="15">
        <f>AB11</f>
        <v>0</v>
      </c>
      <c r="BG144" s="8">
        <f>AC11</f>
        <v>0</v>
      </c>
      <c r="BH144" s="6">
        <f>AD11</f>
        <v>0</v>
      </c>
      <c r="BI144" s="6">
        <f>AE11</f>
        <v>0</v>
      </c>
      <c r="BJ144" s="13">
        <f>AF11</f>
        <v>0</v>
      </c>
    </row>
    <row r="145" spans="1:62" ht="15.75" thickBot="1" x14ac:dyDescent="0.3">
      <c r="A145" s="60" t="s">
        <v>27</v>
      </c>
      <c r="B145" s="62" t="s">
        <v>102</v>
      </c>
      <c r="D145" s="34" t="s">
        <v>27</v>
      </c>
      <c r="E145" s="79" t="s">
        <v>102</v>
      </c>
      <c r="G145" s="34" t="s">
        <v>27</v>
      </c>
      <c r="H145" s="79" t="s">
        <v>102</v>
      </c>
      <c r="J145" s="163"/>
      <c r="K145" s="164"/>
      <c r="M145" s="163"/>
      <c r="N145" s="164"/>
      <c r="P145" s="163"/>
      <c r="Q145" s="164"/>
      <c r="S145" s="124"/>
      <c r="T145" s="12" t="s">
        <v>17</v>
      </c>
      <c r="U145" s="12" t="s">
        <v>19</v>
      </c>
      <c r="V145" s="117"/>
      <c r="W145" s="117"/>
      <c r="AH145" s="15">
        <f>AH7</f>
        <v>0</v>
      </c>
      <c r="AI145" s="8">
        <f>AI7</f>
        <v>0</v>
      </c>
      <c r="AJ145" s="6">
        <f>AJ7</f>
        <v>0</v>
      </c>
      <c r="AK145" s="6">
        <f>AK7</f>
        <v>0</v>
      </c>
      <c r="AL145" s="13">
        <f>AL7</f>
        <v>0</v>
      </c>
      <c r="AN145" s="15">
        <f>AH8</f>
        <v>0</v>
      </c>
      <c r="AO145" s="8">
        <f>AI8</f>
        <v>0</v>
      </c>
      <c r="AP145" s="6">
        <f>AJ8</f>
        <v>0</v>
      </c>
      <c r="AQ145" s="6">
        <f>AK8</f>
        <v>0</v>
      </c>
      <c r="AR145" s="13">
        <f>AL8</f>
        <v>0</v>
      </c>
      <c r="AT145" s="15">
        <f>AH9</f>
        <v>0</v>
      </c>
      <c r="AU145" s="8">
        <f>AI9</f>
        <v>0</v>
      </c>
      <c r="AV145" s="6">
        <f>AJ9</f>
        <v>0</v>
      </c>
      <c r="AW145" s="6">
        <f>AK9</f>
        <v>0</v>
      </c>
      <c r="AX145" s="13">
        <f>AL9</f>
        <v>0</v>
      </c>
      <c r="AZ145" s="15">
        <f>AH10</f>
        <v>0</v>
      </c>
      <c r="BA145" s="8">
        <f>AI10</f>
        <v>0</v>
      </c>
      <c r="BB145" s="6">
        <f>AJ10</f>
        <v>0</v>
      </c>
      <c r="BC145" s="6">
        <f>AK10</f>
        <v>0</v>
      </c>
      <c r="BD145" s="13">
        <f>AL10</f>
        <v>0</v>
      </c>
      <c r="BF145" s="15">
        <f>AH11</f>
        <v>0</v>
      </c>
      <c r="BG145" s="8">
        <f>AI11</f>
        <v>0</v>
      </c>
      <c r="BH145" s="6">
        <f>AJ11</f>
        <v>0</v>
      </c>
      <c r="BI145" s="6">
        <f>AK11</f>
        <v>0</v>
      </c>
      <c r="BJ145" s="13">
        <f>AL11</f>
        <v>0</v>
      </c>
    </row>
    <row r="146" spans="1:62" x14ac:dyDescent="0.25">
      <c r="A146" s="10">
        <v>225</v>
      </c>
      <c r="B146" s="17">
        <f t="shared" ref="B146:B151" si="42">SUMIFS($J$14:$J$113,$H$14:$H$113,$A$144,$I$14:$I$113,A146)</f>
        <v>0</v>
      </c>
      <c r="D146" s="10">
        <v>1000</v>
      </c>
      <c r="E146" s="17">
        <f>SUMIFS($J$14:$J$113,$H$14:$H$113,$D$144,$I$14:$I$113,D146)</f>
        <v>0</v>
      </c>
      <c r="G146" s="10">
        <v>1000</v>
      </c>
      <c r="H146" s="17">
        <f>SUMIFS($J$14:$J$113,$H$14:$H$113,$G$144,$I$14:$I$113,G146)</f>
        <v>0</v>
      </c>
      <c r="J146" s="163"/>
      <c r="K146" s="164"/>
      <c r="M146" s="163"/>
      <c r="N146" s="164"/>
      <c r="P146" s="163"/>
      <c r="Q146" s="164"/>
      <c r="S146" s="16">
        <v>300</v>
      </c>
      <c r="T146" s="11">
        <f>SUMIFS($J$14:$J$113,$I$14:$I$113,$S146,$K$14:$K$113,T$145,$H$14:$H$113,$T$144)</f>
        <v>0</v>
      </c>
      <c r="U146" s="11">
        <f>SUMIFS($J$14:$J$113,$I$14:$I$113,$S146,$K$14:$K$113,U$145,$H$14:$H$113,$T$144)</f>
        <v>0</v>
      </c>
      <c r="V146" s="16">
        <f>SUM(T146:U146)*S146</f>
        <v>0</v>
      </c>
      <c r="W146" s="16">
        <f>T146+U146</f>
        <v>0</v>
      </c>
      <c r="AH146" s="15">
        <f>AN7</f>
        <v>0</v>
      </c>
      <c r="AI146" s="8">
        <f>AO7</f>
        <v>0</v>
      </c>
      <c r="AJ146" s="6">
        <f>AP7</f>
        <v>0</v>
      </c>
      <c r="AK146" s="6">
        <f>AQ7</f>
        <v>0</v>
      </c>
      <c r="AL146" s="13">
        <f>AR7</f>
        <v>0</v>
      </c>
      <c r="AN146" s="15">
        <f>AN8</f>
        <v>0</v>
      </c>
      <c r="AO146" s="8">
        <f>AO8</f>
        <v>0</v>
      </c>
      <c r="AP146" s="6">
        <f>AP8</f>
        <v>0</v>
      </c>
      <c r="AQ146" s="6">
        <f>AQ8</f>
        <v>0</v>
      </c>
      <c r="AR146" s="13">
        <f>AR8</f>
        <v>0</v>
      </c>
      <c r="AT146" s="15">
        <f>AN9</f>
        <v>0</v>
      </c>
      <c r="AU146" s="8">
        <f>AO9</f>
        <v>0</v>
      </c>
      <c r="AV146" s="6">
        <f>AP9</f>
        <v>0</v>
      </c>
      <c r="AW146" s="6">
        <f>AQ9</f>
        <v>0</v>
      </c>
      <c r="AX146" s="13">
        <f>AR9</f>
        <v>0</v>
      </c>
      <c r="AZ146" s="15">
        <f>AN10</f>
        <v>0</v>
      </c>
      <c r="BA146" s="8">
        <f>AO10</f>
        <v>0</v>
      </c>
      <c r="BB146" s="6">
        <f>AP10</f>
        <v>0</v>
      </c>
      <c r="BC146" s="6">
        <f>AQ10</f>
        <v>0</v>
      </c>
      <c r="BD146" s="13">
        <f>AR10</f>
        <v>0</v>
      </c>
      <c r="BF146" s="15">
        <f>AN11</f>
        <v>0</v>
      </c>
      <c r="BG146" s="8">
        <f>AO11</f>
        <v>0</v>
      </c>
      <c r="BH146" s="6">
        <f>AP11</f>
        <v>0</v>
      </c>
      <c r="BI146" s="6">
        <f>AQ11</f>
        <v>0</v>
      </c>
      <c r="BJ146" s="13">
        <f>AR11</f>
        <v>0</v>
      </c>
    </row>
    <row r="147" spans="1:62" ht="15.75" thickBot="1" x14ac:dyDescent="0.3">
      <c r="A147" s="8">
        <v>325</v>
      </c>
      <c r="B147" s="17">
        <f t="shared" si="42"/>
        <v>0</v>
      </c>
      <c r="D147" s="9">
        <v>3000</v>
      </c>
      <c r="E147" s="17">
        <f>SUMIFS($J$14:$J$113,$H$14:$H$113,$D$144,$I$14:$I$113,D147)</f>
        <v>0</v>
      </c>
      <c r="G147" s="31">
        <v>2000</v>
      </c>
      <c r="H147" s="17">
        <f>SUMIFS($J$14:$J$113,$H$14:$H$113,$G$144,$I$14:$I$113,G147)</f>
        <v>0</v>
      </c>
      <c r="J147" s="165"/>
      <c r="K147" s="166"/>
      <c r="M147" s="165"/>
      <c r="N147" s="166"/>
      <c r="P147" s="165"/>
      <c r="Q147" s="166"/>
      <c r="S147" s="16">
        <v>500</v>
      </c>
      <c r="T147" s="11">
        <f t="shared" ref="T147:U154" si="43">SUMIFS($J$14:$J$113,$I$14:$I$113,$S147,$K$14:$K$113,T$145,$H$14:$H$113,$T$144)</f>
        <v>0</v>
      </c>
      <c r="U147" s="11">
        <f t="shared" si="43"/>
        <v>0</v>
      </c>
      <c r="V147" s="16">
        <f t="shared" ref="V147:V154" si="44">SUM(T147:U147)*S147</f>
        <v>0</v>
      </c>
      <c r="W147" s="16">
        <f t="shared" ref="W147:W154" si="45">T147+U147</f>
        <v>0</v>
      </c>
      <c r="AA147" s="167" t="s">
        <v>37</v>
      </c>
      <c r="AB147" s="167"/>
      <c r="AC147" s="167"/>
      <c r="AD147" s="167" t="s">
        <v>113</v>
      </c>
      <c r="AE147" s="167"/>
      <c r="AF147" s="167"/>
      <c r="AH147" s="15">
        <f>AT7</f>
        <v>0</v>
      </c>
      <c r="AI147" s="8">
        <f>AU7</f>
        <v>0</v>
      </c>
      <c r="AJ147" s="6">
        <f>AV7</f>
        <v>0</v>
      </c>
      <c r="AK147" s="6">
        <f>AW7</f>
        <v>0</v>
      </c>
      <c r="AL147" s="13">
        <f>AX7</f>
        <v>0</v>
      </c>
      <c r="AN147" s="15">
        <f>AT8</f>
        <v>0</v>
      </c>
      <c r="AO147" s="8">
        <f>AU8</f>
        <v>0</v>
      </c>
      <c r="AP147" s="6">
        <f>AV8</f>
        <v>0</v>
      </c>
      <c r="AQ147" s="6">
        <f>AW8</f>
        <v>0</v>
      </c>
      <c r="AR147" s="13">
        <f>AX8</f>
        <v>0</v>
      </c>
      <c r="AT147" s="15">
        <f>AT9</f>
        <v>0</v>
      </c>
      <c r="AU147" s="8">
        <f>AU9</f>
        <v>0</v>
      </c>
      <c r="AV147" s="6">
        <f>AV9</f>
        <v>0</v>
      </c>
      <c r="AW147" s="6">
        <f>AW9</f>
        <v>0</v>
      </c>
      <c r="AX147" s="13">
        <f>AX9</f>
        <v>0</v>
      </c>
      <c r="AZ147" s="15">
        <f>AT10</f>
        <v>0</v>
      </c>
      <c r="BA147" s="8">
        <f>AU10</f>
        <v>0</v>
      </c>
      <c r="BB147" s="6">
        <f>AV10</f>
        <v>0</v>
      </c>
      <c r="BC147" s="6">
        <f>AW10</f>
        <v>0</v>
      </c>
      <c r="BD147" s="13">
        <f>AX10</f>
        <v>0</v>
      </c>
      <c r="BF147" s="15">
        <f>AT11</f>
        <v>0</v>
      </c>
      <c r="BG147" s="8">
        <f>AU11</f>
        <v>0</v>
      </c>
      <c r="BH147" s="6">
        <f>AV11</f>
        <v>0</v>
      </c>
      <c r="BI147" s="6">
        <f>AW11</f>
        <v>0</v>
      </c>
      <c r="BJ147" s="13">
        <f>AX11</f>
        <v>0</v>
      </c>
    </row>
    <row r="148" spans="1:62" ht="15.75" thickBot="1" x14ac:dyDescent="0.3">
      <c r="A148" s="8">
        <v>400</v>
      </c>
      <c r="B148" s="17">
        <f t="shared" si="42"/>
        <v>0</v>
      </c>
      <c r="D148" s="60" t="s">
        <v>24</v>
      </c>
      <c r="E148" s="62">
        <f>SUMPRODUCT(D146:D147,E146:E147)</f>
        <v>0</v>
      </c>
      <c r="G148" s="60" t="s">
        <v>24</v>
      </c>
      <c r="H148" s="62">
        <f>SUMPRODUCT(G146:G147,H146:H147)</f>
        <v>0</v>
      </c>
      <c r="J148" s="60" t="s">
        <v>29</v>
      </c>
      <c r="K148" s="62" t="s">
        <v>102</v>
      </c>
      <c r="M148" s="60" t="s">
        <v>29</v>
      </c>
      <c r="N148" s="62" t="s">
        <v>102</v>
      </c>
      <c r="P148" s="60" t="s">
        <v>29</v>
      </c>
      <c r="Q148" s="62" t="s">
        <v>102</v>
      </c>
      <c r="S148" s="15">
        <v>750</v>
      </c>
      <c r="T148" s="11">
        <f t="shared" si="43"/>
        <v>0</v>
      </c>
      <c r="U148" s="11">
        <f t="shared" si="43"/>
        <v>0</v>
      </c>
      <c r="V148" s="16">
        <f t="shared" si="44"/>
        <v>0</v>
      </c>
      <c r="W148" s="16">
        <f t="shared" si="45"/>
        <v>0</v>
      </c>
      <c r="AA148" s="167" t="str">
        <f>"TANKS: " &amp; SUM(B128:AE128,B146:B151,E146:E147,H146:H147,B142:AE142,W155)</f>
        <v>TANKS: 48</v>
      </c>
      <c r="AB148" s="167"/>
      <c r="AC148" s="167"/>
      <c r="AD148" s="167" t="str">
        <f>"LTRS: " &amp;SUM(AF128,B152,E148,H148,AF142,V155)</f>
        <v>LTRS: 39500</v>
      </c>
      <c r="AE148" s="167"/>
      <c r="AF148" s="167"/>
      <c r="AH148" s="15">
        <f>AZ7</f>
        <v>0</v>
      </c>
      <c r="AI148" s="8">
        <f>BA7</f>
        <v>0</v>
      </c>
      <c r="AJ148" s="6">
        <f>BB7</f>
        <v>0</v>
      </c>
      <c r="AK148" s="6">
        <f>BC7</f>
        <v>0</v>
      </c>
      <c r="AL148" s="13">
        <f>BD7</f>
        <v>0</v>
      </c>
      <c r="AN148" s="15">
        <f>AZ8</f>
        <v>0</v>
      </c>
      <c r="AO148" s="8">
        <f>BA8</f>
        <v>0</v>
      </c>
      <c r="AP148" s="6">
        <f>BB8</f>
        <v>0</v>
      </c>
      <c r="AQ148" s="6">
        <f>BC8</f>
        <v>0</v>
      </c>
      <c r="AR148" s="13">
        <f>BD8</f>
        <v>0</v>
      </c>
      <c r="AT148" s="15">
        <f>AZ9</f>
        <v>0</v>
      </c>
      <c r="AU148" s="8">
        <f>BA9</f>
        <v>0</v>
      </c>
      <c r="AV148" s="6">
        <f>BB9</f>
        <v>0</v>
      </c>
      <c r="AW148" s="6">
        <f>BC9</f>
        <v>0</v>
      </c>
      <c r="AX148" s="13">
        <f>BD9</f>
        <v>0</v>
      </c>
      <c r="AZ148" s="15">
        <f>AZ10</f>
        <v>0</v>
      </c>
      <c r="BA148" s="8">
        <f>BA10</f>
        <v>0</v>
      </c>
      <c r="BB148" s="6">
        <f>BB10</f>
        <v>0</v>
      </c>
      <c r="BC148" s="6">
        <f>BC10</f>
        <v>0</v>
      </c>
      <c r="BD148" s="13">
        <f>BD10</f>
        <v>0</v>
      </c>
      <c r="BF148" s="15">
        <f>AZ11</f>
        <v>0</v>
      </c>
      <c r="BG148" s="8">
        <f>BA11</f>
        <v>0</v>
      </c>
      <c r="BH148" s="6">
        <f>BB11</f>
        <v>0</v>
      </c>
      <c r="BI148" s="6">
        <f>BC11</f>
        <v>0</v>
      </c>
      <c r="BJ148" s="13">
        <f>BD11</f>
        <v>0</v>
      </c>
    </row>
    <row r="149" spans="1:62" x14ac:dyDescent="0.25">
      <c r="A149" s="8">
        <v>500</v>
      </c>
      <c r="B149" s="17">
        <f t="shared" si="42"/>
        <v>0</v>
      </c>
      <c r="J149" s="10" t="s">
        <v>17</v>
      </c>
      <c r="K149" s="17">
        <f>SUMIFS($J$14:$J$113,$H$14:$H$113,"CAP16_1",$K$14:$K$113,J149)</f>
        <v>0</v>
      </c>
      <c r="M149" s="10" t="s">
        <v>17</v>
      </c>
      <c r="N149" s="17">
        <f>SUMIFS($J$14:$J$113,$H$14:$H$113,"CAP16_2",$K$14:$K$113,M149)</f>
        <v>0</v>
      </c>
      <c r="P149" s="10" t="s">
        <v>17</v>
      </c>
      <c r="Q149" s="17">
        <f>SUMIFS($J$14:$J$113,$H$14:$H$113,"CAP19",$K$14:$K$113,P149)</f>
        <v>0</v>
      </c>
      <c r="S149" s="15">
        <v>1000</v>
      </c>
      <c r="T149" s="11">
        <f t="shared" si="43"/>
        <v>0</v>
      </c>
      <c r="U149" s="11">
        <f t="shared" si="43"/>
        <v>0</v>
      </c>
      <c r="V149" s="16">
        <f t="shared" si="44"/>
        <v>0</v>
      </c>
      <c r="W149" s="16">
        <f t="shared" si="45"/>
        <v>0</v>
      </c>
      <c r="AA149" s="167" t="s">
        <v>76</v>
      </c>
      <c r="AB149" s="167"/>
      <c r="AC149" s="167"/>
      <c r="AD149" s="176">
        <f>D114</f>
        <v>46008</v>
      </c>
      <c r="AE149" s="176"/>
      <c r="AF149" s="176"/>
      <c r="AH149" s="15">
        <f>BF7</f>
        <v>0</v>
      </c>
      <c r="AI149" s="8">
        <f>BG7</f>
        <v>0</v>
      </c>
      <c r="AJ149" s="6">
        <f>BH7</f>
        <v>0</v>
      </c>
      <c r="AK149" s="6">
        <f>BI7</f>
        <v>0</v>
      </c>
      <c r="AL149" s="13">
        <f>BJ7</f>
        <v>0</v>
      </c>
      <c r="AN149" s="15">
        <f>BF8</f>
        <v>0</v>
      </c>
      <c r="AO149" s="8">
        <f>BG8</f>
        <v>0</v>
      </c>
      <c r="AP149" s="6">
        <f>BH8</f>
        <v>0</v>
      </c>
      <c r="AQ149" s="6">
        <f>BI8</f>
        <v>0</v>
      </c>
      <c r="AR149" s="13">
        <f>BJ8</f>
        <v>0</v>
      </c>
      <c r="AT149" s="15">
        <f>BF9</f>
        <v>0</v>
      </c>
      <c r="AU149" s="8">
        <f>BG9</f>
        <v>0</v>
      </c>
      <c r="AV149" s="6">
        <f>BH9</f>
        <v>0</v>
      </c>
      <c r="AW149" s="6">
        <f>BI9</f>
        <v>0</v>
      </c>
      <c r="AX149" s="13">
        <f>BJ9</f>
        <v>0</v>
      </c>
      <c r="AZ149" s="15">
        <f>BF10</f>
        <v>0</v>
      </c>
      <c r="BA149" s="8">
        <f>BG10</f>
        <v>0</v>
      </c>
      <c r="BB149" s="6">
        <f>BH10</f>
        <v>0</v>
      </c>
      <c r="BC149" s="6">
        <f>BI10</f>
        <v>0</v>
      </c>
      <c r="BD149" s="13">
        <f>BJ10</f>
        <v>0</v>
      </c>
      <c r="BF149" s="15">
        <f>BF11</f>
        <v>0</v>
      </c>
      <c r="BG149" s="8">
        <f>BG11</f>
        <v>0</v>
      </c>
      <c r="BH149" s="6">
        <f>BH11</f>
        <v>0</v>
      </c>
      <c r="BI149" s="6">
        <f>BI11</f>
        <v>0</v>
      </c>
      <c r="BJ149" s="13">
        <f>BJ11</f>
        <v>0</v>
      </c>
    </row>
    <row r="150" spans="1:62" ht="15.75" thickBot="1" x14ac:dyDescent="0.3">
      <c r="A150" s="8">
        <v>750</v>
      </c>
      <c r="B150" s="17">
        <f t="shared" si="42"/>
        <v>0</v>
      </c>
      <c r="J150" s="8" t="s">
        <v>19</v>
      </c>
      <c r="K150" s="17">
        <f t="shared" ref="K150:K153" si="46">SUMIFS($J$14:$J$113,$H$14:$H$113,"CAP16_1",$K$14:$K$113,J150)</f>
        <v>0</v>
      </c>
      <c r="M150" s="8" t="s">
        <v>19</v>
      </c>
      <c r="N150" s="17">
        <f t="shared" ref="N150:N153" si="47">SUMIFS($J$14:$J$113,$H$14:$H$113,"CAP16_2",$K$14:$K$113,M150)</f>
        <v>0</v>
      </c>
      <c r="P150" s="8" t="s">
        <v>19</v>
      </c>
      <c r="Q150" s="17">
        <f t="shared" ref="Q150:Q153" si="48">SUMIFS($J$14:$J$113,$H$14:$H$113,"CAP19",$K$14:$K$113,P150)</f>
        <v>0</v>
      </c>
      <c r="S150" s="15">
        <v>1500</v>
      </c>
      <c r="T150" s="11">
        <f t="shared" si="43"/>
        <v>0</v>
      </c>
      <c r="U150" s="11">
        <f t="shared" si="43"/>
        <v>0</v>
      </c>
      <c r="V150" s="16">
        <f t="shared" si="44"/>
        <v>0</v>
      </c>
      <c r="W150" s="16">
        <f t="shared" si="45"/>
        <v>0</v>
      </c>
      <c r="AH150" s="59">
        <f>BL7</f>
        <v>0</v>
      </c>
      <c r="AI150" s="31">
        <f>BM7</f>
        <v>0</v>
      </c>
      <c r="AJ150" s="32">
        <f>BN7</f>
        <v>0</v>
      </c>
      <c r="AK150" s="32">
        <f>BO7</f>
        <v>0</v>
      </c>
      <c r="AL150" s="33">
        <f>BP7</f>
        <v>0</v>
      </c>
      <c r="AN150" s="59">
        <f>BL8</f>
        <v>0</v>
      </c>
      <c r="AO150" s="31">
        <f>BM8</f>
        <v>0</v>
      </c>
      <c r="AP150" s="32">
        <f>BN8</f>
        <v>0</v>
      </c>
      <c r="AQ150" s="32">
        <f>BO8</f>
        <v>0</v>
      </c>
      <c r="AR150" s="33">
        <f>BP8</f>
        <v>0</v>
      </c>
      <c r="AT150" s="59">
        <f>BL9</f>
        <v>0</v>
      </c>
      <c r="AU150" s="31">
        <f>BM9</f>
        <v>0</v>
      </c>
      <c r="AV150" s="32">
        <f>BN9</f>
        <v>0</v>
      </c>
      <c r="AW150" s="32">
        <f>BO9</f>
        <v>0</v>
      </c>
      <c r="AX150" s="33">
        <f>BP9</f>
        <v>0</v>
      </c>
      <c r="AZ150" s="59">
        <f>BL10</f>
        <v>0</v>
      </c>
      <c r="BA150" s="31">
        <f>BM10</f>
        <v>0</v>
      </c>
      <c r="BB150" s="32">
        <f>BN10</f>
        <v>0</v>
      </c>
      <c r="BC150" s="32">
        <f>BO10</f>
        <v>0</v>
      </c>
      <c r="BD150" s="33">
        <f>BP10</f>
        <v>0</v>
      </c>
      <c r="BF150" s="59">
        <f>BL11</f>
        <v>0</v>
      </c>
      <c r="BG150" s="31">
        <f>BM11</f>
        <v>0</v>
      </c>
      <c r="BH150" s="32">
        <f>BN11</f>
        <v>0</v>
      </c>
      <c r="BI150" s="32">
        <f>BO11</f>
        <v>0</v>
      </c>
      <c r="BJ150" s="33">
        <f>BP11</f>
        <v>0</v>
      </c>
    </row>
    <row r="151" spans="1:62" ht="15.75" thickBot="1" x14ac:dyDescent="0.3">
      <c r="A151" s="9">
        <v>1000</v>
      </c>
      <c r="B151" s="17">
        <f t="shared" si="42"/>
        <v>0</v>
      </c>
      <c r="J151" s="8" t="s">
        <v>32</v>
      </c>
      <c r="K151" s="17">
        <f t="shared" si="46"/>
        <v>0</v>
      </c>
      <c r="M151" s="8" t="s">
        <v>32</v>
      </c>
      <c r="N151" s="17">
        <f t="shared" si="47"/>
        <v>0</v>
      </c>
      <c r="P151" s="8" t="s">
        <v>32</v>
      </c>
      <c r="Q151" s="17">
        <f t="shared" si="48"/>
        <v>0</v>
      </c>
      <c r="S151" s="15">
        <v>2000</v>
      </c>
      <c r="T151" s="11">
        <f t="shared" si="43"/>
        <v>0</v>
      </c>
      <c r="U151" s="11">
        <f t="shared" si="43"/>
        <v>0</v>
      </c>
      <c r="V151" s="16">
        <f t="shared" si="44"/>
        <v>0</v>
      </c>
      <c r="W151" s="16">
        <f t="shared" si="45"/>
        <v>0</v>
      </c>
      <c r="AH151" s="35">
        <f>C7</f>
        <v>0</v>
      </c>
      <c r="AI151" s="158">
        <f>SUM(AI141:AI150)</f>
        <v>0</v>
      </c>
      <c r="AJ151" s="159"/>
      <c r="AK151" s="158">
        <f>BT7</f>
        <v>0</v>
      </c>
      <c r="AL151" s="159"/>
      <c r="AN151" s="35">
        <f>C8</f>
        <v>0</v>
      </c>
      <c r="AO151" s="158">
        <f>SUM(AO141:AO150)</f>
        <v>0</v>
      </c>
      <c r="AP151" s="159"/>
      <c r="AQ151" s="158">
        <f>BT8</f>
        <v>0</v>
      </c>
      <c r="AR151" s="159"/>
      <c r="AT151" s="35">
        <f>C9</f>
        <v>0</v>
      </c>
      <c r="AU151" s="158">
        <f>SUM(AU141:AU150)</f>
        <v>0</v>
      </c>
      <c r="AV151" s="159"/>
      <c r="AW151" s="158">
        <f>BT9</f>
        <v>0</v>
      </c>
      <c r="AX151" s="159"/>
      <c r="AZ151" s="35">
        <f>C10</f>
        <v>0</v>
      </c>
      <c r="BA151" s="158">
        <f>SUM(BA141:BA150)</f>
        <v>0</v>
      </c>
      <c r="BB151" s="159"/>
      <c r="BC151" s="158">
        <f>BT10</f>
        <v>0</v>
      </c>
      <c r="BD151" s="159"/>
      <c r="BF151" s="35">
        <f>C11</f>
        <v>0</v>
      </c>
      <c r="BG151" s="158">
        <f>SUM(BG141:BG150)</f>
        <v>0</v>
      </c>
      <c r="BH151" s="159"/>
      <c r="BI151" s="158">
        <f>BT11</f>
        <v>0</v>
      </c>
      <c r="BJ151" s="159"/>
    </row>
    <row r="152" spans="1:62" ht="15.75" thickBot="1" x14ac:dyDescent="0.3">
      <c r="A152" s="60" t="s">
        <v>24</v>
      </c>
      <c r="B152" s="62">
        <f>SUMPRODUCT(A146:A151,B146:B151)</f>
        <v>0</v>
      </c>
      <c r="J152" s="8" t="s">
        <v>33</v>
      </c>
      <c r="K152" s="17">
        <f t="shared" si="46"/>
        <v>0</v>
      </c>
      <c r="M152" s="8" t="s">
        <v>33</v>
      </c>
      <c r="N152" s="17">
        <f t="shared" si="47"/>
        <v>0</v>
      </c>
      <c r="P152" s="8" t="s">
        <v>33</v>
      </c>
      <c r="Q152" s="17">
        <f t="shared" si="48"/>
        <v>0</v>
      </c>
      <c r="S152" s="15">
        <v>3000</v>
      </c>
      <c r="T152" s="11">
        <f t="shared" si="43"/>
        <v>0</v>
      </c>
      <c r="U152" s="11">
        <f t="shared" si="43"/>
        <v>0</v>
      </c>
      <c r="V152" s="16">
        <f t="shared" si="44"/>
        <v>0</v>
      </c>
      <c r="W152" s="16">
        <f t="shared" si="45"/>
        <v>0</v>
      </c>
      <c r="AH152" s="35" t="s">
        <v>25</v>
      </c>
      <c r="AI152" s="158">
        <f>A7</f>
        <v>0</v>
      </c>
      <c r="AJ152" s="160"/>
      <c r="AK152" s="158">
        <f>BR7</f>
        <v>0</v>
      </c>
      <c r="AL152" s="159"/>
      <c r="AN152" s="35" t="s">
        <v>25</v>
      </c>
      <c r="AO152" s="158">
        <f>A8</f>
        <v>0</v>
      </c>
      <c r="AP152" s="160"/>
      <c r="AQ152" s="158">
        <f>BR8</f>
        <v>0</v>
      </c>
      <c r="AR152" s="159"/>
      <c r="AT152" s="35" t="s">
        <v>25</v>
      </c>
      <c r="AU152" s="158">
        <f>A9</f>
        <v>0</v>
      </c>
      <c r="AV152" s="160"/>
      <c r="AW152" s="158">
        <f>BR9</f>
        <v>0</v>
      </c>
      <c r="AX152" s="159"/>
      <c r="AZ152" s="35" t="s">
        <v>25</v>
      </c>
      <c r="BA152" s="158">
        <f>A10</f>
        <v>0</v>
      </c>
      <c r="BB152" s="160"/>
      <c r="BC152" s="158">
        <f>BR10</f>
        <v>0</v>
      </c>
      <c r="BD152" s="159"/>
      <c r="BF152" s="35" t="s">
        <v>25</v>
      </c>
      <c r="BG152" s="158">
        <f>A11</f>
        <v>0</v>
      </c>
      <c r="BH152" s="160"/>
      <c r="BI152" s="158">
        <f>BR11</f>
        <v>0</v>
      </c>
      <c r="BJ152" s="159"/>
    </row>
    <row r="153" spans="1:62" ht="15.75" thickBot="1" x14ac:dyDescent="0.3">
      <c r="J153" s="9" t="s">
        <v>80</v>
      </c>
      <c r="K153" s="17">
        <f t="shared" si="46"/>
        <v>0</v>
      </c>
      <c r="M153" s="9" t="s">
        <v>80</v>
      </c>
      <c r="N153" s="17">
        <f t="shared" si="47"/>
        <v>0</v>
      </c>
      <c r="P153" s="9" t="s">
        <v>80</v>
      </c>
      <c r="Q153" s="17">
        <f t="shared" si="48"/>
        <v>0</v>
      </c>
      <c r="S153" s="15">
        <v>5000</v>
      </c>
      <c r="T153" s="11">
        <f t="shared" si="43"/>
        <v>0</v>
      </c>
      <c r="U153" s="11">
        <f t="shared" si="43"/>
        <v>0</v>
      </c>
      <c r="V153" s="16">
        <f t="shared" si="44"/>
        <v>0</v>
      </c>
      <c r="W153" s="16">
        <f t="shared" si="45"/>
        <v>0</v>
      </c>
      <c r="AH153" s="58" t="s">
        <v>130</v>
      </c>
      <c r="AI153" s="58" t="s">
        <v>131</v>
      </c>
      <c r="AJ153" s="58" t="s">
        <v>132</v>
      </c>
      <c r="AK153" s="58" t="s">
        <v>166</v>
      </c>
      <c r="AL153" s="58" t="s">
        <v>33</v>
      </c>
      <c r="AN153" s="58" t="s">
        <v>130</v>
      </c>
      <c r="AO153" s="58" t="s">
        <v>131</v>
      </c>
      <c r="AP153" s="58" t="s">
        <v>132</v>
      </c>
      <c r="AQ153" s="58" t="s">
        <v>166</v>
      </c>
      <c r="AR153" s="58" t="s">
        <v>33</v>
      </c>
      <c r="AT153" s="58" t="s">
        <v>130</v>
      </c>
      <c r="AU153" s="58" t="s">
        <v>131</v>
      </c>
      <c r="AV153" s="58" t="s">
        <v>132</v>
      </c>
      <c r="AW153" s="58" t="s">
        <v>166</v>
      </c>
      <c r="AX153" s="58" t="s">
        <v>33</v>
      </c>
      <c r="AZ153" s="58" t="s">
        <v>130</v>
      </c>
      <c r="BA153" s="58" t="s">
        <v>131</v>
      </c>
      <c r="BB153" s="58" t="s">
        <v>132</v>
      </c>
      <c r="BC153" s="58" t="s">
        <v>166</v>
      </c>
      <c r="BD153" s="58" t="s">
        <v>33</v>
      </c>
      <c r="BF153" s="58" t="s">
        <v>130</v>
      </c>
      <c r="BG153" s="58" t="s">
        <v>131</v>
      </c>
      <c r="BH153" s="58" t="s">
        <v>132</v>
      </c>
      <c r="BI153" s="58" t="s">
        <v>166</v>
      </c>
      <c r="BJ153" s="58" t="s">
        <v>33</v>
      </c>
    </row>
    <row r="154" spans="1:62" ht="15.75" thickBot="1" x14ac:dyDescent="0.3">
      <c r="J154" s="60" t="s">
        <v>24</v>
      </c>
      <c r="K154" s="62">
        <f>SUM(K149:K153)</f>
        <v>0</v>
      </c>
      <c r="M154" s="60" t="s">
        <v>24</v>
      </c>
      <c r="N154" s="62">
        <f>SUM(N149:N153)</f>
        <v>0</v>
      </c>
      <c r="P154" s="60" t="s">
        <v>24</v>
      </c>
      <c r="Q154" s="62">
        <f>SUM(Q149:Q153)</f>
        <v>0</v>
      </c>
      <c r="S154" s="59">
        <v>10000</v>
      </c>
      <c r="T154" s="11">
        <f t="shared" si="43"/>
        <v>0</v>
      </c>
      <c r="U154" s="11">
        <f t="shared" si="43"/>
        <v>0</v>
      </c>
      <c r="V154" s="16">
        <f t="shared" si="44"/>
        <v>0</v>
      </c>
      <c r="W154" s="16">
        <f t="shared" si="45"/>
        <v>0</v>
      </c>
      <c r="AH154" s="34" t="str">
        <f>AZ19</f>
        <v/>
      </c>
      <c r="AI154" s="34" t="str">
        <f>BA19</f>
        <v/>
      </c>
      <c r="AJ154" s="34" t="str">
        <f>BB19</f>
        <v/>
      </c>
      <c r="AK154" s="35" t="str">
        <f>BC19</f>
        <v/>
      </c>
      <c r="AL154" s="35" t="str">
        <f>BD19</f>
        <v/>
      </c>
      <c r="AN154" s="34" t="str">
        <f>AZ20</f>
        <v/>
      </c>
      <c r="AO154" s="34" t="str">
        <f>BA20</f>
        <v/>
      </c>
      <c r="AP154" s="34" t="str">
        <f>BB20</f>
        <v/>
      </c>
      <c r="AQ154" s="35" t="str">
        <f>BC20</f>
        <v/>
      </c>
      <c r="AR154" s="35" t="str">
        <f>BD20</f>
        <v/>
      </c>
      <c r="AT154" s="34" t="str">
        <f>AZ21</f>
        <v/>
      </c>
      <c r="AU154" s="34" t="str">
        <f>BA21</f>
        <v/>
      </c>
      <c r="AV154" s="34" t="str">
        <f>BB21</f>
        <v/>
      </c>
      <c r="AW154" s="35" t="str">
        <f>BC21</f>
        <v/>
      </c>
      <c r="AX154" s="35" t="str">
        <f>BD21</f>
        <v/>
      </c>
      <c r="AZ154" s="34" t="str">
        <f>AZ22</f>
        <v/>
      </c>
      <c r="BA154" s="34" t="str">
        <f>BA22</f>
        <v/>
      </c>
      <c r="BB154" s="34" t="str">
        <f>BB22</f>
        <v/>
      </c>
      <c r="BC154" s="35" t="str">
        <f>BC22</f>
        <v/>
      </c>
      <c r="BD154" s="35" t="str">
        <f>BD22</f>
        <v/>
      </c>
      <c r="BF154" s="34" t="str">
        <f>AZ23</f>
        <v/>
      </c>
      <c r="BG154" s="34" t="str">
        <f>BA23</f>
        <v/>
      </c>
      <c r="BH154" s="34" t="str">
        <f>BB23</f>
        <v/>
      </c>
      <c r="BI154" s="35" t="str">
        <f>BC23</f>
        <v/>
      </c>
      <c r="BJ154" s="35" t="str">
        <f>BD23</f>
        <v/>
      </c>
    </row>
    <row r="155" spans="1:62" ht="15.75" thickBot="1" x14ac:dyDescent="0.3">
      <c r="S155" s="35"/>
      <c r="T155" s="61">
        <f>SUM(T146:T154)</f>
        <v>0</v>
      </c>
      <c r="U155" s="61">
        <f t="shared" ref="U155:W155" si="49">SUM(U146:U154)</f>
        <v>0</v>
      </c>
      <c r="V155" s="35">
        <f t="shared" si="49"/>
        <v>0</v>
      </c>
      <c r="W155" s="35">
        <f t="shared" si="49"/>
        <v>0</v>
      </c>
      <c r="AH155" s="58" t="s">
        <v>22</v>
      </c>
      <c r="AI155" s="58" t="s">
        <v>20</v>
      </c>
      <c r="AJ155" s="58" t="s">
        <v>34</v>
      </c>
      <c r="AK155" s="58" t="s">
        <v>127</v>
      </c>
      <c r="AL155" s="58" t="s">
        <v>129</v>
      </c>
      <c r="AN155" s="58" t="s">
        <v>22</v>
      </c>
      <c r="AO155" s="58" t="s">
        <v>20</v>
      </c>
      <c r="AP155" s="58" t="s">
        <v>34</v>
      </c>
      <c r="AQ155" s="58" t="s">
        <v>127</v>
      </c>
      <c r="AR155" s="58" t="s">
        <v>129</v>
      </c>
      <c r="AT155" s="58" t="s">
        <v>22</v>
      </c>
      <c r="AU155" s="58" t="s">
        <v>20</v>
      </c>
      <c r="AV155" s="58" t="s">
        <v>34</v>
      </c>
      <c r="AW155" s="58" t="s">
        <v>127</v>
      </c>
      <c r="AX155" s="58" t="s">
        <v>129</v>
      </c>
      <c r="AZ155" s="58" t="s">
        <v>22</v>
      </c>
      <c r="BA155" s="58" t="s">
        <v>20</v>
      </c>
      <c r="BB155" s="58" t="s">
        <v>34</v>
      </c>
      <c r="BC155" s="58" t="s">
        <v>127</v>
      </c>
      <c r="BD155" s="58" t="s">
        <v>129</v>
      </c>
      <c r="BF155" s="58" t="s">
        <v>22</v>
      </c>
      <c r="BG155" s="58" t="s">
        <v>20</v>
      </c>
      <c r="BH155" s="58" t="s">
        <v>34</v>
      </c>
      <c r="BI155" s="58" t="s">
        <v>127</v>
      </c>
      <c r="BJ155" s="58" t="s">
        <v>129</v>
      </c>
    </row>
    <row r="156" spans="1:62" ht="15.75" thickBot="1" x14ac:dyDescent="0.3">
      <c r="AH156" s="34" t="str">
        <f>AU19</f>
        <v/>
      </c>
      <c r="AI156" s="34" t="str">
        <f>AV19</f>
        <v/>
      </c>
      <c r="AJ156" s="34" t="str">
        <f>AW19</f>
        <v/>
      </c>
      <c r="AK156" s="35" t="str">
        <f>AX19</f>
        <v/>
      </c>
      <c r="AL156" s="35" t="str">
        <f>AY19</f>
        <v/>
      </c>
      <c r="AN156" s="34" t="str">
        <f>AU20</f>
        <v/>
      </c>
      <c r="AO156" s="34" t="str">
        <f>AV20</f>
        <v/>
      </c>
      <c r="AP156" s="34" t="str">
        <f>AW20</f>
        <v/>
      </c>
      <c r="AQ156" s="35" t="str">
        <f>AX20</f>
        <v/>
      </c>
      <c r="AR156" s="35" t="str">
        <f>AY20</f>
        <v/>
      </c>
      <c r="AT156" s="34" t="str">
        <f>AU21</f>
        <v/>
      </c>
      <c r="AU156" s="34" t="str">
        <f>AV21</f>
        <v/>
      </c>
      <c r="AV156" s="34" t="str">
        <f>AW21</f>
        <v/>
      </c>
      <c r="AW156" s="35" t="str">
        <f>AX21</f>
        <v/>
      </c>
      <c r="AX156" s="35" t="str">
        <f>AY21</f>
        <v/>
      </c>
      <c r="AZ156" s="34" t="str">
        <f>AU22</f>
        <v/>
      </c>
      <c r="BA156" s="34" t="str">
        <f>AV22</f>
        <v/>
      </c>
      <c r="BB156" s="34" t="str">
        <f>AW22</f>
        <v/>
      </c>
      <c r="BC156" s="35" t="str">
        <f>AX22</f>
        <v/>
      </c>
      <c r="BD156" s="35" t="str">
        <f>AY22</f>
        <v/>
      </c>
      <c r="BF156" s="34" t="str">
        <f>AU23</f>
        <v/>
      </c>
      <c r="BG156" s="34" t="str">
        <f>AV23</f>
        <v/>
      </c>
      <c r="BH156" s="34" t="str">
        <f>AW23</f>
        <v/>
      </c>
      <c r="BI156" s="35" t="str">
        <f>AX23</f>
        <v/>
      </c>
      <c r="BJ156" s="35" t="str">
        <f>AY23</f>
        <v/>
      </c>
    </row>
    <row r="157" spans="1:62" ht="13.7" customHeight="1" thickBot="1" x14ac:dyDescent="0.3"/>
    <row r="158" spans="1:62" ht="15.75" thickBot="1" x14ac:dyDescent="0.3">
      <c r="AH158" s="149" t="s">
        <v>37</v>
      </c>
      <c r="AI158" s="150"/>
      <c r="AJ158" s="150"/>
      <c r="AK158" s="151" t="str">
        <f>AD147</f>
        <v>KA41C4059</v>
      </c>
      <c r="AL158" s="151"/>
      <c r="AM158" s="152"/>
      <c r="AN158" s="157" t="str">
        <f>AA148</f>
        <v>TANKS: 48</v>
      </c>
      <c r="AO158" s="153"/>
      <c r="AP158" s="153" t="str">
        <f>AD148</f>
        <v>LTRS: 39500</v>
      </c>
      <c r="AQ158" s="153"/>
      <c r="AR158" s="154"/>
      <c r="AS158" s="150" t="s">
        <v>76</v>
      </c>
      <c r="AT158" s="150"/>
      <c r="AU158" s="155">
        <f>AD149</f>
        <v>46008</v>
      </c>
      <c r="AV158" s="155"/>
      <c r="AW158" s="156"/>
    </row>
    <row r="159" spans="1:62" ht="13.7" customHeight="1" x14ac:dyDescent="0.25"/>
    <row r="160" spans="1:62" ht="13.7" customHeight="1" thickBot="1" x14ac:dyDescent="0.3"/>
    <row r="161" spans="1:52" ht="13.7" customHeight="1" x14ac:dyDescent="0.25">
      <c r="A161" s="123" t="s">
        <v>31</v>
      </c>
      <c r="B161" s="113" t="s">
        <v>84</v>
      </c>
      <c r="C161" s="115"/>
      <c r="D161" s="113" t="s">
        <v>22</v>
      </c>
      <c r="E161" s="114"/>
      <c r="F161" s="114"/>
      <c r="G161" s="114"/>
      <c r="H161" s="115"/>
      <c r="I161" s="113" t="s">
        <v>20</v>
      </c>
      <c r="J161" s="114"/>
      <c r="K161" s="114"/>
      <c r="L161" s="114"/>
      <c r="M161" s="115"/>
      <c r="N161" s="113" t="s">
        <v>34</v>
      </c>
      <c r="O161" s="114"/>
      <c r="P161" s="114"/>
      <c r="Q161" s="114"/>
      <c r="R161" s="115"/>
      <c r="S161" s="113" t="s">
        <v>127</v>
      </c>
      <c r="T161" s="114"/>
      <c r="U161" s="114"/>
      <c r="V161" s="114"/>
      <c r="W161" s="115"/>
      <c r="X161" s="113" t="s">
        <v>129</v>
      </c>
      <c r="Y161" s="114"/>
      <c r="Z161" s="114"/>
      <c r="AA161" s="114"/>
      <c r="AB161" s="115"/>
      <c r="AC161" s="113" t="s">
        <v>26</v>
      </c>
      <c r="AD161" s="114"/>
      <c r="AE161" s="114"/>
      <c r="AF161" s="114"/>
      <c r="AG161" s="115"/>
      <c r="AH161" s="116" t="s">
        <v>24</v>
      </c>
      <c r="AI161" s="116" t="s">
        <v>86</v>
      </c>
      <c r="AJ161" s="81"/>
    </row>
    <row r="162" spans="1:52" ht="13.7" customHeight="1" thickBot="1" x14ac:dyDescent="0.3">
      <c r="A162" s="124"/>
      <c r="B162" s="12" t="s">
        <v>17</v>
      </c>
      <c r="C162" s="12" t="s">
        <v>19</v>
      </c>
      <c r="D162" s="9" t="s">
        <v>32</v>
      </c>
      <c r="E162" s="12" t="s">
        <v>17</v>
      </c>
      <c r="F162" s="12" t="s">
        <v>19</v>
      </c>
      <c r="G162" s="12" t="s">
        <v>33</v>
      </c>
      <c r="H162" s="14" t="s">
        <v>80</v>
      </c>
      <c r="I162" s="9" t="s">
        <v>32</v>
      </c>
      <c r="J162" s="12" t="s">
        <v>17</v>
      </c>
      <c r="K162" s="12" t="s">
        <v>19</v>
      </c>
      <c r="L162" s="12" t="s">
        <v>33</v>
      </c>
      <c r="M162" s="14" t="s">
        <v>80</v>
      </c>
      <c r="N162" s="9" t="s">
        <v>32</v>
      </c>
      <c r="O162" s="12" t="s">
        <v>17</v>
      </c>
      <c r="P162" s="12" t="s">
        <v>19</v>
      </c>
      <c r="Q162" s="12" t="s">
        <v>33</v>
      </c>
      <c r="R162" s="14" t="s">
        <v>80</v>
      </c>
      <c r="S162" s="9" t="s">
        <v>32</v>
      </c>
      <c r="T162" s="12" t="s">
        <v>17</v>
      </c>
      <c r="U162" s="12" t="s">
        <v>19</v>
      </c>
      <c r="V162" s="12" t="s">
        <v>33</v>
      </c>
      <c r="W162" s="14" t="s">
        <v>80</v>
      </c>
      <c r="X162" s="9" t="s">
        <v>32</v>
      </c>
      <c r="Y162" s="12" t="s">
        <v>17</v>
      </c>
      <c r="Z162" s="12" t="s">
        <v>19</v>
      </c>
      <c r="AA162" s="12" t="s">
        <v>33</v>
      </c>
      <c r="AB162" s="14" t="s">
        <v>80</v>
      </c>
      <c r="AC162" s="9" t="s">
        <v>32</v>
      </c>
      <c r="AD162" s="12" t="s">
        <v>17</v>
      </c>
      <c r="AE162" s="12" t="s">
        <v>19</v>
      </c>
      <c r="AF162" s="12" t="s">
        <v>33</v>
      </c>
      <c r="AG162" s="14" t="s">
        <v>80</v>
      </c>
      <c r="AH162" s="117"/>
      <c r="AI162" s="117"/>
      <c r="AJ162" s="81"/>
    </row>
    <row r="163" spans="1:52" ht="13.7" customHeight="1" x14ac:dyDescent="0.25">
      <c r="A163" s="16">
        <v>300</v>
      </c>
      <c r="B163" s="11">
        <f>T146</f>
        <v>0</v>
      </c>
      <c r="C163" s="11">
        <f>U146</f>
        <v>0</v>
      </c>
      <c r="D163" s="10">
        <f>B119+B133</f>
        <v>0</v>
      </c>
      <c r="E163" s="11">
        <f t="shared" ref="E163:AG171" si="50">C119+C133</f>
        <v>0</v>
      </c>
      <c r="F163" s="11">
        <f t="shared" si="50"/>
        <v>0</v>
      </c>
      <c r="G163" s="11">
        <f t="shared" si="50"/>
        <v>0</v>
      </c>
      <c r="H163" s="17">
        <f t="shared" si="50"/>
        <v>0</v>
      </c>
      <c r="I163" s="10">
        <f t="shared" si="50"/>
        <v>0</v>
      </c>
      <c r="J163" s="11">
        <f t="shared" si="50"/>
        <v>0</v>
      </c>
      <c r="K163" s="11">
        <f t="shared" si="50"/>
        <v>0</v>
      </c>
      <c r="L163" s="11">
        <f t="shared" si="50"/>
        <v>0</v>
      </c>
      <c r="M163" s="17">
        <f t="shared" si="50"/>
        <v>0</v>
      </c>
      <c r="N163" s="10">
        <f t="shared" si="50"/>
        <v>0</v>
      </c>
      <c r="O163" s="11">
        <f t="shared" si="50"/>
        <v>0</v>
      </c>
      <c r="P163" s="11">
        <f t="shared" si="50"/>
        <v>0</v>
      </c>
      <c r="Q163" s="11">
        <f t="shared" si="50"/>
        <v>0</v>
      </c>
      <c r="R163" s="17">
        <f t="shared" si="50"/>
        <v>0</v>
      </c>
      <c r="S163" s="10">
        <f t="shared" si="50"/>
        <v>0</v>
      </c>
      <c r="T163" s="11">
        <f t="shared" si="50"/>
        <v>0</v>
      </c>
      <c r="U163" s="11">
        <f t="shared" si="50"/>
        <v>0</v>
      </c>
      <c r="V163" s="11">
        <f t="shared" si="50"/>
        <v>0</v>
      </c>
      <c r="W163" s="17">
        <f t="shared" si="50"/>
        <v>0</v>
      </c>
      <c r="X163" s="10">
        <f t="shared" si="50"/>
        <v>0</v>
      </c>
      <c r="Y163" s="11">
        <f t="shared" si="50"/>
        <v>0</v>
      </c>
      <c r="Z163" s="11">
        <f t="shared" si="50"/>
        <v>0</v>
      </c>
      <c r="AA163" s="11">
        <f t="shared" si="50"/>
        <v>0</v>
      </c>
      <c r="AB163" s="17">
        <f t="shared" si="50"/>
        <v>0</v>
      </c>
      <c r="AC163" s="10">
        <f t="shared" si="50"/>
        <v>0</v>
      </c>
      <c r="AD163" s="11">
        <f t="shared" si="50"/>
        <v>0</v>
      </c>
      <c r="AE163" s="11">
        <f t="shared" si="50"/>
        <v>0</v>
      </c>
      <c r="AF163" s="11">
        <f t="shared" si="50"/>
        <v>0</v>
      </c>
      <c r="AG163" s="17">
        <f t="shared" si="50"/>
        <v>0</v>
      </c>
      <c r="AH163" s="16">
        <f>SUM(D163:AG163)*A163</f>
        <v>0</v>
      </c>
      <c r="AI163" s="16">
        <f>SUM(D163:AG163)</f>
        <v>0</v>
      </c>
      <c r="AJ163" s="82"/>
    </row>
    <row r="164" spans="1:52" ht="13.7" customHeight="1" x14ac:dyDescent="0.25">
      <c r="A164" s="16">
        <v>500</v>
      </c>
      <c r="B164" s="11">
        <f t="shared" ref="B164:C171" si="51">T147</f>
        <v>0</v>
      </c>
      <c r="C164" s="11">
        <f t="shared" si="51"/>
        <v>0</v>
      </c>
      <c r="D164" s="10">
        <f t="shared" ref="D164:D171" si="52">B120+B134</f>
        <v>0</v>
      </c>
      <c r="E164" s="11">
        <f t="shared" si="50"/>
        <v>20</v>
      </c>
      <c r="F164" s="11">
        <f t="shared" si="50"/>
        <v>0</v>
      </c>
      <c r="G164" s="11">
        <f t="shared" si="50"/>
        <v>0</v>
      </c>
      <c r="H164" s="17">
        <f t="shared" si="50"/>
        <v>0</v>
      </c>
      <c r="I164" s="10">
        <f t="shared" si="50"/>
        <v>0</v>
      </c>
      <c r="J164" s="11">
        <f t="shared" si="50"/>
        <v>0</v>
      </c>
      <c r="K164" s="11">
        <f t="shared" si="50"/>
        <v>0</v>
      </c>
      <c r="L164" s="11">
        <f t="shared" si="50"/>
        <v>0</v>
      </c>
      <c r="M164" s="17">
        <f t="shared" si="50"/>
        <v>0</v>
      </c>
      <c r="N164" s="10">
        <f t="shared" si="50"/>
        <v>0</v>
      </c>
      <c r="O164" s="11">
        <f t="shared" si="50"/>
        <v>0</v>
      </c>
      <c r="P164" s="11">
        <f t="shared" si="50"/>
        <v>0</v>
      </c>
      <c r="Q164" s="11">
        <f t="shared" si="50"/>
        <v>0</v>
      </c>
      <c r="R164" s="17">
        <f t="shared" si="50"/>
        <v>0</v>
      </c>
      <c r="S164" s="10">
        <f t="shared" si="50"/>
        <v>0</v>
      </c>
      <c r="T164" s="11">
        <f t="shared" si="50"/>
        <v>0</v>
      </c>
      <c r="U164" s="11">
        <f t="shared" si="50"/>
        <v>0</v>
      </c>
      <c r="V164" s="11">
        <f t="shared" si="50"/>
        <v>0</v>
      </c>
      <c r="W164" s="17">
        <f t="shared" si="50"/>
        <v>0</v>
      </c>
      <c r="X164" s="10">
        <f t="shared" si="50"/>
        <v>0</v>
      </c>
      <c r="Y164" s="11">
        <f t="shared" si="50"/>
        <v>0</v>
      </c>
      <c r="Z164" s="11">
        <f t="shared" si="50"/>
        <v>0</v>
      </c>
      <c r="AA164" s="11">
        <f t="shared" si="50"/>
        <v>0</v>
      </c>
      <c r="AB164" s="17">
        <f t="shared" si="50"/>
        <v>0</v>
      </c>
      <c r="AC164" s="10">
        <f t="shared" si="50"/>
        <v>0</v>
      </c>
      <c r="AD164" s="11">
        <f t="shared" si="50"/>
        <v>0</v>
      </c>
      <c r="AE164" s="11">
        <f t="shared" si="50"/>
        <v>0</v>
      </c>
      <c r="AF164" s="11">
        <f t="shared" si="50"/>
        <v>0</v>
      </c>
      <c r="AG164" s="17">
        <f t="shared" si="50"/>
        <v>0</v>
      </c>
      <c r="AH164" s="16">
        <f>SUM(D164:AG164)*A164</f>
        <v>10000</v>
      </c>
      <c r="AI164" s="16">
        <f t="shared" ref="AI164:AI172" si="53">SUM(D164:AG164)</f>
        <v>20</v>
      </c>
    </row>
    <row r="165" spans="1:52" ht="13.7" customHeight="1" x14ac:dyDescent="0.25">
      <c r="A165" s="15">
        <v>750</v>
      </c>
      <c r="B165" s="11">
        <f t="shared" si="51"/>
        <v>0</v>
      </c>
      <c r="C165" s="11">
        <f t="shared" si="51"/>
        <v>0</v>
      </c>
      <c r="D165" s="8">
        <f t="shared" si="52"/>
        <v>0</v>
      </c>
      <c r="E165" s="6">
        <f t="shared" si="50"/>
        <v>10</v>
      </c>
      <c r="F165" s="6">
        <f t="shared" si="50"/>
        <v>0</v>
      </c>
      <c r="G165" s="6">
        <f t="shared" si="50"/>
        <v>0</v>
      </c>
      <c r="H165" s="13">
        <f t="shared" si="50"/>
        <v>0</v>
      </c>
      <c r="I165" s="8">
        <f t="shared" si="50"/>
        <v>0</v>
      </c>
      <c r="J165" s="6">
        <f t="shared" si="50"/>
        <v>0</v>
      </c>
      <c r="K165" s="6">
        <f t="shared" si="50"/>
        <v>0</v>
      </c>
      <c r="L165" s="6">
        <f t="shared" si="50"/>
        <v>0</v>
      </c>
      <c r="M165" s="13">
        <f t="shared" si="50"/>
        <v>0</v>
      </c>
      <c r="N165" s="8">
        <f t="shared" si="50"/>
        <v>0</v>
      </c>
      <c r="O165" s="6">
        <f t="shared" si="50"/>
        <v>0</v>
      </c>
      <c r="P165" s="6">
        <f t="shared" si="50"/>
        <v>0</v>
      </c>
      <c r="Q165" s="6">
        <f t="shared" si="50"/>
        <v>0</v>
      </c>
      <c r="R165" s="13">
        <f t="shared" si="50"/>
        <v>0</v>
      </c>
      <c r="S165" s="8">
        <f t="shared" si="50"/>
        <v>0</v>
      </c>
      <c r="T165" s="6">
        <f t="shared" si="50"/>
        <v>0</v>
      </c>
      <c r="U165" s="6">
        <f t="shared" si="50"/>
        <v>0</v>
      </c>
      <c r="V165" s="6">
        <f t="shared" si="50"/>
        <v>0</v>
      </c>
      <c r="W165" s="13">
        <f t="shared" si="50"/>
        <v>0</v>
      </c>
      <c r="X165" s="8">
        <f t="shared" si="50"/>
        <v>0</v>
      </c>
      <c r="Y165" s="6">
        <f t="shared" si="50"/>
        <v>0</v>
      </c>
      <c r="Z165" s="6">
        <f t="shared" si="50"/>
        <v>0</v>
      </c>
      <c r="AA165" s="6">
        <f t="shared" si="50"/>
        <v>0</v>
      </c>
      <c r="AB165" s="13">
        <f t="shared" si="50"/>
        <v>0</v>
      </c>
      <c r="AC165" s="8">
        <f t="shared" si="50"/>
        <v>0</v>
      </c>
      <c r="AD165" s="6">
        <f t="shared" si="50"/>
        <v>0</v>
      </c>
      <c r="AE165" s="6">
        <f t="shared" si="50"/>
        <v>0</v>
      </c>
      <c r="AF165" s="6">
        <f t="shared" si="50"/>
        <v>0</v>
      </c>
      <c r="AG165" s="13">
        <f t="shared" si="50"/>
        <v>0</v>
      </c>
      <c r="AH165" s="16">
        <f>SUM(D165:AG165)*A165</f>
        <v>7500</v>
      </c>
      <c r="AI165" s="16">
        <f t="shared" si="53"/>
        <v>10</v>
      </c>
    </row>
    <row r="166" spans="1:52" ht="13.7" customHeight="1" x14ac:dyDescent="0.25">
      <c r="A166" s="15">
        <v>1000</v>
      </c>
      <c r="B166" s="11">
        <f t="shared" si="51"/>
        <v>0</v>
      </c>
      <c r="C166" s="11">
        <f t="shared" si="51"/>
        <v>0</v>
      </c>
      <c r="D166" s="8">
        <f t="shared" si="52"/>
        <v>0</v>
      </c>
      <c r="E166" s="6">
        <f t="shared" si="50"/>
        <v>10</v>
      </c>
      <c r="F166" s="6">
        <f t="shared" si="50"/>
        <v>0</v>
      </c>
      <c r="G166" s="6">
        <f t="shared" si="50"/>
        <v>0</v>
      </c>
      <c r="H166" s="13">
        <f t="shared" si="50"/>
        <v>0</v>
      </c>
      <c r="I166" s="8">
        <f t="shared" si="50"/>
        <v>0</v>
      </c>
      <c r="J166" s="6">
        <f t="shared" si="50"/>
        <v>0</v>
      </c>
      <c r="K166" s="6">
        <f t="shared" si="50"/>
        <v>0</v>
      </c>
      <c r="L166" s="6">
        <f t="shared" si="50"/>
        <v>0</v>
      </c>
      <c r="M166" s="13">
        <f t="shared" si="50"/>
        <v>0</v>
      </c>
      <c r="N166" s="8">
        <f t="shared" si="50"/>
        <v>0</v>
      </c>
      <c r="O166" s="6">
        <f t="shared" si="50"/>
        <v>0</v>
      </c>
      <c r="P166" s="6">
        <f t="shared" si="50"/>
        <v>0</v>
      </c>
      <c r="Q166" s="6">
        <f t="shared" si="50"/>
        <v>0</v>
      </c>
      <c r="R166" s="13">
        <f t="shared" si="50"/>
        <v>0</v>
      </c>
      <c r="S166" s="8">
        <f t="shared" si="50"/>
        <v>0</v>
      </c>
      <c r="T166" s="6">
        <f t="shared" si="50"/>
        <v>0</v>
      </c>
      <c r="U166" s="6">
        <f t="shared" si="50"/>
        <v>0</v>
      </c>
      <c r="V166" s="6">
        <f t="shared" si="50"/>
        <v>0</v>
      </c>
      <c r="W166" s="13">
        <f t="shared" si="50"/>
        <v>0</v>
      </c>
      <c r="X166" s="8">
        <f t="shared" si="50"/>
        <v>0</v>
      </c>
      <c r="Y166" s="6">
        <f t="shared" si="50"/>
        <v>0</v>
      </c>
      <c r="Z166" s="6">
        <f t="shared" si="50"/>
        <v>0</v>
      </c>
      <c r="AA166" s="6">
        <f t="shared" si="50"/>
        <v>0</v>
      </c>
      <c r="AB166" s="13">
        <f t="shared" si="50"/>
        <v>0</v>
      </c>
      <c r="AC166" s="8">
        <f t="shared" si="50"/>
        <v>0</v>
      </c>
      <c r="AD166" s="6">
        <f t="shared" si="50"/>
        <v>0</v>
      </c>
      <c r="AE166" s="6">
        <f t="shared" si="50"/>
        <v>0</v>
      </c>
      <c r="AF166" s="6">
        <f t="shared" si="50"/>
        <v>0</v>
      </c>
      <c r="AG166" s="13">
        <f t="shared" si="50"/>
        <v>0</v>
      </c>
      <c r="AH166" s="16">
        <f>SUM(D166:AG166)*A166</f>
        <v>10000</v>
      </c>
      <c r="AI166" s="16">
        <f t="shared" si="53"/>
        <v>10</v>
      </c>
    </row>
    <row r="167" spans="1:52" ht="13.7" customHeight="1" x14ac:dyDescent="0.25">
      <c r="A167" s="15">
        <v>1500</v>
      </c>
      <c r="B167" s="11">
        <f t="shared" si="51"/>
        <v>0</v>
      </c>
      <c r="C167" s="11">
        <f t="shared" si="51"/>
        <v>0</v>
      </c>
      <c r="D167" s="8">
        <f t="shared" si="52"/>
        <v>0</v>
      </c>
      <c r="E167" s="6">
        <f t="shared" si="50"/>
        <v>8</v>
      </c>
      <c r="F167" s="6">
        <f t="shared" si="50"/>
        <v>0</v>
      </c>
      <c r="G167" s="6">
        <f t="shared" si="50"/>
        <v>0</v>
      </c>
      <c r="H167" s="13">
        <f t="shared" si="50"/>
        <v>0</v>
      </c>
      <c r="I167" s="8">
        <f t="shared" si="50"/>
        <v>0</v>
      </c>
      <c r="J167" s="6">
        <f t="shared" si="50"/>
        <v>0</v>
      </c>
      <c r="K167" s="6">
        <f t="shared" si="50"/>
        <v>0</v>
      </c>
      <c r="L167" s="6">
        <f t="shared" si="50"/>
        <v>0</v>
      </c>
      <c r="M167" s="13">
        <f t="shared" si="50"/>
        <v>0</v>
      </c>
      <c r="N167" s="8">
        <f t="shared" si="50"/>
        <v>0</v>
      </c>
      <c r="O167" s="6">
        <f t="shared" si="50"/>
        <v>0</v>
      </c>
      <c r="P167" s="6">
        <f t="shared" si="50"/>
        <v>0</v>
      </c>
      <c r="Q167" s="6">
        <f t="shared" si="50"/>
        <v>0</v>
      </c>
      <c r="R167" s="13">
        <f t="shared" si="50"/>
        <v>0</v>
      </c>
      <c r="S167" s="8">
        <f t="shared" si="50"/>
        <v>0</v>
      </c>
      <c r="T167" s="6">
        <f t="shared" si="50"/>
        <v>0</v>
      </c>
      <c r="U167" s="6">
        <f t="shared" si="50"/>
        <v>0</v>
      </c>
      <c r="V167" s="6">
        <f t="shared" si="50"/>
        <v>0</v>
      </c>
      <c r="W167" s="13">
        <f t="shared" si="50"/>
        <v>0</v>
      </c>
      <c r="X167" s="8">
        <f t="shared" si="50"/>
        <v>0</v>
      </c>
      <c r="Y167" s="6">
        <f t="shared" si="50"/>
        <v>0</v>
      </c>
      <c r="Z167" s="6">
        <f t="shared" si="50"/>
        <v>0</v>
      </c>
      <c r="AA167" s="6">
        <f t="shared" si="50"/>
        <v>0</v>
      </c>
      <c r="AB167" s="13">
        <f t="shared" si="50"/>
        <v>0</v>
      </c>
      <c r="AC167" s="8">
        <f t="shared" si="50"/>
        <v>0</v>
      </c>
      <c r="AD167" s="6">
        <f t="shared" si="50"/>
        <v>0</v>
      </c>
      <c r="AE167" s="6">
        <f t="shared" si="50"/>
        <v>0</v>
      </c>
      <c r="AF167" s="6">
        <f t="shared" si="50"/>
        <v>0</v>
      </c>
      <c r="AG167" s="13">
        <f t="shared" si="50"/>
        <v>0</v>
      </c>
      <c r="AH167" s="16">
        <f>SUM(D167:AG167)*A167</f>
        <v>12000</v>
      </c>
      <c r="AI167" s="16">
        <f t="shared" si="53"/>
        <v>8</v>
      </c>
    </row>
    <row r="168" spans="1:52" ht="13.7" customHeight="1" x14ac:dyDescent="0.25">
      <c r="A168" s="15">
        <v>2000</v>
      </c>
      <c r="B168" s="11">
        <f t="shared" si="51"/>
        <v>0</v>
      </c>
      <c r="C168" s="11">
        <f t="shared" si="51"/>
        <v>0</v>
      </c>
      <c r="D168" s="8">
        <f t="shared" si="52"/>
        <v>0</v>
      </c>
      <c r="E168" s="6">
        <f t="shared" si="50"/>
        <v>0</v>
      </c>
      <c r="F168" s="6">
        <f t="shared" si="50"/>
        <v>0</v>
      </c>
      <c r="G168" s="6">
        <f t="shared" si="50"/>
        <v>0</v>
      </c>
      <c r="H168" s="13">
        <f t="shared" si="50"/>
        <v>0</v>
      </c>
      <c r="I168" s="8">
        <f t="shared" si="50"/>
        <v>0</v>
      </c>
      <c r="J168" s="6">
        <f t="shared" si="50"/>
        <v>0</v>
      </c>
      <c r="K168" s="6">
        <f t="shared" si="50"/>
        <v>0</v>
      </c>
      <c r="L168" s="6">
        <f t="shared" si="50"/>
        <v>0</v>
      </c>
      <c r="M168" s="13">
        <f t="shared" si="50"/>
        <v>0</v>
      </c>
      <c r="N168" s="8">
        <f t="shared" si="50"/>
        <v>0</v>
      </c>
      <c r="O168" s="6">
        <f t="shared" si="50"/>
        <v>0</v>
      </c>
      <c r="P168" s="6">
        <f t="shared" si="50"/>
        <v>0</v>
      </c>
      <c r="Q168" s="6">
        <f t="shared" si="50"/>
        <v>0</v>
      </c>
      <c r="R168" s="13">
        <f t="shared" si="50"/>
        <v>0</v>
      </c>
      <c r="S168" s="8">
        <f t="shared" si="50"/>
        <v>0</v>
      </c>
      <c r="T168" s="6">
        <f t="shared" si="50"/>
        <v>0</v>
      </c>
      <c r="U168" s="6">
        <f t="shared" si="50"/>
        <v>0</v>
      </c>
      <c r="V168" s="6">
        <f t="shared" si="50"/>
        <v>0</v>
      </c>
      <c r="W168" s="13">
        <f t="shared" si="50"/>
        <v>0</v>
      </c>
      <c r="X168" s="8">
        <f t="shared" si="50"/>
        <v>0</v>
      </c>
      <c r="Y168" s="6">
        <f t="shared" si="50"/>
        <v>0</v>
      </c>
      <c r="Z168" s="6">
        <f t="shared" si="50"/>
        <v>0</v>
      </c>
      <c r="AA168" s="6">
        <f t="shared" si="50"/>
        <v>0</v>
      </c>
      <c r="AB168" s="13">
        <f t="shared" si="50"/>
        <v>0</v>
      </c>
      <c r="AC168" s="8">
        <f t="shared" si="50"/>
        <v>0</v>
      </c>
      <c r="AD168" s="6">
        <f t="shared" si="50"/>
        <v>0</v>
      </c>
      <c r="AE168" s="6">
        <f t="shared" si="50"/>
        <v>0</v>
      </c>
      <c r="AF168" s="6">
        <f t="shared" si="50"/>
        <v>0</v>
      </c>
      <c r="AG168" s="13">
        <f t="shared" si="50"/>
        <v>0</v>
      </c>
      <c r="AH168" s="16">
        <f>SUM(D168:AG168)*A168</f>
        <v>0</v>
      </c>
      <c r="AI168" s="16">
        <f t="shared" si="53"/>
        <v>0</v>
      </c>
    </row>
    <row r="169" spans="1:52" ht="13.7" customHeight="1" x14ac:dyDescent="0.25">
      <c r="A169" s="15">
        <v>3000</v>
      </c>
      <c r="B169" s="11">
        <f t="shared" si="51"/>
        <v>0</v>
      </c>
      <c r="C169" s="11">
        <f t="shared" si="51"/>
        <v>0</v>
      </c>
      <c r="D169" s="8">
        <f t="shared" si="52"/>
        <v>0</v>
      </c>
      <c r="E169" s="6">
        <f t="shared" si="50"/>
        <v>0</v>
      </c>
      <c r="F169" s="6">
        <f t="shared" si="50"/>
        <v>0</v>
      </c>
      <c r="G169" s="6">
        <f t="shared" si="50"/>
        <v>0</v>
      </c>
      <c r="H169" s="13">
        <f t="shared" si="50"/>
        <v>0</v>
      </c>
      <c r="I169" s="8">
        <f t="shared" si="50"/>
        <v>0</v>
      </c>
      <c r="J169" s="6">
        <f t="shared" si="50"/>
        <v>0</v>
      </c>
      <c r="K169" s="6">
        <f t="shared" si="50"/>
        <v>0</v>
      </c>
      <c r="L169" s="6">
        <f t="shared" si="50"/>
        <v>0</v>
      </c>
      <c r="M169" s="13">
        <f t="shared" si="50"/>
        <v>0</v>
      </c>
      <c r="N169" s="8">
        <f t="shared" si="50"/>
        <v>0</v>
      </c>
      <c r="O169" s="6">
        <f t="shared" si="50"/>
        <v>0</v>
      </c>
      <c r="P169" s="6">
        <f t="shared" si="50"/>
        <v>0</v>
      </c>
      <c r="Q169" s="6">
        <f t="shared" si="50"/>
        <v>0</v>
      </c>
      <c r="R169" s="13">
        <f t="shared" si="50"/>
        <v>0</v>
      </c>
      <c r="S169" s="8">
        <f t="shared" si="50"/>
        <v>0</v>
      </c>
      <c r="T169" s="6">
        <f t="shared" si="50"/>
        <v>0</v>
      </c>
      <c r="U169" s="6">
        <f t="shared" si="50"/>
        <v>0</v>
      </c>
      <c r="V169" s="6">
        <f t="shared" si="50"/>
        <v>0</v>
      </c>
      <c r="W169" s="13">
        <f t="shared" si="50"/>
        <v>0</v>
      </c>
      <c r="X169" s="8">
        <f t="shared" si="50"/>
        <v>0</v>
      </c>
      <c r="Y169" s="6">
        <f t="shared" si="50"/>
        <v>0</v>
      </c>
      <c r="Z169" s="6">
        <f t="shared" si="50"/>
        <v>0</v>
      </c>
      <c r="AA169" s="6">
        <f t="shared" si="50"/>
        <v>0</v>
      </c>
      <c r="AB169" s="13">
        <f t="shared" si="50"/>
        <v>0</v>
      </c>
      <c r="AC169" s="8">
        <f t="shared" si="50"/>
        <v>0</v>
      </c>
      <c r="AD169" s="6">
        <f t="shared" si="50"/>
        <v>0</v>
      </c>
      <c r="AE169" s="6">
        <f t="shared" si="50"/>
        <v>0</v>
      </c>
      <c r="AF169" s="6">
        <f t="shared" si="50"/>
        <v>0</v>
      </c>
      <c r="AG169" s="13">
        <f t="shared" si="50"/>
        <v>0</v>
      </c>
      <c r="AH169" s="16">
        <f>SUM(D169:AG169)*A169</f>
        <v>0</v>
      </c>
      <c r="AI169" s="16">
        <f t="shared" si="53"/>
        <v>0</v>
      </c>
    </row>
    <row r="170" spans="1:52" ht="13.7" customHeight="1" x14ac:dyDescent="0.25">
      <c r="A170" s="15">
        <v>5000</v>
      </c>
      <c r="B170" s="11">
        <f t="shared" si="51"/>
        <v>0</v>
      </c>
      <c r="C170" s="11">
        <f t="shared" si="51"/>
        <v>0</v>
      </c>
      <c r="D170" s="8">
        <f t="shared" si="52"/>
        <v>0</v>
      </c>
      <c r="E170" s="6">
        <f t="shared" si="50"/>
        <v>0</v>
      </c>
      <c r="F170" s="6">
        <f t="shared" si="50"/>
        <v>0</v>
      </c>
      <c r="G170" s="6">
        <f t="shared" si="50"/>
        <v>0</v>
      </c>
      <c r="H170" s="13">
        <f t="shared" si="50"/>
        <v>0</v>
      </c>
      <c r="I170" s="8">
        <f t="shared" si="50"/>
        <v>0</v>
      </c>
      <c r="J170" s="6">
        <f t="shared" si="50"/>
        <v>0</v>
      </c>
      <c r="K170" s="6">
        <f t="shared" si="50"/>
        <v>0</v>
      </c>
      <c r="L170" s="6">
        <f t="shared" si="50"/>
        <v>0</v>
      </c>
      <c r="M170" s="13">
        <f t="shared" si="50"/>
        <v>0</v>
      </c>
      <c r="N170" s="8">
        <f t="shared" si="50"/>
        <v>0</v>
      </c>
      <c r="O170" s="6">
        <f t="shared" si="50"/>
        <v>0</v>
      </c>
      <c r="P170" s="6">
        <f t="shared" si="50"/>
        <v>0</v>
      </c>
      <c r="Q170" s="6">
        <f t="shared" si="50"/>
        <v>0</v>
      </c>
      <c r="R170" s="13">
        <f t="shared" si="50"/>
        <v>0</v>
      </c>
      <c r="S170" s="8">
        <f t="shared" si="50"/>
        <v>0</v>
      </c>
      <c r="T170" s="6">
        <f t="shared" si="50"/>
        <v>0</v>
      </c>
      <c r="U170" s="6">
        <f t="shared" si="50"/>
        <v>0</v>
      </c>
      <c r="V170" s="6">
        <f t="shared" si="50"/>
        <v>0</v>
      </c>
      <c r="W170" s="13">
        <f t="shared" si="50"/>
        <v>0</v>
      </c>
      <c r="X170" s="8">
        <f t="shared" si="50"/>
        <v>0</v>
      </c>
      <c r="Y170" s="6">
        <f t="shared" si="50"/>
        <v>0</v>
      </c>
      <c r="Z170" s="6">
        <f t="shared" si="50"/>
        <v>0</v>
      </c>
      <c r="AA170" s="6">
        <f t="shared" si="50"/>
        <v>0</v>
      </c>
      <c r="AB170" s="13">
        <f t="shared" si="50"/>
        <v>0</v>
      </c>
      <c r="AC170" s="8">
        <f t="shared" si="50"/>
        <v>0</v>
      </c>
      <c r="AD170" s="6">
        <f t="shared" si="50"/>
        <v>0</v>
      </c>
      <c r="AE170" s="6">
        <f t="shared" si="50"/>
        <v>0</v>
      </c>
      <c r="AF170" s="6">
        <f t="shared" si="50"/>
        <v>0</v>
      </c>
      <c r="AG170" s="13">
        <f t="shared" si="50"/>
        <v>0</v>
      </c>
      <c r="AH170" s="16">
        <f>SUM(D170:AG170)*A170</f>
        <v>0</v>
      </c>
      <c r="AI170" s="16">
        <f t="shared" si="53"/>
        <v>0</v>
      </c>
    </row>
    <row r="171" spans="1:52" ht="15" customHeight="1" thickBot="1" x14ac:dyDescent="0.3">
      <c r="A171" s="59">
        <v>10000</v>
      </c>
      <c r="B171" s="11">
        <f t="shared" si="51"/>
        <v>0</v>
      </c>
      <c r="C171" s="11">
        <f t="shared" si="51"/>
        <v>0</v>
      </c>
      <c r="D171" s="31">
        <f t="shared" si="52"/>
        <v>0</v>
      </c>
      <c r="E171" s="32">
        <f t="shared" si="50"/>
        <v>0</v>
      </c>
      <c r="F171" s="32">
        <f t="shared" si="50"/>
        <v>0</v>
      </c>
      <c r="G171" s="32">
        <f t="shared" si="50"/>
        <v>0</v>
      </c>
      <c r="H171" s="33">
        <f t="shared" si="50"/>
        <v>0</v>
      </c>
      <c r="I171" s="31">
        <f t="shared" si="50"/>
        <v>0</v>
      </c>
      <c r="J171" s="32">
        <f t="shared" si="50"/>
        <v>0</v>
      </c>
      <c r="K171" s="32">
        <f t="shared" si="50"/>
        <v>0</v>
      </c>
      <c r="L171" s="32">
        <f t="shared" si="50"/>
        <v>0</v>
      </c>
      <c r="M171" s="33">
        <f t="shared" si="50"/>
        <v>0</v>
      </c>
      <c r="N171" s="31">
        <f t="shared" si="50"/>
        <v>0</v>
      </c>
      <c r="O171" s="32">
        <f t="shared" si="50"/>
        <v>0</v>
      </c>
      <c r="P171" s="32">
        <f t="shared" si="50"/>
        <v>0</v>
      </c>
      <c r="Q171" s="32">
        <f t="shared" si="50"/>
        <v>0</v>
      </c>
      <c r="R171" s="33">
        <f t="shared" si="50"/>
        <v>0</v>
      </c>
      <c r="S171" s="31">
        <f t="shared" si="50"/>
        <v>0</v>
      </c>
      <c r="T171" s="32">
        <f t="shared" si="50"/>
        <v>0</v>
      </c>
      <c r="U171" s="32">
        <f t="shared" si="50"/>
        <v>0</v>
      </c>
      <c r="V171" s="32">
        <f t="shared" si="50"/>
        <v>0</v>
      </c>
      <c r="W171" s="33">
        <f t="shared" si="50"/>
        <v>0</v>
      </c>
      <c r="X171" s="31">
        <f t="shared" si="50"/>
        <v>0</v>
      </c>
      <c r="Y171" s="32">
        <f t="shared" si="50"/>
        <v>0</v>
      </c>
      <c r="Z171" s="32">
        <f t="shared" si="50"/>
        <v>0</v>
      </c>
      <c r="AA171" s="32">
        <f t="shared" si="50"/>
        <v>0</v>
      </c>
      <c r="AB171" s="33">
        <f t="shared" ref="AB171:AG171" si="54">Z127+Z141</f>
        <v>0</v>
      </c>
      <c r="AC171" s="31">
        <f t="shared" si="54"/>
        <v>0</v>
      </c>
      <c r="AD171" s="32">
        <f t="shared" si="54"/>
        <v>0</v>
      </c>
      <c r="AE171" s="32">
        <f t="shared" si="54"/>
        <v>0</v>
      </c>
      <c r="AF171" s="32">
        <f t="shared" si="54"/>
        <v>0</v>
      </c>
      <c r="AG171" s="33">
        <f t="shared" si="54"/>
        <v>0</v>
      </c>
      <c r="AH171" s="16">
        <f>SUM(D171:AG171)*A171</f>
        <v>0</v>
      </c>
      <c r="AI171" s="43">
        <f t="shared" si="53"/>
        <v>0</v>
      </c>
    </row>
    <row r="172" spans="1:52" ht="15" customHeight="1" thickBot="1" x14ac:dyDescent="0.3">
      <c r="A172" s="35"/>
      <c r="B172" s="61">
        <f>SUM(B163:B171)</f>
        <v>0</v>
      </c>
      <c r="C172" s="61">
        <f t="shared" ref="C172" si="55">SUM(C163:C171)</f>
        <v>0</v>
      </c>
      <c r="D172" s="60">
        <f t="shared" ref="D172:AI172" si="56">SUM(D163:D171)</f>
        <v>0</v>
      </c>
      <c r="E172" s="61">
        <f t="shared" si="56"/>
        <v>48</v>
      </c>
      <c r="F172" s="61">
        <f t="shared" si="56"/>
        <v>0</v>
      </c>
      <c r="G172" s="61">
        <f t="shared" si="56"/>
        <v>0</v>
      </c>
      <c r="H172" s="62">
        <f t="shared" si="56"/>
        <v>0</v>
      </c>
      <c r="I172" s="60">
        <f t="shared" si="56"/>
        <v>0</v>
      </c>
      <c r="J172" s="61">
        <f t="shared" si="56"/>
        <v>0</v>
      </c>
      <c r="K172" s="61">
        <f t="shared" si="56"/>
        <v>0</v>
      </c>
      <c r="L172" s="61">
        <f t="shared" si="56"/>
        <v>0</v>
      </c>
      <c r="M172" s="62">
        <f t="shared" si="56"/>
        <v>0</v>
      </c>
      <c r="N172" s="60">
        <f t="shared" si="56"/>
        <v>0</v>
      </c>
      <c r="O172" s="61">
        <f t="shared" si="56"/>
        <v>0</v>
      </c>
      <c r="P172" s="61">
        <f t="shared" si="56"/>
        <v>0</v>
      </c>
      <c r="Q172" s="61">
        <f t="shared" si="56"/>
        <v>0</v>
      </c>
      <c r="R172" s="62">
        <f t="shared" si="56"/>
        <v>0</v>
      </c>
      <c r="S172" s="60">
        <f t="shared" si="56"/>
        <v>0</v>
      </c>
      <c r="T172" s="61">
        <f t="shared" si="56"/>
        <v>0</v>
      </c>
      <c r="U172" s="61">
        <f t="shared" si="56"/>
        <v>0</v>
      </c>
      <c r="V172" s="61">
        <f t="shared" si="56"/>
        <v>0</v>
      </c>
      <c r="W172" s="62">
        <f t="shared" si="56"/>
        <v>0</v>
      </c>
      <c r="X172" s="60">
        <f t="shared" si="56"/>
        <v>0</v>
      </c>
      <c r="Y172" s="61">
        <f t="shared" si="56"/>
        <v>0</v>
      </c>
      <c r="Z172" s="61">
        <f t="shared" si="56"/>
        <v>0</v>
      </c>
      <c r="AA172" s="61">
        <f t="shared" si="56"/>
        <v>0</v>
      </c>
      <c r="AB172" s="62">
        <f t="shared" si="56"/>
        <v>0</v>
      </c>
      <c r="AC172" s="60">
        <f t="shared" si="56"/>
        <v>0</v>
      </c>
      <c r="AD172" s="61">
        <f t="shared" si="56"/>
        <v>0</v>
      </c>
      <c r="AE172" s="61">
        <f t="shared" si="56"/>
        <v>0</v>
      </c>
      <c r="AF172" s="61">
        <f t="shared" si="56"/>
        <v>0</v>
      </c>
      <c r="AG172" s="62">
        <f t="shared" si="56"/>
        <v>0</v>
      </c>
      <c r="AH172" s="35">
        <f>SUM(AH163:AH171)</f>
        <v>39500</v>
      </c>
      <c r="AI172" s="35">
        <f t="shared" si="53"/>
        <v>48</v>
      </c>
    </row>
    <row r="173" spans="1:52" ht="15.75" customHeight="1" x14ac:dyDescent="0.25"/>
    <row r="174" spans="1:52" ht="15.75" customHeight="1" x14ac:dyDescent="0.25"/>
    <row r="175" spans="1:52" ht="15" customHeight="1" x14ac:dyDescent="0.25">
      <c r="AX175" s="44"/>
      <c r="AY175" s="44"/>
      <c r="AZ175" s="44"/>
    </row>
    <row r="176" spans="1:52" ht="15" customHeight="1" x14ac:dyDescent="0.25">
      <c r="AX176" s="44"/>
      <c r="AY176" s="44"/>
      <c r="AZ176" s="44"/>
    </row>
    <row r="177" spans="50:54" ht="15" customHeight="1" x14ac:dyDescent="0.25">
      <c r="AX177" s="44"/>
      <c r="AY177" s="44"/>
      <c r="AZ177" s="44"/>
    </row>
    <row r="178" spans="50:54" ht="15" customHeight="1" x14ac:dyDescent="0.25">
      <c r="AX178" s="44"/>
      <c r="AY178" s="44"/>
      <c r="AZ178" s="44"/>
    </row>
    <row r="179" spans="50:54" ht="15" customHeight="1" x14ac:dyDescent="0.25">
      <c r="AX179" s="44"/>
      <c r="AY179" s="44"/>
      <c r="AZ179" s="44"/>
    </row>
    <row r="180" spans="50:54" ht="15" customHeight="1" x14ac:dyDescent="0.25">
      <c r="AX180" s="44"/>
      <c r="AY180" s="44"/>
      <c r="AZ180" s="44"/>
    </row>
    <row r="181" spans="50:54" ht="15" customHeight="1" x14ac:dyDescent="0.25">
      <c r="AX181" s="44"/>
    </row>
    <row r="182" spans="50:54" ht="15" customHeight="1" x14ac:dyDescent="0.25">
      <c r="AX182" s="44"/>
    </row>
    <row r="183" spans="50:54" ht="15" customHeight="1" x14ac:dyDescent="0.25">
      <c r="AX183" s="44"/>
    </row>
    <row r="184" spans="50:54" ht="15.75" customHeight="1" x14ac:dyDescent="0.25"/>
    <row r="186" spans="50:54" x14ac:dyDescent="0.25">
      <c r="BB186" s="44"/>
    </row>
    <row r="187" spans="50:54" ht="15" customHeight="1" x14ac:dyDescent="0.25"/>
    <row r="188" spans="50:54" ht="15" customHeight="1" x14ac:dyDescent="0.25"/>
    <row r="189" spans="50:54" ht="15" customHeight="1" x14ac:dyDescent="0.25"/>
  </sheetData>
  <mergeCells count="134">
    <mergeCell ref="AH158:AJ158"/>
    <mergeCell ref="AK158:AM158"/>
    <mergeCell ref="AN158:AO158"/>
    <mergeCell ref="AP158:AR158"/>
    <mergeCell ref="AS158:AT158"/>
    <mergeCell ref="AU158:AW158"/>
    <mergeCell ref="A161:A162"/>
    <mergeCell ref="B161:C161"/>
    <mergeCell ref="D161:H161"/>
    <mergeCell ref="I161:M161"/>
    <mergeCell ref="N161:R161"/>
    <mergeCell ref="S161:W161"/>
    <mergeCell ref="X161:AB161"/>
    <mergeCell ref="AC161:AG161"/>
    <mergeCell ref="AH161:AH162"/>
    <mergeCell ref="AI161:AI162"/>
    <mergeCell ref="BI151:BJ151"/>
    <mergeCell ref="AI152:AJ152"/>
    <mergeCell ref="AK152:AL152"/>
    <mergeCell ref="AO152:AP152"/>
    <mergeCell ref="AQ152:AR152"/>
    <mergeCell ref="AU152:AV152"/>
    <mergeCell ref="AW152:AX152"/>
    <mergeCell ref="BA152:BB152"/>
    <mergeCell ref="BC152:BD152"/>
    <mergeCell ref="BG152:BH152"/>
    <mergeCell ref="BI152:BJ152"/>
    <mergeCell ref="AI151:AJ151"/>
    <mergeCell ref="AK151:AL151"/>
    <mergeCell ref="AO151:AP151"/>
    <mergeCell ref="AQ151:AR151"/>
    <mergeCell ref="AU151:AV151"/>
    <mergeCell ref="AW151:AX151"/>
    <mergeCell ref="BA151:BB151"/>
    <mergeCell ref="BC151:BD151"/>
    <mergeCell ref="BG151:BH151"/>
    <mergeCell ref="A144:B144"/>
    <mergeCell ref="G144:H144"/>
    <mergeCell ref="J144:K147"/>
    <mergeCell ref="M144:N147"/>
    <mergeCell ref="P144:Q147"/>
    <mergeCell ref="S144:S145"/>
    <mergeCell ref="V144:V145"/>
    <mergeCell ref="W144:W145"/>
    <mergeCell ref="AA147:AC147"/>
    <mergeCell ref="AH138:AL138"/>
    <mergeCell ref="AN138:AR138"/>
    <mergeCell ref="AT138:AX138"/>
    <mergeCell ref="AZ138:BD138"/>
    <mergeCell ref="BF138:BJ138"/>
    <mergeCell ref="AH139:AL139"/>
    <mergeCell ref="AN139:AR139"/>
    <mergeCell ref="AT139:AX139"/>
    <mergeCell ref="AZ139:BD139"/>
    <mergeCell ref="BF139:BJ139"/>
    <mergeCell ref="AU131:AV131"/>
    <mergeCell ref="AW131:AX131"/>
    <mergeCell ref="BA131:BB131"/>
    <mergeCell ref="BC131:BD131"/>
    <mergeCell ref="BG131:BH131"/>
    <mergeCell ref="BI131:BJ131"/>
    <mergeCell ref="AH137:AI137"/>
    <mergeCell ref="AJ137:AL137"/>
    <mergeCell ref="AN137:AO137"/>
    <mergeCell ref="AP137:AR137"/>
    <mergeCell ref="AT137:AU137"/>
    <mergeCell ref="AV137:AX137"/>
    <mergeCell ref="AZ137:BA137"/>
    <mergeCell ref="BB137:BD137"/>
    <mergeCell ref="BF137:BG137"/>
    <mergeCell ref="BH137:BJ137"/>
    <mergeCell ref="Q131:U131"/>
    <mergeCell ref="V131:Z131"/>
    <mergeCell ref="AA131:AE131"/>
    <mergeCell ref="AF131:AF132"/>
    <mergeCell ref="AG131:AG132"/>
    <mergeCell ref="AI131:AJ131"/>
    <mergeCell ref="AK131:AL131"/>
    <mergeCell ref="AO131:AP131"/>
    <mergeCell ref="AQ131:AR131"/>
    <mergeCell ref="AK130:AL130"/>
    <mergeCell ref="AO130:AP130"/>
    <mergeCell ref="AQ130:AR130"/>
    <mergeCell ref="AU130:AV130"/>
    <mergeCell ref="AW130:AX130"/>
    <mergeCell ref="BA130:BB130"/>
    <mergeCell ref="BC130:BD130"/>
    <mergeCell ref="BG130:BH130"/>
    <mergeCell ref="BI130:BJ130"/>
    <mergeCell ref="BF116:BG116"/>
    <mergeCell ref="BH116:BJ116"/>
    <mergeCell ref="A117:A118"/>
    <mergeCell ref="B117:F117"/>
    <mergeCell ref="G117:K117"/>
    <mergeCell ref="L117:P117"/>
    <mergeCell ref="Q117:U117"/>
    <mergeCell ref="V117:Z117"/>
    <mergeCell ref="AA117:AE117"/>
    <mergeCell ref="AF117:AF118"/>
    <mergeCell ref="AG117:AG118"/>
    <mergeCell ref="AH117:AL117"/>
    <mergeCell ref="AN117:AR117"/>
    <mergeCell ref="AT117:AX117"/>
    <mergeCell ref="AZ117:BD117"/>
    <mergeCell ref="BF117:BJ117"/>
    <mergeCell ref="AH118:AL118"/>
    <mergeCell ref="AN118:AR118"/>
    <mergeCell ref="AT118:AX118"/>
    <mergeCell ref="AZ118:BD118"/>
    <mergeCell ref="BF118:BJ118"/>
    <mergeCell ref="A116:AG116"/>
    <mergeCell ref="AH116:AI116"/>
    <mergeCell ref="AJ116:AL116"/>
    <mergeCell ref="AN116:AO116"/>
    <mergeCell ref="AP116:AR116"/>
    <mergeCell ref="AT116:AU116"/>
    <mergeCell ref="AV116:AX116"/>
    <mergeCell ref="AZ116:BA116"/>
    <mergeCell ref="BB116:BD116"/>
    <mergeCell ref="A114:C114"/>
    <mergeCell ref="D114:G114"/>
    <mergeCell ref="T144:U144"/>
    <mergeCell ref="G131:K131"/>
    <mergeCell ref="D144:E144"/>
    <mergeCell ref="A130:AG130"/>
    <mergeCell ref="AI130:AJ130"/>
    <mergeCell ref="A131:A132"/>
    <mergeCell ref="B131:F131"/>
    <mergeCell ref="L131:P131"/>
    <mergeCell ref="AD147:AF147"/>
    <mergeCell ref="AA148:AC148"/>
    <mergeCell ref="AD148:AF148"/>
    <mergeCell ref="AA149:AC149"/>
    <mergeCell ref="AD149:AF149"/>
  </mergeCells>
  <pageMargins left="0" right="0" top="0" bottom="0" header="0.31496062992125984" footer="0.31496062992125984"/>
  <pageSetup paperSize="9" scale="85" orientation="landscape" verticalDpi="300" r:id="rId1"/>
  <headerFooter>
    <oddFooter>&amp;LPRINTED ON &amp;D AT &amp;T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Y189"/>
  <sheetViews>
    <sheetView showZeros="0" zoomScaleNormal="100" workbookViewId="0">
      <selection sqref="A1:XFD1048576"/>
    </sheetView>
  </sheetViews>
  <sheetFormatPr defaultColWidth="9.140625" defaultRowHeight="15" x14ac:dyDescent="0.25"/>
  <cols>
    <col min="1" max="1" width="6.28515625" style="28" customWidth="1"/>
    <col min="2" max="2" width="5.85546875" style="28" customWidth="1"/>
    <col min="3" max="3" width="4.42578125" style="28" customWidth="1"/>
    <col min="4" max="4" width="6.28515625" style="28" customWidth="1"/>
    <col min="5" max="5" width="5.85546875" style="28" customWidth="1"/>
    <col min="6" max="6" width="4.42578125" style="28" customWidth="1"/>
    <col min="7" max="7" width="6.28515625" style="28" customWidth="1"/>
    <col min="8" max="8" width="5.85546875" style="28" customWidth="1"/>
    <col min="9" max="9" width="4.42578125" style="28" customWidth="1"/>
    <col min="10" max="10" width="6.28515625" style="28" customWidth="1"/>
    <col min="11" max="12" width="4.42578125" style="28" customWidth="1"/>
    <col min="13" max="13" width="6.28515625" style="28" customWidth="1"/>
    <col min="14" max="15" width="4.42578125" style="28" customWidth="1"/>
    <col min="16" max="16" width="6.28515625" style="28" customWidth="1"/>
    <col min="17" max="18" width="4.42578125" style="28" customWidth="1"/>
    <col min="19" max="19" width="6.28515625" style="28" customWidth="1"/>
    <col min="20" max="21" width="4.7109375" style="28" customWidth="1"/>
    <col min="22" max="22" width="6.28515625" style="28" customWidth="1"/>
    <col min="23" max="23" width="5.42578125" style="28" customWidth="1"/>
    <col min="24" max="31" width="4.42578125" style="28" customWidth="1"/>
    <col min="32" max="33" width="6.28515625" style="28" customWidth="1"/>
    <col min="34" max="62" width="5.85546875" style="28" customWidth="1"/>
    <col min="63" max="63" width="5.140625" style="28" bestFit="1" customWidth="1"/>
    <col min="64" max="64" width="5.7109375" style="28" bestFit="1" customWidth="1"/>
    <col min="65" max="65" width="5" style="28" bestFit="1" customWidth="1"/>
    <col min="66" max="67" width="4.140625" style="28" bestFit="1" customWidth="1"/>
    <col min="68" max="68" width="4.28515625" style="28" bestFit="1" customWidth="1"/>
    <col min="69" max="69" width="5.140625" style="28" bestFit="1" customWidth="1"/>
    <col min="70" max="70" width="7.42578125" style="28" bestFit="1" customWidth="1"/>
    <col min="71" max="71" width="12.5703125" style="28" bestFit="1" customWidth="1"/>
    <col min="72" max="72" width="6.140625" style="28" bestFit="1" customWidth="1"/>
    <col min="73" max="16384" width="9.140625" style="28"/>
  </cols>
  <sheetData>
    <row r="1" spans="1:77" ht="16.5" customHeight="1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15</v>
      </c>
      <c r="J1" s="24" t="s">
        <v>133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133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133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12</v>
      </c>
      <c r="AB1" s="24" t="s">
        <v>133</v>
      </c>
      <c r="AC1" s="24" t="s">
        <v>8</v>
      </c>
      <c r="AD1" s="24" t="s">
        <v>9</v>
      </c>
      <c r="AE1" s="24" t="s">
        <v>10</v>
      </c>
      <c r="AF1" s="24" t="s">
        <v>11</v>
      </c>
      <c r="AG1" s="24" t="s">
        <v>12</v>
      </c>
      <c r="AH1" s="24" t="s">
        <v>133</v>
      </c>
      <c r="AI1" s="24" t="s">
        <v>8</v>
      </c>
      <c r="AJ1" s="24" t="s">
        <v>9</v>
      </c>
      <c r="AK1" s="24" t="s">
        <v>10</v>
      </c>
      <c r="AL1" s="24" t="s">
        <v>11</v>
      </c>
      <c r="AM1" s="24" t="s">
        <v>12</v>
      </c>
      <c r="AN1" s="24" t="s">
        <v>133</v>
      </c>
      <c r="AO1" s="24" t="s">
        <v>8</v>
      </c>
      <c r="AP1" s="24" t="s">
        <v>9</v>
      </c>
      <c r="AQ1" s="24" t="s">
        <v>10</v>
      </c>
      <c r="AR1" s="24" t="s">
        <v>11</v>
      </c>
      <c r="AS1" s="24" t="s">
        <v>12</v>
      </c>
      <c r="AT1" s="24" t="s">
        <v>133</v>
      </c>
      <c r="AU1" s="24" t="s">
        <v>8</v>
      </c>
      <c r="AV1" s="24" t="s">
        <v>9</v>
      </c>
      <c r="AW1" s="24" t="s">
        <v>10</v>
      </c>
      <c r="AX1" s="24" t="s">
        <v>11</v>
      </c>
      <c r="AY1" s="24" t="s">
        <v>12</v>
      </c>
      <c r="AZ1" s="24" t="s">
        <v>133</v>
      </c>
      <c r="BA1" s="24" t="s">
        <v>8</v>
      </c>
      <c r="BB1" s="24" t="s">
        <v>9</v>
      </c>
      <c r="BC1" s="24" t="s">
        <v>10</v>
      </c>
      <c r="BD1" s="24" t="s">
        <v>11</v>
      </c>
      <c r="BE1" s="24" t="s">
        <v>12</v>
      </c>
      <c r="BF1" s="24" t="s">
        <v>133</v>
      </c>
      <c r="BG1" s="24" t="s">
        <v>8</v>
      </c>
      <c r="BH1" s="24" t="s">
        <v>9</v>
      </c>
      <c r="BI1" s="24" t="s">
        <v>10</v>
      </c>
      <c r="BJ1" s="24" t="s">
        <v>11</v>
      </c>
      <c r="BK1" s="24" t="s">
        <v>12</v>
      </c>
      <c r="BL1" s="24" t="s">
        <v>133</v>
      </c>
      <c r="BM1" s="24" t="s">
        <v>8</v>
      </c>
      <c r="BN1" s="24" t="s">
        <v>9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36</v>
      </c>
      <c r="BU1" s="26"/>
      <c r="BV1" s="27"/>
      <c r="BW1" s="27"/>
      <c r="BX1" s="27"/>
      <c r="BY1" s="27"/>
    </row>
    <row r="2" spans="1:77" s="56" customFormat="1" ht="78" thickBot="1" x14ac:dyDescent="0.3">
      <c r="A2" s="188">
        <v>21420</v>
      </c>
      <c r="B2" s="189">
        <v>46031</v>
      </c>
      <c r="C2" s="41" t="s">
        <v>239</v>
      </c>
      <c r="D2" s="41" t="s">
        <v>90</v>
      </c>
      <c r="E2" s="41" t="s">
        <v>42</v>
      </c>
      <c r="F2" s="41" t="s">
        <v>121</v>
      </c>
      <c r="G2" s="41" t="s">
        <v>122</v>
      </c>
      <c r="H2" s="41" t="s">
        <v>123</v>
      </c>
      <c r="I2" s="41"/>
      <c r="J2" s="41" t="s">
        <v>134</v>
      </c>
      <c r="K2" s="188">
        <v>1500</v>
      </c>
      <c r="L2" s="188">
        <v>8</v>
      </c>
      <c r="M2" s="41" t="s">
        <v>17</v>
      </c>
      <c r="N2" s="41" t="s">
        <v>22</v>
      </c>
      <c r="O2" s="188">
        <v>3.5</v>
      </c>
      <c r="P2" s="41" t="s">
        <v>134</v>
      </c>
      <c r="Q2" s="188">
        <v>1000</v>
      </c>
      <c r="R2" s="188">
        <v>10</v>
      </c>
      <c r="S2" s="41" t="s">
        <v>17</v>
      </c>
      <c r="T2" s="41" t="s">
        <v>22</v>
      </c>
      <c r="U2" s="188">
        <v>3.5</v>
      </c>
      <c r="V2" s="41" t="s">
        <v>134</v>
      </c>
      <c r="W2" s="188">
        <v>750</v>
      </c>
      <c r="X2" s="188">
        <v>10</v>
      </c>
      <c r="Y2" s="41" t="s">
        <v>17</v>
      </c>
      <c r="Z2" s="41" t="s">
        <v>22</v>
      </c>
      <c r="AA2" s="188">
        <v>3.5</v>
      </c>
      <c r="AB2" s="41" t="s">
        <v>134</v>
      </c>
      <c r="AC2" s="188">
        <v>500</v>
      </c>
      <c r="AD2" s="188">
        <v>20</v>
      </c>
      <c r="AE2" s="41" t="s">
        <v>17</v>
      </c>
      <c r="AF2" s="41" t="s">
        <v>22</v>
      </c>
      <c r="AG2" s="188">
        <v>3.5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 t="s">
        <v>91</v>
      </c>
      <c r="BS2" s="41" t="s">
        <v>253</v>
      </c>
      <c r="BT2" s="108">
        <f t="shared" ref="BT2" si="0">K2*L2+Q2*R2+W2*X2+AC2*AD2+AI2*AJ2+AO2*AP2+AU2*AV2+BA2*BB2+BG2*BH2+BM2*BN2</f>
        <v>39500</v>
      </c>
    </row>
    <row r="3" spans="1:77" s="56" customFormat="1" ht="15.75" thickBot="1" x14ac:dyDescent="0.3">
      <c r="A3" s="80"/>
      <c r="B3" s="49"/>
      <c r="C3" s="20"/>
      <c r="D3" s="20"/>
      <c r="E3" s="20"/>
      <c r="F3" s="20"/>
      <c r="G3" s="20"/>
      <c r="H3" s="20"/>
      <c r="I3" s="20"/>
      <c r="J3" s="48"/>
      <c r="K3" s="48"/>
      <c r="L3" s="48"/>
      <c r="M3" s="20"/>
      <c r="N3" s="20"/>
      <c r="O3" s="48"/>
      <c r="P3" s="48"/>
      <c r="Q3" s="48"/>
      <c r="R3" s="48"/>
      <c r="S3" s="20"/>
      <c r="T3" s="20"/>
      <c r="U3" s="48"/>
      <c r="V3" s="48"/>
      <c r="W3" s="48"/>
      <c r="X3" s="48"/>
      <c r="Y3" s="48"/>
      <c r="Z3" s="20"/>
      <c r="AA3" s="48"/>
      <c r="AB3" s="48"/>
      <c r="AC3" s="48"/>
      <c r="AD3" s="48"/>
      <c r="AE3" s="20"/>
      <c r="AF3" s="20"/>
      <c r="AG3" s="48"/>
      <c r="AH3" s="48"/>
      <c r="AI3" s="48"/>
      <c r="AJ3" s="48"/>
      <c r="AK3" s="20"/>
      <c r="AL3" s="20"/>
      <c r="AM3" s="48"/>
      <c r="AN3" s="48"/>
      <c r="AO3" s="48"/>
      <c r="AP3" s="48"/>
      <c r="AQ3" s="20"/>
      <c r="AR3" s="20"/>
      <c r="AS3" s="48"/>
      <c r="AT3" s="48"/>
      <c r="AU3" s="48"/>
      <c r="AV3" s="48"/>
      <c r="AW3" s="20"/>
      <c r="AX3" s="20"/>
      <c r="AY3" s="48"/>
      <c r="AZ3" s="48"/>
      <c r="BA3" s="48"/>
      <c r="BB3" s="48"/>
      <c r="BC3" s="20"/>
      <c r="BD3" s="20"/>
      <c r="BE3" s="48"/>
      <c r="BF3" s="48"/>
      <c r="BG3" s="48"/>
      <c r="BH3" s="48"/>
      <c r="BI3" s="20"/>
      <c r="BJ3" s="20"/>
      <c r="BK3" s="48"/>
      <c r="BL3" s="48"/>
      <c r="BM3" s="48"/>
      <c r="BN3" s="48"/>
      <c r="BO3" s="20"/>
      <c r="BP3" s="20"/>
      <c r="BQ3" s="48"/>
      <c r="BR3" s="20"/>
      <c r="BS3" s="20"/>
      <c r="BT3" s="55"/>
      <c r="BU3" s="20"/>
      <c r="BV3" s="20"/>
      <c r="BW3" s="20"/>
      <c r="BX3" s="20"/>
      <c r="BY3" s="20"/>
    </row>
    <row r="4" spans="1:77" s="56" customFormat="1" ht="15.75" thickBot="1" x14ac:dyDescent="0.3">
      <c r="A4" s="80"/>
      <c r="B4" s="49"/>
      <c r="C4" s="20"/>
      <c r="D4" s="20"/>
      <c r="E4" s="20"/>
      <c r="F4" s="20"/>
      <c r="G4" s="20"/>
      <c r="H4" s="20"/>
      <c r="I4" s="20"/>
      <c r="J4" s="48"/>
      <c r="K4" s="48"/>
      <c r="L4" s="48"/>
      <c r="M4" s="20"/>
      <c r="N4" s="20"/>
      <c r="O4" s="48"/>
      <c r="P4" s="48"/>
      <c r="Q4" s="48"/>
      <c r="R4" s="48"/>
      <c r="S4" s="20"/>
      <c r="T4" s="20"/>
      <c r="U4" s="48"/>
      <c r="V4" s="48"/>
      <c r="W4" s="48"/>
      <c r="X4" s="48"/>
      <c r="Y4" s="48"/>
      <c r="Z4" s="20"/>
      <c r="AA4" s="48"/>
      <c r="AB4" s="48"/>
      <c r="AC4" s="48"/>
      <c r="AD4" s="48"/>
      <c r="AE4" s="20"/>
      <c r="AF4" s="20"/>
      <c r="AG4" s="48"/>
      <c r="AH4" s="48"/>
      <c r="AI4" s="48"/>
      <c r="AJ4" s="48"/>
      <c r="AK4" s="20"/>
      <c r="AL4" s="20"/>
      <c r="AM4" s="48"/>
      <c r="AN4" s="48"/>
      <c r="AO4" s="48"/>
      <c r="AP4" s="48"/>
      <c r="AQ4" s="20"/>
      <c r="AR4" s="20"/>
      <c r="AS4" s="48"/>
      <c r="AT4" s="48"/>
      <c r="AU4" s="48"/>
      <c r="AV4" s="48"/>
      <c r="AW4" s="20"/>
      <c r="AX4" s="20"/>
      <c r="AY4" s="48"/>
      <c r="AZ4" s="48"/>
      <c r="BA4" s="48"/>
      <c r="BB4" s="48"/>
      <c r="BC4" s="20"/>
      <c r="BD4" s="20"/>
      <c r="BE4" s="48"/>
      <c r="BF4" s="48"/>
      <c r="BG4" s="48"/>
      <c r="BH4" s="48"/>
      <c r="BI4" s="20"/>
      <c r="BJ4" s="20"/>
      <c r="BK4" s="48"/>
      <c r="BL4" s="48"/>
      <c r="BM4" s="48"/>
      <c r="BN4" s="48"/>
      <c r="BO4" s="20"/>
      <c r="BP4" s="20"/>
      <c r="BQ4" s="48"/>
      <c r="BR4" s="20"/>
      <c r="BS4" s="20"/>
      <c r="BT4" s="55"/>
      <c r="BU4" s="20"/>
      <c r="BV4" s="20"/>
      <c r="BW4" s="20"/>
      <c r="BX4" s="20"/>
      <c r="BY4" s="20"/>
    </row>
    <row r="5" spans="1:77" s="56" customFormat="1" ht="15.75" thickBot="1" x14ac:dyDescent="0.3">
      <c r="A5" s="80"/>
      <c r="B5" s="49"/>
      <c r="C5" s="20"/>
      <c r="D5" s="20"/>
      <c r="E5" s="20"/>
      <c r="F5" s="20"/>
      <c r="G5" s="20"/>
      <c r="H5" s="20"/>
      <c r="I5" s="20"/>
      <c r="J5" s="48"/>
      <c r="K5" s="48"/>
      <c r="L5" s="48"/>
      <c r="M5" s="20"/>
      <c r="N5" s="20"/>
      <c r="O5" s="48"/>
      <c r="P5" s="48"/>
      <c r="Q5" s="48"/>
      <c r="R5" s="48"/>
      <c r="S5" s="20"/>
      <c r="T5" s="20"/>
      <c r="U5" s="48"/>
      <c r="V5" s="48"/>
      <c r="W5" s="48"/>
      <c r="X5" s="48"/>
      <c r="Y5" s="48"/>
      <c r="Z5" s="20"/>
      <c r="AA5" s="48"/>
      <c r="AB5" s="48"/>
      <c r="AC5" s="48"/>
      <c r="AD5" s="48"/>
      <c r="AE5" s="20"/>
      <c r="AF5" s="20"/>
      <c r="AG5" s="48"/>
      <c r="AH5" s="48"/>
      <c r="AI5" s="48"/>
      <c r="AJ5" s="48"/>
      <c r="AK5" s="20"/>
      <c r="AL5" s="20"/>
      <c r="AM5" s="48"/>
      <c r="AN5" s="48"/>
      <c r="AO5" s="48"/>
      <c r="AP5" s="48"/>
      <c r="AQ5" s="20"/>
      <c r="AR5" s="20"/>
      <c r="AS5" s="48"/>
      <c r="AT5" s="48"/>
      <c r="AU5" s="48"/>
      <c r="AV5" s="48"/>
      <c r="AW5" s="20"/>
      <c r="AX5" s="20"/>
      <c r="AY5" s="48"/>
      <c r="AZ5" s="48"/>
      <c r="BA5" s="48"/>
      <c r="BB5" s="48"/>
      <c r="BC5" s="20"/>
      <c r="BD5" s="20"/>
      <c r="BE5" s="48"/>
      <c r="BF5" s="48"/>
      <c r="BG5" s="48"/>
      <c r="BH5" s="48"/>
      <c r="BI5" s="20"/>
      <c r="BJ5" s="20"/>
      <c r="BK5" s="48"/>
      <c r="BL5" s="48"/>
      <c r="BM5" s="48"/>
      <c r="BN5" s="48"/>
      <c r="BO5" s="20"/>
      <c r="BP5" s="20"/>
      <c r="BQ5" s="48"/>
      <c r="BR5" s="20"/>
      <c r="BS5" s="20"/>
      <c r="BT5" s="55"/>
      <c r="BU5" s="20"/>
      <c r="BV5" s="20"/>
      <c r="BW5" s="20"/>
      <c r="BX5" s="20"/>
      <c r="BY5" s="20"/>
    </row>
    <row r="6" spans="1:77" s="56" customFormat="1" ht="15.75" thickBot="1" x14ac:dyDescent="0.3">
      <c r="A6" s="80"/>
      <c r="B6" s="49"/>
      <c r="C6" s="20"/>
      <c r="D6" s="20"/>
      <c r="E6" s="20"/>
      <c r="F6" s="20"/>
      <c r="G6" s="20"/>
      <c r="H6" s="20"/>
      <c r="I6" s="20"/>
      <c r="J6" s="48"/>
      <c r="K6" s="48"/>
      <c r="L6" s="48"/>
      <c r="M6" s="20"/>
      <c r="N6" s="20"/>
      <c r="O6" s="48"/>
      <c r="P6" s="48"/>
      <c r="Q6" s="48"/>
      <c r="R6" s="48"/>
      <c r="S6" s="20"/>
      <c r="T6" s="20"/>
      <c r="U6" s="48"/>
      <c r="V6" s="48"/>
      <c r="W6" s="48"/>
      <c r="X6" s="48"/>
      <c r="Y6" s="48"/>
      <c r="Z6" s="20"/>
      <c r="AA6" s="48"/>
      <c r="AB6" s="48"/>
      <c r="AC6" s="48"/>
      <c r="AD6" s="48"/>
      <c r="AE6" s="20"/>
      <c r="AF6" s="20"/>
      <c r="AG6" s="48"/>
      <c r="AH6" s="48"/>
      <c r="AI6" s="48"/>
      <c r="AJ6" s="48"/>
      <c r="AK6" s="20"/>
      <c r="AL6" s="20"/>
      <c r="AM6" s="48"/>
      <c r="AN6" s="48"/>
      <c r="AO6" s="48"/>
      <c r="AP6" s="48"/>
      <c r="AQ6" s="20"/>
      <c r="AR6" s="20"/>
      <c r="AS6" s="48"/>
      <c r="AT6" s="48"/>
      <c r="AU6" s="48"/>
      <c r="AV6" s="48"/>
      <c r="AW6" s="20"/>
      <c r="AX6" s="20"/>
      <c r="AY6" s="48"/>
      <c r="AZ6" s="48"/>
      <c r="BA6" s="48"/>
      <c r="BB6" s="48"/>
      <c r="BC6" s="20"/>
      <c r="BD6" s="20"/>
      <c r="BE6" s="48"/>
      <c r="BF6" s="48"/>
      <c r="BG6" s="48"/>
      <c r="BH6" s="48"/>
      <c r="BI6" s="20"/>
      <c r="BJ6" s="20"/>
      <c r="BK6" s="48"/>
      <c r="BL6" s="48"/>
      <c r="BM6" s="48"/>
      <c r="BN6" s="48"/>
      <c r="BO6" s="20"/>
      <c r="BP6" s="20"/>
      <c r="BQ6" s="48"/>
      <c r="BR6" s="20"/>
      <c r="BS6" s="20"/>
      <c r="BT6" s="55"/>
      <c r="BU6" s="20"/>
      <c r="BV6" s="20"/>
      <c r="BW6" s="20"/>
      <c r="BX6" s="20"/>
      <c r="BY6" s="20"/>
    </row>
    <row r="7" spans="1:77" s="56" customFormat="1" ht="15.75" thickBot="1" x14ac:dyDescent="0.3">
      <c r="A7" s="80"/>
      <c r="B7" s="49"/>
      <c r="C7" s="20"/>
      <c r="D7" s="20"/>
      <c r="E7" s="20"/>
      <c r="F7" s="20"/>
      <c r="G7" s="20"/>
      <c r="H7" s="20"/>
      <c r="I7" s="20"/>
      <c r="J7" s="48"/>
      <c r="K7" s="48"/>
      <c r="L7" s="48"/>
      <c r="M7" s="20"/>
      <c r="N7" s="20"/>
      <c r="O7" s="48"/>
      <c r="P7" s="48"/>
      <c r="Q7" s="48"/>
      <c r="R7" s="48"/>
      <c r="S7" s="20"/>
      <c r="T7" s="20"/>
      <c r="U7" s="48"/>
      <c r="V7" s="48"/>
      <c r="W7" s="48"/>
      <c r="X7" s="48"/>
      <c r="Y7" s="48"/>
      <c r="Z7" s="20"/>
      <c r="AA7" s="48"/>
      <c r="AB7" s="48"/>
      <c r="AC7" s="48"/>
      <c r="AD7" s="48"/>
      <c r="AE7" s="20"/>
      <c r="AF7" s="20"/>
      <c r="AG7" s="48"/>
      <c r="AH7" s="48"/>
      <c r="AI7" s="48"/>
      <c r="AJ7" s="48"/>
      <c r="AK7" s="20"/>
      <c r="AL7" s="20"/>
      <c r="AM7" s="48"/>
      <c r="AN7" s="48"/>
      <c r="AO7" s="48"/>
      <c r="AP7" s="48"/>
      <c r="AQ7" s="20"/>
      <c r="AR7" s="20"/>
      <c r="AS7" s="48"/>
      <c r="AT7" s="48"/>
      <c r="AU7" s="48"/>
      <c r="AV7" s="48"/>
      <c r="AW7" s="20"/>
      <c r="AX7" s="20"/>
      <c r="AY7" s="48"/>
      <c r="AZ7" s="48"/>
      <c r="BA7" s="48"/>
      <c r="BB7" s="48"/>
      <c r="BC7" s="20"/>
      <c r="BD7" s="20"/>
      <c r="BE7" s="48"/>
      <c r="BF7" s="48"/>
      <c r="BG7" s="48"/>
      <c r="BH7" s="48"/>
      <c r="BI7" s="20"/>
      <c r="BJ7" s="20"/>
      <c r="BK7" s="48"/>
      <c r="BL7" s="48"/>
      <c r="BM7" s="48"/>
      <c r="BN7" s="48"/>
      <c r="BO7" s="20"/>
      <c r="BP7" s="20"/>
      <c r="BQ7" s="48"/>
      <c r="BR7" s="20"/>
      <c r="BS7" s="20"/>
      <c r="BT7" s="55"/>
      <c r="BU7" s="20"/>
      <c r="BV7" s="20"/>
      <c r="BW7" s="20"/>
      <c r="BX7" s="20"/>
      <c r="BY7" s="20"/>
    </row>
    <row r="8" spans="1:77" s="56" customFormat="1" ht="15.75" thickBot="1" x14ac:dyDescent="0.3">
      <c r="A8" s="80"/>
      <c r="B8" s="49"/>
      <c r="C8" s="20"/>
      <c r="D8" s="20"/>
      <c r="E8" s="20"/>
      <c r="F8" s="20"/>
      <c r="G8" s="20"/>
      <c r="H8" s="20"/>
      <c r="I8" s="20"/>
      <c r="J8" s="48"/>
      <c r="K8" s="48"/>
      <c r="L8" s="48"/>
      <c r="M8" s="20"/>
      <c r="N8" s="20"/>
      <c r="O8" s="48"/>
      <c r="P8" s="48"/>
      <c r="Q8" s="48"/>
      <c r="R8" s="48"/>
      <c r="S8" s="20"/>
      <c r="T8" s="20"/>
      <c r="U8" s="48"/>
      <c r="V8" s="48"/>
      <c r="W8" s="48"/>
      <c r="X8" s="48"/>
      <c r="Y8" s="48"/>
      <c r="Z8" s="20"/>
      <c r="AA8" s="48"/>
      <c r="AB8" s="48"/>
      <c r="AC8" s="48"/>
      <c r="AD8" s="48"/>
      <c r="AE8" s="20"/>
      <c r="AF8" s="20"/>
      <c r="AG8" s="48"/>
      <c r="AH8" s="48"/>
      <c r="AI8" s="48"/>
      <c r="AJ8" s="48"/>
      <c r="AK8" s="20"/>
      <c r="AL8" s="20"/>
      <c r="AM8" s="48"/>
      <c r="AN8" s="48"/>
      <c r="AO8" s="48"/>
      <c r="AP8" s="48"/>
      <c r="AQ8" s="20"/>
      <c r="AR8" s="20"/>
      <c r="AS8" s="48"/>
      <c r="AT8" s="48"/>
      <c r="AU8" s="48"/>
      <c r="AV8" s="48"/>
      <c r="AW8" s="20"/>
      <c r="AX8" s="20"/>
      <c r="AY8" s="48"/>
      <c r="AZ8" s="48"/>
      <c r="BA8" s="48"/>
      <c r="BB8" s="48"/>
      <c r="BC8" s="20"/>
      <c r="BD8" s="20"/>
      <c r="BE8" s="48"/>
      <c r="BF8" s="48"/>
      <c r="BG8" s="48"/>
      <c r="BH8" s="48"/>
      <c r="BI8" s="20"/>
      <c r="BJ8" s="20"/>
      <c r="BK8" s="48"/>
      <c r="BL8" s="48"/>
      <c r="BM8" s="48"/>
      <c r="BN8" s="48"/>
      <c r="BO8" s="20"/>
      <c r="BP8" s="20"/>
      <c r="BQ8" s="48"/>
      <c r="BR8" s="20"/>
      <c r="BS8" s="20"/>
      <c r="BT8" s="55"/>
      <c r="BU8" s="20"/>
      <c r="BV8" s="20"/>
      <c r="BW8" s="20"/>
      <c r="BX8" s="20"/>
      <c r="BY8" s="20"/>
    </row>
    <row r="9" spans="1:77" s="56" customFormat="1" ht="15.75" thickBot="1" x14ac:dyDescent="0.3">
      <c r="A9" s="80"/>
      <c r="B9" s="49"/>
      <c r="C9" s="20"/>
      <c r="D9" s="20"/>
      <c r="E9" s="20"/>
      <c r="F9" s="20"/>
      <c r="G9" s="20"/>
      <c r="H9" s="20"/>
      <c r="I9" s="20"/>
      <c r="J9" s="48"/>
      <c r="K9" s="48"/>
      <c r="L9" s="48"/>
      <c r="M9" s="20"/>
      <c r="N9" s="20"/>
      <c r="O9" s="48"/>
      <c r="P9" s="48"/>
      <c r="Q9" s="48"/>
      <c r="R9" s="48"/>
      <c r="S9" s="20"/>
      <c r="T9" s="20"/>
      <c r="U9" s="48"/>
      <c r="V9" s="48"/>
      <c r="W9" s="48"/>
      <c r="X9" s="48"/>
      <c r="Y9" s="48"/>
      <c r="Z9" s="20"/>
      <c r="AA9" s="48"/>
      <c r="AB9" s="48"/>
      <c r="AC9" s="48"/>
      <c r="AD9" s="48"/>
      <c r="AE9" s="20"/>
      <c r="AF9" s="20"/>
      <c r="AG9" s="48"/>
      <c r="AH9" s="48"/>
      <c r="AI9" s="48"/>
      <c r="AJ9" s="48"/>
      <c r="AK9" s="20"/>
      <c r="AL9" s="20"/>
      <c r="AM9" s="48"/>
      <c r="AN9" s="48"/>
      <c r="AO9" s="48"/>
      <c r="AP9" s="48"/>
      <c r="AQ9" s="20"/>
      <c r="AR9" s="20"/>
      <c r="AS9" s="48"/>
      <c r="AT9" s="48"/>
      <c r="AU9" s="48"/>
      <c r="AV9" s="48"/>
      <c r="AW9" s="20"/>
      <c r="AX9" s="20"/>
      <c r="AY9" s="48"/>
      <c r="AZ9" s="48"/>
      <c r="BA9" s="48"/>
      <c r="BB9" s="48"/>
      <c r="BC9" s="20"/>
      <c r="BD9" s="20"/>
      <c r="BE9" s="48"/>
      <c r="BF9" s="48"/>
      <c r="BG9" s="48"/>
      <c r="BH9" s="48"/>
      <c r="BI9" s="20"/>
      <c r="BJ9" s="20"/>
      <c r="BK9" s="48"/>
      <c r="BL9" s="48"/>
      <c r="BM9" s="48"/>
      <c r="BN9" s="48"/>
      <c r="BO9" s="20"/>
      <c r="BP9" s="20"/>
      <c r="BQ9" s="48"/>
      <c r="BR9" s="20"/>
      <c r="BS9" s="20"/>
      <c r="BT9" s="55"/>
      <c r="BU9" s="20"/>
      <c r="BV9" s="20"/>
      <c r="BW9" s="20"/>
      <c r="BX9" s="20"/>
      <c r="BY9" s="20"/>
    </row>
    <row r="10" spans="1:77" s="56" customFormat="1" ht="15.75" thickBot="1" x14ac:dyDescent="0.3">
      <c r="A10" s="80"/>
      <c r="B10" s="49"/>
      <c r="C10" s="20"/>
      <c r="D10" s="20"/>
      <c r="E10" s="20"/>
      <c r="F10" s="20"/>
      <c r="G10" s="20"/>
      <c r="H10" s="20"/>
      <c r="I10" s="20"/>
      <c r="J10" s="48"/>
      <c r="K10" s="48"/>
      <c r="L10" s="48"/>
      <c r="M10" s="20"/>
      <c r="N10" s="20"/>
      <c r="O10" s="48"/>
      <c r="P10" s="48"/>
      <c r="Q10" s="48"/>
      <c r="R10" s="48"/>
      <c r="S10" s="20"/>
      <c r="T10" s="20"/>
      <c r="U10" s="48"/>
      <c r="V10" s="48"/>
      <c r="W10" s="48"/>
      <c r="X10" s="48"/>
      <c r="Y10" s="48"/>
      <c r="Z10" s="20"/>
      <c r="AA10" s="48"/>
      <c r="AB10" s="48"/>
      <c r="AC10" s="48"/>
      <c r="AD10" s="48"/>
      <c r="AE10" s="20"/>
      <c r="AF10" s="20"/>
      <c r="AG10" s="48"/>
      <c r="AH10" s="48"/>
      <c r="AI10" s="48"/>
      <c r="AJ10" s="48"/>
      <c r="AK10" s="20"/>
      <c r="AL10" s="20"/>
      <c r="AM10" s="48"/>
      <c r="AN10" s="48"/>
      <c r="AO10" s="48"/>
      <c r="AP10" s="48"/>
      <c r="AQ10" s="20"/>
      <c r="AR10" s="20"/>
      <c r="AS10" s="48"/>
      <c r="AT10" s="48"/>
      <c r="AU10" s="48"/>
      <c r="AV10" s="48"/>
      <c r="AW10" s="20"/>
      <c r="AX10" s="20"/>
      <c r="AY10" s="48"/>
      <c r="AZ10" s="48"/>
      <c r="BA10" s="48"/>
      <c r="BB10" s="48"/>
      <c r="BC10" s="20"/>
      <c r="BD10" s="20"/>
      <c r="BE10" s="48"/>
      <c r="BF10" s="48"/>
      <c r="BG10" s="48"/>
      <c r="BH10" s="48"/>
      <c r="BI10" s="20"/>
      <c r="BJ10" s="20"/>
      <c r="BK10" s="48"/>
      <c r="BL10" s="48"/>
      <c r="BM10" s="48"/>
      <c r="BN10" s="48"/>
      <c r="BO10" s="20"/>
      <c r="BP10" s="20"/>
      <c r="BQ10" s="48"/>
      <c r="BR10" s="20"/>
      <c r="BS10" s="20"/>
      <c r="BT10" s="55"/>
      <c r="BU10" s="20"/>
      <c r="BV10" s="20"/>
      <c r="BW10" s="20"/>
      <c r="BX10" s="20"/>
      <c r="BY10" s="20"/>
    </row>
    <row r="11" spans="1:77" s="56" customFormat="1" ht="15.75" thickBot="1" x14ac:dyDescent="0.3">
      <c r="A11" s="80"/>
      <c r="B11" s="49"/>
      <c r="C11" s="20"/>
      <c r="D11" s="20"/>
      <c r="E11" s="20"/>
      <c r="F11" s="20"/>
      <c r="G11" s="20"/>
      <c r="H11" s="20"/>
      <c r="I11" s="20"/>
      <c r="J11" s="48"/>
      <c r="K11" s="48"/>
      <c r="L11" s="48"/>
      <c r="M11" s="20"/>
      <c r="N11" s="20"/>
      <c r="O11" s="48"/>
      <c r="P11" s="48"/>
      <c r="Q11" s="48"/>
      <c r="R11" s="48"/>
      <c r="S11" s="20"/>
      <c r="T11" s="20"/>
      <c r="U11" s="48"/>
      <c r="V11" s="48"/>
      <c r="W11" s="48"/>
      <c r="X11" s="48"/>
      <c r="Y11" s="48"/>
      <c r="Z11" s="20"/>
      <c r="AA11" s="48"/>
      <c r="AB11" s="48"/>
      <c r="AC11" s="48"/>
      <c r="AD11" s="48"/>
      <c r="AE11" s="20"/>
      <c r="AF11" s="20"/>
      <c r="AG11" s="48"/>
      <c r="AH11" s="48"/>
      <c r="AI11" s="48"/>
      <c r="AJ11" s="48"/>
      <c r="AK11" s="20"/>
      <c r="AL11" s="20"/>
      <c r="AM11" s="48"/>
      <c r="AN11" s="48"/>
      <c r="AO11" s="48"/>
      <c r="AP11" s="48"/>
      <c r="AQ11" s="20"/>
      <c r="AR11" s="20"/>
      <c r="AS11" s="48"/>
      <c r="AT11" s="48"/>
      <c r="AU11" s="48"/>
      <c r="AV11" s="48"/>
      <c r="AW11" s="20"/>
      <c r="AX11" s="20"/>
      <c r="AY11" s="48"/>
      <c r="AZ11" s="48"/>
      <c r="BA11" s="48"/>
      <c r="BB11" s="48"/>
      <c r="BC11" s="20"/>
      <c r="BD11" s="20"/>
      <c r="BE11" s="48"/>
      <c r="BF11" s="48"/>
      <c r="BG11" s="48"/>
      <c r="BH11" s="48"/>
      <c r="BI11" s="20"/>
      <c r="BJ11" s="20"/>
      <c r="BK11" s="48"/>
      <c r="BL11" s="48"/>
      <c r="BM11" s="48"/>
      <c r="BN11" s="48"/>
      <c r="BO11" s="20"/>
      <c r="BP11" s="20"/>
      <c r="BQ11" s="48"/>
      <c r="BR11" s="20"/>
      <c r="BS11" s="20"/>
      <c r="BT11" s="55"/>
      <c r="BU11" s="20"/>
      <c r="BV11" s="20"/>
      <c r="BW11" s="20"/>
      <c r="BX11" s="20"/>
      <c r="BY11" s="20"/>
    </row>
    <row r="12" spans="1:77" s="40" customFormat="1" ht="15.75" thickBot="1" x14ac:dyDescent="0.3">
      <c r="A12" s="75"/>
      <c r="B12" s="2"/>
      <c r="C12" s="1"/>
      <c r="D12" s="1"/>
      <c r="E12" s="1"/>
      <c r="F12" s="25"/>
      <c r="G12" s="1"/>
      <c r="H12" s="1"/>
      <c r="I12" s="1"/>
      <c r="J12" s="3"/>
      <c r="K12" s="3"/>
      <c r="L12" s="3"/>
      <c r="M12" s="1"/>
      <c r="N12" s="1"/>
      <c r="O12" s="3"/>
      <c r="P12" s="3"/>
      <c r="Q12" s="3"/>
      <c r="R12" s="3"/>
      <c r="S12" s="1"/>
      <c r="T12" s="1"/>
      <c r="U12" s="3"/>
      <c r="V12" s="3"/>
      <c r="W12" s="1"/>
      <c r="X12" s="1"/>
      <c r="Y12" s="1"/>
      <c r="Z12" s="1"/>
      <c r="AA12" s="1"/>
      <c r="AB12" s="3"/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3"/>
      <c r="AO12" s="1"/>
      <c r="AP12" s="1"/>
      <c r="AQ12" s="1"/>
      <c r="AR12" s="1"/>
      <c r="AS12" s="1"/>
      <c r="AT12" s="3"/>
      <c r="AU12" s="1"/>
      <c r="AV12" s="1"/>
      <c r="AW12" s="1"/>
      <c r="AX12" s="1"/>
      <c r="AY12" s="1"/>
      <c r="AZ12" s="3"/>
      <c r="BA12" s="1"/>
      <c r="BB12" s="1"/>
      <c r="BC12" s="1"/>
      <c r="BD12" s="1"/>
      <c r="BE12" s="1"/>
      <c r="BF12" s="3"/>
      <c r="BG12" s="1"/>
      <c r="BH12" s="1"/>
      <c r="BI12" s="1"/>
      <c r="BJ12" s="1"/>
      <c r="BK12" s="1"/>
      <c r="BL12" s="3"/>
      <c r="BM12" s="1"/>
      <c r="BN12" s="1"/>
      <c r="BO12" s="1"/>
      <c r="BP12" s="1"/>
      <c r="BQ12" s="1"/>
      <c r="BR12" s="19"/>
      <c r="BS12" s="1"/>
      <c r="BT12" s="37"/>
      <c r="BU12" s="1"/>
      <c r="BV12" s="1"/>
      <c r="BW12" s="1"/>
      <c r="BX12" s="1"/>
      <c r="BY12" s="39"/>
    </row>
    <row r="13" spans="1:77" s="40" customFormat="1" ht="15.75" thickBot="1" x14ac:dyDescent="0.3">
      <c r="A13" s="48"/>
      <c r="B13" s="49"/>
      <c r="C13" s="20"/>
      <c r="D13" s="20"/>
      <c r="E13" s="20"/>
      <c r="F13" s="20"/>
      <c r="G13" s="20"/>
      <c r="H13" s="20"/>
      <c r="I13" s="20"/>
      <c r="J13" s="48"/>
      <c r="K13" s="48"/>
      <c r="L13" s="48"/>
      <c r="M13" s="20"/>
      <c r="N13" s="20"/>
      <c r="O13" s="48"/>
      <c r="P13" s="48"/>
      <c r="Q13" s="20"/>
      <c r="R13" s="20"/>
      <c r="S13" s="20"/>
      <c r="T13" s="20"/>
      <c r="U13" s="20"/>
      <c r="V13" s="48"/>
      <c r="W13" s="20"/>
      <c r="X13" s="20"/>
      <c r="Y13" s="20"/>
      <c r="Z13" s="20"/>
      <c r="AA13" s="20"/>
      <c r="AB13" s="48"/>
      <c r="AC13" s="20"/>
      <c r="AD13" s="20"/>
      <c r="AE13" s="20"/>
      <c r="AF13" s="20"/>
      <c r="AG13" s="20"/>
      <c r="AH13" s="48"/>
      <c r="AI13" s="20"/>
      <c r="AJ13" s="20"/>
      <c r="AK13" s="20"/>
      <c r="AL13" s="20"/>
      <c r="AM13" s="20"/>
      <c r="AN13" s="48"/>
      <c r="AO13" s="20"/>
      <c r="AP13" s="20"/>
      <c r="AQ13" s="20"/>
      <c r="AR13" s="20"/>
      <c r="AS13" s="20"/>
      <c r="AT13" s="48"/>
      <c r="AU13" s="20"/>
      <c r="AV13" s="20"/>
      <c r="AW13" s="20"/>
      <c r="AX13" s="20"/>
      <c r="AY13" s="20"/>
      <c r="AZ13" s="48"/>
      <c r="BA13" s="20"/>
      <c r="BB13" s="20"/>
      <c r="BC13" s="20"/>
      <c r="BD13" s="20"/>
      <c r="BE13" s="20"/>
      <c r="BF13" s="48"/>
      <c r="BG13" s="20"/>
      <c r="BH13" s="20"/>
      <c r="BI13" s="20"/>
      <c r="BJ13" s="20"/>
      <c r="BK13" s="20"/>
      <c r="BL13" s="48"/>
      <c r="BM13" s="20"/>
      <c r="BN13" s="20"/>
      <c r="BO13" s="20"/>
      <c r="BP13" s="20"/>
      <c r="BQ13" s="20"/>
      <c r="BR13" s="20"/>
      <c r="BS13" s="20"/>
      <c r="BT13" s="50"/>
      <c r="BU13" s="20"/>
      <c r="BV13" s="20"/>
      <c r="BW13" s="20"/>
      <c r="BX13" s="20"/>
      <c r="BY13" s="39"/>
    </row>
    <row r="14" spans="1:77" hidden="1" x14ac:dyDescent="0.25">
      <c r="H14" s="4" t="str">
        <f t="shared" ref="H14:L23" si="1">J2</f>
        <v>AG</v>
      </c>
      <c r="I14" s="4">
        <f t="shared" si="1"/>
        <v>1500</v>
      </c>
      <c r="J14" s="4">
        <f t="shared" si="1"/>
        <v>8</v>
      </c>
      <c r="K14" s="4" t="str">
        <f t="shared" si="1"/>
        <v>Y</v>
      </c>
      <c r="L14" s="4" t="str">
        <f t="shared" si="1"/>
        <v>3L</v>
      </c>
      <c r="O14" s="28" t="str">
        <f>J2</f>
        <v>AG</v>
      </c>
      <c r="P14" s="4" t="str">
        <f t="shared" ref="P14:R23" si="2">N2</f>
        <v>3L</v>
      </c>
      <c r="Q14" s="4">
        <f t="shared" si="2"/>
        <v>3.5</v>
      </c>
      <c r="R14" s="4" t="str">
        <f t="shared" si="2"/>
        <v>AG</v>
      </c>
      <c r="S14" s="4" t="str">
        <f t="shared" ref="S14:U23" si="3">T2</f>
        <v>3L</v>
      </c>
      <c r="T14" s="4">
        <f t="shared" si="3"/>
        <v>3.5</v>
      </c>
      <c r="U14" s="4" t="str">
        <f t="shared" si="3"/>
        <v>AG</v>
      </c>
      <c r="V14" s="4" t="str">
        <f t="shared" ref="V14:X23" si="4">Z2</f>
        <v>3L</v>
      </c>
      <c r="W14" s="4">
        <f t="shared" si="4"/>
        <v>3.5</v>
      </c>
      <c r="X14" s="4" t="str">
        <f t="shared" si="4"/>
        <v>AG</v>
      </c>
      <c r="Y14" s="4" t="str">
        <f t="shared" ref="Y14:AA23" si="5">AF2</f>
        <v>3L</v>
      </c>
      <c r="Z14" s="4">
        <f t="shared" si="5"/>
        <v>3.5</v>
      </c>
      <c r="AA14" s="4">
        <f t="shared" si="5"/>
        <v>0</v>
      </c>
      <c r="AB14" s="4">
        <f t="shared" ref="AB14:AD23" si="6">AL2</f>
        <v>0</v>
      </c>
      <c r="AC14" s="4">
        <f t="shared" si="6"/>
        <v>0</v>
      </c>
      <c r="AD14" s="4">
        <f t="shared" si="6"/>
        <v>0</v>
      </c>
      <c r="AE14" s="4">
        <f t="shared" ref="AE14:AG23" si="7">AR2</f>
        <v>0</v>
      </c>
      <c r="AF14" s="4">
        <f t="shared" si="7"/>
        <v>0</v>
      </c>
      <c r="AG14" s="4">
        <f t="shared" si="7"/>
        <v>0</v>
      </c>
      <c r="AH14" s="4">
        <f t="shared" ref="AH14:AJ23" si="8">AX2</f>
        <v>0</v>
      </c>
      <c r="AI14" s="4">
        <f t="shared" si="8"/>
        <v>0</v>
      </c>
      <c r="AJ14" s="4">
        <f t="shared" si="8"/>
        <v>0</v>
      </c>
      <c r="AK14" s="4">
        <f t="shared" ref="AK14:AM23" si="9">BD2</f>
        <v>0</v>
      </c>
      <c r="AL14" s="4">
        <f t="shared" si="9"/>
        <v>0</v>
      </c>
      <c r="AM14" s="4">
        <f t="shared" si="9"/>
        <v>0</v>
      </c>
      <c r="AN14" s="4">
        <f t="shared" ref="AN14:AP23" si="10">BJ2</f>
        <v>0</v>
      </c>
      <c r="AO14" s="4">
        <f t="shared" si="10"/>
        <v>0</v>
      </c>
      <c r="AP14" s="4">
        <f t="shared" si="10"/>
        <v>0</v>
      </c>
      <c r="AQ14" s="4">
        <f t="shared" ref="AQ14:AR23" si="11">BP2</f>
        <v>0</v>
      </c>
      <c r="AR14" s="4">
        <f t="shared" si="11"/>
        <v>0</v>
      </c>
      <c r="AT14" s="28">
        <v>1</v>
      </c>
      <c r="AU14" s="29">
        <f>IF($P$14="3L",$Q$14,IF($S$14="3L",$T$14,IF($V$14="3L",$W$14,IF($Y$14="3L",$Z$14,IF($AB$14="3L",$AC$14,IF($AE$14="3L",$AF$14,IF($AH$14="3L",$AI$14,IF($AK$14="3L",$AL$14,IF($AN$14="3L",$AO$14,IF($AQ$14="3L",$AR$14,""))))))))))</f>
        <v>3.5</v>
      </c>
      <c r="AV14" s="29" t="str">
        <f>IF($P$14="4L",$Q$14,IF($S$14="4L",$T$14,IF($V$14="4L",$W$14,IF($Y$14="4L",$Z$14,IF($AB$14="4L",$AC$14,IF($AE$14="4L",$AF$14,IF($AH$14="4L",$AI$14,IF($AK$14="4L",$AL$14,IF($AN$14="4L",$AO$14,IF($AQ$14="4L",$AR$14,""))))))))))</f>
        <v/>
      </c>
      <c r="AW14" s="29" t="str">
        <f>IF($P$14="5L",$Q$14,IF($S$14="5L",$T$14,IF($V$14="5L",$W$14,IF($Y$14="5L",$Z$14,IF($AB$14="5L",$AC$14,IF($AE$14="5L",$AF$14,IF($AH$14="5L",$AI$14,IF($AK$14="5L",$AL$14,IF($AN$14="5L",$AO$14,IF($AQ$14="5L",$AR$14,""))))))))))</f>
        <v/>
      </c>
      <c r="AX14" s="29" t="str">
        <f>IF($P$14="6L",$Q$14,IF($S$14="6L",$T$14,IF($V$14="6L",$W$14,IF($Y$14="6L",$Z$14,IF($AB$14="6L",$AC$14,IF($AE$14="6L",$AF$14,IF($AH$14="6L",$AI$14,IF($AK$14="6L",$AL$14,IF($AN$14="6L",$AO$14,IF($AQ$14="6L",$AR$14,""))))))))))</f>
        <v/>
      </c>
      <c r="AY14" s="29" t="str">
        <f>IF($P$14="7L",$Q$14,IF($S$14="7L",$T$14,IF($V$14="7L",$W$14,IF($Y$14="7L",$Z$14,IF($AB$14="7L",$AC$14,IF($AE$14="7L",$AF$14,IF($AH$14="7L",$AI$14,IF($AK$14="7L",$AL$14,IF($AN$14="7L",$AO$14,IF($AQ$14="7L",$AR$14,""))))))))))</f>
        <v/>
      </c>
      <c r="AZ14" s="29" t="str">
        <f t="shared" ref="AZ14:AZ23" si="12">IF($O$14="LOFT",$Q$14,IF($R$14="LOFT",$T$14,IF($U$14="LOFT",$W$14,IF($X$14="LOFT",$Z$14,IF($AA$14="LOFT",$AC$14,IF($AD$14="LOFT",$AF$14,IF($AG$14="LOFT",$AI$14,IF($AJ$14="LOFT",$AL$14,IF($AM$14="LOFT",$AO$14,IF($AP$14="LOFT",$AR$14,""))))))))))</f>
        <v/>
      </c>
      <c r="BA14" s="29" t="str">
        <f t="shared" ref="BA14:BA23" si="13">IF($O$14="UT",$Q$14,IF($R$14="UT",$T$14,IF($U$14="UT",$W$14,IF($X$14="UT",$Z$14,IF($AA$14="UT",$AC$14,IF($AD$14="UT",$AF$14,IF($AG$14="UT",$AI$14,IF($AJ$14="UT",$AL$14,IF($AM$14="UT",$AO$14,IF($AP$14="UT",$AR$14,""))))))))))</f>
        <v/>
      </c>
      <c r="BB14" s="29" t="str">
        <f t="shared" ref="BB14:BB23" si="14">IF($O$14="HT",$Q$14,IF($R$14="HT",$T$14,IF($U$14="HT",$W$14,IF($X$14="HT",$Z$14,IF($AA$14="HT",$AC$14,IF($AD$14="HT",$AF$14,IF($AG$14="HT",$AI$14,IF($AJ$14="HT",$AL$14,IF($AM$14="HT",$AO$14,IF($AP$14="HT",$AR$14,""))))))))))</f>
        <v/>
      </c>
      <c r="BC14" s="29" t="str">
        <f t="shared" ref="BC14:BC23" si="15">IF($O$14="PURE",$Q$14,IF($R$14="PURE",$T$14,IF($U$14="PURE",$W$14,IF($X$14="PURE",$Z$14,IF($AA$14="PURE",$AC$14,IF($AD$14="PURE",$AF$14,IF($AG$14="PURE",$AI$14,IF($AJ$14="PURE",$AL$14,IF($AM$14="PURE",$AO$14,IF($AP$14="PURE",$AR$14,""))))))))))</f>
        <v/>
      </c>
      <c r="BD14" s="29" t="str">
        <f>IF($P$14="FUM",$Q$14,IF($S$14="FUM",$T$14,IF($V$14="FUM",$W$14,IF($Y$14="FUM",$Z$14,IF($AB$14="FUM",$AC$14,IF($AE$14="FUM",$AF$14,IF($AH$14="FUM",$AI$14,IF($AK$14="FUM",$AL$14,IF($AN$14="FUM",$AO$14,IF($AQ$14="FUM",$AR$14,""))))))))))</f>
        <v/>
      </c>
    </row>
    <row r="15" spans="1:77" hidden="1" x14ac:dyDescent="0.25">
      <c r="H15" s="4">
        <f t="shared" si="1"/>
        <v>0</v>
      </c>
      <c r="I15" s="4">
        <f t="shared" si="1"/>
        <v>0</v>
      </c>
      <c r="J15" s="4">
        <f t="shared" si="1"/>
        <v>0</v>
      </c>
      <c r="K15" s="4">
        <f t="shared" si="1"/>
        <v>0</v>
      </c>
      <c r="L15" s="4">
        <f t="shared" si="1"/>
        <v>0</v>
      </c>
      <c r="O15" s="28">
        <f t="shared" ref="O15:O23" si="16">J3</f>
        <v>0</v>
      </c>
      <c r="P15" s="4">
        <f t="shared" si="2"/>
        <v>0</v>
      </c>
      <c r="Q15" s="4">
        <f t="shared" si="2"/>
        <v>0</v>
      </c>
      <c r="R15" s="4">
        <f t="shared" si="2"/>
        <v>0</v>
      </c>
      <c r="S15" s="4">
        <f t="shared" si="3"/>
        <v>0</v>
      </c>
      <c r="T15" s="4">
        <f t="shared" si="3"/>
        <v>0</v>
      </c>
      <c r="U15" s="4">
        <f t="shared" si="3"/>
        <v>0</v>
      </c>
      <c r="V15" s="4">
        <f t="shared" si="4"/>
        <v>0</v>
      </c>
      <c r="W15" s="4">
        <f t="shared" si="4"/>
        <v>0</v>
      </c>
      <c r="X15" s="4">
        <f t="shared" si="4"/>
        <v>0</v>
      </c>
      <c r="Y15" s="4">
        <f t="shared" si="5"/>
        <v>0</v>
      </c>
      <c r="Z15" s="4">
        <f t="shared" si="5"/>
        <v>0</v>
      </c>
      <c r="AA15" s="4">
        <f t="shared" si="5"/>
        <v>0</v>
      </c>
      <c r="AB15" s="4">
        <f t="shared" si="6"/>
        <v>0</v>
      </c>
      <c r="AC15" s="4">
        <f t="shared" si="6"/>
        <v>0</v>
      </c>
      <c r="AD15" s="4">
        <f t="shared" si="6"/>
        <v>0</v>
      </c>
      <c r="AE15" s="4">
        <f t="shared" si="7"/>
        <v>0</v>
      </c>
      <c r="AF15" s="4">
        <f t="shared" si="7"/>
        <v>0</v>
      </c>
      <c r="AG15" s="4">
        <f t="shared" si="7"/>
        <v>0</v>
      </c>
      <c r="AH15" s="4">
        <f t="shared" si="8"/>
        <v>0</v>
      </c>
      <c r="AI15" s="4">
        <f t="shared" si="8"/>
        <v>0</v>
      </c>
      <c r="AJ15" s="4">
        <f t="shared" si="8"/>
        <v>0</v>
      </c>
      <c r="AK15" s="4">
        <f t="shared" si="9"/>
        <v>0</v>
      </c>
      <c r="AL15" s="4">
        <f t="shared" si="9"/>
        <v>0</v>
      </c>
      <c r="AM15" s="4">
        <f t="shared" si="9"/>
        <v>0</v>
      </c>
      <c r="AN15" s="4">
        <f t="shared" si="10"/>
        <v>0</v>
      </c>
      <c r="AO15" s="4">
        <f t="shared" si="10"/>
        <v>0</v>
      </c>
      <c r="AP15" s="4">
        <f t="shared" si="10"/>
        <v>0</v>
      </c>
      <c r="AQ15" s="4">
        <f t="shared" si="11"/>
        <v>0</v>
      </c>
      <c r="AR15" s="4">
        <f t="shared" si="11"/>
        <v>0</v>
      </c>
      <c r="AT15" s="28">
        <v>2</v>
      </c>
      <c r="AU15" s="29" t="str">
        <f>IF($P$15="3L",$Q$15,IF($S$15="3L",$T$15,IF($V$15="3L",$W$15,IF($Y$15="3L",$Z$15,IF($AB$15="3L",$AC$15,IF($AE$15="3L",$AF$15,IF($AH$15="3L",$AI$15,IF($AK$15="3L",$AL$15,IF($AN$15="3L",$AO$15,IF($AQ$15="3L",$AR$15,""))))))))))</f>
        <v/>
      </c>
      <c r="AV15" s="29" t="str">
        <f>IF($P$15="4L",$Q$15,IF($S$15="4L",$T$15,IF($V$15="4L",$W$15,IF($Y$15="4L",$Z$15,IF($AB$15="4L",$AC$15,IF($AE$15="4L",$AF$15,IF($AH$15="4L",$AI$15,IF($AK$15="4L",$AL$15,IF($AN$15="4L",$AO$15,IF($AQ$15="4L",$AR$15,""))))))))))</f>
        <v/>
      </c>
      <c r="AW15" s="29" t="str">
        <f>IF($P$15="5L",$Q$15,IF($S$15="5L",$T$15,IF($V$15="5L",$W$15,IF($Y$15="5L",$Z$15,IF($AB$15="5L",$AC$15,IF($AE$15="5L",$AF$15,IF($AH$15="5L",$AI$15,IF($AK$15="5L",$AL$15,IF($AN$15="5L",$AO$15,IF($AQ$15="5L",$AR$15,""))))))))))</f>
        <v/>
      </c>
      <c r="AX15" s="29" t="str">
        <f>IF($P$15="6L",$Q$15,IF($S$15="6L",$T$15,IF($V$15="6L",$W$15,IF($Y$15="6L",$Z$15,IF($AB$15="6L",$AC$15,IF($AE$15="6L",$AF$15,IF($AH$15="6L",$AI$15,IF($AK$15="6L",$AL$15,IF($AN$15="6L",$AO$15,IF($AQ$15="6L",$AR$15,""))))))))))</f>
        <v/>
      </c>
      <c r="AY15" s="29" t="str">
        <f>IF($P$15="7L",$Q$15,IF($S$15="7L",$T$15,IF($V$15="7L",$W$15,IF($Y$15="7L",$Z$15,IF($AB$15="7L",$AC$15,IF($AE$15="7L",$AF$15,IF($AH$15="7L",$AI$15,IF($AK$15="7L",$AL$15,IF($AN$15="7L",$AO$15,IF($AQ$15="7L",$AR$15,""))))))))))</f>
        <v/>
      </c>
      <c r="AZ15" s="29" t="str">
        <f t="shared" si="12"/>
        <v/>
      </c>
      <c r="BA15" s="29" t="str">
        <f t="shared" si="13"/>
        <v/>
      </c>
      <c r="BB15" s="29" t="str">
        <f t="shared" si="14"/>
        <v/>
      </c>
      <c r="BC15" s="29" t="str">
        <f t="shared" si="15"/>
        <v/>
      </c>
      <c r="BD15" s="29" t="str">
        <f>IF($P$15="FUM",$Q$15,IF($S$15="FUM",$T$15,IF($V$15="FUM",$W$15,IF($Y$15="FUM",$Z$15,IF($AB$15="FUM",$AC$15,IF($AE$15="FUM",$AF$15,IF($AH$15="FUM",$AI$15,IF($AK$15="FUM",$AL$15,IF($AN$15="FUM",$AO$15,IF($AQ$15="FUM",$AR$15,""))))))))))</f>
        <v/>
      </c>
    </row>
    <row r="16" spans="1:77" hidden="1" x14ac:dyDescent="0.25">
      <c r="H16" s="4">
        <f t="shared" si="1"/>
        <v>0</v>
      </c>
      <c r="I16" s="4">
        <f t="shared" si="1"/>
        <v>0</v>
      </c>
      <c r="J16" s="4">
        <f t="shared" si="1"/>
        <v>0</v>
      </c>
      <c r="K16" s="4">
        <f t="shared" si="1"/>
        <v>0</v>
      </c>
      <c r="L16" s="4">
        <f t="shared" si="1"/>
        <v>0</v>
      </c>
      <c r="O16" s="28">
        <f t="shared" si="16"/>
        <v>0</v>
      </c>
      <c r="P16" s="4">
        <f t="shared" si="2"/>
        <v>0</v>
      </c>
      <c r="Q16" s="4">
        <f t="shared" si="2"/>
        <v>0</v>
      </c>
      <c r="R16" s="4">
        <f t="shared" si="2"/>
        <v>0</v>
      </c>
      <c r="S16" s="4">
        <f t="shared" si="3"/>
        <v>0</v>
      </c>
      <c r="T16" s="4">
        <f t="shared" si="3"/>
        <v>0</v>
      </c>
      <c r="U16" s="4">
        <f t="shared" si="3"/>
        <v>0</v>
      </c>
      <c r="V16" s="4">
        <f t="shared" si="4"/>
        <v>0</v>
      </c>
      <c r="W16" s="4">
        <f t="shared" si="4"/>
        <v>0</v>
      </c>
      <c r="X16" s="4">
        <f t="shared" si="4"/>
        <v>0</v>
      </c>
      <c r="Y16" s="4">
        <f t="shared" si="5"/>
        <v>0</v>
      </c>
      <c r="Z16" s="4">
        <f t="shared" si="5"/>
        <v>0</v>
      </c>
      <c r="AA16" s="4">
        <f t="shared" si="5"/>
        <v>0</v>
      </c>
      <c r="AB16" s="4">
        <f t="shared" si="6"/>
        <v>0</v>
      </c>
      <c r="AC16" s="4">
        <f t="shared" si="6"/>
        <v>0</v>
      </c>
      <c r="AD16" s="4">
        <f t="shared" si="6"/>
        <v>0</v>
      </c>
      <c r="AE16" s="4">
        <f t="shared" si="7"/>
        <v>0</v>
      </c>
      <c r="AF16" s="4">
        <f t="shared" si="7"/>
        <v>0</v>
      </c>
      <c r="AG16" s="4">
        <f t="shared" si="7"/>
        <v>0</v>
      </c>
      <c r="AH16" s="4">
        <f t="shared" si="8"/>
        <v>0</v>
      </c>
      <c r="AI16" s="4">
        <f t="shared" si="8"/>
        <v>0</v>
      </c>
      <c r="AJ16" s="4">
        <f t="shared" si="8"/>
        <v>0</v>
      </c>
      <c r="AK16" s="4">
        <f t="shared" si="9"/>
        <v>0</v>
      </c>
      <c r="AL16" s="4">
        <f t="shared" si="9"/>
        <v>0</v>
      </c>
      <c r="AM16" s="4">
        <f t="shared" si="9"/>
        <v>0</v>
      </c>
      <c r="AN16" s="4">
        <f t="shared" si="10"/>
        <v>0</v>
      </c>
      <c r="AO16" s="4">
        <f t="shared" si="10"/>
        <v>0</v>
      </c>
      <c r="AP16" s="4">
        <f t="shared" si="10"/>
        <v>0</v>
      </c>
      <c r="AQ16" s="4">
        <f t="shared" si="11"/>
        <v>0</v>
      </c>
      <c r="AR16" s="4">
        <f t="shared" si="11"/>
        <v>0</v>
      </c>
      <c r="AT16" s="28">
        <v>3</v>
      </c>
      <c r="AU16" s="29" t="str">
        <f>IF($P$16="3L",$Q$16,IF($S$16="3L",$T$16,IF($V$16="3L",$W$16,IF($Y$16="3L",$Z$16,IF($AB$16="3L",$AC$16,IF($AE$16="3L",$AF$16,IF($AH$16="3L",$AI$16,IF($AK$16="3L",$AL$16,IF($AN$16="3L",$AO$16,IF($AQ$16="3L",$AR$16,""))))))))))</f>
        <v/>
      </c>
      <c r="AV16" s="29" t="str">
        <f>IF($P$16="4L",$Q$16,IF($S$16="4L",$T$16,IF($V$16="4L",$W$16,IF($Y$16="4L",$Z$16,IF($AB$16="4L",$AC$16,IF($AE$16="4L",$AF$16,IF($AH$16="4L",$AI$16,IF($AK$16="4L",$AL$16,IF($AN$16="4L",$AO$16,IF($AQ$16="4L",$AR$16,""))))))))))</f>
        <v/>
      </c>
      <c r="AW16" s="29" t="str">
        <f>IF($P$16="5L",$Q$16,IF($S$16="5L",$T$16,IF($V$16="5L",$W$16,IF($Y$16="5L",$Z$16,IF($AB$16="5L",$AC$16,IF($AE$16="5L",$AF$16,IF($AH$16="5L",$AI$16,IF($AK$16="5L",$AL$16,IF($AN$16="5L",$AO$16,IF($AQ$16="5L",$AR$16,""))))))))))</f>
        <v/>
      </c>
      <c r="AX16" s="29" t="str">
        <f>IF($P$16="6L",$Q$16,IF($S$16="6L",$T$16,IF($V$16="6L",$W$16,IF($Y$16="6L",$Z$16,IF($AB$16="6L",$AC$16,IF($AE$16="6L",$AF$16,IF($AH$16="6L",$AI$16,IF($AK$16="6L",$AL$16,IF($AN$16="6L",$AO$16,IF($AQ$16="6L",$AR$16,""))))))))))</f>
        <v/>
      </c>
      <c r="AY16" s="29" t="str">
        <f>IF($P$16="7L",$Q$16,IF($S$16="7L",$T$16,IF($V$16="7L",$W$16,IF($Y$16="7L",$Z$16,IF($AB$16="7L",$AC$16,IF($AE$16="7L",$AF$16,IF($AH$16="7L",$AI$16,IF($AK$16="7L",$AL$16,IF($AN$16="7L",$AO$16,IF($AQ$16="7L",$AR$16,""))))))))))</f>
        <v/>
      </c>
      <c r="AZ16" s="29" t="str">
        <f t="shared" si="12"/>
        <v/>
      </c>
      <c r="BA16" s="29" t="str">
        <f t="shared" si="13"/>
        <v/>
      </c>
      <c r="BB16" s="29" t="str">
        <f t="shared" si="14"/>
        <v/>
      </c>
      <c r="BC16" s="29" t="str">
        <f t="shared" si="15"/>
        <v/>
      </c>
      <c r="BD16" s="29" t="str">
        <f>IF($P$16="FUM",$Q$16,IF($S$16="FUM",$T$16,IF($V$16="FUM",$W$16,IF($Y$16="FUM",$Z$16,IF($AB$16="FUM",$AC$16,IF($AE$16="FUM",$AF$16,IF($AH$16="FUM",$AI$16,IF($AK$16="FUM",$AL$16,IF($AN$16="FUM",$AO$16,IF($AQ$16="FUM",$AR$16,""))))))))))</f>
        <v/>
      </c>
    </row>
    <row r="17" spans="8:56" hidden="1" x14ac:dyDescent="0.25">
      <c r="H17" s="4">
        <f t="shared" si="1"/>
        <v>0</v>
      </c>
      <c r="I17" s="4">
        <f t="shared" si="1"/>
        <v>0</v>
      </c>
      <c r="J17" s="4">
        <f t="shared" si="1"/>
        <v>0</v>
      </c>
      <c r="K17" s="4">
        <f t="shared" si="1"/>
        <v>0</v>
      </c>
      <c r="L17" s="4">
        <f t="shared" si="1"/>
        <v>0</v>
      </c>
      <c r="O17" s="28">
        <f t="shared" si="16"/>
        <v>0</v>
      </c>
      <c r="P17" s="4">
        <f t="shared" si="2"/>
        <v>0</v>
      </c>
      <c r="Q17" s="4">
        <f t="shared" si="2"/>
        <v>0</v>
      </c>
      <c r="R17" s="4">
        <f t="shared" si="2"/>
        <v>0</v>
      </c>
      <c r="S17" s="4">
        <f t="shared" si="3"/>
        <v>0</v>
      </c>
      <c r="T17" s="4">
        <f t="shared" si="3"/>
        <v>0</v>
      </c>
      <c r="U17" s="4">
        <f t="shared" si="3"/>
        <v>0</v>
      </c>
      <c r="V17" s="4">
        <f t="shared" si="4"/>
        <v>0</v>
      </c>
      <c r="W17" s="4">
        <f t="shared" si="4"/>
        <v>0</v>
      </c>
      <c r="X17" s="4">
        <f t="shared" si="4"/>
        <v>0</v>
      </c>
      <c r="Y17" s="4">
        <f t="shared" si="5"/>
        <v>0</v>
      </c>
      <c r="Z17" s="4">
        <f t="shared" si="5"/>
        <v>0</v>
      </c>
      <c r="AA17" s="4">
        <f t="shared" si="5"/>
        <v>0</v>
      </c>
      <c r="AB17" s="4">
        <f t="shared" si="6"/>
        <v>0</v>
      </c>
      <c r="AC17" s="4">
        <f t="shared" si="6"/>
        <v>0</v>
      </c>
      <c r="AD17" s="4">
        <f t="shared" si="6"/>
        <v>0</v>
      </c>
      <c r="AE17" s="4">
        <f t="shared" si="7"/>
        <v>0</v>
      </c>
      <c r="AF17" s="4">
        <f t="shared" si="7"/>
        <v>0</v>
      </c>
      <c r="AG17" s="4">
        <f t="shared" si="7"/>
        <v>0</v>
      </c>
      <c r="AH17" s="4">
        <f t="shared" si="8"/>
        <v>0</v>
      </c>
      <c r="AI17" s="4">
        <f t="shared" si="8"/>
        <v>0</v>
      </c>
      <c r="AJ17" s="4">
        <f t="shared" si="8"/>
        <v>0</v>
      </c>
      <c r="AK17" s="4">
        <f t="shared" si="9"/>
        <v>0</v>
      </c>
      <c r="AL17" s="4">
        <f t="shared" si="9"/>
        <v>0</v>
      </c>
      <c r="AM17" s="4">
        <f t="shared" si="9"/>
        <v>0</v>
      </c>
      <c r="AN17" s="4">
        <f t="shared" si="10"/>
        <v>0</v>
      </c>
      <c r="AO17" s="4">
        <f t="shared" si="10"/>
        <v>0</v>
      </c>
      <c r="AP17" s="4">
        <f t="shared" si="10"/>
        <v>0</v>
      </c>
      <c r="AQ17" s="4">
        <f t="shared" si="11"/>
        <v>0</v>
      </c>
      <c r="AR17" s="4">
        <f t="shared" si="11"/>
        <v>0</v>
      </c>
      <c r="AT17" s="28">
        <v>4</v>
      </c>
      <c r="AU17" s="29" t="str">
        <f>IF($P$17="3L",$Q$17,IF($S$17="3L",$T$17,IF($V$17="3L",$W$17,IF($Y$17="3L",$Z$17,IF($AB$17="3L",$AC$17,IF($AE$17="3L",$AF$17,IF($AH$17="3L",$AI$17,IF($AK$17="3L",$AL$17,IF($AN$17="3L",$AO$17,IF($AQ$17="3L",$AR$17,""))))))))))</f>
        <v/>
      </c>
      <c r="AV17" s="29" t="str">
        <f>IF($P$17="4L",$Q$17,IF($S$17="4L",$T$17,IF($V$17="4L",$W$17,IF($Y$17="4L",$Z$17,IF($AB$17="4L",$AC$17,IF($AE$17="4L",$AF$17,IF($AH$17="4L",$AI$17,IF($AK$17="4L",$AL$17,IF($AN$17="4L",$AO$17,IF($AQ$17="4L",$AR$17,""))))))))))</f>
        <v/>
      </c>
      <c r="AW17" s="29" t="str">
        <f>IF($P$17="5L",$Q$17,IF($S$17="5L",$T$17,IF($V$17="5L",$W$17,IF($Y$17="5L",$Z$17,IF($AB$17="5L",$AC$17,IF($AE$17="5L",$AF$17,IF($AH$17="5L",$AI$17,IF($AK$17="5L",$AL$17,IF($AN$17="5L",$AO$17,IF($AQ$17="5L",$AR$17,""))))))))))</f>
        <v/>
      </c>
      <c r="AX17" s="29" t="str">
        <f>IF($P$17="6L",$Q$17,IF($S$17="6L",$T$17,IF($V$17="6L",$W$17,IF($Y$17="6L",$Z$17,IF($AB$17="6L",$AC$17,IF($AE$17="6L",$AF$17,IF($AH$17="6L",$AI$17,IF($AK$17="6L",$AL$17,IF($AN$17="6L",$AO$17,IF($AQ$17="6L",$AR$17,""))))))))))</f>
        <v/>
      </c>
      <c r="AY17" s="29" t="str">
        <f>IF($P$17="7L",$Q$17,IF($S$17="7L",$T$17,IF($V$17="7L",$W$17,IF($Y$17="7L",$Z$17,IF($AB$17="7L",$AC$17,IF($AE$17="7L",$AF$17,IF($AH$17="7L",$AI$17,IF($AK$17="7L",$AL$17,IF($AN$17="7L",$AO$17,IF($AQ$17="7L",$AR$17,""))))))))))</f>
        <v/>
      </c>
      <c r="AZ17" s="29" t="str">
        <f t="shared" si="12"/>
        <v/>
      </c>
      <c r="BA17" s="29" t="str">
        <f t="shared" si="13"/>
        <v/>
      </c>
      <c r="BB17" s="29" t="str">
        <f t="shared" si="14"/>
        <v/>
      </c>
      <c r="BC17" s="29" t="str">
        <f t="shared" si="15"/>
        <v/>
      </c>
      <c r="BD17" s="29" t="str">
        <f>IF($P$17="FUM",$Q$17,IF($S$17="FUM",$T$17,IF($V$17="FUM",$W$17,IF($Y$17="FUM",$Z$17,IF($AB$17="FUM",$AC$17,IF($AE$17="FUM",$AF$17,IF($AH$17="FUM",$AI$17,IF($AK$17="FUM",$AL$17,IF($AN$17="FUM",$AO$17,IF($AQ$17="FUM",$AR$17,""))))))))))</f>
        <v/>
      </c>
    </row>
    <row r="18" spans="8:56" hidden="1" x14ac:dyDescent="0.25">
      <c r="H18" s="4">
        <f t="shared" si="1"/>
        <v>0</v>
      </c>
      <c r="I18" s="4">
        <f t="shared" si="1"/>
        <v>0</v>
      </c>
      <c r="J18" s="4">
        <f t="shared" si="1"/>
        <v>0</v>
      </c>
      <c r="K18" s="4">
        <f t="shared" si="1"/>
        <v>0</v>
      </c>
      <c r="L18" s="4">
        <f t="shared" si="1"/>
        <v>0</v>
      </c>
      <c r="O18" s="28">
        <f t="shared" si="16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3"/>
        <v>0</v>
      </c>
      <c r="T18" s="4">
        <f t="shared" si="3"/>
        <v>0</v>
      </c>
      <c r="U18" s="4">
        <f t="shared" si="3"/>
        <v>0</v>
      </c>
      <c r="V18" s="4">
        <f t="shared" si="4"/>
        <v>0</v>
      </c>
      <c r="W18" s="4">
        <f t="shared" si="4"/>
        <v>0</v>
      </c>
      <c r="X18" s="4">
        <f t="shared" si="4"/>
        <v>0</v>
      </c>
      <c r="Y18" s="4">
        <f t="shared" si="5"/>
        <v>0</v>
      </c>
      <c r="Z18" s="4">
        <f t="shared" si="5"/>
        <v>0</v>
      </c>
      <c r="AA18" s="4">
        <f t="shared" si="5"/>
        <v>0</v>
      </c>
      <c r="AB18" s="4">
        <f t="shared" si="6"/>
        <v>0</v>
      </c>
      <c r="AC18" s="4">
        <f t="shared" si="6"/>
        <v>0</v>
      </c>
      <c r="AD18" s="4">
        <f t="shared" si="6"/>
        <v>0</v>
      </c>
      <c r="AE18" s="4">
        <f t="shared" si="7"/>
        <v>0</v>
      </c>
      <c r="AF18" s="4">
        <f t="shared" si="7"/>
        <v>0</v>
      </c>
      <c r="AG18" s="4">
        <f t="shared" si="7"/>
        <v>0</v>
      </c>
      <c r="AH18" s="4">
        <f t="shared" si="8"/>
        <v>0</v>
      </c>
      <c r="AI18" s="4">
        <f t="shared" si="8"/>
        <v>0</v>
      </c>
      <c r="AJ18" s="4">
        <f t="shared" si="8"/>
        <v>0</v>
      </c>
      <c r="AK18" s="4">
        <f t="shared" si="9"/>
        <v>0</v>
      </c>
      <c r="AL18" s="4">
        <f t="shared" si="9"/>
        <v>0</v>
      </c>
      <c r="AM18" s="4">
        <f t="shared" si="9"/>
        <v>0</v>
      </c>
      <c r="AN18" s="4">
        <f t="shared" si="10"/>
        <v>0</v>
      </c>
      <c r="AO18" s="4">
        <f t="shared" si="10"/>
        <v>0</v>
      </c>
      <c r="AP18" s="4">
        <f t="shared" si="10"/>
        <v>0</v>
      </c>
      <c r="AQ18" s="4">
        <f t="shared" si="11"/>
        <v>0</v>
      </c>
      <c r="AR18" s="4">
        <f t="shared" si="11"/>
        <v>0</v>
      </c>
      <c r="AT18" s="28">
        <v>5</v>
      </c>
      <c r="AU18" s="29" t="str">
        <f>IF($P$18="3L",$Q$18,IF($S$18="3L",$T$18,IF($V$18="3L",$W$18,IF($Y$18="3L",$Z$18,IF($AB$18="3L",$AC$18,IF($AE$18="3L",$AF$18,IF($AH$18="3L",$AI$18,IF($AK$18="3L",$AL$18,IF($AN$18="3L",$AO$18,IF($AQ$18="3L",$AR$18,""))))))))))</f>
        <v/>
      </c>
      <c r="AV18" s="29" t="str">
        <f>IF($P$18="4L",$Q$18,IF($S$18="4L",$T$18,IF($V$18="4L",$W$18,IF($Y$18="4L",$Z$18,IF($AB$18="4L",$AC$18,IF($AE$18="4L",$AF$18,IF($AH$18="4L",$AI$18,IF($AK$18="4L",$AL$18,IF($AN$18="4L",$AO$18,IF($AQ$18="4L",$AR$18,""))))))))))</f>
        <v/>
      </c>
      <c r="AW18" s="29" t="str">
        <f>IF($P$18="5L",$Q$18,IF($S$18="5L",$T$18,IF($V$18="5L",$W$18,IF($Y$18="5L",$Z$18,IF($AB$18="5L",$AC$18,IF($AE$18="5L",$AF$18,IF($AH$18="5L",$AI$18,IF($AK$18="5L",$AL$18,IF($AN$18="5L",$AO$18,IF($AQ$18="5L",$AR$18,""))))))))))</f>
        <v/>
      </c>
      <c r="AX18" s="29" t="str">
        <f>IF($P$18="6L",$Q$18,IF($S$18="6L",$T$18,IF($V$18="6L",$W$18,IF($Y$18="6L",$Z$18,IF($AB$18="6L",$AC$18,IF($AE$18="6L",$AF$18,IF($AH$18="6L",$AI$18,IF($AK$18="6L",$AL$18,IF($AN$18="6L",$AO$18,IF($AQ$18="6L",$AR$18,""))))))))))</f>
        <v/>
      </c>
      <c r="AY18" s="29" t="str">
        <f>IF($P$18="7L",$Q$18,IF($S$18="7L",$T$18,IF($V$18="7L",$W$18,IF($Y$18="7L",$Z$18,IF($AB$18="7L",$AC$18,IF($AE$18="7L",$AF$18,IF($AH$18="7L",$AI$18,IF($AK$18="7L",$AL$18,IF($AN$18="7L",$AO$18,IF($AQ$18="7L",$AR$18,""))))))))))</f>
        <v/>
      </c>
      <c r="AZ18" s="29" t="str">
        <f t="shared" si="12"/>
        <v/>
      </c>
      <c r="BA18" s="29" t="str">
        <f t="shared" si="13"/>
        <v/>
      </c>
      <c r="BB18" s="29" t="str">
        <f t="shared" si="14"/>
        <v/>
      </c>
      <c r="BC18" s="29" t="str">
        <f t="shared" si="15"/>
        <v/>
      </c>
      <c r="BD18" s="29" t="str">
        <f>IF($P$18="FUM",$Q$18,IF($S$18="FUM",$T$18,IF($V$18="FUM",$W$18,IF($Y$18="FUM",$Z$18,IF($AB$18="FUM",$AC$18,IF($AE$18="FUM",$AF$18,IF($AH$18="FUM",$AI$18,IF($AK$18="FUM",$AL$18,IF($AN$18="FUM",$AO$18,IF($AQ$18="FUM",$AR$18,""))))))))))</f>
        <v/>
      </c>
    </row>
    <row r="19" spans="8:56" hidden="1" x14ac:dyDescent="0.25"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0</v>
      </c>
      <c r="L19" s="4">
        <f t="shared" si="1"/>
        <v>0</v>
      </c>
      <c r="O19" s="28">
        <f t="shared" si="16"/>
        <v>0</v>
      </c>
      <c r="P19" s="4">
        <f t="shared" si="2"/>
        <v>0</v>
      </c>
      <c r="Q19" s="4">
        <f t="shared" si="2"/>
        <v>0</v>
      </c>
      <c r="R19" s="4">
        <f t="shared" si="2"/>
        <v>0</v>
      </c>
      <c r="S19" s="4">
        <f t="shared" si="3"/>
        <v>0</v>
      </c>
      <c r="T19" s="4">
        <f t="shared" si="3"/>
        <v>0</v>
      </c>
      <c r="U19" s="4">
        <f t="shared" si="3"/>
        <v>0</v>
      </c>
      <c r="V19" s="4">
        <f t="shared" si="4"/>
        <v>0</v>
      </c>
      <c r="W19" s="4">
        <f t="shared" si="4"/>
        <v>0</v>
      </c>
      <c r="X19" s="4">
        <f t="shared" si="4"/>
        <v>0</v>
      </c>
      <c r="Y19" s="4">
        <f t="shared" si="5"/>
        <v>0</v>
      </c>
      <c r="Z19" s="4">
        <f t="shared" si="5"/>
        <v>0</v>
      </c>
      <c r="AA19" s="4">
        <f t="shared" si="5"/>
        <v>0</v>
      </c>
      <c r="AB19" s="4">
        <f t="shared" si="6"/>
        <v>0</v>
      </c>
      <c r="AC19" s="4">
        <f t="shared" si="6"/>
        <v>0</v>
      </c>
      <c r="AD19" s="4">
        <f t="shared" si="6"/>
        <v>0</v>
      </c>
      <c r="AE19" s="4">
        <f t="shared" si="7"/>
        <v>0</v>
      </c>
      <c r="AF19" s="4">
        <f t="shared" si="7"/>
        <v>0</v>
      </c>
      <c r="AG19" s="4">
        <f t="shared" si="7"/>
        <v>0</v>
      </c>
      <c r="AH19" s="4">
        <f t="shared" si="8"/>
        <v>0</v>
      </c>
      <c r="AI19" s="4">
        <f t="shared" si="8"/>
        <v>0</v>
      </c>
      <c r="AJ19" s="4">
        <f t="shared" si="8"/>
        <v>0</v>
      </c>
      <c r="AK19" s="4">
        <f t="shared" si="9"/>
        <v>0</v>
      </c>
      <c r="AL19" s="4">
        <f t="shared" si="9"/>
        <v>0</v>
      </c>
      <c r="AM19" s="4">
        <f t="shared" si="9"/>
        <v>0</v>
      </c>
      <c r="AN19" s="4">
        <f t="shared" si="10"/>
        <v>0</v>
      </c>
      <c r="AO19" s="4">
        <f t="shared" si="10"/>
        <v>0</v>
      </c>
      <c r="AP19" s="4">
        <f t="shared" si="10"/>
        <v>0</v>
      </c>
      <c r="AQ19" s="4">
        <f t="shared" si="11"/>
        <v>0</v>
      </c>
      <c r="AR19" s="4">
        <f t="shared" si="11"/>
        <v>0</v>
      </c>
      <c r="AT19" s="28">
        <v>6</v>
      </c>
      <c r="AU19" s="29" t="str">
        <f>IF($P$19="3L",$Q$19,IF($S$19="3L",$T$19,IF($V$19="3L",$W$19,IF($Y$19="3L",$Z$19,IF($AB$19="3L",$AC$19,IF($AE$19="3L",$AF$19,IF($AH$19="3L",$AI$19,IF($AK$19="3L",$AL$19,IF($AN$19="3L",$AO$19,IF($AQ$19="3L",$AR$19,""))))))))))</f>
        <v/>
      </c>
      <c r="AV19" s="29" t="str">
        <f>IF($P$19="4L",$Q$19,IF($S$19="4L",$T$19,IF($V$19="4L",$W$19,IF($Y$19="4L",$Z$19,IF($AB$19="4L",$AC$19,IF($AE$19="4L",$AF$19,IF($AH$19="4L",$AI$19,IF($AK$19="4L",$AL$19,IF($AN$19="4L",$AO$19,IF($AQ$19="4L",$AR$19,""))))))))))</f>
        <v/>
      </c>
      <c r="AW19" s="29" t="str">
        <f>IF($P$19="5L",$Q$19,IF($S$19="5L",$T$19,IF($V$19="5L",$W$19,IF($Y$19="5L",$Z$19,IF($AB$19="5L",$AC$19,IF($AE$19="5L",$AF$19,IF($AH$19="5L",$AI$19,IF($AK$19="5L",$AL$19,IF($AN$19="5L",$AO$19,IF($AQ$19="5L",$AR$19,""))))))))))</f>
        <v/>
      </c>
      <c r="AX19" s="29" t="str">
        <f>IF($P$19="6L",$Q$19,IF($S$19="6L",$T$19,IF($V$19="6L",$W$19,IF($Y$19="6L",$Z$19,IF($AB$19="6L",$AC$19,IF($AE$19="6L",$AF$19,IF($AH$19="6L",$AI$19,IF($AK$19="6L",$AL$19,IF($AN$19="6L",$AO$19,IF($AQ$19="6L",$AR$19,""))))))))))</f>
        <v/>
      </c>
      <c r="AY19" s="29" t="str">
        <f>IF($P$19="7L",$Q$19,IF($S$19="7L",$T$19,IF($V$19="7L",$W$19,IF($Y$19="7L",$Z$19,IF($AB$19="7L",$AC$19,IF($AE$19="7L",$AF$19,IF($AH$19="7L",$AI$19,IF($AK$19="7L",$AL$19,IF($AN$19="7L",$AO$19,IF($AQ$19="7L",$AR$19,""))))))))))</f>
        <v/>
      </c>
      <c r="AZ19" s="29" t="str">
        <f t="shared" si="12"/>
        <v/>
      </c>
      <c r="BA19" s="29" t="str">
        <f t="shared" si="13"/>
        <v/>
      </c>
      <c r="BB19" s="29" t="str">
        <f t="shared" si="14"/>
        <v/>
      </c>
      <c r="BC19" s="29" t="str">
        <f t="shared" si="15"/>
        <v/>
      </c>
      <c r="BD19" s="29" t="str">
        <f>IF($P$19="FUM",$Q$19,IF($S$19="FUM",$T$19,IF($V$19="FUM",$W$19,IF($Y$19="FUM",$Z$19,IF($AB$19="FUM",$AC$19,IF($AE$19="FUM",$AF$19,IF($AH$19="FUM",$AI$19,IF($AK$19="FUM",$AL$19,IF($AN$19="FUM",$AO$19,IF($AQ$19="FUM",$AR$19,""))))))))))</f>
        <v/>
      </c>
    </row>
    <row r="20" spans="8:56" hidden="1" x14ac:dyDescent="0.25"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0</v>
      </c>
      <c r="O20" s="28">
        <f t="shared" si="16"/>
        <v>0</v>
      </c>
      <c r="P20" s="4">
        <f t="shared" si="2"/>
        <v>0</v>
      </c>
      <c r="Q20" s="4">
        <f t="shared" si="2"/>
        <v>0</v>
      </c>
      <c r="R20" s="4">
        <f t="shared" si="2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4"/>
        <v>0</v>
      </c>
      <c r="W20" s="4">
        <f t="shared" si="4"/>
        <v>0</v>
      </c>
      <c r="X20" s="4">
        <f t="shared" si="4"/>
        <v>0</v>
      </c>
      <c r="Y20" s="4">
        <f t="shared" si="5"/>
        <v>0</v>
      </c>
      <c r="Z20" s="4">
        <f t="shared" si="5"/>
        <v>0</v>
      </c>
      <c r="AA20" s="4">
        <f t="shared" si="5"/>
        <v>0</v>
      </c>
      <c r="AB20" s="4">
        <f t="shared" si="6"/>
        <v>0</v>
      </c>
      <c r="AC20" s="4">
        <f t="shared" si="6"/>
        <v>0</v>
      </c>
      <c r="AD20" s="4">
        <f t="shared" si="6"/>
        <v>0</v>
      </c>
      <c r="AE20" s="4">
        <f t="shared" si="7"/>
        <v>0</v>
      </c>
      <c r="AF20" s="4">
        <f t="shared" si="7"/>
        <v>0</v>
      </c>
      <c r="AG20" s="4">
        <f t="shared" si="7"/>
        <v>0</v>
      </c>
      <c r="AH20" s="4">
        <f t="shared" si="8"/>
        <v>0</v>
      </c>
      <c r="AI20" s="4">
        <f t="shared" si="8"/>
        <v>0</v>
      </c>
      <c r="AJ20" s="4">
        <f t="shared" si="8"/>
        <v>0</v>
      </c>
      <c r="AK20" s="4">
        <f t="shared" si="9"/>
        <v>0</v>
      </c>
      <c r="AL20" s="4">
        <f t="shared" si="9"/>
        <v>0</v>
      </c>
      <c r="AM20" s="4">
        <f t="shared" si="9"/>
        <v>0</v>
      </c>
      <c r="AN20" s="4">
        <f t="shared" si="10"/>
        <v>0</v>
      </c>
      <c r="AO20" s="4">
        <f t="shared" si="10"/>
        <v>0</v>
      </c>
      <c r="AP20" s="4">
        <f t="shared" si="10"/>
        <v>0</v>
      </c>
      <c r="AQ20" s="4">
        <f t="shared" si="11"/>
        <v>0</v>
      </c>
      <c r="AR20" s="4">
        <f t="shared" si="11"/>
        <v>0</v>
      </c>
      <c r="AT20" s="28">
        <v>7</v>
      </c>
      <c r="AU20" s="29" t="str">
        <f>IF($P$20="3L",$Q$20,IF($S$20="3L",$T$20,IF($V$20="3L",$W$20,IF($Y$20="3L",$Z$20,IF($AB$20="3L",$AC$20,IF($AE$20="3L",$AF$20,IF($AH$20="3L",$AI$20,IF($AK$20="3L",$AL$20,IF($AN$20="3L",$AO$20,IF($AQ$20="3L",$AR$20,""))))))))))</f>
        <v/>
      </c>
      <c r="AV20" s="29" t="str">
        <f>IF($P$20="4L",$Q$20,IF($S$20="4L",$T$20,IF($V$20="4L",$W$20,IF($Y$20="4L",$Z$20,IF($AB$20="4L",$AC$20,IF($AE$20="4L",$AF$20,IF($AH$20="4L",$AI$20,IF($AK$20="4L",$AL$20,IF($AN$20="4L",$AO$20,IF($AQ$20="4L",$AR$20,""))))))))))</f>
        <v/>
      </c>
      <c r="AW20" s="29" t="str">
        <f>IF($P$20="5L",$Q$20,IF($S$20="5L",$T$20,IF($V$20="5L",$W$20,IF($Y$20="5L",$Z$20,IF($AB$20="5L",$AC$20,IF($AE$20="5L",$AF$20,IF($AH$20="5L",$AI$20,IF($AK$20="5L",$AL$20,IF($AN$20="5L",$AO$20,IF($AQ$20="5L",$AR$20,""))))))))))</f>
        <v/>
      </c>
      <c r="AX20" s="29" t="str">
        <f>IF($P$20="6L",$Q$20,IF($S$20="6L",$T$20,IF($V$20="6L",$W$20,IF($Y$20="6L",$Z$20,IF($AB$20="6L",$AC$20,IF($AE$20="6L",$AF$20,IF($AH$20="6L",$AI$20,IF($AK$20="6L",$AL$20,IF($AN$20="6L",$AO$20,IF($AQ$20="6L",$AR$20,""))))))))))</f>
        <v/>
      </c>
      <c r="AY20" s="29" t="str">
        <f>IF($P$20="7L",$Q$20,IF($S$20="7L",$T$20,IF($V$20="7L",$W$20,IF($Y$20="7L",$Z$20,IF($AB$20="7L",$AC$20,IF($AE$20="7L",$AF$20,IF($AH$20="7L",$AI$20,IF($AK$20="7L",$AL$20,IF($AN$20="7L",$AO$20,IF($AQ$20="7L",$AR$20,""))))))))))</f>
        <v/>
      </c>
      <c r="AZ20" s="29" t="str">
        <f t="shared" si="12"/>
        <v/>
      </c>
      <c r="BA20" s="29" t="str">
        <f t="shared" si="13"/>
        <v/>
      </c>
      <c r="BB20" s="29" t="str">
        <f t="shared" si="14"/>
        <v/>
      </c>
      <c r="BC20" s="29" t="str">
        <f t="shared" si="15"/>
        <v/>
      </c>
      <c r="BD20" s="29" t="str">
        <f>IF($P$20="FUM",$Q$20,IF($S$20="FUM",$T$20,IF($V$20="FUM",$W$20,IF($Y$20="FUM",$Z$20,IF($AB$20="FUM",$AC$20,IF($AE$20="FUM",$AF$20,IF($AH$20="FUM",$AI$20,IF($AK$20="FUM",$AL$20,IF($AN$20="FUM",$AO$20,IF($AQ$20="FUM",$AR$20,""))))))))))</f>
        <v/>
      </c>
    </row>
    <row r="21" spans="8:56" hidden="1" x14ac:dyDescent="0.25">
      <c r="H21" s="4">
        <f t="shared" si="1"/>
        <v>0</v>
      </c>
      <c r="I21" s="4">
        <f t="shared" si="1"/>
        <v>0</v>
      </c>
      <c r="J21" s="4">
        <f t="shared" si="1"/>
        <v>0</v>
      </c>
      <c r="K21" s="4">
        <f t="shared" si="1"/>
        <v>0</v>
      </c>
      <c r="L21" s="4">
        <f t="shared" si="1"/>
        <v>0</v>
      </c>
      <c r="O21" s="28">
        <f t="shared" si="16"/>
        <v>0</v>
      </c>
      <c r="P21" s="4">
        <f t="shared" si="2"/>
        <v>0</v>
      </c>
      <c r="Q21" s="4">
        <f t="shared" si="2"/>
        <v>0</v>
      </c>
      <c r="R21" s="4">
        <f t="shared" si="2"/>
        <v>0</v>
      </c>
      <c r="S21" s="4">
        <f t="shared" si="3"/>
        <v>0</v>
      </c>
      <c r="T21" s="4">
        <f t="shared" si="3"/>
        <v>0</v>
      </c>
      <c r="U21" s="4">
        <f t="shared" si="3"/>
        <v>0</v>
      </c>
      <c r="V21" s="4">
        <f t="shared" si="4"/>
        <v>0</v>
      </c>
      <c r="W21" s="4">
        <f t="shared" si="4"/>
        <v>0</v>
      </c>
      <c r="X21" s="4">
        <f t="shared" si="4"/>
        <v>0</v>
      </c>
      <c r="Y21" s="4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6"/>
        <v>0</v>
      </c>
      <c r="AC21" s="4">
        <f t="shared" si="6"/>
        <v>0</v>
      </c>
      <c r="AD21" s="4">
        <f t="shared" si="6"/>
        <v>0</v>
      </c>
      <c r="AE21" s="4">
        <f t="shared" si="7"/>
        <v>0</v>
      </c>
      <c r="AF21" s="4">
        <f t="shared" si="7"/>
        <v>0</v>
      </c>
      <c r="AG21" s="4">
        <f t="shared" si="7"/>
        <v>0</v>
      </c>
      <c r="AH21" s="4">
        <f t="shared" si="8"/>
        <v>0</v>
      </c>
      <c r="AI21" s="4">
        <f t="shared" si="8"/>
        <v>0</v>
      </c>
      <c r="AJ21" s="4">
        <f t="shared" si="8"/>
        <v>0</v>
      </c>
      <c r="AK21" s="4">
        <f t="shared" si="9"/>
        <v>0</v>
      </c>
      <c r="AL21" s="4">
        <f t="shared" si="9"/>
        <v>0</v>
      </c>
      <c r="AM21" s="4">
        <f t="shared" si="9"/>
        <v>0</v>
      </c>
      <c r="AN21" s="4">
        <f t="shared" si="10"/>
        <v>0</v>
      </c>
      <c r="AO21" s="4">
        <f t="shared" si="10"/>
        <v>0</v>
      </c>
      <c r="AP21" s="4">
        <f t="shared" si="10"/>
        <v>0</v>
      </c>
      <c r="AQ21" s="4">
        <f t="shared" si="11"/>
        <v>0</v>
      </c>
      <c r="AR21" s="4">
        <f t="shared" si="11"/>
        <v>0</v>
      </c>
      <c r="AT21" s="28">
        <v>8</v>
      </c>
      <c r="AU21" s="29" t="str">
        <f>IF($P$21="3L",$Q$21,IF($S$21="3L",$T$21,IF($V$21="3L",$W$21,IF($Y$21="3L",$Z$21,IF($AB$21="3L",$AC$21,IF($AE$21="3L",$AF$21,IF($AH$21="3L",$AI$21,IF($AK$21="3L",$AL$21,IF($AN$21="3L",$AO$21,IF($AQ$21="3L",$AR$21,""))))))))))</f>
        <v/>
      </c>
      <c r="AV21" s="29" t="str">
        <f>IF($P$21="4L",$Q$21,IF($S$21="4L",$T$21,IF($V$21="4L",$W$21,IF($Y$21="4L",$Z$21,IF($AB$21="4L",$AC$21,IF($AE$21="4L",$AF$21,IF($AH$21="4L",$AI$21,IF($AK$21="4L",$AL$21,IF($AN$21="4L",$AO$21,IF($AQ$21="4L",$AR$21,""))))))))))</f>
        <v/>
      </c>
      <c r="AW21" s="29" t="str">
        <f>IF($P$21="5L",$Q$21,IF($S$21="5L",$T$21,IF($V$21="5L",$W$21,IF($Y$21="5L",$Z$21,IF($AB$21="5L",$AC$21,IF($AE$21="5L",$AF$21,IF($AH$21="5L",$AI$21,IF($AK$21="5L",$AL$21,IF($AN$21="5L",$AO$21,IF($AQ$21="5L",$AR$21,""))))))))))</f>
        <v/>
      </c>
      <c r="AX21" s="29" t="str">
        <f>IF($P$21="6L",$Q$21,IF($S$21="6L",$T$21,IF($V$21="6L",$W$21,IF($Y$21="6L",$Z$21,IF($AB$21="6L",$AC$21,IF($AE$21="6L",$AF$21,IF($AH$21="6L",$AI$21,IF($AK$21="6L",$AL$21,IF($AN$21="6L",$AO$21,IF($AQ$21="6L",$AR$21,""))))))))))</f>
        <v/>
      </c>
      <c r="AY21" s="29" t="str">
        <f>IF($P$21="7L",$Q$21,IF($S$21="7L",$T$21,IF($V$21="7L",$W$21,IF($Y$21="7L",$Z$21,IF($AB$21="7L",$AC$21,IF($AE$21="7L",$AF$21,IF($AH$21="7L",$AI$21,IF($AK$21="7L",$AL$21,IF($AN$21="7L",$AO$21,IF($AQ$21="7L",$AR$21,""))))))))))</f>
        <v/>
      </c>
      <c r="AZ21" s="29" t="str">
        <f t="shared" si="12"/>
        <v/>
      </c>
      <c r="BA21" s="29" t="str">
        <f t="shared" si="13"/>
        <v/>
      </c>
      <c r="BB21" s="29" t="str">
        <f t="shared" si="14"/>
        <v/>
      </c>
      <c r="BC21" s="29" t="str">
        <f t="shared" si="15"/>
        <v/>
      </c>
      <c r="BD21" s="29" t="str">
        <f>IF($P$21="FUM",$Q$21,IF($S$21="FUM",$T$21,IF($V$21="FUM",$W$21,IF($Y$21="FUM",$Z$21,IF($AB$21="FUM",$AC$21,IF($AE$21="FUM",$AF$21,IF($AH$21="FUM",$AI$21,IF($AK$21="FUM",$AL$21,IF($AN$21="FUM",$AO$21,IF($AQ$21="FUM",$AR$21,""))))))))))</f>
        <v/>
      </c>
    </row>
    <row r="22" spans="8:56" hidden="1" x14ac:dyDescent="0.25">
      <c r="H22" s="4">
        <f t="shared" si="1"/>
        <v>0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O22" s="28">
        <f t="shared" si="16"/>
        <v>0</v>
      </c>
      <c r="P22" s="4">
        <f t="shared" si="2"/>
        <v>0</v>
      </c>
      <c r="Q22" s="4">
        <f t="shared" si="2"/>
        <v>0</v>
      </c>
      <c r="R22" s="4">
        <f t="shared" si="2"/>
        <v>0</v>
      </c>
      <c r="S22" s="4">
        <f t="shared" si="3"/>
        <v>0</v>
      </c>
      <c r="T22" s="4">
        <f t="shared" si="3"/>
        <v>0</v>
      </c>
      <c r="U22" s="4">
        <f t="shared" si="3"/>
        <v>0</v>
      </c>
      <c r="V22" s="4">
        <f t="shared" si="4"/>
        <v>0</v>
      </c>
      <c r="W22" s="4">
        <f t="shared" si="4"/>
        <v>0</v>
      </c>
      <c r="X22" s="4">
        <f t="shared" si="4"/>
        <v>0</v>
      </c>
      <c r="Y22" s="4">
        <f t="shared" si="5"/>
        <v>0</v>
      </c>
      <c r="Z22" s="4">
        <f t="shared" si="5"/>
        <v>0</v>
      </c>
      <c r="AA22" s="4">
        <f t="shared" si="5"/>
        <v>0</v>
      </c>
      <c r="AB22" s="4">
        <f t="shared" si="6"/>
        <v>0</v>
      </c>
      <c r="AC22" s="4">
        <f t="shared" si="6"/>
        <v>0</v>
      </c>
      <c r="AD22" s="4">
        <f t="shared" si="6"/>
        <v>0</v>
      </c>
      <c r="AE22" s="4">
        <f t="shared" si="7"/>
        <v>0</v>
      </c>
      <c r="AF22" s="4">
        <f t="shared" si="7"/>
        <v>0</v>
      </c>
      <c r="AG22" s="4">
        <f t="shared" si="7"/>
        <v>0</v>
      </c>
      <c r="AH22" s="4">
        <f t="shared" si="8"/>
        <v>0</v>
      </c>
      <c r="AI22" s="4">
        <f t="shared" si="8"/>
        <v>0</v>
      </c>
      <c r="AJ22" s="4">
        <f t="shared" si="8"/>
        <v>0</v>
      </c>
      <c r="AK22" s="4">
        <f t="shared" si="9"/>
        <v>0</v>
      </c>
      <c r="AL22" s="4">
        <f t="shared" si="9"/>
        <v>0</v>
      </c>
      <c r="AM22" s="4">
        <f t="shared" si="9"/>
        <v>0</v>
      </c>
      <c r="AN22" s="4">
        <f t="shared" si="10"/>
        <v>0</v>
      </c>
      <c r="AO22" s="4">
        <f t="shared" si="10"/>
        <v>0</v>
      </c>
      <c r="AP22" s="4">
        <f t="shared" si="10"/>
        <v>0</v>
      </c>
      <c r="AQ22" s="4">
        <f t="shared" si="11"/>
        <v>0</v>
      </c>
      <c r="AR22" s="4">
        <f t="shared" si="11"/>
        <v>0</v>
      </c>
      <c r="AT22" s="28">
        <v>9</v>
      </c>
      <c r="AU22" s="29" t="str">
        <f>IF($P$22="3L",$Q$22,IF($S$22="3L",$T$22,IF($V$22="3L",$W$22,IF($Y$22="3L",$Z$22,IF($AB$22="3L",$AC$22,IF($AE$22="3L",$AF$22,IF($AH$22="3L",$AI$22,IF($AK$22="3L",$AL$22,IF($AN$22="3L",$AO$22,IF($AQ$22="3L",$AR$22,""))))))))))</f>
        <v/>
      </c>
      <c r="AV22" s="29" t="str">
        <f>IF($P$22="4L",$Q$22,IF($S$22="4L",$T$22,IF($V$22="4L",$W$22,IF($Y$22="4L",$Z$22,IF($AB$22="4L",$AC$22,IF($AE$22="4L",$AF$22,IF($AH$22="4L",$AI$22,IF($AK$22="4L",$AL$22,IF($AN$22="4L",$AO$22,IF($AQ$22="4L",$AR$22,""))))))))))</f>
        <v/>
      </c>
      <c r="AW22" s="29" t="str">
        <f>IF($P$22="5L",$Q$22,IF($S$22="5L",$T$22,IF($V$22="5L",$W$22,IF($Y$22="5L",$Z$22,IF($AB$22="5L",$AC$22,IF($AE$22="5L",$AF$22,IF($AH$22="5L",$AI$22,IF($AK$22="5L",$AL$22,IF($AN$22="5L",$AO$22,IF($AQ$22="5L",$AR$22,""))))))))))</f>
        <v/>
      </c>
      <c r="AX22" s="29" t="str">
        <f>IF($P$22="6L",$Q$22,IF($S$22="6L",$T$22,IF($V$22="6L",$W$22,IF($Y$22="6L",$Z$22,IF($AB$22="6L",$AC$22,IF($AE$22="6L",$AF$22,IF($AH$22="6L",$AI$22,IF($AK$22="6L",$AL$22,IF($AN$22="6L",$AO$22,IF($AQ$22="6L",$AR$22,""))))))))))</f>
        <v/>
      </c>
      <c r="AY22" s="29" t="str">
        <f>IF($P$22="7L",$Q$22,IF($S$22="7L",$T$22,IF($V$22="7L",$W$22,IF($Y$22="7L",$Z$22,IF($AB$22="7L",$AC$22,IF($AE$22="7L",$AF$22,IF($AH$22="7L",$AI$22,IF($AK$22="7L",$AL$22,IF($AN$22="7L",$AO$22,IF($AQ$22="7L",$AR$22,""))))))))))</f>
        <v/>
      </c>
      <c r="AZ22" s="29" t="str">
        <f t="shared" si="12"/>
        <v/>
      </c>
      <c r="BA22" s="29" t="str">
        <f t="shared" si="13"/>
        <v/>
      </c>
      <c r="BB22" s="29" t="str">
        <f t="shared" si="14"/>
        <v/>
      </c>
      <c r="BC22" s="29" t="str">
        <f t="shared" si="15"/>
        <v/>
      </c>
      <c r="BD22" s="29" t="str">
        <f>IF($P$22="FUM",$Q$22,IF($S$22="FUM",$T$22,IF($V$22="FUM",$W$22,IF($Y$22="FUM",$Z$22,IF($AB$22="FUM",$AC$22,IF($AE$22="FUM",$AF$22,IF($AH$22="FUM",$AI$22,IF($AK$22="FUM",$AL$22,IF($AN$22="FUM",$AO$22,IF($AQ$22="FUM",$AR$22,""))))))))))</f>
        <v/>
      </c>
    </row>
    <row r="23" spans="8:56" hidden="1" x14ac:dyDescent="0.25">
      <c r="H23" s="4">
        <f t="shared" si="1"/>
        <v>0</v>
      </c>
      <c r="I23" s="4">
        <f t="shared" si="1"/>
        <v>0</v>
      </c>
      <c r="J23" s="4">
        <f t="shared" si="1"/>
        <v>0</v>
      </c>
      <c r="K23" s="4">
        <f t="shared" si="1"/>
        <v>0</v>
      </c>
      <c r="L23" s="4">
        <f t="shared" si="1"/>
        <v>0</v>
      </c>
      <c r="O23" s="28">
        <f t="shared" si="16"/>
        <v>0</v>
      </c>
      <c r="P23" s="4">
        <f t="shared" si="2"/>
        <v>0</v>
      </c>
      <c r="Q23" s="4">
        <f t="shared" si="2"/>
        <v>0</v>
      </c>
      <c r="R23" s="4">
        <f t="shared" si="2"/>
        <v>0</v>
      </c>
      <c r="S23" s="4">
        <f t="shared" si="3"/>
        <v>0</v>
      </c>
      <c r="T23" s="4">
        <f t="shared" si="3"/>
        <v>0</v>
      </c>
      <c r="U23" s="4">
        <f t="shared" si="3"/>
        <v>0</v>
      </c>
      <c r="V23" s="4">
        <f t="shared" si="4"/>
        <v>0</v>
      </c>
      <c r="W23" s="4">
        <f t="shared" si="4"/>
        <v>0</v>
      </c>
      <c r="X23" s="4">
        <f t="shared" si="4"/>
        <v>0</v>
      </c>
      <c r="Y23" s="4">
        <f t="shared" si="5"/>
        <v>0</v>
      </c>
      <c r="Z23" s="4">
        <f t="shared" si="5"/>
        <v>0</v>
      </c>
      <c r="AA23" s="4">
        <f t="shared" si="5"/>
        <v>0</v>
      </c>
      <c r="AB23" s="4">
        <f t="shared" si="6"/>
        <v>0</v>
      </c>
      <c r="AC23" s="4">
        <f t="shared" si="6"/>
        <v>0</v>
      </c>
      <c r="AD23" s="4">
        <f t="shared" si="6"/>
        <v>0</v>
      </c>
      <c r="AE23" s="4">
        <f t="shared" si="7"/>
        <v>0</v>
      </c>
      <c r="AF23" s="4">
        <f t="shared" si="7"/>
        <v>0</v>
      </c>
      <c r="AG23" s="4">
        <f t="shared" si="7"/>
        <v>0</v>
      </c>
      <c r="AH23" s="4">
        <f t="shared" si="8"/>
        <v>0</v>
      </c>
      <c r="AI23" s="4">
        <f t="shared" si="8"/>
        <v>0</v>
      </c>
      <c r="AJ23" s="4">
        <f t="shared" si="8"/>
        <v>0</v>
      </c>
      <c r="AK23" s="4">
        <f t="shared" si="9"/>
        <v>0</v>
      </c>
      <c r="AL23" s="4">
        <f t="shared" si="9"/>
        <v>0</v>
      </c>
      <c r="AM23" s="4">
        <f t="shared" si="9"/>
        <v>0</v>
      </c>
      <c r="AN23" s="4">
        <f t="shared" si="10"/>
        <v>0</v>
      </c>
      <c r="AO23" s="4">
        <f t="shared" si="10"/>
        <v>0</v>
      </c>
      <c r="AP23" s="4">
        <f t="shared" si="10"/>
        <v>0</v>
      </c>
      <c r="AQ23" s="4">
        <f t="shared" si="11"/>
        <v>0</v>
      </c>
      <c r="AR23" s="4">
        <f t="shared" si="11"/>
        <v>0</v>
      </c>
      <c r="AT23" s="28">
        <v>10</v>
      </c>
      <c r="AU23" s="29" t="str">
        <f>IF($P$23="3L",$Q$23,IF($S$23="3L",$T$23,IF($V$23="3L",$W$23,IF($Y$23="3L",$Z$23,IF($AB$23="3L",$AC$23,IF($AE$23="3L",$AF$23,IF($AH$23="3L",$AI$23,IF($AK$23="3L",$AL$23,IF($AN$23="3L",$AO$23,IF($AQ$23="3L",$AR$23,""))))))))))</f>
        <v/>
      </c>
      <c r="AV23" s="29" t="str">
        <f>IF($P$23="4L",$Q$23,IF($S$23="4L",$T$23,IF($V$23="4L",$W$23,IF($Y$23="4L",$Z$23,IF($AB$23="4L",$AC$23,IF($AE$23="4L",$AF$23,IF($AH$23="4L",$AI$23,IF($AK$23="4L",$AL$23,IF($AN$23="4L",$AO$23,IF($AQ$23="4L",$AR$23,""))))))))))</f>
        <v/>
      </c>
      <c r="AW23" s="29" t="str">
        <f>IF($P$23="5L",$Q$23,IF($S$23="5L",$T$23,IF($V$23="5L",$W$23,IF($Y$23="5L",$Z$23,IF($AB$23="5L",$AC$23,IF($AE$23="5L",$AF$23,IF($AH$23="5L",$AI$23,IF($AK$23="5L",$AL$23,IF($AN$23="5L",$AO$23,IF($AQ$23="5L",$AR$23,""))))))))))</f>
        <v/>
      </c>
      <c r="AX23" s="29" t="str">
        <f>IF($P$23="6L",$Q$23,IF($S$23="6L",$T$23,IF($V$23="6L",$W$23,IF($Y$23="6L",$Z$23,IF($AB$23="6L",$AC$23,IF($AE$23="6L",$AF$23,IF($AH$23="6L",$AI$23,IF($AK$23="6L",$AL$23,IF($AN$23="6L",$AO$23,IF($AQ$23="6L",$AR$23,""))))))))))</f>
        <v/>
      </c>
      <c r="AY23" s="29" t="str">
        <f>IF($P$23="7L",$Q$23,IF($S$23="7L",$T$23,IF($V$23="7L",$W$23,IF($Y$23="7L",$Z$23,IF($AB$23="7L",$AC$23,IF($AE$23="7L",$AF$23,IF($AH$23="7L",$AI$23,IF($AK$23="7L",$AL$23,IF($AN$23="7L",$AO$23,IF($AQ$23="7L",$AR$23,""))))))))))</f>
        <v/>
      </c>
      <c r="AZ23" s="29" t="str">
        <f t="shared" si="12"/>
        <v/>
      </c>
      <c r="BA23" s="29" t="str">
        <f t="shared" si="13"/>
        <v/>
      </c>
      <c r="BB23" s="29" t="str">
        <f t="shared" si="14"/>
        <v/>
      </c>
      <c r="BC23" s="29" t="str">
        <f t="shared" si="15"/>
        <v/>
      </c>
      <c r="BD23" s="29" t="str">
        <f>IF($P$23="FUM",$Q$23,IF($S$23="FUM",$T$23,IF($V$23="FUM",$W$23,IF($Y$23="FUM",$Z$23,IF($AB$23="FUM",$AC$23,IF($AE$23="FUM",$AF$23,IF($AH$23="FUM",$AI$23,IF($AK$23="FUM",$AL$23,IF($AN$23="FUM",$AO$23,IF($AQ$23="FUM",$AR$23,""))))))))))</f>
        <v/>
      </c>
    </row>
    <row r="24" spans="8:56" hidden="1" x14ac:dyDescent="0.25">
      <c r="H24" s="4" t="str">
        <f t="shared" ref="H24:L33" si="17">P2</f>
        <v>AG</v>
      </c>
      <c r="I24" s="4">
        <f t="shared" si="17"/>
        <v>1000</v>
      </c>
      <c r="J24" s="4">
        <f t="shared" si="17"/>
        <v>10</v>
      </c>
      <c r="K24" s="4" t="str">
        <f t="shared" si="17"/>
        <v>Y</v>
      </c>
      <c r="L24" s="4" t="str">
        <f t="shared" si="17"/>
        <v>3L</v>
      </c>
    </row>
    <row r="25" spans="8:56" hidden="1" x14ac:dyDescent="0.25">
      <c r="H25" s="4">
        <f t="shared" si="17"/>
        <v>0</v>
      </c>
      <c r="I25" s="4">
        <f t="shared" si="17"/>
        <v>0</v>
      </c>
      <c r="J25" s="4">
        <f t="shared" si="17"/>
        <v>0</v>
      </c>
      <c r="K25" s="4">
        <f t="shared" si="17"/>
        <v>0</v>
      </c>
      <c r="L25" s="4">
        <f t="shared" si="17"/>
        <v>0</v>
      </c>
    </row>
    <row r="26" spans="8:56" hidden="1" x14ac:dyDescent="0.25">
      <c r="H26" s="4">
        <f t="shared" si="17"/>
        <v>0</v>
      </c>
      <c r="I26" s="4">
        <f t="shared" si="17"/>
        <v>0</v>
      </c>
      <c r="J26" s="4">
        <f t="shared" si="17"/>
        <v>0</v>
      </c>
      <c r="K26" s="4">
        <f t="shared" si="17"/>
        <v>0</v>
      </c>
      <c r="L26" s="4">
        <f t="shared" si="17"/>
        <v>0</v>
      </c>
    </row>
    <row r="27" spans="8:56" hidden="1" x14ac:dyDescent="0.25">
      <c r="H27" s="4">
        <f t="shared" si="17"/>
        <v>0</v>
      </c>
      <c r="I27" s="4">
        <f t="shared" si="17"/>
        <v>0</v>
      </c>
      <c r="J27" s="4">
        <f t="shared" si="17"/>
        <v>0</v>
      </c>
      <c r="K27" s="4">
        <f t="shared" si="17"/>
        <v>0</v>
      </c>
      <c r="L27" s="4">
        <f t="shared" si="17"/>
        <v>0</v>
      </c>
    </row>
    <row r="28" spans="8:56" hidden="1" x14ac:dyDescent="0.25">
      <c r="H28" s="4">
        <f t="shared" si="17"/>
        <v>0</v>
      </c>
      <c r="I28" s="4">
        <f t="shared" si="17"/>
        <v>0</v>
      </c>
      <c r="J28" s="4">
        <f t="shared" si="17"/>
        <v>0</v>
      </c>
      <c r="K28" s="4">
        <f t="shared" si="17"/>
        <v>0</v>
      </c>
      <c r="L28" s="4">
        <f t="shared" si="17"/>
        <v>0</v>
      </c>
    </row>
    <row r="29" spans="8:56" hidden="1" x14ac:dyDescent="0.25"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</row>
    <row r="30" spans="8:56" hidden="1" x14ac:dyDescent="0.25">
      <c r="H30" s="4">
        <f t="shared" si="17"/>
        <v>0</v>
      </c>
      <c r="I30" s="4">
        <f t="shared" si="17"/>
        <v>0</v>
      </c>
      <c r="J30" s="4">
        <f t="shared" si="17"/>
        <v>0</v>
      </c>
      <c r="K30" s="4">
        <f t="shared" si="17"/>
        <v>0</v>
      </c>
      <c r="L30" s="4">
        <f t="shared" si="17"/>
        <v>0</v>
      </c>
    </row>
    <row r="31" spans="8:56" hidden="1" x14ac:dyDescent="0.25">
      <c r="H31" s="4">
        <f t="shared" si="17"/>
        <v>0</v>
      </c>
      <c r="I31" s="4">
        <f t="shared" si="17"/>
        <v>0</v>
      </c>
      <c r="J31" s="4">
        <f t="shared" si="17"/>
        <v>0</v>
      </c>
      <c r="K31" s="4">
        <f t="shared" si="17"/>
        <v>0</v>
      </c>
      <c r="L31" s="4">
        <f t="shared" si="17"/>
        <v>0</v>
      </c>
    </row>
    <row r="32" spans="8:56" hidden="1" x14ac:dyDescent="0.25">
      <c r="H32" s="4">
        <f t="shared" si="17"/>
        <v>0</v>
      </c>
      <c r="I32" s="4">
        <f t="shared" si="17"/>
        <v>0</v>
      </c>
      <c r="J32" s="4">
        <f t="shared" si="17"/>
        <v>0</v>
      </c>
      <c r="K32" s="4">
        <f t="shared" si="17"/>
        <v>0</v>
      </c>
      <c r="L32" s="4">
        <f t="shared" si="17"/>
        <v>0</v>
      </c>
    </row>
    <row r="33" spans="8:12" hidden="1" x14ac:dyDescent="0.25">
      <c r="H33" s="4">
        <f t="shared" si="17"/>
        <v>0</v>
      </c>
      <c r="I33" s="4">
        <f t="shared" si="17"/>
        <v>0</v>
      </c>
      <c r="J33" s="4">
        <f t="shared" si="17"/>
        <v>0</v>
      </c>
      <c r="K33" s="4">
        <f t="shared" si="17"/>
        <v>0</v>
      </c>
      <c r="L33" s="4">
        <f t="shared" si="17"/>
        <v>0</v>
      </c>
    </row>
    <row r="34" spans="8:12" hidden="1" x14ac:dyDescent="0.25">
      <c r="H34" s="4" t="str">
        <f t="shared" ref="H34:L43" si="18">V2</f>
        <v>AG</v>
      </c>
      <c r="I34" s="4">
        <f t="shared" si="18"/>
        <v>750</v>
      </c>
      <c r="J34" s="4">
        <f t="shared" si="18"/>
        <v>10</v>
      </c>
      <c r="K34" s="4" t="str">
        <f t="shared" si="18"/>
        <v>Y</v>
      </c>
      <c r="L34" s="4" t="str">
        <f t="shared" si="18"/>
        <v>3L</v>
      </c>
    </row>
    <row r="35" spans="8:12" hidden="1" x14ac:dyDescent="0.25">
      <c r="H35" s="4">
        <f t="shared" si="18"/>
        <v>0</v>
      </c>
      <c r="I35" s="4">
        <f t="shared" si="18"/>
        <v>0</v>
      </c>
      <c r="J35" s="4">
        <f t="shared" si="18"/>
        <v>0</v>
      </c>
      <c r="K35" s="4">
        <f t="shared" si="18"/>
        <v>0</v>
      </c>
      <c r="L35" s="4">
        <f t="shared" si="18"/>
        <v>0</v>
      </c>
    </row>
    <row r="36" spans="8:12" hidden="1" x14ac:dyDescent="0.25">
      <c r="H36" s="4">
        <f t="shared" si="18"/>
        <v>0</v>
      </c>
      <c r="I36" s="4">
        <f t="shared" si="18"/>
        <v>0</v>
      </c>
      <c r="J36" s="4">
        <f t="shared" si="18"/>
        <v>0</v>
      </c>
      <c r="K36" s="4">
        <f t="shared" si="18"/>
        <v>0</v>
      </c>
      <c r="L36" s="4">
        <f t="shared" si="18"/>
        <v>0</v>
      </c>
    </row>
    <row r="37" spans="8:12" hidden="1" x14ac:dyDescent="0.25">
      <c r="H37" s="4">
        <f t="shared" si="18"/>
        <v>0</v>
      </c>
      <c r="I37" s="4">
        <f t="shared" si="18"/>
        <v>0</v>
      </c>
      <c r="J37" s="4">
        <f t="shared" si="18"/>
        <v>0</v>
      </c>
      <c r="K37" s="4">
        <f t="shared" si="18"/>
        <v>0</v>
      </c>
      <c r="L37" s="4">
        <f t="shared" si="18"/>
        <v>0</v>
      </c>
    </row>
    <row r="38" spans="8:12" hidden="1" x14ac:dyDescent="0.25">
      <c r="H38" s="4">
        <f t="shared" si="18"/>
        <v>0</v>
      </c>
      <c r="I38" s="4">
        <f t="shared" si="18"/>
        <v>0</v>
      </c>
      <c r="J38" s="4">
        <f t="shared" si="18"/>
        <v>0</v>
      </c>
      <c r="K38" s="4">
        <f t="shared" si="18"/>
        <v>0</v>
      </c>
      <c r="L38" s="4">
        <f t="shared" si="18"/>
        <v>0</v>
      </c>
    </row>
    <row r="39" spans="8:12" hidden="1" x14ac:dyDescent="0.25">
      <c r="H39" s="4">
        <f t="shared" si="18"/>
        <v>0</v>
      </c>
      <c r="I39" s="4">
        <f t="shared" si="18"/>
        <v>0</v>
      </c>
      <c r="J39" s="4">
        <f t="shared" si="18"/>
        <v>0</v>
      </c>
      <c r="K39" s="4">
        <f t="shared" si="18"/>
        <v>0</v>
      </c>
      <c r="L39" s="4">
        <f t="shared" si="18"/>
        <v>0</v>
      </c>
    </row>
    <row r="40" spans="8:12" hidden="1" x14ac:dyDescent="0.25">
      <c r="H40" s="4">
        <f t="shared" si="18"/>
        <v>0</v>
      </c>
      <c r="I40" s="4">
        <f t="shared" si="18"/>
        <v>0</v>
      </c>
      <c r="J40" s="4">
        <f t="shared" si="18"/>
        <v>0</v>
      </c>
      <c r="K40" s="4">
        <f t="shared" si="18"/>
        <v>0</v>
      </c>
      <c r="L40" s="4">
        <f t="shared" si="18"/>
        <v>0</v>
      </c>
    </row>
    <row r="41" spans="8:12" hidden="1" x14ac:dyDescent="0.25">
      <c r="H41" s="4">
        <f t="shared" si="18"/>
        <v>0</v>
      </c>
      <c r="I41" s="4">
        <f t="shared" si="18"/>
        <v>0</v>
      </c>
      <c r="J41" s="4">
        <f t="shared" si="18"/>
        <v>0</v>
      </c>
      <c r="K41" s="4">
        <f t="shared" si="18"/>
        <v>0</v>
      </c>
      <c r="L41" s="4">
        <f t="shared" si="18"/>
        <v>0</v>
      </c>
    </row>
    <row r="42" spans="8:12" hidden="1" x14ac:dyDescent="0.25">
      <c r="H42" s="4">
        <f t="shared" si="18"/>
        <v>0</v>
      </c>
      <c r="I42" s="4">
        <f t="shared" si="18"/>
        <v>0</v>
      </c>
      <c r="J42" s="4">
        <f t="shared" si="18"/>
        <v>0</v>
      </c>
      <c r="K42" s="4">
        <f t="shared" si="18"/>
        <v>0</v>
      </c>
      <c r="L42" s="4">
        <f t="shared" si="18"/>
        <v>0</v>
      </c>
    </row>
    <row r="43" spans="8:12" hidden="1" x14ac:dyDescent="0.25">
      <c r="H43" s="4">
        <f t="shared" si="18"/>
        <v>0</v>
      </c>
      <c r="I43" s="4">
        <f t="shared" si="18"/>
        <v>0</v>
      </c>
      <c r="J43" s="4">
        <f t="shared" si="18"/>
        <v>0</v>
      </c>
      <c r="K43" s="4">
        <f t="shared" si="18"/>
        <v>0</v>
      </c>
      <c r="L43" s="4">
        <f t="shared" si="18"/>
        <v>0</v>
      </c>
    </row>
    <row r="44" spans="8:12" hidden="1" x14ac:dyDescent="0.25">
      <c r="H44" s="4" t="str">
        <f t="shared" ref="H44:L53" si="19">AB2</f>
        <v>AG</v>
      </c>
      <c r="I44" s="4">
        <f t="shared" si="19"/>
        <v>500</v>
      </c>
      <c r="J44" s="4">
        <f t="shared" si="19"/>
        <v>20</v>
      </c>
      <c r="K44" s="4" t="str">
        <f t="shared" si="19"/>
        <v>Y</v>
      </c>
      <c r="L44" s="4" t="str">
        <f t="shared" si="19"/>
        <v>3L</v>
      </c>
    </row>
    <row r="45" spans="8:12" hidden="1" x14ac:dyDescent="0.25">
      <c r="H45" s="4">
        <f t="shared" si="19"/>
        <v>0</v>
      </c>
      <c r="I45" s="4">
        <f t="shared" si="19"/>
        <v>0</v>
      </c>
      <c r="J45" s="4">
        <f t="shared" si="19"/>
        <v>0</v>
      </c>
      <c r="K45" s="4">
        <f t="shared" si="19"/>
        <v>0</v>
      </c>
      <c r="L45" s="4">
        <f t="shared" si="19"/>
        <v>0</v>
      </c>
    </row>
    <row r="46" spans="8:12" hidden="1" x14ac:dyDescent="0.25">
      <c r="H46" s="4">
        <f t="shared" si="19"/>
        <v>0</v>
      </c>
      <c r="I46" s="4">
        <f t="shared" si="19"/>
        <v>0</v>
      </c>
      <c r="J46" s="4">
        <f t="shared" si="19"/>
        <v>0</v>
      </c>
      <c r="K46" s="4">
        <f t="shared" si="19"/>
        <v>0</v>
      </c>
      <c r="L46" s="4">
        <f t="shared" si="19"/>
        <v>0</v>
      </c>
    </row>
    <row r="47" spans="8:12" hidden="1" x14ac:dyDescent="0.25">
      <c r="H47" s="4">
        <f t="shared" si="19"/>
        <v>0</v>
      </c>
      <c r="I47" s="4">
        <f t="shared" si="19"/>
        <v>0</v>
      </c>
      <c r="J47" s="4">
        <f t="shared" si="19"/>
        <v>0</v>
      </c>
      <c r="K47" s="4">
        <f t="shared" si="19"/>
        <v>0</v>
      </c>
      <c r="L47" s="4">
        <f t="shared" si="19"/>
        <v>0</v>
      </c>
    </row>
    <row r="48" spans="8:12" hidden="1" x14ac:dyDescent="0.25">
      <c r="H48" s="4">
        <f t="shared" si="19"/>
        <v>0</v>
      </c>
      <c r="I48" s="4">
        <f t="shared" si="19"/>
        <v>0</v>
      </c>
      <c r="J48" s="4">
        <f t="shared" si="19"/>
        <v>0</v>
      </c>
      <c r="K48" s="4">
        <f t="shared" si="19"/>
        <v>0</v>
      </c>
      <c r="L48" s="4">
        <f t="shared" si="19"/>
        <v>0</v>
      </c>
    </row>
    <row r="49" spans="8:12" hidden="1" x14ac:dyDescent="0.25">
      <c r="H49" s="4">
        <f t="shared" si="19"/>
        <v>0</v>
      </c>
      <c r="I49" s="4">
        <f t="shared" si="19"/>
        <v>0</v>
      </c>
      <c r="J49" s="4">
        <f t="shared" si="19"/>
        <v>0</v>
      </c>
      <c r="K49" s="4">
        <f t="shared" si="19"/>
        <v>0</v>
      </c>
      <c r="L49" s="4">
        <f t="shared" si="19"/>
        <v>0</v>
      </c>
    </row>
    <row r="50" spans="8:12" hidden="1" x14ac:dyDescent="0.25">
      <c r="H50" s="4">
        <f t="shared" si="19"/>
        <v>0</v>
      </c>
      <c r="I50" s="4">
        <f t="shared" si="19"/>
        <v>0</v>
      </c>
      <c r="J50" s="4">
        <f t="shared" si="19"/>
        <v>0</v>
      </c>
      <c r="K50" s="4">
        <f t="shared" si="19"/>
        <v>0</v>
      </c>
      <c r="L50" s="4">
        <f t="shared" si="19"/>
        <v>0</v>
      </c>
    </row>
    <row r="51" spans="8:12" hidden="1" x14ac:dyDescent="0.25">
      <c r="H51" s="4">
        <f t="shared" si="19"/>
        <v>0</v>
      </c>
      <c r="I51" s="4">
        <f t="shared" si="19"/>
        <v>0</v>
      </c>
      <c r="J51" s="4">
        <f t="shared" si="19"/>
        <v>0</v>
      </c>
      <c r="K51" s="4">
        <f t="shared" si="19"/>
        <v>0</v>
      </c>
      <c r="L51" s="4">
        <f t="shared" si="19"/>
        <v>0</v>
      </c>
    </row>
    <row r="52" spans="8:12" hidden="1" x14ac:dyDescent="0.25">
      <c r="H52" s="4">
        <f t="shared" si="19"/>
        <v>0</v>
      </c>
      <c r="I52" s="4">
        <f t="shared" si="19"/>
        <v>0</v>
      </c>
      <c r="J52" s="4">
        <f t="shared" si="19"/>
        <v>0</v>
      </c>
      <c r="K52" s="4">
        <f t="shared" si="19"/>
        <v>0</v>
      </c>
      <c r="L52" s="4">
        <f t="shared" si="19"/>
        <v>0</v>
      </c>
    </row>
    <row r="53" spans="8:12" hidden="1" x14ac:dyDescent="0.25">
      <c r="H53" s="4">
        <f t="shared" si="19"/>
        <v>0</v>
      </c>
      <c r="I53" s="4">
        <f t="shared" si="19"/>
        <v>0</v>
      </c>
      <c r="J53" s="4">
        <f t="shared" si="19"/>
        <v>0</v>
      </c>
      <c r="K53" s="4">
        <f t="shared" si="19"/>
        <v>0</v>
      </c>
      <c r="L53" s="4">
        <f t="shared" si="19"/>
        <v>0</v>
      </c>
    </row>
    <row r="54" spans="8:12" hidden="1" x14ac:dyDescent="0.25">
      <c r="H54" s="4">
        <f t="shared" ref="H54:L63" si="20">AH2</f>
        <v>0</v>
      </c>
      <c r="I54" s="4">
        <f t="shared" si="20"/>
        <v>0</v>
      </c>
      <c r="J54" s="4">
        <f t="shared" si="20"/>
        <v>0</v>
      </c>
      <c r="K54" s="4">
        <f t="shared" si="20"/>
        <v>0</v>
      </c>
      <c r="L54" s="4">
        <f t="shared" si="20"/>
        <v>0</v>
      </c>
    </row>
    <row r="55" spans="8:12" hidden="1" x14ac:dyDescent="0.25">
      <c r="H55" s="4">
        <f t="shared" si="20"/>
        <v>0</v>
      </c>
      <c r="I55" s="4">
        <f t="shared" si="20"/>
        <v>0</v>
      </c>
      <c r="J55" s="4">
        <f t="shared" si="20"/>
        <v>0</v>
      </c>
      <c r="K55" s="4">
        <f t="shared" si="20"/>
        <v>0</v>
      </c>
      <c r="L55" s="4">
        <f t="shared" si="20"/>
        <v>0</v>
      </c>
    </row>
    <row r="56" spans="8:12" hidden="1" x14ac:dyDescent="0.25">
      <c r="H56" s="4">
        <f t="shared" si="20"/>
        <v>0</v>
      </c>
      <c r="I56" s="4">
        <f t="shared" si="20"/>
        <v>0</v>
      </c>
      <c r="J56" s="4">
        <f t="shared" si="20"/>
        <v>0</v>
      </c>
      <c r="K56" s="4">
        <f t="shared" si="20"/>
        <v>0</v>
      </c>
      <c r="L56" s="4">
        <f t="shared" si="20"/>
        <v>0</v>
      </c>
    </row>
    <row r="57" spans="8:12" hidden="1" x14ac:dyDescent="0.25">
      <c r="H57" s="4">
        <f t="shared" si="20"/>
        <v>0</v>
      </c>
      <c r="I57" s="4">
        <f t="shared" si="20"/>
        <v>0</v>
      </c>
      <c r="J57" s="4">
        <f t="shared" si="20"/>
        <v>0</v>
      </c>
      <c r="K57" s="4">
        <f t="shared" si="20"/>
        <v>0</v>
      </c>
      <c r="L57" s="4">
        <f t="shared" si="20"/>
        <v>0</v>
      </c>
    </row>
    <row r="58" spans="8:12" hidden="1" x14ac:dyDescent="0.25">
      <c r="H58" s="4">
        <f t="shared" si="20"/>
        <v>0</v>
      </c>
      <c r="I58" s="4">
        <f t="shared" si="20"/>
        <v>0</v>
      </c>
      <c r="J58" s="4">
        <f t="shared" si="20"/>
        <v>0</v>
      </c>
      <c r="K58" s="4">
        <f t="shared" si="20"/>
        <v>0</v>
      </c>
      <c r="L58" s="4">
        <f t="shared" si="20"/>
        <v>0</v>
      </c>
    </row>
    <row r="59" spans="8:12" hidden="1" x14ac:dyDescent="0.25">
      <c r="H59" s="4">
        <f t="shared" si="20"/>
        <v>0</v>
      </c>
      <c r="I59" s="4">
        <f t="shared" si="20"/>
        <v>0</v>
      </c>
      <c r="J59" s="4">
        <f t="shared" si="20"/>
        <v>0</v>
      </c>
      <c r="K59" s="4">
        <f t="shared" si="20"/>
        <v>0</v>
      </c>
      <c r="L59" s="4">
        <f t="shared" si="20"/>
        <v>0</v>
      </c>
    </row>
    <row r="60" spans="8:12" hidden="1" x14ac:dyDescent="0.25">
      <c r="H60" s="4">
        <f t="shared" si="20"/>
        <v>0</v>
      </c>
      <c r="I60" s="4">
        <f t="shared" si="20"/>
        <v>0</v>
      </c>
      <c r="J60" s="4">
        <f t="shared" si="20"/>
        <v>0</v>
      </c>
      <c r="K60" s="4">
        <f t="shared" si="20"/>
        <v>0</v>
      </c>
      <c r="L60" s="4">
        <f t="shared" si="20"/>
        <v>0</v>
      </c>
    </row>
    <row r="61" spans="8:12" hidden="1" x14ac:dyDescent="0.25">
      <c r="H61" s="4">
        <f t="shared" si="20"/>
        <v>0</v>
      </c>
      <c r="I61" s="4">
        <f t="shared" si="20"/>
        <v>0</v>
      </c>
      <c r="J61" s="4">
        <f t="shared" si="20"/>
        <v>0</v>
      </c>
      <c r="K61" s="4">
        <f t="shared" si="20"/>
        <v>0</v>
      </c>
      <c r="L61" s="4">
        <f t="shared" si="20"/>
        <v>0</v>
      </c>
    </row>
    <row r="62" spans="8:12" hidden="1" x14ac:dyDescent="0.25">
      <c r="H62" s="4">
        <f t="shared" si="20"/>
        <v>0</v>
      </c>
      <c r="I62" s="4">
        <f t="shared" si="20"/>
        <v>0</v>
      </c>
      <c r="J62" s="4">
        <f t="shared" si="20"/>
        <v>0</v>
      </c>
      <c r="K62" s="4">
        <f t="shared" si="20"/>
        <v>0</v>
      </c>
      <c r="L62" s="4">
        <f t="shared" si="20"/>
        <v>0</v>
      </c>
    </row>
    <row r="63" spans="8:12" hidden="1" x14ac:dyDescent="0.25">
      <c r="H63" s="4">
        <f t="shared" si="20"/>
        <v>0</v>
      </c>
      <c r="I63" s="4">
        <f t="shared" si="20"/>
        <v>0</v>
      </c>
      <c r="J63" s="4">
        <f t="shared" si="20"/>
        <v>0</v>
      </c>
      <c r="K63" s="4">
        <f t="shared" si="20"/>
        <v>0</v>
      </c>
      <c r="L63" s="4">
        <f t="shared" si="20"/>
        <v>0</v>
      </c>
    </row>
    <row r="64" spans="8:12" hidden="1" x14ac:dyDescent="0.25">
      <c r="H64" s="4">
        <f t="shared" ref="H64:L73" si="21">AN2</f>
        <v>0</v>
      </c>
      <c r="I64" s="4">
        <f t="shared" si="21"/>
        <v>0</v>
      </c>
      <c r="J64" s="4">
        <f t="shared" si="21"/>
        <v>0</v>
      </c>
      <c r="K64" s="4">
        <f t="shared" si="21"/>
        <v>0</v>
      </c>
      <c r="L64" s="4">
        <f t="shared" si="21"/>
        <v>0</v>
      </c>
    </row>
    <row r="65" spans="8:12" hidden="1" x14ac:dyDescent="0.25">
      <c r="H65" s="4">
        <f t="shared" si="21"/>
        <v>0</v>
      </c>
      <c r="I65" s="4">
        <f t="shared" si="21"/>
        <v>0</v>
      </c>
      <c r="J65" s="4">
        <f t="shared" si="21"/>
        <v>0</v>
      </c>
      <c r="K65" s="4">
        <f t="shared" si="21"/>
        <v>0</v>
      </c>
      <c r="L65" s="4">
        <f t="shared" si="21"/>
        <v>0</v>
      </c>
    </row>
    <row r="66" spans="8:12" hidden="1" x14ac:dyDescent="0.25">
      <c r="H66" s="4">
        <f t="shared" si="21"/>
        <v>0</v>
      </c>
      <c r="I66" s="4">
        <f t="shared" si="21"/>
        <v>0</v>
      </c>
      <c r="J66" s="4">
        <f t="shared" si="21"/>
        <v>0</v>
      </c>
      <c r="K66" s="4">
        <f t="shared" si="21"/>
        <v>0</v>
      </c>
      <c r="L66" s="4">
        <f t="shared" si="21"/>
        <v>0</v>
      </c>
    </row>
    <row r="67" spans="8:12" hidden="1" x14ac:dyDescent="0.25">
      <c r="H67" s="4">
        <f t="shared" si="21"/>
        <v>0</v>
      </c>
      <c r="I67" s="4">
        <f t="shared" si="21"/>
        <v>0</v>
      </c>
      <c r="J67" s="4">
        <f t="shared" si="21"/>
        <v>0</v>
      </c>
      <c r="K67" s="4">
        <f t="shared" si="21"/>
        <v>0</v>
      </c>
      <c r="L67" s="4">
        <f t="shared" si="21"/>
        <v>0</v>
      </c>
    </row>
    <row r="68" spans="8:12" hidden="1" x14ac:dyDescent="0.25">
      <c r="H68" s="4">
        <f t="shared" si="21"/>
        <v>0</v>
      </c>
      <c r="I68" s="4">
        <f t="shared" si="21"/>
        <v>0</v>
      </c>
      <c r="J68" s="4">
        <f t="shared" si="21"/>
        <v>0</v>
      </c>
      <c r="K68" s="4">
        <f t="shared" si="21"/>
        <v>0</v>
      </c>
      <c r="L68" s="4">
        <f t="shared" si="21"/>
        <v>0</v>
      </c>
    </row>
    <row r="69" spans="8:12" hidden="1" x14ac:dyDescent="0.25">
      <c r="H69" s="4">
        <f t="shared" si="21"/>
        <v>0</v>
      </c>
      <c r="I69" s="4">
        <f t="shared" si="21"/>
        <v>0</v>
      </c>
      <c r="J69" s="4">
        <f t="shared" si="21"/>
        <v>0</v>
      </c>
      <c r="K69" s="4">
        <f t="shared" si="21"/>
        <v>0</v>
      </c>
      <c r="L69" s="4">
        <f t="shared" si="21"/>
        <v>0</v>
      </c>
    </row>
    <row r="70" spans="8:12" hidden="1" x14ac:dyDescent="0.25">
      <c r="H70" s="4">
        <f t="shared" si="21"/>
        <v>0</v>
      </c>
      <c r="I70" s="4">
        <f t="shared" si="21"/>
        <v>0</v>
      </c>
      <c r="J70" s="4">
        <f t="shared" si="21"/>
        <v>0</v>
      </c>
      <c r="K70" s="4">
        <f t="shared" si="21"/>
        <v>0</v>
      </c>
      <c r="L70" s="4">
        <f t="shared" si="21"/>
        <v>0</v>
      </c>
    </row>
    <row r="71" spans="8:12" hidden="1" x14ac:dyDescent="0.25">
      <c r="H71" s="4">
        <f t="shared" si="21"/>
        <v>0</v>
      </c>
      <c r="I71" s="4">
        <f t="shared" si="21"/>
        <v>0</v>
      </c>
      <c r="J71" s="4">
        <f t="shared" si="21"/>
        <v>0</v>
      </c>
      <c r="K71" s="4">
        <f t="shared" si="21"/>
        <v>0</v>
      </c>
      <c r="L71" s="4">
        <f t="shared" si="21"/>
        <v>0</v>
      </c>
    </row>
    <row r="72" spans="8:12" hidden="1" x14ac:dyDescent="0.25">
      <c r="H72" s="4">
        <f t="shared" si="21"/>
        <v>0</v>
      </c>
      <c r="I72" s="4">
        <f t="shared" si="21"/>
        <v>0</v>
      </c>
      <c r="J72" s="4">
        <f t="shared" si="21"/>
        <v>0</v>
      </c>
      <c r="K72" s="4">
        <f t="shared" si="21"/>
        <v>0</v>
      </c>
      <c r="L72" s="4">
        <f t="shared" si="21"/>
        <v>0</v>
      </c>
    </row>
    <row r="73" spans="8:12" hidden="1" x14ac:dyDescent="0.25">
      <c r="H73" s="4">
        <f t="shared" si="21"/>
        <v>0</v>
      </c>
      <c r="I73" s="4">
        <f t="shared" si="21"/>
        <v>0</v>
      </c>
      <c r="J73" s="4">
        <f t="shared" si="21"/>
        <v>0</v>
      </c>
      <c r="K73" s="4">
        <f t="shared" si="21"/>
        <v>0</v>
      </c>
      <c r="L73" s="4">
        <f t="shared" si="21"/>
        <v>0</v>
      </c>
    </row>
    <row r="74" spans="8:12" hidden="1" x14ac:dyDescent="0.25">
      <c r="H74" s="4">
        <f t="shared" ref="H74:L83" si="22">AT2</f>
        <v>0</v>
      </c>
      <c r="I74" s="4">
        <f t="shared" si="22"/>
        <v>0</v>
      </c>
      <c r="J74" s="4">
        <f t="shared" si="22"/>
        <v>0</v>
      </c>
      <c r="K74" s="4">
        <f t="shared" si="22"/>
        <v>0</v>
      </c>
      <c r="L74" s="4">
        <f t="shared" si="22"/>
        <v>0</v>
      </c>
    </row>
    <row r="75" spans="8:12" hidden="1" x14ac:dyDescent="0.25">
      <c r="H75" s="4">
        <f t="shared" si="22"/>
        <v>0</v>
      </c>
      <c r="I75" s="4">
        <f t="shared" si="22"/>
        <v>0</v>
      </c>
      <c r="J75" s="4">
        <f t="shared" si="22"/>
        <v>0</v>
      </c>
      <c r="K75" s="4">
        <f t="shared" si="22"/>
        <v>0</v>
      </c>
      <c r="L75" s="4">
        <f t="shared" si="22"/>
        <v>0</v>
      </c>
    </row>
    <row r="76" spans="8:12" hidden="1" x14ac:dyDescent="0.25"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0</v>
      </c>
    </row>
    <row r="77" spans="8:12" hidden="1" x14ac:dyDescent="0.25">
      <c r="H77" s="4">
        <f t="shared" si="22"/>
        <v>0</v>
      </c>
      <c r="I77" s="4">
        <f t="shared" si="22"/>
        <v>0</v>
      </c>
      <c r="J77" s="4">
        <f t="shared" si="22"/>
        <v>0</v>
      </c>
      <c r="K77" s="4">
        <f t="shared" si="22"/>
        <v>0</v>
      </c>
      <c r="L77" s="4">
        <f t="shared" si="22"/>
        <v>0</v>
      </c>
    </row>
    <row r="78" spans="8:12" hidden="1" x14ac:dyDescent="0.25">
      <c r="H78" s="4">
        <f t="shared" si="22"/>
        <v>0</v>
      </c>
      <c r="I78" s="4">
        <f t="shared" si="22"/>
        <v>0</v>
      </c>
      <c r="J78" s="4">
        <f t="shared" si="22"/>
        <v>0</v>
      </c>
      <c r="K78" s="4">
        <f t="shared" si="22"/>
        <v>0</v>
      </c>
      <c r="L78" s="4">
        <f t="shared" si="22"/>
        <v>0</v>
      </c>
    </row>
    <row r="79" spans="8:12" hidden="1" x14ac:dyDescent="0.25">
      <c r="H79" s="4">
        <f t="shared" si="22"/>
        <v>0</v>
      </c>
      <c r="I79" s="4">
        <f t="shared" si="22"/>
        <v>0</v>
      </c>
      <c r="J79" s="4">
        <f t="shared" si="22"/>
        <v>0</v>
      </c>
      <c r="K79" s="4">
        <f t="shared" si="22"/>
        <v>0</v>
      </c>
      <c r="L79" s="4">
        <f t="shared" si="22"/>
        <v>0</v>
      </c>
    </row>
    <row r="80" spans="8:12" hidden="1" x14ac:dyDescent="0.25">
      <c r="H80" s="4">
        <f t="shared" si="22"/>
        <v>0</v>
      </c>
      <c r="I80" s="4">
        <f t="shared" si="22"/>
        <v>0</v>
      </c>
      <c r="J80" s="4">
        <f t="shared" si="22"/>
        <v>0</v>
      </c>
      <c r="K80" s="4">
        <f t="shared" si="22"/>
        <v>0</v>
      </c>
      <c r="L80" s="4">
        <f t="shared" si="22"/>
        <v>0</v>
      </c>
    </row>
    <row r="81" spans="8:12" hidden="1" x14ac:dyDescent="0.25">
      <c r="H81" s="4">
        <f t="shared" si="22"/>
        <v>0</v>
      </c>
      <c r="I81" s="4">
        <f t="shared" si="22"/>
        <v>0</v>
      </c>
      <c r="J81" s="4">
        <f t="shared" si="22"/>
        <v>0</v>
      </c>
      <c r="K81" s="4">
        <f t="shared" si="22"/>
        <v>0</v>
      </c>
      <c r="L81" s="4">
        <f t="shared" si="22"/>
        <v>0</v>
      </c>
    </row>
    <row r="82" spans="8:12" hidden="1" x14ac:dyDescent="0.25"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</row>
    <row r="83" spans="8:12" hidden="1" x14ac:dyDescent="0.25">
      <c r="H83" s="4">
        <f t="shared" si="22"/>
        <v>0</v>
      </c>
      <c r="I83" s="4">
        <f t="shared" si="22"/>
        <v>0</v>
      </c>
      <c r="J83" s="4">
        <f t="shared" si="22"/>
        <v>0</v>
      </c>
      <c r="K83" s="4">
        <f t="shared" si="22"/>
        <v>0</v>
      </c>
      <c r="L83" s="4">
        <f t="shared" si="22"/>
        <v>0</v>
      </c>
    </row>
    <row r="84" spans="8:12" hidden="1" x14ac:dyDescent="0.25">
      <c r="H84" s="4">
        <f t="shared" ref="H84:L93" si="23">AZ2</f>
        <v>0</v>
      </c>
      <c r="I84" s="4">
        <f t="shared" si="23"/>
        <v>0</v>
      </c>
      <c r="J84" s="4">
        <f t="shared" si="23"/>
        <v>0</v>
      </c>
      <c r="K84" s="4">
        <f t="shared" si="23"/>
        <v>0</v>
      </c>
      <c r="L84" s="4">
        <f t="shared" si="23"/>
        <v>0</v>
      </c>
    </row>
    <row r="85" spans="8:12" hidden="1" x14ac:dyDescent="0.25">
      <c r="H85" s="4">
        <f t="shared" si="23"/>
        <v>0</v>
      </c>
      <c r="I85" s="4">
        <f t="shared" si="23"/>
        <v>0</v>
      </c>
      <c r="J85" s="4">
        <f t="shared" si="23"/>
        <v>0</v>
      </c>
      <c r="K85" s="4">
        <f t="shared" si="23"/>
        <v>0</v>
      </c>
      <c r="L85" s="4">
        <f t="shared" si="23"/>
        <v>0</v>
      </c>
    </row>
    <row r="86" spans="8:12" hidden="1" x14ac:dyDescent="0.25">
      <c r="H86" s="4">
        <f t="shared" si="23"/>
        <v>0</v>
      </c>
      <c r="I86" s="4">
        <f t="shared" si="23"/>
        <v>0</v>
      </c>
      <c r="J86" s="4">
        <f t="shared" si="23"/>
        <v>0</v>
      </c>
      <c r="K86" s="4">
        <f t="shared" si="23"/>
        <v>0</v>
      </c>
      <c r="L86" s="4">
        <f t="shared" si="23"/>
        <v>0</v>
      </c>
    </row>
    <row r="87" spans="8:12" hidden="1" x14ac:dyDescent="0.25">
      <c r="H87" s="4">
        <f t="shared" si="23"/>
        <v>0</v>
      </c>
      <c r="I87" s="4">
        <f t="shared" si="23"/>
        <v>0</v>
      </c>
      <c r="J87" s="4">
        <f t="shared" si="23"/>
        <v>0</v>
      </c>
      <c r="K87" s="4">
        <f t="shared" si="23"/>
        <v>0</v>
      </c>
      <c r="L87" s="4">
        <f t="shared" si="23"/>
        <v>0</v>
      </c>
    </row>
    <row r="88" spans="8:12" hidden="1" x14ac:dyDescent="0.25">
      <c r="H88" s="4">
        <f t="shared" si="23"/>
        <v>0</v>
      </c>
      <c r="I88" s="4">
        <f t="shared" si="23"/>
        <v>0</v>
      </c>
      <c r="J88" s="4">
        <f t="shared" si="23"/>
        <v>0</v>
      </c>
      <c r="K88" s="4">
        <f t="shared" si="23"/>
        <v>0</v>
      </c>
      <c r="L88" s="4">
        <f t="shared" si="23"/>
        <v>0</v>
      </c>
    </row>
    <row r="89" spans="8:12" hidden="1" x14ac:dyDescent="0.25">
      <c r="H89" s="4">
        <f t="shared" si="23"/>
        <v>0</v>
      </c>
      <c r="I89" s="4">
        <f t="shared" si="23"/>
        <v>0</v>
      </c>
      <c r="J89" s="4">
        <f t="shared" si="23"/>
        <v>0</v>
      </c>
      <c r="K89" s="4">
        <f t="shared" si="23"/>
        <v>0</v>
      </c>
      <c r="L89" s="4">
        <f t="shared" si="23"/>
        <v>0</v>
      </c>
    </row>
    <row r="90" spans="8:12" hidden="1" x14ac:dyDescent="0.25">
      <c r="H90" s="4">
        <f t="shared" si="23"/>
        <v>0</v>
      </c>
      <c r="I90" s="4">
        <f t="shared" si="23"/>
        <v>0</v>
      </c>
      <c r="J90" s="4">
        <f t="shared" si="23"/>
        <v>0</v>
      </c>
      <c r="K90" s="4">
        <f t="shared" si="23"/>
        <v>0</v>
      </c>
      <c r="L90" s="4">
        <f t="shared" si="23"/>
        <v>0</v>
      </c>
    </row>
    <row r="91" spans="8:12" hidden="1" x14ac:dyDescent="0.25">
      <c r="H91" s="4">
        <f t="shared" si="23"/>
        <v>0</v>
      </c>
      <c r="I91" s="4">
        <f t="shared" si="23"/>
        <v>0</v>
      </c>
      <c r="J91" s="4">
        <f t="shared" si="23"/>
        <v>0</v>
      </c>
      <c r="K91" s="4">
        <f t="shared" si="23"/>
        <v>0</v>
      </c>
      <c r="L91" s="4">
        <f t="shared" si="23"/>
        <v>0</v>
      </c>
    </row>
    <row r="92" spans="8:12" hidden="1" x14ac:dyDescent="0.25">
      <c r="H92" s="4">
        <f t="shared" si="23"/>
        <v>0</v>
      </c>
      <c r="I92" s="4">
        <f t="shared" si="23"/>
        <v>0</v>
      </c>
      <c r="J92" s="4">
        <f t="shared" si="23"/>
        <v>0</v>
      </c>
      <c r="K92" s="4">
        <f t="shared" si="23"/>
        <v>0</v>
      </c>
      <c r="L92" s="4">
        <f t="shared" si="23"/>
        <v>0</v>
      </c>
    </row>
    <row r="93" spans="8:12" hidden="1" x14ac:dyDescent="0.25">
      <c r="H93" s="4">
        <f t="shared" si="23"/>
        <v>0</v>
      </c>
      <c r="I93" s="4">
        <f t="shared" si="23"/>
        <v>0</v>
      </c>
      <c r="J93" s="4">
        <f t="shared" si="23"/>
        <v>0</v>
      </c>
      <c r="K93" s="4">
        <f t="shared" si="23"/>
        <v>0</v>
      </c>
      <c r="L93" s="4">
        <f t="shared" si="23"/>
        <v>0</v>
      </c>
    </row>
    <row r="94" spans="8:12" hidden="1" x14ac:dyDescent="0.25">
      <c r="H94" s="4">
        <f t="shared" ref="H94:L103" si="24">BF2</f>
        <v>0</v>
      </c>
      <c r="I94" s="4">
        <f t="shared" si="24"/>
        <v>0</v>
      </c>
      <c r="J94" s="4">
        <f t="shared" si="24"/>
        <v>0</v>
      </c>
      <c r="K94" s="4">
        <f t="shared" si="24"/>
        <v>0</v>
      </c>
      <c r="L94" s="4">
        <f t="shared" si="24"/>
        <v>0</v>
      </c>
    </row>
    <row r="95" spans="8:12" hidden="1" x14ac:dyDescent="0.25">
      <c r="H95" s="4">
        <f t="shared" si="24"/>
        <v>0</v>
      </c>
      <c r="I95" s="4">
        <f t="shared" si="24"/>
        <v>0</v>
      </c>
      <c r="J95" s="4">
        <f t="shared" si="24"/>
        <v>0</v>
      </c>
      <c r="K95" s="4">
        <f t="shared" si="24"/>
        <v>0</v>
      </c>
      <c r="L95" s="4">
        <f t="shared" si="24"/>
        <v>0</v>
      </c>
    </row>
    <row r="96" spans="8:12" hidden="1" x14ac:dyDescent="0.25">
      <c r="H96" s="4">
        <f t="shared" si="24"/>
        <v>0</v>
      </c>
      <c r="I96" s="4">
        <f t="shared" si="24"/>
        <v>0</v>
      </c>
      <c r="J96" s="4">
        <f t="shared" si="24"/>
        <v>0</v>
      </c>
      <c r="K96" s="4">
        <f t="shared" si="24"/>
        <v>0</v>
      </c>
      <c r="L96" s="4">
        <f t="shared" si="24"/>
        <v>0</v>
      </c>
    </row>
    <row r="97" spans="8:12" hidden="1" x14ac:dyDescent="0.25">
      <c r="H97" s="4">
        <f t="shared" si="24"/>
        <v>0</v>
      </c>
      <c r="I97" s="4">
        <f t="shared" si="24"/>
        <v>0</v>
      </c>
      <c r="J97" s="4">
        <f t="shared" si="24"/>
        <v>0</v>
      </c>
      <c r="K97" s="4">
        <f t="shared" si="24"/>
        <v>0</v>
      </c>
      <c r="L97" s="4">
        <f t="shared" si="24"/>
        <v>0</v>
      </c>
    </row>
    <row r="98" spans="8:12" hidden="1" x14ac:dyDescent="0.25">
      <c r="H98" s="4">
        <f t="shared" si="24"/>
        <v>0</v>
      </c>
      <c r="I98" s="4">
        <f t="shared" si="24"/>
        <v>0</v>
      </c>
      <c r="J98" s="4">
        <f t="shared" si="24"/>
        <v>0</v>
      </c>
      <c r="K98" s="4">
        <f t="shared" si="24"/>
        <v>0</v>
      </c>
      <c r="L98" s="4">
        <f t="shared" si="24"/>
        <v>0</v>
      </c>
    </row>
    <row r="99" spans="8:12" hidden="1" x14ac:dyDescent="0.25">
      <c r="H99" s="4">
        <f t="shared" si="24"/>
        <v>0</v>
      </c>
      <c r="I99" s="4">
        <f t="shared" si="24"/>
        <v>0</v>
      </c>
      <c r="J99" s="4">
        <f t="shared" si="24"/>
        <v>0</v>
      </c>
      <c r="K99" s="4">
        <f t="shared" si="24"/>
        <v>0</v>
      </c>
      <c r="L99" s="4">
        <f t="shared" si="24"/>
        <v>0</v>
      </c>
    </row>
    <row r="100" spans="8:12" hidden="1" x14ac:dyDescent="0.25">
      <c r="H100" s="4">
        <f t="shared" si="24"/>
        <v>0</v>
      </c>
      <c r="I100" s="4">
        <f t="shared" si="24"/>
        <v>0</v>
      </c>
      <c r="J100" s="4">
        <f t="shared" si="24"/>
        <v>0</v>
      </c>
      <c r="K100" s="4">
        <f t="shared" si="24"/>
        <v>0</v>
      </c>
      <c r="L100" s="4">
        <f t="shared" si="24"/>
        <v>0</v>
      </c>
    </row>
    <row r="101" spans="8:12" hidden="1" x14ac:dyDescent="0.25">
      <c r="H101" s="4">
        <f t="shared" si="24"/>
        <v>0</v>
      </c>
      <c r="I101" s="4">
        <f t="shared" si="24"/>
        <v>0</v>
      </c>
      <c r="J101" s="4">
        <f t="shared" si="24"/>
        <v>0</v>
      </c>
      <c r="K101" s="4">
        <f t="shared" si="24"/>
        <v>0</v>
      </c>
      <c r="L101" s="4">
        <f t="shared" si="24"/>
        <v>0</v>
      </c>
    </row>
    <row r="102" spans="8:12" hidden="1" x14ac:dyDescent="0.25">
      <c r="H102" s="4">
        <f t="shared" si="24"/>
        <v>0</v>
      </c>
      <c r="I102" s="4">
        <f t="shared" si="24"/>
        <v>0</v>
      </c>
      <c r="J102" s="4">
        <f t="shared" si="24"/>
        <v>0</v>
      </c>
      <c r="K102" s="4">
        <f t="shared" si="24"/>
        <v>0</v>
      </c>
      <c r="L102" s="4">
        <f t="shared" si="24"/>
        <v>0</v>
      </c>
    </row>
    <row r="103" spans="8:12" hidden="1" x14ac:dyDescent="0.25">
      <c r="H103" s="4">
        <f t="shared" si="24"/>
        <v>0</v>
      </c>
      <c r="I103" s="4">
        <f t="shared" si="24"/>
        <v>0</v>
      </c>
      <c r="J103" s="4">
        <f t="shared" si="24"/>
        <v>0</v>
      </c>
      <c r="K103" s="4">
        <f t="shared" si="24"/>
        <v>0</v>
      </c>
      <c r="L103" s="4">
        <f t="shared" si="24"/>
        <v>0</v>
      </c>
    </row>
    <row r="104" spans="8:12" hidden="1" x14ac:dyDescent="0.25">
      <c r="H104" s="4">
        <f t="shared" ref="H104:L113" si="25">BL2</f>
        <v>0</v>
      </c>
      <c r="I104" s="4">
        <f t="shared" si="25"/>
        <v>0</v>
      </c>
      <c r="J104" s="4">
        <f t="shared" si="25"/>
        <v>0</v>
      </c>
      <c r="K104" s="4">
        <f t="shared" si="25"/>
        <v>0</v>
      </c>
      <c r="L104" s="4">
        <f t="shared" si="25"/>
        <v>0</v>
      </c>
    </row>
    <row r="105" spans="8:12" hidden="1" x14ac:dyDescent="0.25">
      <c r="H105" s="4">
        <f t="shared" si="25"/>
        <v>0</v>
      </c>
      <c r="I105" s="4">
        <f t="shared" si="25"/>
        <v>0</v>
      </c>
      <c r="J105" s="4">
        <f t="shared" si="25"/>
        <v>0</v>
      </c>
      <c r="K105" s="4">
        <f t="shared" si="25"/>
        <v>0</v>
      </c>
      <c r="L105" s="4">
        <f t="shared" si="25"/>
        <v>0</v>
      </c>
    </row>
    <row r="106" spans="8:12" hidden="1" x14ac:dyDescent="0.25">
      <c r="H106" s="4">
        <f t="shared" si="25"/>
        <v>0</v>
      </c>
      <c r="I106" s="4">
        <f t="shared" si="25"/>
        <v>0</v>
      </c>
      <c r="J106" s="4">
        <f t="shared" si="25"/>
        <v>0</v>
      </c>
      <c r="K106" s="4">
        <f t="shared" si="25"/>
        <v>0</v>
      </c>
      <c r="L106" s="4">
        <f t="shared" si="25"/>
        <v>0</v>
      </c>
    </row>
    <row r="107" spans="8:12" hidden="1" x14ac:dyDescent="0.25">
      <c r="H107" s="4">
        <f t="shared" si="25"/>
        <v>0</v>
      </c>
      <c r="I107" s="4">
        <f t="shared" si="25"/>
        <v>0</v>
      </c>
      <c r="J107" s="4">
        <f t="shared" si="25"/>
        <v>0</v>
      </c>
      <c r="K107" s="4">
        <f t="shared" si="25"/>
        <v>0</v>
      </c>
      <c r="L107" s="4">
        <f t="shared" si="25"/>
        <v>0</v>
      </c>
    </row>
    <row r="108" spans="8:12" hidden="1" x14ac:dyDescent="0.25">
      <c r="H108" s="4">
        <f t="shared" si="25"/>
        <v>0</v>
      </c>
      <c r="I108" s="4">
        <f t="shared" si="25"/>
        <v>0</v>
      </c>
      <c r="J108" s="4">
        <f t="shared" si="25"/>
        <v>0</v>
      </c>
      <c r="K108" s="4">
        <f t="shared" si="25"/>
        <v>0</v>
      </c>
      <c r="L108" s="4">
        <f t="shared" si="25"/>
        <v>0</v>
      </c>
    </row>
    <row r="109" spans="8:12" hidden="1" x14ac:dyDescent="0.25">
      <c r="H109" s="4">
        <f t="shared" si="25"/>
        <v>0</v>
      </c>
      <c r="I109" s="4">
        <f t="shared" si="25"/>
        <v>0</v>
      </c>
      <c r="J109" s="4">
        <f t="shared" si="25"/>
        <v>0</v>
      </c>
      <c r="K109" s="4">
        <f t="shared" si="25"/>
        <v>0</v>
      </c>
      <c r="L109" s="4">
        <f t="shared" si="25"/>
        <v>0</v>
      </c>
    </row>
    <row r="110" spans="8:12" hidden="1" x14ac:dyDescent="0.25">
      <c r="H110" s="4">
        <f t="shared" si="25"/>
        <v>0</v>
      </c>
      <c r="I110" s="4">
        <f t="shared" si="25"/>
        <v>0</v>
      </c>
      <c r="J110" s="4">
        <f t="shared" si="25"/>
        <v>0</v>
      </c>
      <c r="K110" s="4">
        <f t="shared" si="25"/>
        <v>0</v>
      </c>
      <c r="L110" s="4">
        <f t="shared" si="25"/>
        <v>0</v>
      </c>
    </row>
    <row r="111" spans="8:12" hidden="1" x14ac:dyDescent="0.25">
      <c r="H111" s="4">
        <f t="shared" si="25"/>
        <v>0</v>
      </c>
      <c r="I111" s="4">
        <f t="shared" si="25"/>
        <v>0</v>
      </c>
      <c r="J111" s="4">
        <f t="shared" si="25"/>
        <v>0</v>
      </c>
      <c r="K111" s="4">
        <f t="shared" si="25"/>
        <v>0</v>
      </c>
      <c r="L111" s="4">
        <f t="shared" si="25"/>
        <v>0</v>
      </c>
    </row>
    <row r="112" spans="8:12" hidden="1" x14ac:dyDescent="0.25">
      <c r="H112" s="4">
        <f t="shared" si="25"/>
        <v>0</v>
      </c>
      <c r="I112" s="4">
        <f t="shared" si="25"/>
        <v>0</v>
      </c>
      <c r="J112" s="4">
        <f t="shared" si="25"/>
        <v>0</v>
      </c>
      <c r="K112" s="4">
        <f t="shared" si="25"/>
        <v>0</v>
      </c>
      <c r="L112" s="4">
        <f t="shared" si="25"/>
        <v>0</v>
      </c>
    </row>
    <row r="113" spans="1:62" hidden="1" x14ac:dyDescent="0.25">
      <c r="H113" s="45">
        <f t="shared" si="25"/>
        <v>0</v>
      </c>
      <c r="I113" s="45">
        <f t="shared" si="25"/>
        <v>0</v>
      </c>
      <c r="J113" s="4">
        <f t="shared" si="25"/>
        <v>0</v>
      </c>
      <c r="K113" s="4">
        <f t="shared" si="25"/>
        <v>0</v>
      </c>
      <c r="L113" s="4">
        <f t="shared" si="25"/>
        <v>0</v>
      </c>
    </row>
    <row r="114" spans="1:62" x14ac:dyDescent="0.25">
      <c r="A114" s="168" t="s">
        <v>85</v>
      </c>
      <c r="B114" s="169"/>
      <c r="C114" s="170"/>
      <c r="D114" s="171">
        <v>46008</v>
      </c>
      <c r="E114" s="172"/>
      <c r="F114" s="172"/>
      <c r="G114" s="172"/>
      <c r="H114" s="46"/>
      <c r="I114" s="54"/>
    </row>
    <row r="115" spans="1:62" ht="15.75" thickBot="1" x14ac:dyDescent="0.3">
      <c r="A115" s="110"/>
      <c r="B115" s="110"/>
      <c r="C115" s="110"/>
      <c r="D115" s="110"/>
      <c r="E115" s="110"/>
      <c r="F115" s="110"/>
      <c r="G115" s="110"/>
      <c r="H115" s="54"/>
      <c r="I115" s="54"/>
    </row>
    <row r="116" spans="1:62" ht="16.5" thickBot="1" x14ac:dyDescent="0.3">
      <c r="A116" s="173" t="s">
        <v>248</v>
      </c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5"/>
      <c r="AH116" s="118" t="s">
        <v>35</v>
      </c>
      <c r="AI116" s="118"/>
      <c r="AJ116" s="118" t="str">
        <f>F2</f>
        <v>AP08</v>
      </c>
      <c r="AK116" s="118"/>
      <c r="AL116" s="118"/>
      <c r="AN116" s="118" t="s">
        <v>35</v>
      </c>
      <c r="AO116" s="118"/>
      <c r="AP116" s="118">
        <f>F3</f>
        <v>0</v>
      </c>
      <c r="AQ116" s="118"/>
      <c r="AR116" s="118"/>
      <c r="AT116" s="118" t="s">
        <v>35</v>
      </c>
      <c r="AU116" s="118"/>
      <c r="AV116" s="118">
        <f>F4</f>
        <v>0</v>
      </c>
      <c r="AW116" s="118"/>
      <c r="AX116" s="118"/>
      <c r="AZ116" s="118" t="s">
        <v>35</v>
      </c>
      <c r="BA116" s="118"/>
      <c r="BB116" s="118">
        <f>F5</f>
        <v>0</v>
      </c>
      <c r="BC116" s="118"/>
      <c r="BD116" s="118"/>
      <c r="BF116" s="118" t="s">
        <v>35</v>
      </c>
      <c r="BG116" s="118"/>
      <c r="BH116" s="118">
        <f>F6</f>
        <v>0</v>
      </c>
      <c r="BI116" s="118"/>
      <c r="BJ116" s="118"/>
    </row>
    <row r="117" spans="1:62" x14ac:dyDescent="0.25">
      <c r="A117" s="123" t="s">
        <v>31</v>
      </c>
      <c r="B117" s="113" t="s">
        <v>22</v>
      </c>
      <c r="C117" s="114"/>
      <c r="D117" s="114"/>
      <c r="E117" s="114"/>
      <c r="F117" s="115"/>
      <c r="G117" s="113" t="s">
        <v>20</v>
      </c>
      <c r="H117" s="114"/>
      <c r="I117" s="114"/>
      <c r="J117" s="114"/>
      <c r="K117" s="115"/>
      <c r="L117" s="113" t="s">
        <v>34</v>
      </c>
      <c r="M117" s="114"/>
      <c r="N117" s="114"/>
      <c r="O117" s="114"/>
      <c r="P117" s="115"/>
      <c r="Q117" s="113" t="s">
        <v>127</v>
      </c>
      <c r="R117" s="114"/>
      <c r="S117" s="114"/>
      <c r="T117" s="114"/>
      <c r="U117" s="115"/>
      <c r="V117" s="113" t="s">
        <v>129</v>
      </c>
      <c r="W117" s="114"/>
      <c r="X117" s="114"/>
      <c r="Y117" s="114"/>
      <c r="Z117" s="115"/>
      <c r="AA117" s="113" t="s">
        <v>26</v>
      </c>
      <c r="AB117" s="114"/>
      <c r="AC117" s="114"/>
      <c r="AD117" s="114"/>
      <c r="AE117" s="115"/>
      <c r="AF117" s="116" t="s">
        <v>24</v>
      </c>
      <c r="AG117" s="116" t="s">
        <v>86</v>
      </c>
      <c r="AH117" s="118" t="str">
        <f>G2</f>
        <v>PAWAN PUTRA AGENCY</v>
      </c>
      <c r="AI117" s="118"/>
      <c r="AJ117" s="118"/>
      <c r="AK117" s="118"/>
      <c r="AL117" s="118"/>
      <c r="AN117" s="118">
        <f>G3</f>
        <v>0</v>
      </c>
      <c r="AO117" s="118"/>
      <c r="AP117" s="118"/>
      <c r="AQ117" s="118"/>
      <c r="AR117" s="118"/>
      <c r="AT117" s="118">
        <f>G4</f>
        <v>0</v>
      </c>
      <c r="AU117" s="118"/>
      <c r="AV117" s="118"/>
      <c r="AW117" s="118"/>
      <c r="AX117" s="118"/>
      <c r="AZ117" s="118">
        <f>G5</f>
        <v>0</v>
      </c>
      <c r="BA117" s="118"/>
      <c r="BB117" s="118"/>
      <c r="BC117" s="118"/>
      <c r="BD117" s="118"/>
      <c r="BF117" s="118">
        <f>G6</f>
        <v>0</v>
      </c>
      <c r="BG117" s="118"/>
      <c r="BH117" s="118"/>
      <c r="BI117" s="118"/>
      <c r="BJ117" s="118"/>
    </row>
    <row r="118" spans="1:62" ht="15.75" thickBot="1" x14ac:dyDescent="0.3">
      <c r="A118" s="124"/>
      <c r="B118" s="9" t="s">
        <v>32</v>
      </c>
      <c r="C118" s="12" t="s">
        <v>17</v>
      </c>
      <c r="D118" s="12" t="s">
        <v>19</v>
      </c>
      <c r="E118" s="12" t="s">
        <v>33</v>
      </c>
      <c r="F118" s="14" t="s">
        <v>80</v>
      </c>
      <c r="G118" s="9" t="s">
        <v>32</v>
      </c>
      <c r="H118" s="12" t="s">
        <v>17</v>
      </c>
      <c r="I118" s="12" t="s">
        <v>19</v>
      </c>
      <c r="J118" s="12" t="s">
        <v>33</v>
      </c>
      <c r="K118" s="14" t="s">
        <v>80</v>
      </c>
      <c r="L118" s="9" t="s">
        <v>32</v>
      </c>
      <c r="M118" s="12" t="s">
        <v>17</v>
      </c>
      <c r="N118" s="12" t="s">
        <v>19</v>
      </c>
      <c r="O118" s="12" t="s">
        <v>33</v>
      </c>
      <c r="P118" s="14" t="s">
        <v>80</v>
      </c>
      <c r="Q118" s="9" t="s">
        <v>32</v>
      </c>
      <c r="R118" s="12" t="s">
        <v>17</v>
      </c>
      <c r="S118" s="12" t="s">
        <v>19</v>
      </c>
      <c r="T118" s="12" t="s">
        <v>33</v>
      </c>
      <c r="U118" s="14" t="s">
        <v>80</v>
      </c>
      <c r="V118" s="9" t="s">
        <v>32</v>
      </c>
      <c r="W118" s="12" t="s">
        <v>17</v>
      </c>
      <c r="X118" s="12" t="s">
        <v>19</v>
      </c>
      <c r="Y118" s="12" t="s">
        <v>33</v>
      </c>
      <c r="Z118" s="14" t="s">
        <v>80</v>
      </c>
      <c r="AA118" s="9" t="s">
        <v>32</v>
      </c>
      <c r="AB118" s="12" t="s">
        <v>17</v>
      </c>
      <c r="AC118" s="12" t="s">
        <v>19</v>
      </c>
      <c r="AD118" s="12" t="s">
        <v>33</v>
      </c>
      <c r="AE118" s="14" t="s">
        <v>80</v>
      </c>
      <c r="AF118" s="117"/>
      <c r="AG118" s="117"/>
      <c r="AH118" s="118" t="str">
        <f>H2</f>
        <v>TIRUPATHI</v>
      </c>
      <c r="AI118" s="118"/>
      <c r="AJ118" s="118"/>
      <c r="AK118" s="118"/>
      <c r="AL118" s="118"/>
      <c r="AN118" s="118">
        <f>H3</f>
        <v>0</v>
      </c>
      <c r="AO118" s="118"/>
      <c r="AP118" s="118"/>
      <c r="AQ118" s="118"/>
      <c r="AR118" s="118"/>
      <c r="AT118" s="118">
        <f>H4</f>
        <v>0</v>
      </c>
      <c r="AU118" s="118"/>
      <c r="AV118" s="118"/>
      <c r="AW118" s="118"/>
      <c r="AX118" s="118"/>
      <c r="AZ118" s="118">
        <f>H5</f>
        <v>0</v>
      </c>
      <c r="BA118" s="118"/>
      <c r="BB118" s="118"/>
      <c r="BC118" s="118"/>
      <c r="BD118" s="118"/>
      <c r="BF118" s="118">
        <f>H6</f>
        <v>0</v>
      </c>
      <c r="BG118" s="118"/>
      <c r="BH118" s="118"/>
      <c r="BI118" s="118"/>
      <c r="BJ118" s="118"/>
    </row>
    <row r="119" spans="1:62" ht="15.75" thickBot="1" x14ac:dyDescent="0.3">
      <c r="A119" s="16">
        <v>300</v>
      </c>
      <c r="B119" s="10">
        <f t="shared" ref="B119:F127" si="26">SUMIFS($J$14:$J$113,$I$14:$I$113,$A119,$K$14:$K$113,B$118,$L$14:$L$113,$B$117,$H$14:$H$113,"AG")</f>
        <v>0</v>
      </c>
      <c r="C119" s="11">
        <f t="shared" si="26"/>
        <v>0</v>
      </c>
      <c r="D119" s="11">
        <f t="shared" si="26"/>
        <v>0</v>
      </c>
      <c r="E119" s="11">
        <f t="shared" si="26"/>
        <v>0</v>
      </c>
      <c r="F119" s="17">
        <f t="shared" si="26"/>
        <v>0</v>
      </c>
      <c r="G119" s="10">
        <f t="shared" ref="G119:K127" si="27">SUMIFS($J$14:$J$113,$I$14:$I$113,$A119,$K$14:$K$113,G$118,$L$14:$L$113,$G$117,$H$14:$H$113,"AG")</f>
        <v>0</v>
      </c>
      <c r="H119" s="11">
        <f t="shared" si="27"/>
        <v>0</v>
      </c>
      <c r="I119" s="11">
        <f t="shared" si="27"/>
        <v>0</v>
      </c>
      <c r="J119" s="11">
        <f t="shared" si="27"/>
        <v>0</v>
      </c>
      <c r="K119" s="17">
        <f t="shared" si="27"/>
        <v>0</v>
      </c>
      <c r="L119" s="10">
        <f t="shared" ref="L119:P127" si="28">SUMIFS($J$14:$J$113,$I$14:$I$113,$A119,$K$14:$K$113,L$118,$L$14:$L$113,$L$117,$H$14:$H$113,"AG")</f>
        <v>0</v>
      </c>
      <c r="M119" s="11">
        <f t="shared" si="28"/>
        <v>0</v>
      </c>
      <c r="N119" s="11">
        <f t="shared" si="28"/>
        <v>0</v>
      </c>
      <c r="O119" s="11">
        <f t="shared" si="28"/>
        <v>0</v>
      </c>
      <c r="P119" s="17">
        <f t="shared" si="28"/>
        <v>0</v>
      </c>
      <c r="Q119" s="10">
        <f t="shared" ref="Q119:U127" si="29">SUMIFS($J$14:$J$113,$I$14:$I$113,$A119,$K$14:$K$113,Q$118,$L$14:$L$113,$Q$117,$H$14:$H$113,"AG")</f>
        <v>0</v>
      </c>
      <c r="R119" s="11">
        <f t="shared" si="29"/>
        <v>0</v>
      </c>
      <c r="S119" s="11">
        <f t="shared" si="29"/>
        <v>0</v>
      </c>
      <c r="T119" s="11">
        <f t="shared" si="29"/>
        <v>0</v>
      </c>
      <c r="U119" s="17">
        <f t="shared" si="29"/>
        <v>0</v>
      </c>
      <c r="V119" s="10">
        <f t="shared" ref="V119:AE127" si="30">SUMIFS($J$14:$J$113,$I$14:$I$113,$A119,$K$14:$K$113,V$118,$L$14:$L$113,$L$117,$H$14:$H$113,"AG")</f>
        <v>0</v>
      </c>
      <c r="W119" s="11">
        <f t="shared" si="30"/>
        <v>0</v>
      </c>
      <c r="X119" s="11">
        <f t="shared" si="30"/>
        <v>0</v>
      </c>
      <c r="Y119" s="11">
        <f t="shared" si="30"/>
        <v>0</v>
      </c>
      <c r="Z119" s="17">
        <f t="shared" si="30"/>
        <v>0</v>
      </c>
      <c r="AA119" s="10">
        <f t="shared" si="30"/>
        <v>0</v>
      </c>
      <c r="AB119" s="11">
        <f t="shared" si="30"/>
        <v>0</v>
      </c>
      <c r="AC119" s="11">
        <f t="shared" si="30"/>
        <v>0</v>
      </c>
      <c r="AD119" s="11">
        <f t="shared" si="30"/>
        <v>0</v>
      </c>
      <c r="AE119" s="17">
        <f t="shared" si="30"/>
        <v>0</v>
      </c>
      <c r="AF119" s="16">
        <f>SUM(B119:AE119)*A119</f>
        <v>0</v>
      </c>
      <c r="AG119" s="16">
        <f>SUM(B119:AE119)</f>
        <v>0</v>
      </c>
      <c r="AH119" s="30" t="s">
        <v>136</v>
      </c>
      <c r="AI119" s="30" t="s">
        <v>27</v>
      </c>
      <c r="AJ119" s="30" t="s">
        <v>28</v>
      </c>
      <c r="AK119" s="30" t="s">
        <v>29</v>
      </c>
      <c r="AL119" s="30" t="s">
        <v>30</v>
      </c>
      <c r="AN119" s="30" t="s">
        <v>136</v>
      </c>
      <c r="AO119" s="30" t="s">
        <v>27</v>
      </c>
      <c r="AP119" s="30" t="s">
        <v>28</v>
      </c>
      <c r="AQ119" s="30" t="s">
        <v>29</v>
      </c>
      <c r="AR119" s="30" t="s">
        <v>30</v>
      </c>
      <c r="AT119" s="30" t="s">
        <v>136</v>
      </c>
      <c r="AU119" s="30" t="s">
        <v>27</v>
      </c>
      <c r="AV119" s="30" t="s">
        <v>28</v>
      </c>
      <c r="AW119" s="30" t="s">
        <v>29</v>
      </c>
      <c r="AX119" s="30" t="s">
        <v>30</v>
      </c>
      <c r="AZ119" s="30" t="s">
        <v>136</v>
      </c>
      <c r="BA119" s="30" t="s">
        <v>27</v>
      </c>
      <c r="BB119" s="30" t="s">
        <v>28</v>
      </c>
      <c r="BC119" s="30" t="s">
        <v>29</v>
      </c>
      <c r="BD119" s="30" t="s">
        <v>30</v>
      </c>
      <c r="BF119" s="30" t="s">
        <v>136</v>
      </c>
      <c r="BG119" s="30" t="s">
        <v>27</v>
      </c>
      <c r="BH119" s="30" t="s">
        <v>28</v>
      </c>
      <c r="BI119" s="30" t="s">
        <v>29</v>
      </c>
      <c r="BJ119" s="30" t="s">
        <v>30</v>
      </c>
    </row>
    <row r="120" spans="1:62" x14ac:dyDescent="0.25">
      <c r="A120" s="16">
        <v>500</v>
      </c>
      <c r="B120" s="10">
        <f t="shared" si="26"/>
        <v>0</v>
      </c>
      <c r="C120" s="11">
        <f t="shared" si="26"/>
        <v>20</v>
      </c>
      <c r="D120" s="11">
        <f t="shared" si="26"/>
        <v>0</v>
      </c>
      <c r="E120" s="11">
        <f t="shared" si="26"/>
        <v>0</v>
      </c>
      <c r="F120" s="17">
        <f t="shared" si="26"/>
        <v>0</v>
      </c>
      <c r="G120" s="10">
        <f t="shared" si="27"/>
        <v>0</v>
      </c>
      <c r="H120" s="11">
        <f t="shared" si="27"/>
        <v>0</v>
      </c>
      <c r="I120" s="11">
        <f t="shared" si="27"/>
        <v>0</v>
      </c>
      <c r="J120" s="11">
        <f t="shared" si="27"/>
        <v>0</v>
      </c>
      <c r="K120" s="17">
        <f t="shared" si="27"/>
        <v>0</v>
      </c>
      <c r="L120" s="10">
        <f t="shared" si="28"/>
        <v>0</v>
      </c>
      <c r="M120" s="11">
        <f t="shared" si="28"/>
        <v>0</v>
      </c>
      <c r="N120" s="11">
        <f t="shared" si="28"/>
        <v>0</v>
      </c>
      <c r="O120" s="11">
        <f t="shared" si="28"/>
        <v>0</v>
      </c>
      <c r="P120" s="17">
        <f t="shared" si="28"/>
        <v>0</v>
      </c>
      <c r="Q120" s="10">
        <f t="shared" si="29"/>
        <v>0</v>
      </c>
      <c r="R120" s="11">
        <f t="shared" si="29"/>
        <v>0</v>
      </c>
      <c r="S120" s="11">
        <f t="shared" si="29"/>
        <v>0</v>
      </c>
      <c r="T120" s="11">
        <f t="shared" si="29"/>
        <v>0</v>
      </c>
      <c r="U120" s="17">
        <f t="shared" si="29"/>
        <v>0</v>
      </c>
      <c r="V120" s="10">
        <f t="shared" si="30"/>
        <v>0</v>
      </c>
      <c r="W120" s="11">
        <f t="shared" si="30"/>
        <v>0</v>
      </c>
      <c r="X120" s="11">
        <f t="shared" si="30"/>
        <v>0</v>
      </c>
      <c r="Y120" s="11">
        <f t="shared" si="30"/>
        <v>0</v>
      </c>
      <c r="Z120" s="17">
        <f t="shared" si="30"/>
        <v>0</v>
      </c>
      <c r="AA120" s="10">
        <f t="shared" si="30"/>
        <v>0</v>
      </c>
      <c r="AB120" s="11">
        <f t="shared" si="30"/>
        <v>0</v>
      </c>
      <c r="AC120" s="11">
        <f t="shared" si="30"/>
        <v>0</v>
      </c>
      <c r="AD120" s="11">
        <f t="shared" si="30"/>
        <v>0</v>
      </c>
      <c r="AE120" s="17">
        <f t="shared" si="30"/>
        <v>0</v>
      </c>
      <c r="AF120" s="16">
        <f t="shared" ref="AF120:AF127" si="31">SUM(B120:AE120)*A120</f>
        <v>10000</v>
      </c>
      <c r="AG120" s="16">
        <f t="shared" ref="AG120:AG128" si="32">SUM(B120:AE120)</f>
        <v>20</v>
      </c>
      <c r="AH120" s="16" t="str">
        <f>J2</f>
        <v>AG</v>
      </c>
      <c r="AI120" s="10">
        <f>K2</f>
        <v>1500</v>
      </c>
      <c r="AJ120" s="11">
        <f>L2</f>
        <v>8</v>
      </c>
      <c r="AK120" s="11" t="str">
        <f>M2</f>
        <v>Y</v>
      </c>
      <c r="AL120" s="17" t="str">
        <f>N2</f>
        <v>3L</v>
      </c>
      <c r="AN120" s="16">
        <f>J3</f>
        <v>0</v>
      </c>
      <c r="AO120" s="10">
        <f>K3</f>
        <v>0</v>
      </c>
      <c r="AP120" s="11">
        <f>L3</f>
        <v>0</v>
      </c>
      <c r="AQ120" s="11">
        <f>M3</f>
        <v>0</v>
      </c>
      <c r="AR120" s="17">
        <f>N3</f>
        <v>0</v>
      </c>
      <c r="AT120" s="16">
        <f>J4</f>
        <v>0</v>
      </c>
      <c r="AU120" s="10">
        <f>K4</f>
        <v>0</v>
      </c>
      <c r="AV120" s="11">
        <f>L4</f>
        <v>0</v>
      </c>
      <c r="AW120" s="11">
        <f>M4</f>
        <v>0</v>
      </c>
      <c r="AX120" s="17">
        <f>N4</f>
        <v>0</v>
      </c>
      <c r="AZ120" s="16">
        <f>J5</f>
        <v>0</v>
      </c>
      <c r="BA120" s="10">
        <f>K5</f>
        <v>0</v>
      </c>
      <c r="BB120" s="11">
        <f>L5</f>
        <v>0</v>
      </c>
      <c r="BC120" s="11">
        <f>M5</f>
        <v>0</v>
      </c>
      <c r="BD120" s="17">
        <f>N5</f>
        <v>0</v>
      </c>
      <c r="BF120" s="16">
        <f>J6</f>
        <v>0</v>
      </c>
      <c r="BG120" s="10">
        <f>K6</f>
        <v>0</v>
      </c>
      <c r="BH120" s="11">
        <f>L6</f>
        <v>0</v>
      </c>
      <c r="BI120" s="11">
        <f>M6</f>
        <v>0</v>
      </c>
      <c r="BJ120" s="17">
        <f>N6</f>
        <v>0</v>
      </c>
    </row>
    <row r="121" spans="1:62" x14ac:dyDescent="0.25">
      <c r="A121" s="15">
        <v>750</v>
      </c>
      <c r="B121" s="8">
        <f t="shared" si="26"/>
        <v>0</v>
      </c>
      <c r="C121" s="6">
        <f t="shared" si="26"/>
        <v>10</v>
      </c>
      <c r="D121" s="6">
        <f t="shared" si="26"/>
        <v>0</v>
      </c>
      <c r="E121" s="6">
        <f t="shared" si="26"/>
        <v>0</v>
      </c>
      <c r="F121" s="13">
        <f t="shared" si="26"/>
        <v>0</v>
      </c>
      <c r="G121" s="8">
        <f t="shared" si="27"/>
        <v>0</v>
      </c>
      <c r="H121" s="6">
        <f t="shared" si="27"/>
        <v>0</v>
      </c>
      <c r="I121" s="6">
        <f t="shared" si="27"/>
        <v>0</v>
      </c>
      <c r="J121" s="6">
        <f t="shared" si="27"/>
        <v>0</v>
      </c>
      <c r="K121" s="13">
        <f t="shared" si="27"/>
        <v>0</v>
      </c>
      <c r="L121" s="8">
        <f t="shared" si="28"/>
        <v>0</v>
      </c>
      <c r="M121" s="6">
        <f t="shared" si="28"/>
        <v>0</v>
      </c>
      <c r="N121" s="6">
        <f t="shared" si="28"/>
        <v>0</v>
      </c>
      <c r="O121" s="6">
        <f t="shared" si="28"/>
        <v>0</v>
      </c>
      <c r="P121" s="13">
        <f t="shared" si="28"/>
        <v>0</v>
      </c>
      <c r="Q121" s="8">
        <f t="shared" si="29"/>
        <v>0</v>
      </c>
      <c r="R121" s="6">
        <f t="shared" si="29"/>
        <v>0</v>
      </c>
      <c r="S121" s="6">
        <f t="shared" si="29"/>
        <v>0</v>
      </c>
      <c r="T121" s="6">
        <f t="shared" si="29"/>
        <v>0</v>
      </c>
      <c r="U121" s="13">
        <f t="shared" si="29"/>
        <v>0</v>
      </c>
      <c r="V121" s="8">
        <f t="shared" si="30"/>
        <v>0</v>
      </c>
      <c r="W121" s="6">
        <f t="shared" si="30"/>
        <v>0</v>
      </c>
      <c r="X121" s="6">
        <f t="shared" si="30"/>
        <v>0</v>
      </c>
      <c r="Y121" s="6">
        <f t="shared" si="30"/>
        <v>0</v>
      </c>
      <c r="Z121" s="13">
        <f t="shared" si="30"/>
        <v>0</v>
      </c>
      <c r="AA121" s="8">
        <f t="shared" si="30"/>
        <v>0</v>
      </c>
      <c r="AB121" s="6">
        <f t="shared" si="30"/>
        <v>0</v>
      </c>
      <c r="AC121" s="6">
        <f t="shared" si="30"/>
        <v>0</v>
      </c>
      <c r="AD121" s="6">
        <f t="shared" si="30"/>
        <v>0</v>
      </c>
      <c r="AE121" s="13">
        <f t="shared" si="30"/>
        <v>0</v>
      </c>
      <c r="AF121" s="16">
        <f t="shared" si="31"/>
        <v>7500</v>
      </c>
      <c r="AG121" s="16">
        <f t="shared" si="32"/>
        <v>10</v>
      </c>
      <c r="AH121" s="15" t="str">
        <f>P2</f>
        <v>AG</v>
      </c>
      <c r="AI121" s="8">
        <f>Q2</f>
        <v>1000</v>
      </c>
      <c r="AJ121" s="6">
        <f>R2</f>
        <v>10</v>
      </c>
      <c r="AK121" s="6" t="str">
        <f>S2</f>
        <v>Y</v>
      </c>
      <c r="AL121" s="13" t="str">
        <f>T2</f>
        <v>3L</v>
      </c>
      <c r="AN121" s="15">
        <f>P3</f>
        <v>0</v>
      </c>
      <c r="AO121" s="8">
        <f>Q3</f>
        <v>0</v>
      </c>
      <c r="AP121" s="6">
        <f>R3</f>
        <v>0</v>
      </c>
      <c r="AQ121" s="6">
        <f>S3</f>
        <v>0</v>
      </c>
      <c r="AR121" s="13">
        <f>T3</f>
        <v>0</v>
      </c>
      <c r="AT121" s="15">
        <f>P4</f>
        <v>0</v>
      </c>
      <c r="AU121" s="8">
        <f>Q4</f>
        <v>0</v>
      </c>
      <c r="AV121" s="6">
        <f>R4</f>
        <v>0</v>
      </c>
      <c r="AW121" s="6">
        <f>S4</f>
        <v>0</v>
      </c>
      <c r="AX121" s="13">
        <f>T4</f>
        <v>0</v>
      </c>
      <c r="AZ121" s="15">
        <f>P5</f>
        <v>0</v>
      </c>
      <c r="BA121" s="8">
        <f>Q5</f>
        <v>0</v>
      </c>
      <c r="BB121" s="6">
        <f>R5</f>
        <v>0</v>
      </c>
      <c r="BC121" s="6">
        <f>S5</f>
        <v>0</v>
      </c>
      <c r="BD121" s="13">
        <f>T5</f>
        <v>0</v>
      </c>
      <c r="BF121" s="15">
        <f>P6</f>
        <v>0</v>
      </c>
      <c r="BG121" s="8">
        <f>Q6</f>
        <v>0</v>
      </c>
      <c r="BH121" s="6">
        <f>R6</f>
        <v>0</v>
      </c>
      <c r="BI121" s="6">
        <f>S6</f>
        <v>0</v>
      </c>
      <c r="BJ121" s="13">
        <f>T6</f>
        <v>0</v>
      </c>
    </row>
    <row r="122" spans="1:62" x14ac:dyDescent="0.25">
      <c r="A122" s="15">
        <v>1000</v>
      </c>
      <c r="B122" s="8">
        <f t="shared" si="26"/>
        <v>0</v>
      </c>
      <c r="C122" s="6">
        <f t="shared" si="26"/>
        <v>10</v>
      </c>
      <c r="D122" s="6">
        <f t="shared" si="26"/>
        <v>0</v>
      </c>
      <c r="E122" s="6">
        <f t="shared" si="26"/>
        <v>0</v>
      </c>
      <c r="F122" s="13">
        <f t="shared" si="26"/>
        <v>0</v>
      </c>
      <c r="G122" s="8">
        <f t="shared" si="27"/>
        <v>0</v>
      </c>
      <c r="H122" s="6">
        <f t="shared" si="27"/>
        <v>0</v>
      </c>
      <c r="I122" s="6">
        <f t="shared" si="27"/>
        <v>0</v>
      </c>
      <c r="J122" s="6">
        <f t="shared" si="27"/>
        <v>0</v>
      </c>
      <c r="K122" s="13">
        <f t="shared" si="27"/>
        <v>0</v>
      </c>
      <c r="L122" s="8">
        <f t="shared" si="28"/>
        <v>0</v>
      </c>
      <c r="M122" s="6">
        <f t="shared" si="28"/>
        <v>0</v>
      </c>
      <c r="N122" s="6">
        <f t="shared" si="28"/>
        <v>0</v>
      </c>
      <c r="O122" s="6">
        <f t="shared" si="28"/>
        <v>0</v>
      </c>
      <c r="P122" s="13">
        <f t="shared" si="28"/>
        <v>0</v>
      </c>
      <c r="Q122" s="8">
        <f t="shared" si="29"/>
        <v>0</v>
      </c>
      <c r="R122" s="6">
        <f t="shared" si="29"/>
        <v>0</v>
      </c>
      <c r="S122" s="6">
        <f t="shared" si="29"/>
        <v>0</v>
      </c>
      <c r="T122" s="6">
        <f t="shared" si="29"/>
        <v>0</v>
      </c>
      <c r="U122" s="13">
        <f t="shared" si="29"/>
        <v>0</v>
      </c>
      <c r="V122" s="8">
        <f t="shared" si="30"/>
        <v>0</v>
      </c>
      <c r="W122" s="6">
        <f t="shared" si="30"/>
        <v>0</v>
      </c>
      <c r="X122" s="6">
        <f t="shared" si="30"/>
        <v>0</v>
      </c>
      <c r="Y122" s="6">
        <f t="shared" si="30"/>
        <v>0</v>
      </c>
      <c r="Z122" s="13">
        <f t="shared" si="30"/>
        <v>0</v>
      </c>
      <c r="AA122" s="8">
        <f t="shared" si="30"/>
        <v>0</v>
      </c>
      <c r="AB122" s="6">
        <f t="shared" si="30"/>
        <v>0</v>
      </c>
      <c r="AC122" s="6">
        <f t="shared" si="30"/>
        <v>0</v>
      </c>
      <c r="AD122" s="6">
        <f t="shared" si="30"/>
        <v>0</v>
      </c>
      <c r="AE122" s="13">
        <f t="shared" si="30"/>
        <v>0</v>
      </c>
      <c r="AF122" s="16">
        <f t="shared" si="31"/>
        <v>10000</v>
      </c>
      <c r="AG122" s="16">
        <f t="shared" si="32"/>
        <v>10</v>
      </c>
      <c r="AH122" s="15" t="str">
        <f>V2</f>
        <v>AG</v>
      </c>
      <c r="AI122" s="8">
        <f>W2</f>
        <v>750</v>
      </c>
      <c r="AJ122" s="6">
        <f>X2</f>
        <v>10</v>
      </c>
      <c r="AK122" s="6" t="str">
        <f>Y2</f>
        <v>Y</v>
      </c>
      <c r="AL122" s="13" t="str">
        <f>Z2</f>
        <v>3L</v>
      </c>
      <c r="AN122" s="15">
        <f>V3</f>
        <v>0</v>
      </c>
      <c r="AO122" s="8">
        <f>W3</f>
        <v>0</v>
      </c>
      <c r="AP122" s="6">
        <f>X3</f>
        <v>0</v>
      </c>
      <c r="AQ122" s="6">
        <f>Y3</f>
        <v>0</v>
      </c>
      <c r="AR122" s="13">
        <f>Z3</f>
        <v>0</v>
      </c>
      <c r="AT122" s="15">
        <f>V4</f>
        <v>0</v>
      </c>
      <c r="AU122" s="8">
        <f>W4</f>
        <v>0</v>
      </c>
      <c r="AV122" s="6">
        <f>X4</f>
        <v>0</v>
      </c>
      <c r="AW122" s="6">
        <f>Y4</f>
        <v>0</v>
      </c>
      <c r="AX122" s="13">
        <f>Z4</f>
        <v>0</v>
      </c>
      <c r="AZ122" s="15">
        <f>V5</f>
        <v>0</v>
      </c>
      <c r="BA122" s="8">
        <f>W5</f>
        <v>0</v>
      </c>
      <c r="BB122" s="6">
        <f>X5</f>
        <v>0</v>
      </c>
      <c r="BC122" s="6">
        <f>Y5</f>
        <v>0</v>
      </c>
      <c r="BD122" s="13">
        <f>Z5</f>
        <v>0</v>
      </c>
      <c r="BF122" s="15">
        <f>V6</f>
        <v>0</v>
      </c>
      <c r="BG122" s="8">
        <f>W6</f>
        <v>0</v>
      </c>
      <c r="BH122" s="6">
        <f>X6</f>
        <v>0</v>
      </c>
      <c r="BI122" s="6">
        <f>Y6</f>
        <v>0</v>
      </c>
      <c r="BJ122" s="13">
        <f>Z6</f>
        <v>0</v>
      </c>
    </row>
    <row r="123" spans="1:62" x14ac:dyDescent="0.25">
      <c r="A123" s="15">
        <v>1500</v>
      </c>
      <c r="B123" s="8">
        <f t="shared" si="26"/>
        <v>0</v>
      </c>
      <c r="C123" s="6">
        <f t="shared" si="26"/>
        <v>8</v>
      </c>
      <c r="D123" s="6">
        <f t="shared" si="26"/>
        <v>0</v>
      </c>
      <c r="E123" s="6">
        <f t="shared" si="26"/>
        <v>0</v>
      </c>
      <c r="F123" s="13">
        <f t="shared" si="26"/>
        <v>0</v>
      </c>
      <c r="G123" s="8">
        <f t="shared" si="27"/>
        <v>0</v>
      </c>
      <c r="H123" s="6">
        <f t="shared" si="27"/>
        <v>0</v>
      </c>
      <c r="I123" s="6">
        <f t="shared" si="27"/>
        <v>0</v>
      </c>
      <c r="J123" s="6">
        <f t="shared" si="27"/>
        <v>0</v>
      </c>
      <c r="K123" s="13">
        <f t="shared" si="27"/>
        <v>0</v>
      </c>
      <c r="L123" s="8">
        <f t="shared" si="28"/>
        <v>0</v>
      </c>
      <c r="M123" s="6">
        <f t="shared" si="28"/>
        <v>0</v>
      </c>
      <c r="N123" s="6">
        <f t="shared" si="28"/>
        <v>0</v>
      </c>
      <c r="O123" s="6">
        <f t="shared" si="28"/>
        <v>0</v>
      </c>
      <c r="P123" s="13">
        <f t="shared" si="28"/>
        <v>0</v>
      </c>
      <c r="Q123" s="8">
        <f t="shared" si="29"/>
        <v>0</v>
      </c>
      <c r="R123" s="6">
        <f t="shared" si="29"/>
        <v>0</v>
      </c>
      <c r="S123" s="6">
        <f t="shared" si="29"/>
        <v>0</v>
      </c>
      <c r="T123" s="6">
        <f t="shared" si="29"/>
        <v>0</v>
      </c>
      <c r="U123" s="13">
        <f t="shared" si="29"/>
        <v>0</v>
      </c>
      <c r="V123" s="8">
        <f t="shared" si="30"/>
        <v>0</v>
      </c>
      <c r="W123" s="6">
        <f t="shared" si="30"/>
        <v>0</v>
      </c>
      <c r="X123" s="6">
        <f t="shared" si="30"/>
        <v>0</v>
      </c>
      <c r="Y123" s="6">
        <f t="shared" si="30"/>
        <v>0</v>
      </c>
      <c r="Z123" s="13">
        <f t="shared" si="30"/>
        <v>0</v>
      </c>
      <c r="AA123" s="8">
        <f t="shared" si="30"/>
        <v>0</v>
      </c>
      <c r="AB123" s="6">
        <f t="shared" si="30"/>
        <v>0</v>
      </c>
      <c r="AC123" s="6">
        <f t="shared" si="30"/>
        <v>0</v>
      </c>
      <c r="AD123" s="6">
        <f t="shared" si="30"/>
        <v>0</v>
      </c>
      <c r="AE123" s="13">
        <f t="shared" si="30"/>
        <v>0</v>
      </c>
      <c r="AF123" s="16">
        <f t="shared" si="31"/>
        <v>12000</v>
      </c>
      <c r="AG123" s="16">
        <f t="shared" si="32"/>
        <v>8</v>
      </c>
      <c r="AH123" s="15" t="str">
        <f>AB2</f>
        <v>AG</v>
      </c>
      <c r="AI123" s="8">
        <f>AC2</f>
        <v>500</v>
      </c>
      <c r="AJ123" s="6">
        <f>AD2</f>
        <v>20</v>
      </c>
      <c r="AK123" s="6" t="str">
        <f>AE2</f>
        <v>Y</v>
      </c>
      <c r="AL123" s="13" t="str">
        <f>AF2</f>
        <v>3L</v>
      </c>
      <c r="AN123" s="15">
        <f>AB3</f>
        <v>0</v>
      </c>
      <c r="AO123" s="8">
        <f>AC3</f>
        <v>0</v>
      </c>
      <c r="AP123" s="6">
        <f>AD3</f>
        <v>0</v>
      </c>
      <c r="AQ123" s="6">
        <f>AE3</f>
        <v>0</v>
      </c>
      <c r="AR123" s="13">
        <f>AF3</f>
        <v>0</v>
      </c>
      <c r="AT123" s="15">
        <f>AB4</f>
        <v>0</v>
      </c>
      <c r="AU123" s="8">
        <f>AC4</f>
        <v>0</v>
      </c>
      <c r="AV123" s="6">
        <f>AD4</f>
        <v>0</v>
      </c>
      <c r="AW123" s="6">
        <f>AE4</f>
        <v>0</v>
      </c>
      <c r="AX123" s="13">
        <f>AF4</f>
        <v>0</v>
      </c>
      <c r="AZ123" s="15">
        <f>AB5</f>
        <v>0</v>
      </c>
      <c r="BA123" s="8">
        <f>AC5</f>
        <v>0</v>
      </c>
      <c r="BB123" s="6">
        <f>AD5</f>
        <v>0</v>
      </c>
      <c r="BC123" s="6">
        <f>AE5</f>
        <v>0</v>
      </c>
      <c r="BD123" s="13">
        <f>AF5</f>
        <v>0</v>
      </c>
      <c r="BF123" s="15">
        <f>AB6</f>
        <v>0</v>
      </c>
      <c r="BG123" s="8">
        <f>AC6</f>
        <v>0</v>
      </c>
      <c r="BH123" s="6">
        <f>AD6</f>
        <v>0</v>
      </c>
      <c r="BI123" s="6">
        <f>AE6</f>
        <v>0</v>
      </c>
      <c r="BJ123" s="13">
        <f>AF6</f>
        <v>0</v>
      </c>
    </row>
    <row r="124" spans="1:62" x14ac:dyDescent="0.25">
      <c r="A124" s="15">
        <v>2000</v>
      </c>
      <c r="B124" s="8">
        <f t="shared" si="26"/>
        <v>0</v>
      </c>
      <c r="C124" s="6">
        <f t="shared" si="26"/>
        <v>0</v>
      </c>
      <c r="D124" s="6">
        <f t="shared" si="26"/>
        <v>0</v>
      </c>
      <c r="E124" s="6">
        <f t="shared" si="26"/>
        <v>0</v>
      </c>
      <c r="F124" s="13">
        <f t="shared" si="26"/>
        <v>0</v>
      </c>
      <c r="G124" s="8">
        <f t="shared" si="27"/>
        <v>0</v>
      </c>
      <c r="H124" s="6">
        <f t="shared" si="27"/>
        <v>0</v>
      </c>
      <c r="I124" s="6">
        <f t="shared" si="27"/>
        <v>0</v>
      </c>
      <c r="J124" s="6">
        <f t="shared" si="27"/>
        <v>0</v>
      </c>
      <c r="K124" s="13">
        <f t="shared" si="27"/>
        <v>0</v>
      </c>
      <c r="L124" s="8">
        <f t="shared" si="28"/>
        <v>0</v>
      </c>
      <c r="M124" s="6">
        <f t="shared" si="28"/>
        <v>0</v>
      </c>
      <c r="N124" s="6">
        <f t="shared" si="28"/>
        <v>0</v>
      </c>
      <c r="O124" s="6">
        <f t="shared" si="28"/>
        <v>0</v>
      </c>
      <c r="P124" s="13">
        <f t="shared" si="28"/>
        <v>0</v>
      </c>
      <c r="Q124" s="8">
        <f t="shared" si="29"/>
        <v>0</v>
      </c>
      <c r="R124" s="6">
        <f t="shared" si="29"/>
        <v>0</v>
      </c>
      <c r="S124" s="6">
        <f t="shared" si="29"/>
        <v>0</v>
      </c>
      <c r="T124" s="6">
        <f t="shared" si="29"/>
        <v>0</v>
      </c>
      <c r="U124" s="13">
        <f t="shared" si="29"/>
        <v>0</v>
      </c>
      <c r="V124" s="8">
        <f t="shared" si="30"/>
        <v>0</v>
      </c>
      <c r="W124" s="6">
        <f t="shared" si="30"/>
        <v>0</v>
      </c>
      <c r="X124" s="6">
        <f t="shared" si="30"/>
        <v>0</v>
      </c>
      <c r="Y124" s="6">
        <f t="shared" si="30"/>
        <v>0</v>
      </c>
      <c r="Z124" s="13">
        <f t="shared" si="30"/>
        <v>0</v>
      </c>
      <c r="AA124" s="8">
        <f t="shared" si="30"/>
        <v>0</v>
      </c>
      <c r="AB124" s="6">
        <f t="shared" si="30"/>
        <v>0</v>
      </c>
      <c r="AC124" s="6">
        <f t="shared" si="30"/>
        <v>0</v>
      </c>
      <c r="AD124" s="6">
        <f t="shared" si="30"/>
        <v>0</v>
      </c>
      <c r="AE124" s="13">
        <f t="shared" si="30"/>
        <v>0</v>
      </c>
      <c r="AF124" s="16">
        <f t="shared" si="31"/>
        <v>0</v>
      </c>
      <c r="AG124" s="16">
        <f t="shared" si="32"/>
        <v>0</v>
      </c>
      <c r="AH124" s="15">
        <f>AH2</f>
        <v>0</v>
      </c>
      <c r="AI124" s="8">
        <f>AI2</f>
        <v>0</v>
      </c>
      <c r="AJ124" s="6">
        <f>AJ2</f>
        <v>0</v>
      </c>
      <c r="AK124" s="6">
        <f>AK2</f>
        <v>0</v>
      </c>
      <c r="AL124" s="13">
        <f>AL2</f>
        <v>0</v>
      </c>
      <c r="AN124" s="15">
        <f>AH3</f>
        <v>0</v>
      </c>
      <c r="AO124" s="8">
        <f>AI3</f>
        <v>0</v>
      </c>
      <c r="AP124" s="6">
        <f>AJ3</f>
        <v>0</v>
      </c>
      <c r="AQ124" s="6">
        <f>AK3</f>
        <v>0</v>
      </c>
      <c r="AR124" s="13">
        <f>AL3</f>
        <v>0</v>
      </c>
      <c r="AT124" s="15">
        <f>AH4</f>
        <v>0</v>
      </c>
      <c r="AU124" s="8">
        <f>AI4</f>
        <v>0</v>
      </c>
      <c r="AV124" s="6">
        <f>AJ4</f>
        <v>0</v>
      </c>
      <c r="AW124" s="6">
        <f>AK4</f>
        <v>0</v>
      </c>
      <c r="AX124" s="13">
        <f>AL4</f>
        <v>0</v>
      </c>
      <c r="AZ124" s="15">
        <f>AH5</f>
        <v>0</v>
      </c>
      <c r="BA124" s="8">
        <f>AI5</f>
        <v>0</v>
      </c>
      <c r="BB124" s="6">
        <f>AJ5</f>
        <v>0</v>
      </c>
      <c r="BC124" s="6">
        <f>AK5</f>
        <v>0</v>
      </c>
      <c r="BD124" s="13">
        <f>AL5</f>
        <v>0</v>
      </c>
      <c r="BF124" s="15">
        <f>AH6</f>
        <v>0</v>
      </c>
      <c r="BG124" s="8">
        <f>AI6</f>
        <v>0</v>
      </c>
      <c r="BH124" s="6">
        <f>AJ6</f>
        <v>0</v>
      </c>
      <c r="BI124" s="6">
        <f>AK6</f>
        <v>0</v>
      </c>
      <c r="BJ124" s="13">
        <f>AL6</f>
        <v>0</v>
      </c>
    </row>
    <row r="125" spans="1:62" x14ac:dyDescent="0.25">
      <c r="A125" s="15">
        <v>3000</v>
      </c>
      <c r="B125" s="8">
        <f t="shared" si="26"/>
        <v>0</v>
      </c>
      <c r="C125" s="6">
        <f t="shared" si="26"/>
        <v>0</v>
      </c>
      <c r="D125" s="6">
        <f t="shared" si="26"/>
        <v>0</v>
      </c>
      <c r="E125" s="6">
        <f t="shared" si="26"/>
        <v>0</v>
      </c>
      <c r="F125" s="13">
        <f t="shared" si="26"/>
        <v>0</v>
      </c>
      <c r="G125" s="8">
        <f t="shared" si="27"/>
        <v>0</v>
      </c>
      <c r="H125" s="6">
        <f t="shared" si="27"/>
        <v>0</v>
      </c>
      <c r="I125" s="6">
        <f t="shared" si="27"/>
        <v>0</v>
      </c>
      <c r="J125" s="6">
        <f t="shared" si="27"/>
        <v>0</v>
      </c>
      <c r="K125" s="13">
        <f t="shared" si="27"/>
        <v>0</v>
      </c>
      <c r="L125" s="8">
        <f t="shared" si="28"/>
        <v>0</v>
      </c>
      <c r="M125" s="6">
        <f t="shared" si="28"/>
        <v>0</v>
      </c>
      <c r="N125" s="6">
        <f t="shared" si="28"/>
        <v>0</v>
      </c>
      <c r="O125" s="6">
        <f t="shared" si="28"/>
        <v>0</v>
      </c>
      <c r="P125" s="13">
        <f t="shared" si="28"/>
        <v>0</v>
      </c>
      <c r="Q125" s="8">
        <f t="shared" si="29"/>
        <v>0</v>
      </c>
      <c r="R125" s="6">
        <f t="shared" si="29"/>
        <v>0</v>
      </c>
      <c r="S125" s="6">
        <f t="shared" si="29"/>
        <v>0</v>
      </c>
      <c r="T125" s="6">
        <f t="shared" si="29"/>
        <v>0</v>
      </c>
      <c r="U125" s="13">
        <f t="shared" si="29"/>
        <v>0</v>
      </c>
      <c r="V125" s="8">
        <f t="shared" si="30"/>
        <v>0</v>
      </c>
      <c r="W125" s="6">
        <f t="shared" si="30"/>
        <v>0</v>
      </c>
      <c r="X125" s="6">
        <f t="shared" si="30"/>
        <v>0</v>
      </c>
      <c r="Y125" s="6">
        <f t="shared" si="30"/>
        <v>0</v>
      </c>
      <c r="Z125" s="13">
        <f t="shared" si="30"/>
        <v>0</v>
      </c>
      <c r="AA125" s="8">
        <f t="shared" si="30"/>
        <v>0</v>
      </c>
      <c r="AB125" s="6">
        <f t="shared" si="30"/>
        <v>0</v>
      </c>
      <c r="AC125" s="6">
        <f t="shared" si="30"/>
        <v>0</v>
      </c>
      <c r="AD125" s="6">
        <f t="shared" si="30"/>
        <v>0</v>
      </c>
      <c r="AE125" s="13">
        <f t="shared" si="30"/>
        <v>0</v>
      </c>
      <c r="AF125" s="16">
        <f t="shared" si="31"/>
        <v>0</v>
      </c>
      <c r="AG125" s="16">
        <f t="shared" si="32"/>
        <v>0</v>
      </c>
      <c r="AH125" s="15">
        <f>AN2</f>
        <v>0</v>
      </c>
      <c r="AI125" s="8">
        <f>AO2</f>
        <v>0</v>
      </c>
      <c r="AJ125" s="6">
        <f>AP2</f>
        <v>0</v>
      </c>
      <c r="AK125" s="6">
        <f>AQ2</f>
        <v>0</v>
      </c>
      <c r="AL125" s="13">
        <f>AR2</f>
        <v>0</v>
      </c>
      <c r="AN125" s="15">
        <f>AN3</f>
        <v>0</v>
      </c>
      <c r="AO125" s="8">
        <f>AO3</f>
        <v>0</v>
      </c>
      <c r="AP125" s="6">
        <f>AP3</f>
        <v>0</v>
      </c>
      <c r="AQ125" s="6">
        <f>AQ3</f>
        <v>0</v>
      </c>
      <c r="AR125" s="13">
        <f>AR3</f>
        <v>0</v>
      </c>
      <c r="AT125" s="15">
        <f>AN4</f>
        <v>0</v>
      </c>
      <c r="AU125" s="8">
        <f>AO4</f>
        <v>0</v>
      </c>
      <c r="AV125" s="6">
        <f>AP4</f>
        <v>0</v>
      </c>
      <c r="AW125" s="6">
        <f>AQ4</f>
        <v>0</v>
      </c>
      <c r="AX125" s="13">
        <f>AR4</f>
        <v>0</v>
      </c>
      <c r="AZ125" s="15">
        <f>AN5</f>
        <v>0</v>
      </c>
      <c r="BA125" s="8">
        <f>AO5</f>
        <v>0</v>
      </c>
      <c r="BB125" s="6">
        <f>AP5</f>
        <v>0</v>
      </c>
      <c r="BC125" s="6">
        <f>AQ5</f>
        <v>0</v>
      </c>
      <c r="BD125" s="13">
        <f>AR5</f>
        <v>0</v>
      </c>
      <c r="BF125" s="15">
        <f>AN6</f>
        <v>0</v>
      </c>
      <c r="BG125" s="8">
        <f>AO6</f>
        <v>0</v>
      </c>
      <c r="BH125" s="6">
        <f>AP6</f>
        <v>0</v>
      </c>
      <c r="BI125" s="6">
        <f>AQ6</f>
        <v>0</v>
      </c>
      <c r="BJ125" s="13">
        <f>AR6</f>
        <v>0</v>
      </c>
    </row>
    <row r="126" spans="1:62" x14ac:dyDescent="0.25">
      <c r="A126" s="15">
        <v>5000</v>
      </c>
      <c r="B126" s="8">
        <f t="shared" si="26"/>
        <v>0</v>
      </c>
      <c r="C126" s="6">
        <f t="shared" si="26"/>
        <v>0</v>
      </c>
      <c r="D126" s="6">
        <f t="shared" si="26"/>
        <v>0</v>
      </c>
      <c r="E126" s="6">
        <f t="shared" si="26"/>
        <v>0</v>
      </c>
      <c r="F126" s="13">
        <f t="shared" si="26"/>
        <v>0</v>
      </c>
      <c r="G126" s="8">
        <f t="shared" si="27"/>
        <v>0</v>
      </c>
      <c r="H126" s="6">
        <f t="shared" si="27"/>
        <v>0</v>
      </c>
      <c r="I126" s="6">
        <f t="shared" si="27"/>
        <v>0</v>
      </c>
      <c r="J126" s="6">
        <f t="shared" si="27"/>
        <v>0</v>
      </c>
      <c r="K126" s="13">
        <f t="shared" si="27"/>
        <v>0</v>
      </c>
      <c r="L126" s="8">
        <f t="shared" si="28"/>
        <v>0</v>
      </c>
      <c r="M126" s="6">
        <f t="shared" si="28"/>
        <v>0</v>
      </c>
      <c r="N126" s="6">
        <f t="shared" si="28"/>
        <v>0</v>
      </c>
      <c r="O126" s="6">
        <f t="shared" si="28"/>
        <v>0</v>
      </c>
      <c r="P126" s="13">
        <f t="shared" si="28"/>
        <v>0</v>
      </c>
      <c r="Q126" s="8">
        <f t="shared" si="29"/>
        <v>0</v>
      </c>
      <c r="R126" s="6">
        <f t="shared" si="29"/>
        <v>0</v>
      </c>
      <c r="S126" s="6">
        <f t="shared" si="29"/>
        <v>0</v>
      </c>
      <c r="T126" s="6">
        <f t="shared" si="29"/>
        <v>0</v>
      </c>
      <c r="U126" s="13">
        <f t="shared" si="29"/>
        <v>0</v>
      </c>
      <c r="V126" s="8">
        <f t="shared" si="30"/>
        <v>0</v>
      </c>
      <c r="W126" s="6">
        <f t="shared" si="30"/>
        <v>0</v>
      </c>
      <c r="X126" s="6">
        <f t="shared" si="30"/>
        <v>0</v>
      </c>
      <c r="Y126" s="6">
        <f t="shared" si="30"/>
        <v>0</v>
      </c>
      <c r="Z126" s="13">
        <f t="shared" si="30"/>
        <v>0</v>
      </c>
      <c r="AA126" s="8">
        <f t="shared" si="30"/>
        <v>0</v>
      </c>
      <c r="AB126" s="6">
        <f t="shared" si="30"/>
        <v>0</v>
      </c>
      <c r="AC126" s="6">
        <f t="shared" si="30"/>
        <v>0</v>
      </c>
      <c r="AD126" s="6">
        <f t="shared" si="30"/>
        <v>0</v>
      </c>
      <c r="AE126" s="13">
        <f t="shared" si="30"/>
        <v>0</v>
      </c>
      <c r="AF126" s="16">
        <f t="shared" si="31"/>
        <v>0</v>
      </c>
      <c r="AG126" s="16">
        <f t="shared" si="32"/>
        <v>0</v>
      </c>
      <c r="AH126" s="15">
        <f>AT2</f>
        <v>0</v>
      </c>
      <c r="AI126" s="8">
        <f>AU2</f>
        <v>0</v>
      </c>
      <c r="AJ126" s="6">
        <f>AV2</f>
        <v>0</v>
      </c>
      <c r="AK126" s="6">
        <f>AW2</f>
        <v>0</v>
      </c>
      <c r="AL126" s="13">
        <f>AX2</f>
        <v>0</v>
      </c>
      <c r="AN126" s="15">
        <f>AT3</f>
        <v>0</v>
      </c>
      <c r="AO126" s="8">
        <f>AU3</f>
        <v>0</v>
      </c>
      <c r="AP126" s="6">
        <f>AV3</f>
        <v>0</v>
      </c>
      <c r="AQ126" s="6">
        <f>AW3</f>
        <v>0</v>
      </c>
      <c r="AR126" s="13">
        <f>AX3</f>
        <v>0</v>
      </c>
      <c r="AT126" s="15">
        <f>AT4</f>
        <v>0</v>
      </c>
      <c r="AU126" s="8">
        <f>AU4</f>
        <v>0</v>
      </c>
      <c r="AV126" s="6">
        <f>AV4</f>
        <v>0</v>
      </c>
      <c r="AW126" s="6">
        <f>AW4</f>
        <v>0</v>
      </c>
      <c r="AX126" s="13">
        <f>AX4</f>
        <v>0</v>
      </c>
      <c r="AZ126" s="15">
        <f>AT5</f>
        <v>0</v>
      </c>
      <c r="BA126" s="8">
        <f>AU5</f>
        <v>0</v>
      </c>
      <c r="BB126" s="6">
        <f>AV5</f>
        <v>0</v>
      </c>
      <c r="BC126" s="6">
        <f>AW5</f>
        <v>0</v>
      </c>
      <c r="BD126" s="13">
        <f>AX5</f>
        <v>0</v>
      </c>
      <c r="BF126" s="15">
        <f>AT6</f>
        <v>0</v>
      </c>
      <c r="BG126" s="8">
        <f>AU6</f>
        <v>0</v>
      </c>
      <c r="BH126" s="6">
        <f>AV6</f>
        <v>0</v>
      </c>
      <c r="BI126" s="6">
        <f>AW6</f>
        <v>0</v>
      </c>
      <c r="BJ126" s="13">
        <f>AX6</f>
        <v>0</v>
      </c>
    </row>
    <row r="127" spans="1:62" ht="15.75" thickBot="1" x14ac:dyDescent="0.3">
      <c r="A127" s="59">
        <v>10000</v>
      </c>
      <c r="B127" s="31">
        <f t="shared" si="26"/>
        <v>0</v>
      </c>
      <c r="C127" s="32">
        <f t="shared" si="26"/>
        <v>0</v>
      </c>
      <c r="D127" s="32">
        <f t="shared" si="26"/>
        <v>0</v>
      </c>
      <c r="E127" s="32">
        <f t="shared" si="26"/>
        <v>0</v>
      </c>
      <c r="F127" s="33">
        <f t="shared" si="26"/>
        <v>0</v>
      </c>
      <c r="G127" s="31">
        <f t="shared" si="27"/>
        <v>0</v>
      </c>
      <c r="H127" s="32">
        <f t="shared" si="27"/>
        <v>0</v>
      </c>
      <c r="I127" s="32">
        <f t="shared" si="27"/>
        <v>0</v>
      </c>
      <c r="J127" s="32">
        <f t="shared" si="27"/>
        <v>0</v>
      </c>
      <c r="K127" s="33">
        <f t="shared" si="27"/>
        <v>0</v>
      </c>
      <c r="L127" s="31">
        <f t="shared" si="28"/>
        <v>0</v>
      </c>
      <c r="M127" s="32">
        <f t="shared" si="28"/>
        <v>0</v>
      </c>
      <c r="N127" s="32">
        <f t="shared" si="28"/>
        <v>0</v>
      </c>
      <c r="O127" s="32">
        <f t="shared" si="28"/>
        <v>0</v>
      </c>
      <c r="P127" s="33">
        <f t="shared" si="28"/>
        <v>0</v>
      </c>
      <c r="Q127" s="31">
        <f t="shared" si="29"/>
        <v>0</v>
      </c>
      <c r="R127" s="32">
        <f t="shared" si="29"/>
        <v>0</v>
      </c>
      <c r="S127" s="32">
        <f t="shared" si="29"/>
        <v>0</v>
      </c>
      <c r="T127" s="32">
        <f t="shared" si="29"/>
        <v>0</v>
      </c>
      <c r="U127" s="33">
        <f t="shared" si="29"/>
        <v>0</v>
      </c>
      <c r="V127" s="31">
        <f t="shared" si="30"/>
        <v>0</v>
      </c>
      <c r="W127" s="32">
        <f t="shared" si="30"/>
        <v>0</v>
      </c>
      <c r="X127" s="32">
        <f t="shared" si="30"/>
        <v>0</v>
      </c>
      <c r="Y127" s="32">
        <f t="shared" si="30"/>
        <v>0</v>
      </c>
      <c r="Z127" s="33">
        <f t="shared" si="30"/>
        <v>0</v>
      </c>
      <c r="AA127" s="31">
        <f t="shared" si="30"/>
        <v>0</v>
      </c>
      <c r="AB127" s="32">
        <f t="shared" si="30"/>
        <v>0</v>
      </c>
      <c r="AC127" s="32">
        <f t="shared" si="30"/>
        <v>0</v>
      </c>
      <c r="AD127" s="32">
        <f t="shared" si="30"/>
        <v>0</v>
      </c>
      <c r="AE127" s="33">
        <f t="shared" si="30"/>
        <v>0</v>
      </c>
      <c r="AF127" s="16">
        <f t="shared" si="31"/>
        <v>0</v>
      </c>
      <c r="AG127" s="43">
        <f t="shared" si="32"/>
        <v>0</v>
      </c>
      <c r="AH127" s="15">
        <f>AZ2</f>
        <v>0</v>
      </c>
      <c r="AI127" s="8">
        <f>BA2</f>
        <v>0</v>
      </c>
      <c r="AJ127" s="6">
        <f>BB2</f>
        <v>0</v>
      </c>
      <c r="AK127" s="6">
        <f>BC2</f>
        <v>0</v>
      </c>
      <c r="AL127" s="13">
        <f>BD2</f>
        <v>0</v>
      </c>
      <c r="AN127" s="15">
        <f>AZ3</f>
        <v>0</v>
      </c>
      <c r="AO127" s="8">
        <f>BA3</f>
        <v>0</v>
      </c>
      <c r="AP127" s="6">
        <f>BB3</f>
        <v>0</v>
      </c>
      <c r="AQ127" s="6">
        <f>BC3</f>
        <v>0</v>
      </c>
      <c r="AR127" s="13">
        <f>BD3</f>
        <v>0</v>
      </c>
      <c r="AT127" s="15">
        <f>AZ4</f>
        <v>0</v>
      </c>
      <c r="AU127" s="8">
        <f>BA4</f>
        <v>0</v>
      </c>
      <c r="AV127" s="6">
        <f>BB4</f>
        <v>0</v>
      </c>
      <c r="AW127" s="6">
        <f>BC4</f>
        <v>0</v>
      </c>
      <c r="AX127" s="13">
        <f>BD4</f>
        <v>0</v>
      </c>
      <c r="AZ127" s="15">
        <f>AZ5</f>
        <v>0</v>
      </c>
      <c r="BA127" s="8">
        <f>BA5</f>
        <v>0</v>
      </c>
      <c r="BB127" s="6">
        <f>BB5</f>
        <v>0</v>
      </c>
      <c r="BC127" s="6">
        <f>BC5</f>
        <v>0</v>
      </c>
      <c r="BD127" s="13">
        <f>BD5</f>
        <v>0</v>
      </c>
      <c r="BF127" s="15">
        <f>AZ6</f>
        <v>0</v>
      </c>
      <c r="BG127" s="8">
        <f>BA6</f>
        <v>0</v>
      </c>
      <c r="BH127" s="6">
        <f>BB6</f>
        <v>0</v>
      </c>
      <c r="BI127" s="6">
        <f>BC6</f>
        <v>0</v>
      </c>
      <c r="BJ127" s="13">
        <f>BD6</f>
        <v>0</v>
      </c>
    </row>
    <row r="128" spans="1:62" ht="15.75" thickBot="1" x14ac:dyDescent="0.3">
      <c r="A128" s="35"/>
      <c r="B128" s="60">
        <f t="shared" ref="B128:AG128" si="33">SUM(B119:B127)</f>
        <v>0</v>
      </c>
      <c r="C128" s="61">
        <f t="shared" si="33"/>
        <v>48</v>
      </c>
      <c r="D128" s="61">
        <f t="shared" si="33"/>
        <v>0</v>
      </c>
      <c r="E128" s="61">
        <f t="shared" si="33"/>
        <v>0</v>
      </c>
      <c r="F128" s="62">
        <f t="shared" si="33"/>
        <v>0</v>
      </c>
      <c r="G128" s="60">
        <f t="shared" si="33"/>
        <v>0</v>
      </c>
      <c r="H128" s="61">
        <f t="shared" si="33"/>
        <v>0</v>
      </c>
      <c r="I128" s="61">
        <f t="shared" si="33"/>
        <v>0</v>
      </c>
      <c r="J128" s="61">
        <f t="shared" si="33"/>
        <v>0</v>
      </c>
      <c r="K128" s="62">
        <f t="shared" si="33"/>
        <v>0</v>
      </c>
      <c r="L128" s="60">
        <f t="shared" si="33"/>
        <v>0</v>
      </c>
      <c r="M128" s="61">
        <f t="shared" si="33"/>
        <v>0</v>
      </c>
      <c r="N128" s="61">
        <f t="shared" si="33"/>
        <v>0</v>
      </c>
      <c r="O128" s="61">
        <f t="shared" si="33"/>
        <v>0</v>
      </c>
      <c r="P128" s="62">
        <f t="shared" si="33"/>
        <v>0</v>
      </c>
      <c r="Q128" s="60">
        <f t="shared" si="33"/>
        <v>0</v>
      </c>
      <c r="R128" s="61">
        <f t="shared" si="33"/>
        <v>0</v>
      </c>
      <c r="S128" s="61">
        <f t="shared" si="33"/>
        <v>0</v>
      </c>
      <c r="T128" s="61">
        <f t="shared" si="33"/>
        <v>0</v>
      </c>
      <c r="U128" s="62">
        <f t="shared" si="33"/>
        <v>0</v>
      </c>
      <c r="V128" s="60">
        <f t="shared" si="33"/>
        <v>0</v>
      </c>
      <c r="W128" s="61">
        <f t="shared" si="33"/>
        <v>0</v>
      </c>
      <c r="X128" s="61">
        <f t="shared" si="33"/>
        <v>0</v>
      </c>
      <c r="Y128" s="61">
        <f t="shared" si="33"/>
        <v>0</v>
      </c>
      <c r="Z128" s="62">
        <f t="shared" si="33"/>
        <v>0</v>
      </c>
      <c r="AA128" s="60">
        <f t="shared" si="33"/>
        <v>0</v>
      </c>
      <c r="AB128" s="61">
        <f t="shared" si="33"/>
        <v>0</v>
      </c>
      <c r="AC128" s="61">
        <f t="shared" si="33"/>
        <v>0</v>
      </c>
      <c r="AD128" s="61">
        <f t="shared" si="33"/>
        <v>0</v>
      </c>
      <c r="AE128" s="62">
        <f t="shared" si="33"/>
        <v>0</v>
      </c>
      <c r="AF128" s="35">
        <f>SUM(AF119:AF127)</f>
        <v>39500</v>
      </c>
      <c r="AG128" s="35">
        <f t="shared" si="32"/>
        <v>48</v>
      </c>
      <c r="AH128" s="15">
        <f>BF2</f>
        <v>0</v>
      </c>
      <c r="AI128" s="8">
        <f>BG2</f>
        <v>0</v>
      </c>
      <c r="AJ128" s="6">
        <f>BH2</f>
        <v>0</v>
      </c>
      <c r="AK128" s="6">
        <f>BI2</f>
        <v>0</v>
      </c>
      <c r="AL128" s="13">
        <f>BJ2</f>
        <v>0</v>
      </c>
      <c r="AN128" s="15">
        <f>BF3</f>
        <v>0</v>
      </c>
      <c r="AO128" s="8">
        <f>BG3</f>
        <v>0</v>
      </c>
      <c r="AP128" s="6">
        <f>BH3</f>
        <v>0</v>
      </c>
      <c r="AQ128" s="6">
        <f>BI3</f>
        <v>0</v>
      </c>
      <c r="AR128" s="13">
        <f>BJ3</f>
        <v>0</v>
      </c>
      <c r="AT128" s="15">
        <f>BF4</f>
        <v>0</v>
      </c>
      <c r="AU128" s="8">
        <f>BG4</f>
        <v>0</v>
      </c>
      <c r="AV128" s="6">
        <f>BH4</f>
        <v>0</v>
      </c>
      <c r="AW128" s="6">
        <f>BI4</f>
        <v>0</v>
      </c>
      <c r="AX128" s="13">
        <f>BJ4</f>
        <v>0</v>
      </c>
      <c r="AZ128" s="15">
        <f>BF5</f>
        <v>0</v>
      </c>
      <c r="BA128" s="8">
        <f>BG5</f>
        <v>0</v>
      </c>
      <c r="BB128" s="6">
        <f>BH5</f>
        <v>0</v>
      </c>
      <c r="BC128" s="6">
        <f>BI5</f>
        <v>0</v>
      </c>
      <c r="BD128" s="13">
        <f>BJ5</f>
        <v>0</v>
      </c>
      <c r="BF128" s="15">
        <f>BF6</f>
        <v>0</v>
      </c>
      <c r="BG128" s="8">
        <f>BG6</f>
        <v>0</v>
      </c>
      <c r="BH128" s="6">
        <f>BH6</f>
        <v>0</v>
      </c>
      <c r="BI128" s="6">
        <f>BI6</f>
        <v>0</v>
      </c>
      <c r="BJ128" s="13">
        <f>BJ6</f>
        <v>0</v>
      </c>
    </row>
    <row r="129" spans="1:62" ht="15.75" thickBo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9">
        <f>BL2</f>
        <v>0</v>
      </c>
      <c r="AI129" s="31">
        <f>BM2</f>
        <v>0</v>
      </c>
      <c r="AJ129" s="32">
        <f>BN2</f>
        <v>0</v>
      </c>
      <c r="AK129" s="32">
        <f>BO2</f>
        <v>0</v>
      </c>
      <c r="AL129" s="33">
        <f>BP2</f>
        <v>0</v>
      </c>
      <c r="AN129" s="59">
        <f>BL3</f>
        <v>0</v>
      </c>
      <c r="AO129" s="31">
        <f>BM3</f>
        <v>0</v>
      </c>
      <c r="AP129" s="32">
        <f>BN3</f>
        <v>0</v>
      </c>
      <c r="AQ129" s="32">
        <f>BO3</f>
        <v>0</v>
      </c>
      <c r="AR129" s="33">
        <f>BP3</f>
        <v>0</v>
      </c>
      <c r="AT129" s="59">
        <f>BL4</f>
        <v>0</v>
      </c>
      <c r="AU129" s="31">
        <f>BM4</f>
        <v>0</v>
      </c>
      <c r="AV129" s="32">
        <f>BN4</f>
        <v>0</v>
      </c>
      <c r="AW129" s="32">
        <f>BO4</f>
        <v>0</v>
      </c>
      <c r="AX129" s="33">
        <f>BP4</f>
        <v>0</v>
      </c>
      <c r="AZ129" s="59">
        <f>BL5</f>
        <v>0</v>
      </c>
      <c r="BA129" s="31">
        <f>BM5</f>
        <v>0</v>
      </c>
      <c r="BB129" s="32">
        <f>BN5</f>
        <v>0</v>
      </c>
      <c r="BC129" s="32">
        <f>BO5</f>
        <v>0</v>
      </c>
      <c r="BD129" s="33">
        <f>BP5</f>
        <v>0</v>
      </c>
      <c r="BF129" s="59">
        <f>BL6</f>
        <v>0</v>
      </c>
      <c r="BG129" s="31">
        <f>BM6</f>
        <v>0</v>
      </c>
      <c r="BH129" s="32">
        <f>BN6</f>
        <v>0</v>
      </c>
      <c r="BI129" s="32">
        <f>BO6</f>
        <v>0</v>
      </c>
      <c r="BJ129" s="33">
        <f>BP6</f>
        <v>0</v>
      </c>
    </row>
    <row r="130" spans="1:62" ht="16.5" thickBot="1" x14ac:dyDescent="0.3">
      <c r="A130" s="173" t="s">
        <v>249</v>
      </c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5"/>
      <c r="AH130" s="35" t="str">
        <f>C2</f>
        <v>A/C</v>
      </c>
      <c r="AI130" s="158">
        <f>SUM(AJ120:AJ129)</f>
        <v>48</v>
      </c>
      <c r="AJ130" s="159"/>
      <c r="AK130" s="158">
        <f>BT2</f>
        <v>39500</v>
      </c>
      <c r="AL130" s="159"/>
      <c r="AN130" s="35">
        <f>C3</f>
        <v>0</v>
      </c>
      <c r="AO130" s="158">
        <f>SUM(AP120:AP129)</f>
        <v>0</v>
      </c>
      <c r="AP130" s="159"/>
      <c r="AQ130" s="158">
        <f>BT3</f>
        <v>0</v>
      </c>
      <c r="AR130" s="159"/>
      <c r="AT130" s="35">
        <f>C4</f>
        <v>0</v>
      </c>
      <c r="AU130" s="158">
        <f>SUM(AV120:AV129)</f>
        <v>0</v>
      </c>
      <c r="AV130" s="159"/>
      <c r="AW130" s="158">
        <f>BT4</f>
        <v>0</v>
      </c>
      <c r="AX130" s="159"/>
      <c r="AZ130" s="35">
        <f>C5</f>
        <v>0</v>
      </c>
      <c r="BA130" s="158">
        <f>SUM(BB120:BB129)</f>
        <v>0</v>
      </c>
      <c r="BB130" s="159"/>
      <c r="BC130" s="158">
        <f>BT5</f>
        <v>0</v>
      </c>
      <c r="BD130" s="159"/>
      <c r="BF130" s="35">
        <f>C6</f>
        <v>0</v>
      </c>
      <c r="BG130" s="158">
        <f>SUM(BG120:BG129)</f>
        <v>0</v>
      </c>
      <c r="BH130" s="159"/>
      <c r="BI130" s="158">
        <f>BT6</f>
        <v>0</v>
      </c>
      <c r="BJ130" s="159"/>
    </row>
    <row r="131" spans="1:62" ht="15.75" thickBot="1" x14ac:dyDescent="0.3">
      <c r="A131" s="123" t="s">
        <v>31</v>
      </c>
      <c r="B131" s="113" t="s">
        <v>22</v>
      </c>
      <c r="C131" s="114"/>
      <c r="D131" s="114"/>
      <c r="E131" s="114"/>
      <c r="F131" s="115"/>
      <c r="G131" s="113" t="s">
        <v>20</v>
      </c>
      <c r="H131" s="114"/>
      <c r="I131" s="114"/>
      <c r="J131" s="114"/>
      <c r="K131" s="115"/>
      <c r="L131" s="113" t="s">
        <v>34</v>
      </c>
      <c r="M131" s="114"/>
      <c r="N131" s="114"/>
      <c r="O131" s="114"/>
      <c r="P131" s="115"/>
      <c r="Q131" s="113" t="s">
        <v>127</v>
      </c>
      <c r="R131" s="114"/>
      <c r="S131" s="114"/>
      <c r="T131" s="114"/>
      <c r="U131" s="115"/>
      <c r="V131" s="113" t="s">
        <v>129</v>
      </c>
      <c r="W131" s="114"/>
      <c r="X131" s="114"/>
      <c r="Y131" s="114"/>
      <c r="Z131" s="115"/>
      <c r="AA131" s="113" t="s">
        <v>26</v>
      </c>
      <c r="AB131" s="114"/>
      <c r="AC131" s="114"/>
      <c r="AD131" s="114"/>
      <c r="AE131" s="115"/>
      <c r="AF131" s="116" t="s">
        <v>24</v>
      </c>
      <c r="AG131" s="116" t="s">
        <v>86</v>
      </c>
      <c r="AH131" s="35" t="s">
        <v>25</v>
      </c>
      <c r="AI131" s="158">
        <f>A2</f>
        <v>21420</v>
      </c>
      <c r="AJ131" s="160"/>
      <c r="AK131" s="158" t="str">
        <f>BR2</f>
        <v>COD</v>
      </c>
      <c r="AL131" s="159"/>
      <c r="AN131" s="35" t="s">
        <v>25</v>
      </c>
      <c r="AO131" s="158">
        <f>A3</f>
        <v>0</v>
      </c>
      <c r="AP131" s="160"/>
      <c r="AQ131" s="158">
        <f>BR3</f>
        <v>0</v>
      </c>
      <c r="AR131" s="159"/>
      <c r="AT131" s="35" t="s">
        <v>25</v>
      </c>
      <c r="AU131" s="158">
        <f>A4</f>
        <v>0</v>
      </c>
      <c r="AV131" s="160"/>
      <c r="AW131" s="158">
        <f>BR4</f>
        <v>0</v>
      </c>
      <c r="AX131" s="159"/>
      <c r="AZ131" s="35" t="s">
        <v>25</v>
      </c>
      <c r="BA131" s="158">
        <f>A5</f>
        <v>0</v>
      </c>
      <c r="BB131" s="160"/>
      <c r="BC131" s="158">
        <f>BR5</f>
        <v>0</v>
      </c>
      <c r="BD131" s="159"/>
      <c r="BF131" s="35" t="s">
        <v>25</v>
      </c>
      <c r="BG131" s="158">
        <f>A6</f>
        <v>0</v>
      </c>
      <c r="BH131" s="160"/>
      <c r="BI131" s="158">
        <f>BR6</f>
        <v>0</v>
      </c>
      <c r="BJ131" s="159"/>
    </row>
    <row r="132" spans="1:62" ht="15.75" thickBot="1" x14ac:dyDescent="0.3">
      <c r="A132" s="124"/>
      <c r="B132" s="9" t="s">
        <v>32</v>
      </c>
      <c r="C132" s="12" t="s">
        <v>17</v>
      </c>
      <c r="D132" s="12" t="s">
        <v>19</v>
      </c>
      <c r="E132" s="12" t="s">
        <v>33</v>
      </c>
      <c r="F132" s="14" t="s">
        <v>80</v>
      </c>
      <c r="G132" s="9" t="s">
        <v>32</v>
      </c>
      <c r="H132" s="12" t="s">
        <v>17</v>
      </c>
      <c r="I132" s="12" t="s">
        <v>19</v>
      </c>
      <c r="J132" s="12" t="s">
        <v>33</v>
      </c>
      <c r="K132" s="14" t="s">
        <v>80</v>
      </c>
      <c r="L132" s="9" t="s">
        <v>32</v>
      </c>
      <c r="M132" s="12" t="s">
        <v>17</v>
      </c>
      <c r="N132" s="12" t="s">
        <v>19</v>
      </c>
      <c r="O132" s="12" t="s">
        <v>33</v>
      </c>
      <c r="P132" s="14" t="s">
        <v>80</v>
      </c>
      <c r="Q132" s="9" t="s">
        <v>32</v>
      </c>
      <c r="R132" s="12" t="s">
        <v>17</v>
      </c>
      <c r="S132" s="12" t="s">
        <v>19</v>
      </c>
      <c r="T132" s="12" t="s">
        <v>33</v>
      </c>
      <c r="U132" s="14" t="s">
        <v>80</v>
      </c>
      <c r="V132" s="9" t="s">
        <v>32</v>
      </c>
      <c r="W132" s="12" t="s">
        <v>17</v>
      </c>
      <c r="X132" s="12" t="s">
        <v>19</v>
      </c>
      <c r="Y132" s="12" t="s">
        <v>33</v>
      </c>
      <c r="Z132" s="14" t="s">
        <v>80</v>
      </c>
      <c r="AA132" s="9" t="s">
        <v>32</v>
      </c>
      <c r="AB132" s="12" t="s">
        <v>17</v>
      </c>
      <c r="AC132" s="12" t="s">
        <v>19</v>
      </c>
      <c r="AD132" s="12" t="s">
        <v>33</v>
      </c>
      <c r="AE132" s="14" t="s">
        <v>80</v>
      </c>
      <c r="AF132" s="117"/>
      <c r="AG132" s="117"/>
      <c r="AH132" s="58" t="s">
        <v>130</v>
      </c>
      <c r="AI132" s="58" t="s">
        <v>131</v>
      </c>
      <c r="AJ132" s="58" t="s">
        <v>132</v>
      </c>
      <c r="AK132" s="58" t="s">
        <v>166</v>
      </c>
      <c r="AL132" s="58" t="s">
        <v>33</v>
      </c>
      <c r="AN132" s="58" t="s">
        <v>130</v>
      </c>
      <c r="AO132" s="58" t="s">
        <v>131</v>
      </c>
      <c r="AP132" s="58" t="s">
        <v>132</v>
      </c>
      <c r="AQ132" s="58" t="s">
        <v>166</v>
      </c>
      <c r="AR132" s="58" t="s">
        <v>33</v>
      </c>
      <c r="AT132" s="58" t="s">
        <v>130</v>
      </c>
      <c r="AU132" s="58" t="s">
        <v>131</v>
      </c>
      <c r="AV132" s="58" t="s">
        <v>132</v>
      </c>
      <c r="AW132" s="58" t="s">
        <v>166</v>
      </c>
      <c r="AX132" s="58" t="s">
        <v>33</v>
      </c>
      <c r="AZ132" s="58" t="s">
        <v>130</v>
      </c>
      <c r="BA132" s="58" t="s">
        <v>131</v>
      </c>
      <c r="BB132" s="58" t="s">
        <v>132</v>
      </c>
      <c r="BC132" s="58" t="s">
        <v>166</v>
      </c>
      <c r="BD132" s="58" t="s">
        <v>33</v>
      </c>
      <c r="BF132" s="58" t="s">
        <v>130</v>
      </c>
      <c r="BG132" s="58" t="s">
        <v>131</v>
      </c>
      <c r="BH132" s="58" t="s">
        <v>132</v>
      </c>
      <c r="BI132" s="58" t="s">
        <v>166</v>
      </c>
      <c r="BJ132" s="58" t="s">
        <v>33</v>
      </c>
    </row>
    <row r="133" spans="1:62" ht="15.75" thickBot="1" x14ac:dyDescent="0.3">
      <c r="A133" s="16">
        <v>300</v>
      </c>
      <c r="B133" s="10">
        <f t="shared" ref="B133:F141" si="34">SUMIFS($J$14:$J$113,$I$14:$I$113,$A133,$K$14:$K$113,B$118,$L$14:$L$113,$B$117,$H$14:$H$113,"NG")</f>
        <v>0</v>
      </c>
      <c r="C133" s="11">
        <f t="shared" si="34"/>
        <v>0</v>
      </c>
      <c r="D133" s="11">
        <f t="shared" si="34"/>
        <v>0</v>
      </c>
      <c r="E133" s="11">
        <f t="shared" si="34"/>
        <v>0</v>
      </c>
      <c r="F133" s="17">
        <f t="shared" si="34"/>
        <v>0</v>
      </c>
      <c r="G133" s="10">
        <f t="shared" ref="G133:K141" si="35">SUMIFS($J$14:$J$113,$I$14:$I$113,$A133,$K$14:$K$113,G$118,$L$14:$L$113,$G$117,$H$14:$H$113,"NG")</f>
        <v>0</v>
      </c>
      <c r="H133" s="11">
        <f t="shared" si="35"/>
        <v>0</v>
      </c>
      <c r="I133" s="11">
        <f t="shared" si="35"/>
        <v>0</v>
      </c>
      <c r="J133" s="11">
        <f t="shared" si="35"/>
        <v>0</v>
      </c>
      <c r="K133" s="17">
        <f t="shared" si="35"/>
        <v>0</v>
      </c>
      <c r="L133" s="10">
        <f t="shared" ref="L133:P141" si="36">SUMIFS($J$14:$J$113,$I$14:$I$113,$A133,$K$14:$K$113,L$118,$L$14:$L$113,$L$117,$H$14:$H$113,"NG")</f>
        <v>0</v>
      </c>
      <c r="M133" s="11">
        <f t="shared" si="36"/>
        <v>0</v>
      </c>
      <c r="N133" s="11">
        <f t="shared" si="36"/>
        <v>0</v>
      </c>
      <c r="O133" s="11">
        <f t="shared" si="36"/>
        <v>0</v>
      </c>
      <c r="P133" s="17">
        <f t="shared" si="36"/>
        <v>0</v>
      </c>
      <c r="Q133" s="10">
        <f t="shared" ref="Q133:U141" si="37">SUMIFS($J$14:$J$113,$I$14:$I$113,$A133,$K$14:$K$113,Q$118,$L$14:$L$113,$Q$117,$H$14:$H$113,"NG")</f>
        <v>0</v>
      </c>
      <c r="R133" s="11">
        <f t="shared" si="37"/>
        <v>0</v>
      </c>
      <c r="S133" s="11">
        <f t="shared" si="37"/>
        <v>0</v>
      </c>
      <c r="T133" s="11">
        <f t="shared" si="37"/>
        <v>0</v>
      </c>
      <c r="U133" s="17">
        <f t="shared" si="37"/>
        <v>0</v>
      </c>
      <c r="V133" s="10">
        <f t="shared" ref="V133:AE141" si="38">SUMIFS($J$14:$J$113,$I$14:$I$113,$A133,$K$14:$K$113,V$118,$L$14:$L$113,$L$117,$H$14:$H$113,"NG")</f>
        <v>0</v>
      </c>
      <c r="W133" s="11">
        <f t="shared" si="38"/>
        <v>0</v>
      </c>
      <c r="X133" s="11">
        <f t="shared" si="38"/>
        <v>0</v>
      </c>
      <c r="Y133" s="11">
        <f t="shared" si="38"/>
        <v>0</v>
      </c>
      <c r="Z133" s="17">
        <f t="shared" si="38"/>
        <v>0</v>
      </c>
      <c r="AA133" s="10">
        <f t="shared" si="38"/>
        <v>0</v>
      </c>
      <c r="AB133" s="11">
        <f t="shared" si="38"/>
        <v>0</v>
      </c>
      <c r="AC133" s="11">
        <f t="shared" si="38"/>
        <v>0</v>
      </c>
      <c r="AD133" s="11">
        <f t="shared" si="38"/>
        <v>0</v>
      </c>
      <c r="AE133" s="17">
        <f t="shared" si="38"/>
        <v>0</v>
      </c>
      <c r="AF133" s="16">
        <f>SUM(B133:AE133)*A133</f>
        <v>0</v>
      </c>
      <c r="AG133" s="16">
        <f>SUM(B133:AE133)</f>
        <v>0</v>
      </c>
      <c r="AH133" s="34" t="str">
        <f>AZ14</f>
        <v/>
      </c>
      <c r="AI133" s="34" t="str">
        <f>BA14</f>
        <v/>
      </c>
      <c r="AJ133" s="34" t="str">
        <f>BB14</f>
        <v/>
      </c>
      <c r="AK133" s="35" t="str">
        <f>BC14</f>
        <v/>
      </c>
      <c r="AL133" s="35" t="str">
        <f>BD14</f>
        <v/>
      </c>
      <c r="AN133" s="34" t="str">
        <f>AZ15</f>
        <v/>
      </c>
      <c r="AO133" s="34" t="str">
        <f>BA15</f>
        <v/>
      </c>
      <c r="AP133" s="34" t="str">
        <f>BB15</f>
        <v/>
      </c>
      <c r="AQ133" s="35" t="str">
        <f>BC15</f>
        <v/>
      </c>
      <c r="AR133" s="35" t="str">
        <f>BD15</f>
        <v/>
      </c>
      <c r="AT133" s="34" t="str">
        <f>AZ16</f>
        <v/>
      </c>
      <c r="AU133" s="34" t="str">
        <f>BA16</f>
        <v/>
      </c>
      <c r="AV133" s="34" t="str">
        <f>BB16</f>
        <v/>
      </c>
      <c r="AW133" s="35" t="str">
        <f>BC16</f>
        <v/>
      </c>
      <c r="AX133" s="35" t="str">
        <f>BD16</f>
        <v/>
      </c>
      <c r="AZ133" s="34" t="str">
        <f>AZ17</f>
        <v/>
      </c>
      <c r="BA133" s="34" t="str">
        <f>BA17</f>
        <v/>
      </c>
      <c r="BB133" s="34" t="str">
        <f>BB17</f>
        <v/>
      </c>
      <c r="BC133" s="35" t="str">
        <f>BC17</f>
        <v/>
      </c>
      <c r="BD133" s="35" t="str">
        <f>BD17</f>
        <v/>
      </c>
      <c r="BF133" s="34" t="str">
        <f>AZ18</f>
        <v/>
      </c>
      <c r="BG133" s="34" t="str">
        <f>BA18</f>
        <v/>
      </c>
      <c r="BH133" s="34" t="str">
        <f>BB18</f>
        <v/>
      </c>
      <c r="BI133" s="35" t="str">
        <f>BC18</f>
        <v/>
      </c>
      <c r="BJ133" s="35" t="str">
        <f>BD18</f>
        <v/>
      </c>
    </row>
    <row r="134" spans="1:62" ht="15.75" thickBot="1" x14ac:dyDescent="0.3">
      <c r="A134" s="16">
        <v>500</v>
      </c>
      <c r="B134" s="10">
        <f t="shared" si="34"/>
        <v>0</v>
      </c>
      <c r="C134" s="11">
        <f t="shared" si="34"/>
        <v>0</v>
      </c>
      <c r="D134" s="11">
        <f t="shared" si="34"/>
        <v>0</v>
      </c>
      <c r="E134" s="11">
        <f t="shared" si="34"/>
        <v>0</v>
      </c>
      <c r="F134" s="17">
        <f t="shared" si="34"/>
        <v>0</v>
      </c>
      <c r="G134" s="10">
        <f t="shared" si="35"/>
        <v>0</v>
      </c>
      <c r="H134" s="11">
        <f t="shared" si="35"/>
        <v>0</v>
      </c>
      <c r="I134" s="11">
        <f t="shared" si="35"/>
        <v>0</v>
      </c>
      <c r="J134" s="11">
        <f t="shared" si="35"/>
        <v>0</v>
      </c>
      <c r="K134" s="17">
        <f t="shared" si="35"/>
        <v>0</v>
      </c>
      <c r="L134" s="10">
        <f t="shared" si="36"/>
        <v>0</v>
      </c>
      <c r="M134" s="11">
        <f t="shared" si="36"/>
        <v>0</v>
      </c>
      <c r="N134" s="11">
        <f t="shared" si="36"/>
        <v>0</v>
      </c>
      <c r="O134" s="11">
        <f t="shared" si="36"/>
        <v>0</v>
      </c>
      <c r="P134" s="17">
        <f t="shared" si="36"/>
        <v>0</v>
      </c>
      <c r="Q134" s="10">
        <f t="shared" si="37"/>
        <v>0</v>
      </c>
      <c r="R134" s="11">
        <f t="shared" si="37"/>
        <v>0</v>
      </c>
      <c r="S134" s="11">
        <f t="shared" si="37"/>
        <v>0</v>
      </c>
      <c r="T134" s="11">
        <f t="shared" si="37"/>
        <v>0</v>
      </c>
      <c r="U134" s="17">
        <f t="shared" si="37"/>
        <v>0</v>
      </c>
      <c r="V134" s="10">
        <f t="shared" si="38"/>
        <v>0</v>
      </c>
      <c r="W134" s="11">
        <f t="shared" si="38"/>
        <v>0</v>
      </c>
      <c r="X134" s="11">
        <f t="shared" si="38"/>
        <v>0</v>
      </c>
      <c r="Y134" s="11">
        <f t="shared" si="38"/>
        <v>0</v>
      </c>
      <c r="Z134" s="17">
        <f t="shared" si="38"/>
        <v>0</v>
      </c>
      <c r="AA134" s="10">
        <f t="shared" si="38"/>
        <v>0</v>
      </c>
      <c r="AB134" s="11">
        <f t="shared" si="38"/>
        <v>0</v>
      </c>
      <c r="AC134" s="11">
        <f t="shared" si="38"/>
        <v>0</v>
      </c>
      <c r="AD134" s="11">
        <f t="shared" si="38"/>
        <v>0</v>
      </c>
      <c r="AE134" s="17">
        <f t="shared" si="38"/>
        <v>0</v>
      </c>
      <c r="AF134" s="16">
        <f t="shared" ref="AF134:AF141" si="39">SUM(B134:AE134)*A134</f>
        <v>0</v>
      </c>
      <c r="AG134" s="16">
        <f t="shared" ref="AG134:AG142" si="40">SUM(B134:AE134)</f>
        <v>0</v>
      </c>
      <c r="AH134" s="58" t="s">
        <v>22</v>
      </c>
      <c r="AI134" s="58" t="s">
        <v>20</v>
      </c>
      <c r="AJ134" s="58" t="s">
        <v>34</v>
      </c>
      <c r="AK134" s="58" t="s">
        <v>127</v>
      </c>
      <c r="AL134" s="58" t="s">
        <v>129</v>
      </c>
      <c r="AN134" s="58" t="s">
        <v>22</v>
      </c>
      <c r="AO134" s="58" t="s">
        <v>20</v>
      </c>
      <c r="AP134" s="58" t="s">
        <v>34</v>
      </c>
      <c r="AQ134" s="58" t="s">
        <v>127</v>
      </c>
      <c r="AR134" s="58" t="s">
        <v>129</v>
      </c>
      <c r="AT134" s="58" t="s">
        <v>22</v>
      </c>
      <c r="AU134" s="58" t="s">
        <v>20</v>
      </c>
      <c r="AV134" s="58" t="s">
        <v>34</v>
      </c>
      <c r="AW134" s="58" t="s">
        <v>127</v>
      </c>
      <c r="AX134" s="58" t="s">
        <v>129</v>
      </c>
      <c r="AZ134" s="58" t="s">
        <v>22</v>
      </c>
      <c r="BA134" s="58" t="s">
        <v>20</v>
      </c>
      <c r="BB134" s="58" t="s">
        <v>34</v>
      </c>
      <c r="BC134" s="58" t="s">
        <v>127</v>
      </c>
      <c r="BD134" s="58" t="s">
        <v>129</v>
      </c>
      <c r="BF134" s="58" t="s">
        <v>22</v>
      </c>
      <c r="BG134" s="58" t="s">
        <v>20</v>
      </c>
      <c r="BH134" s="58" t="s">
        <v>34</v>
      </c>
      <c r="BI134" s="58" t="s">
        <v>127</v>
      </c>
      <c r="BJ134" s="58" t="s">
        <v>129</v>
      </c>
    </row>
    <row r="135" spans="1:62" ht="15.75" thickBot="1" x14ac:dyDescent="0.3">
      <c r="A135" s="15">
        <v>750</v>
      </c>
      <c r="B135" s="8">
        <f t="shared" si="34"/>
        <v>0</v>
      </c>
      <c r="C135" s="6">
        <f t="shared" si="34"/>
        <v>0</v>
      </c>
      <c r="D135" s="6">
        <f t="shared" si="34"/>
        <v>0</v>
      </c>
      <c r="E135" s="6">
        <f t="shared" si="34"/>
        <v>0</v>
      </c>
      <c r="F135" s="13">
        <f t="shared" si="34"/>
        <v>0</v>
      </c>
      <c r="G135" s="8">
        <f t="shared" si="35"/>
        <v>0</v>
      </c>
      <c r="H135" s="6">
        <f t="shared" si="35"/>
        <v>0</v>
      </c>
      <c r="I135" s="6">
        <f t="shared" si="35"/>
        <v>0</v>
      </c>
      <c r="J135" s="6">
        <f t="shared" si="35"/>
        <v>0</v>
      </c>
      <c r="K135" s="13">
        <f t="shared" si="35"/>
        <v>0</v>
      </c>
      <c r="L135" s="8">
        <f t="shared" si="36"/>
        <v>0</v>
      </c>
      <c r="M135" s="6">
        <f t="shared" si="36"/>
        <v>0</v>
      </c>
      <c r="N135" s="6">
        <f t="shared" si="36"/>
        <v>0</v>
      </c>
      <c r="O135" s="6">
        <f t="shared" si="36"/>
        <v>0</v>
      </c>
      <c r="P135" s="13">
        <f t="shared" si="36"/>
        <v>0</v>
      </c>
      <c r="Q135" s="8">
        <f t="shared" si="37"/>
        <v>0</v>
      </c>
      <c r="R135" s="6">
        <f t="shared" si="37"/>
        <v>0</v>
      </c>
      <c r="S135" s="6">
        <f t="shared" si="37"/>
        <v>0</v>
      </c>
      <c r="T135" s="6">
        <f t="shared" si="37"/>
        <v>0</v>
      </c>
      <c r="U135" s="13">
        <f t="shared" si="37"/>
        <v>0</v>
      </c>
      <c r="V135" s="8">
        <f t="shared" si="38"/>
        <v>0</v>
      </c>
      <c r="W135" s="6">
        <f t="shared" si="38"/>
        <v>0</v>
      </c>
      <c r="X135" s="6">
        <f t="shared" si="38"/>
        <v>0</v>
      </c>
      <c r="Y135" s="6">
        <f t="shared" si="38"/>
        <v>0</v>
      </c>
      <c r="Z135" s="13">
        <f t="shared" si="38"/>
        <v>0</v>
      </c>
      <c r="AA135" s="8">
        <f t="shared" si="38"/>
        <v>0</v>
      </c>
      <c r="AB135" s="6">
        <f t="shared" si="38"/>
        <v>0</v>
      </c>
      <c r="AC135" s="6">
        <f t="shared" si="38"/>
        <v>0</v>
      </c>
      <c r="AD135" s="6">
        <f t="shared" si="38"/>
        <v>0</v>
      </c>
      <c r="AE135" s="13">
        <f t="shared" si="38"/>
        <v>0</v>
      </c>
      <c r="AF135" s="16">
        <f t="shared" si="39"/>
        <v>0</v>
      </c>
      <c r="AG135" s="16">
        <f t="shared" si="40"/>
        <v>0</v>
      </c>
      <c r="AH135" s="34">
        <f>AU14</f>
        <v>3.5</v>
      </c>
      <c r="AI135" s="34" t="str">
        <f>AV14</f>
        <v/>
      </c>
      <c r="AJ135" s="34" t="str">
        <f>AW14</f>
        <v/>
      </c>
      <c r="AK135" s="35" t="str">
        <f>AX14</f>
        <v/>
      </c>
      <c r="AL135" s="35" t="str">
        <f>AY14</f>
        <v/>
      </c>
      <c r="AN135" s="34" t="str">
        <f>AU15</f>
        <v/>
      </c>
      <c r="AO135" s="34" t="str">
        <f>AV15</f>
        <v/>
      </c>
      <c r="AP135" s="34" t="str">
        <f>AW15</f>
        <v/>
      </c>
      <c r="AQ135" s="35" t="str">
        <f>AX15</f>
        <v/>
      </c>
      <c r="AR135" s="35" t="str">
        <f>AY15</f>
        <v/>
      </c>
      <c r="AT135" s="34" t="str">
        <f>AU16</f>
        <v/>
      </c>
      <c r="AU135" s="34" t="str">
        <f>AV16</f>
        <v/>
      </c>
      <c r="AV135" s="34" t="str">
        <f>AW16</f>
        <v/>
      </c>
      <c r="AW135" s="35" t="str">
        <f>AX16</f>
        <v/>
      </c>
      <c r="AX135" s="35" t="str">
        <f>AY16</f>
        <v/>
      </c>
      <c r="AZ135" s="34" t="str">
        <f>AU17</f>
        <v/>
      </c>
      <c r="BA135" s="34" t="str">
        <f>AV17</f>
        <v/>
      </c>
      <c r="BB135" s="34" t="str">
        <f>AW17</f>
        <v/>
      </c>
      <c r="BC135" s="35" t="str">
        <f>AX17</f>
        <v/>
      </c>
      <c r="BD135" s="35" t="str">
        <f>AY17</f>
        <v/>
      </c>
      <c r="BF135" s="34" t="str">
        <f>AU18</f>
        <v/>
      </c>
      <c r="BG135" s="34" t="str">
        <f>AV18</f>
        <v/>
      </c>
      <c r="BH135" s="34" t="str">
        <f>AW18</f>
        <v/>
      </c>
      <c r="BI135" s="35" t="str">
        <f>AX18</f>
        <v/>
      </c>
      <c r="BJ135" s="35" t="str">
        <f>AY18</f>
        <v/>
      </c>
    </row>
    <row r="136" spans="1:62" x14ac:dyDescent="0.25">
      <c r="A136" s="15">
        <v>1000</v>
      </c>
      <c r="B136" s="8">
        <f t="shared" si="34"/>
        <v>0</v>
      </c>
      <c r="C136" s="6">
        <f t="shared" si="34"/>
        <v>0</v>
      </c>
      <c r="D136" s="6">
        <f t="shared" si="34"/>
        <v>0</v>
      </c>
      <c r="E136" s="6">
        <f t="shared" si="34"/>
        <v>0</v>
      </c>
      <c r="F136" s="13">
        <f t="shared" si="34"/>
        <v>0</v>
      </c>
      <c r="G136" s="8">
        <f t="shared" si="35"/>
        <v>0</v>
      </c>
      <c r="H136" s="6">
        <f t="shared" si="35"/>
        <v>0</v>
      </c>
      <c r="I136" s="6">
        <f t="shared" si="35"/>
        <v>0</v>
      </c>
      <c r="J136" s="6">
        <f t="shared" si="35"/>
        <v>0</v>
      </c>
      <c r="K136" s="13">
        <f t="shared" si="35"/>
        <v>0</v>
      </c>
      <c r="L136" s="8">
        <f t="shared" si="36"/>
        <v>0</v>
      </c>
      <c r="M136" s="6">
        <f t="shared" si="36"/>
        <v>0</v>
      </c>
      <c r="N136" s="6">
        <f t="shared" si="36"/>
        <v>0</v>
      </c>
      <c r="O136" s="6">
        <f t="shared" si="36"/>
        <v>0</v>
      </c>
      <c r="P136" s="13">
        <f t="shared" si="36"/>
        <v>0</v>
      </c>
      <c r="Q136" s="8">
        <f t="shared" si="37"/>
        <v>0</v>
      </c>
      <c r="R136" s="6">
        <f t="shared" si="37"/>
        <v>0</v>
      </c>
      <c r="S136" s="6">
        <f t="shared" si="37"/>
        <v>0</v>
      </c>
      <c r="T136" s="6">
        <f t="shared" si="37"/>
        <v>0</v>
      </c>
      <c r="U136" s="13">
        <f t="shared" si="37"/>
        <v>0</v>
      </c>
      <c r="V136" s="8">
        <f t="shared" si="38"/>
        <v>0</v>
      </c>
      <c r="W136" s="6">
        <f t="shared" si="38"/>
        <v>0</v>
      </c>
      <c r="X136" s="6">
        <f t="shared" si="38"/>
        <v>0</v>
      </c>
      <c r="Y136" s="6">
        <f t="shared" si="38"/>
        <v>0</v>
      </c>
      <c r="Z136" s="13">
        <f t="shared" si="38"/>
        <v>0</v>
      </c>
      <c r="AA136" s="8">
        <f t="shared" si="38"/>
        <v>0</v>
      </c>
      <c r="AB136" s="6">
        <f t="shared" si="38"/>
        <v>0</v>
      </c>
      <c r="AC136" s="6">
        <f t="shared" si="38"/>
        <v>0</v>
      </c>
      <c r="AD136" s="6">
        <f t="shared" si="38"/>
        <v>0</v>
      </c>
      <c r="AE136" s="13">
        <f t="shared" si="38"/>
        <v>0</v>
      </c>
      <c r="AF136" s="16">
        <f t="shared" si="39"/>
        <v>0</v>
      </c>
      <c r="AG136" s="16">
        <f t="shared" si="40"/>
        <v>0</v>
      </c>
    </row>
    <row r="137" spans="1:62" x14ac:dyDescent="0.25">
      <c r="A137" s="15">
        <v>1500</v>
      </c>
      <c r="B137" s="8">
        <f t="shared" si="34"/>
        <v>0</v>
      </c>
      <c r="C137" s="6">
        <f t="shared" si="34"/>
        <v>0</v>
      </c>
      <c r="D137" s="6">
        <f t="shared" si="34"/>
        <v>0</v>
      </c>
      <c r="E137" s="6">
        <f t="shared" si="34"/>
        <v>0</v>
      </c>
      <c r="F137" s="13">
        <f t="shared" si="34"/>
        <v>0</v>
      </c>
      <c r="G137" s="8">
        <f t="shared" si="35"/>
        <v>0</v>
      </c>
      <c r="H137" s="6">
        <f t="shared" si="35"/>
        <v>0</v>
      </c>
      <c r="I137" s="6">
        <f t="shared" si="35"/>
        <v>0</v>
      </c>
      <c r="J137" s="6">
        <f t="shared" si="35"/>
        <v>0</v>
      </c>
      <c r="K137" s="13">
        <f t="shared" si="35"/>
        <v>0</v>
      </c>
      <c r="L137" s="8">
        <f t="shared" si="36"/>
        <v>0</v>
      </c>
      <c r="M137" s="6">
        <f t="shared" si="36"/>
        <v>0</v>
      </c>
      <c r="N137" s="6">
        <f t="shared" si="36"/>
        <v>0</v>
      </c>
      <c r="O137" s="6">
        <f t="shared" si="36"/>
        <v>0</v>
      </c>
      <c r="P137" s="13">
        <f t="shared" si="36"/>
        <v>0</v>
      </c>
      <c r="Q137" s="8">
        <f t="shared" si="37"/>
        <v>0</v>
      </c>
      <c r="R137" s="6">
        <f t="shared" si="37"/>
        <v>0</v>
      </c>
      <c r="S137" s="6">
        <f t="shared" si="37"/>
        <v>0</v>
      </c>
      <c r="T137" s="6">
        <f t="shared" si="37"/>
        <v>0</v>
      </c>
      <c r="U137" s="13">
        <f t="shared" si="37"/>
        <v>0</v>
      </c>
      <c r="V137" s="8">
        <f t="shared" si="38"/>
        <v>0</v>
      </c>
      <c r="W137" s="6">
        <f t="shared" si="38"/>
        <v>0</v>
      </c>
      <c r="X137" s="6">
        <f t="shared" si="38"/>
        <v>0</v>
      </c>
      <c r="Y137" s="6">
        <f t="shared" si="38"/>
        <v>0</v>
      </c>
      <c r="Z137" s="13">
        <f t="shared" si="38"/>
        <v>0</v>
      </c>
      <c r="AA137" s="8">
        <f t="shared" si="38"/>
        <v>0</v>
      </c>
      <c r="AB137" s="6">
        <f t="shared" si="38"/>
        <v>0</v>
      </c>
      <c r="AC137" s="6">
        <f t="shared" si="38"/>
        <v>0</v>
      </c>
      <c r="AD137" s="6">
        <f t="shared" si="38"/>
        <v>0</v>
      </c>
      <c r="AE137" s="13">
        <f t="shared" si="38"/>
        <v>0</v>
      </c>
      <c r="AF137" s="16">
        <f t="shared" si="39"/>
        <v>0</v>
      </c>
      <c r="AG137" s="16">
        <f t="shared" si="40"/>
        <v>0</v>
      </c>
      <c r="AH137" s="118" t="s">
        <v>35</v>
      </c>
      <c r="AI137" s="118"/>
      <c r="AJ137" s="118">
        <f>F7</f>
        <v>0</v>
      </c>
      <c r="AK137" s="118"/>
      <c r="AL137" s="118"/>
      <c r="AN137" s="118" t="s">
        <v>35</v>
      </c>
      <c r="AO137" s="118"/>
      <c r="AP137" s="118">
        <f>F8</f>
        <v>0</v>
      </c>
      <c r="AQ137" s="118"/>
      <c r="AR137" s="118"/>
      <c r="AT137" s="118" t="s">
        <v>35</v>
      </c>
      <c r="AU137" s="118"/>
      <c r="AV137" s="118">
        <f>F9</f>
        <v>0</v>
      </c>
      <c r="AW137" s="118"/>
      <c r="AX137" s="118"/>
      <c r="AZ137" s="118" t="s">
        <v>35</v>
      </c>
      <c r="BA137" s="118"/>
      <c r="BB137" s="118">
        <f>F10</f>
        <v>0</v>
      </c>
      <c r="BC137" s="118"/>
      <c r="BD137" s="118"/>
      <c r="BF137" s="118" t="s">
        <v>35</v>
      </c>
      <c r="BG137" s="118"/>
      <c r="BH137" s="118">
        <f>F11</f>
        <v>0</v>
      </c>
      <c r="BI137" s="118"/>
      <c r="BJ137" s="118"/>
    </row>
    <row r="138" spans="1:62" x14ac:dyDescent="0.25">
      <c r="A138" s="15">
        <v>2000</v>
      </c>
      <c r="B138" s="8">
        <f t="shared" si="34"/>
        <v>0</v>
      </c>
      <c r="C138" s="6">
        <f t="shared" si="34"/>
        <v>0</v>
      </c>
      <c r="D138" s="6">
        <f t="shared" si="34"/>
        <v>0</v>
      </c>
      <c r="E138" s="6">
        <f t="shared" si="34"/>
        <v>0</v>
      </c>
      <c r="F138" s="13">
        <f t="shared" si="34"/>
        <v>0</v>
      </c>
      <c r="G138" s="8">
        <f t="shared" si="35"/>
        <v>0</v>
      </c>
      <c r="H138" s="6">
        <f t="shared" si="35"/>
        <v>0</v>
      </c>
      <c r="I138" s="6">
        <f t="shared" si="35"/>
        <v>0</v>
      </c>
      <c r="J138" s="6">
        <f t="shared" si="35"/>
        <v>0</v>
      </c>
      <c r="K138" s="13">
        <f t="shared" si="35"/>
        <v>0</v>
      </c>
      <c r="L138" s="8">
        <f t="shared" si="36"/>
        <v>0</v>
      </c>
      <c r="M138" s="6">
        <f t="shared" si="36"/>
        <v>0</v>
      </c>
      <c r="N138" s="6">
        <f t="shared" si="36"/>
        <v>0</v>
      </c>
      <c r="O138" s="6">
        <f t="shared" si="36"/>
        <v>0</v>
      </c>
      <c r="P138" s="13">
        <f t="shared" si="36"/>
        <v>0</v>
      </c>
      <c r="Q138" s="8">
        <f t="shared" si="37"/>
        <v>0</v>
      </c>
      <c r="R138" s="6">
        <f t="shared" si="37"/>
        <v>0</v>
      </c>
      <c r="S138" s="6">
        <f t="shared" si="37"/>
        <v>0</v>
      </c>
      <c r="T138" s="6">
        <f t="shared" si="37"/>
        <v>0</v>
      </c>
      <c r="U138" s="13">
        <f t="shared" si="37"/>
        <v>0</v>
      </c>
      <c r="V138" s="8">
        <f t="shared" si="38"/>
        <v>0</v>
      </c>
      <c r="W138" s="6">
        <f t="shared" si="38"/>
        <v>0</v>
      </c>
      <c r="X138" s="6">
        <f t="shared" si="38"/>
        <v>0</v>
      </c>
      <c r="Y138" s="6">
        <f t="shared" si="38"/>
        <v>0</v>
      </c>
      <c r="Z138" s="13">
        <f t="shared" si="38"/>
        <v>0</v>
      </c>
      <c r="AA138" s="8">
        <f t="shared" si="38"/>
        <v>0</v>
      </c>
      <c r="AB138" s="6">
        <f t="shared" si="38"/>
        <v>0</v>
      </c>
      <c r="AC138" s="6">
        <f t="shared" si="38"/>
        <v>0</v>
      </c>
      <c r="AD138" s="6">
        <f t="shared" si="38"/>
        <v>0</v>
      </c>
      <c r="AE138" s="13">
        <f t="shared" si="38"/>
        <v>0</v>
      </c>
      <c r="AF138" s="16">
        <f t="shared" si="39"/>
        <v>0</v>
      </c>
      <c r="AG138" s="16">
        <f t="shared" si="40"/>
        <v>0</v>
      </c>
      <c r="AH138" s="118">
        <f>G7</f>
        <v>0</v>
      </c>
      <c r="AI138" s="118"/>
      <c r="AJ138" s="118"/>
      <c r="AK138" s="118"/>
      <c r="AL138" s="118"/>
      <c r="AN138" s="118">
        <f>G8</f>
        <v>0</v>
      </c>
      <c r="AO138" s="118">
        <f>G8</f>
        <v>0</v>
      </c>
      <c r="AP138" s="118"/>
      <c r="AQ138" s="118"/>
      <c r="AR138" s="118"/>
      <c r="AT138" s="118">
        <f>G9</f>
        <v>0</v>
      </c>
      <c r="AU138" s="118"/>
      <c r="AV138" s="118"/>
      <c r="AW138" s="118"/>
      <c r="AX138" s="118"/>
      <c r="AZ138" s="118">
        <f>G10</f>
        <v>0</v>
      </c>
      <c r="BA138" s="118"/>
      <c r="BB138" s="118"/>
      <c r="BC138" s="118"/>
      <c r="BD138" s="118"/>
      <c r="BF138" s="118">
        <f>G11</f>
        <v>0</v>
      </c>
      <c r="BG138" s="118"/>
      <c r="BH138" s="118"/>
      <c r="BI138" s="118"/>
      <c r="BJ138" s="118"/>
    </row>
    <row r="139" spans="1:62" ht="15.75" thickBot="1" x14ac:dyDescent="0.3">
      <c r="A139" s="15">
        <v>3000</v>
      </c>
      <c r="B139" s="8">
        <f t="shared" si="34"/>
        <v>0</v>
      </c>
      <c r="C139" s="6">
        <f t="shared" si="34"/>
        <v>0</v>
      </c>
      <c r="D139" s="6">
        <f t="shared" si="34"/>
        <v>0</v>
      </c>
      <c r="E139" s="6">
        <f t="shared" si="34"/>
        <v>0</v>
      </c>
      <c r="F139" s="13">
        <f t="shared" si="34"/>
        <v>0</v>
      </c>
      <c r="G139" s="8">
        <f t="shared" si="35"/>
        <v>0</v>
      </c>
      <c r="H139" s="6">
        <f t="shared" si="35"/>
        <v>0</v>
      </c>
      <c r="I139" s="6">
        <f t="shared" si="35"/>
        <v>0</v>
      </c>
      <c r="J139" s="6">
        <f t="shared" si="35"/>
        <v>0</v>
      </c>
      <c r="K139" s="13">
        <f t="shared" si="35"/>
        <v>0</v>
      </c>
      <c r="L139" s="8">
        <f t="shared" si="36"/>
        <v>0</v>
      </c>
      <c r="M139" s="6">
        <f t="shared" si="36"/>
        <v>0</v>
      </c>
      <c r="N139" s="6">
        <f t="shared" si="36"/>
        <v>0</v>
      </c>
      <c r="O139" s="6">
        <f t="shared" si="36"/>
        <v>0</v>
      </c>
      <c r="P139" s="13">
        <f t="shared" si="36"/>
        <v>0</v>
      </c>
      <c r="Q139" s="8">
        <f t="shared" si="37"/>
        <v>0</v>
      </c>
      <c r="R139" s="6">
        <f t="shared" si="37"/>
        <v>0</v>
      </c>
      <c r="S139" s="6">
        <f t="shared" si="37"/>
        <v>0</v>
      </c>
      <c r="T139" s="6">
        <f t="shared" si="37"/>
        <v>0</v>
      </c>
      <c r="U139" s="13">
        <f t="shared" si="37"/>
        <v>0</v>
      </c>
      <c r="V139" s="8">
        <f t="shared" si="38"/>
        <v>0</v>
      </c>
      <c r="W139" s="6">
        <f t="shared" si="38"/>
        <v>0</v>
      </c>
      <c r="X139" s="6">
        <f t="shared" si="38"/>
        <v>0</v>
      </c>
      <c r="Y139" s="6">
        <f t="shared" si="38"/>
        <v>0</v>
      </c>
      <c r="Z139" s="13">
        <f t="shared" si="38"/>
        <v>0</v>
      </c>
      <c r="AA139" s="8">
        <f t="shared" si="38"/>
        <v>0</v>
      </c>
      <c r="AB139" s="6">
        <f t="shared" si="38"/>
        <v>0</v>
      </c>
      <c r="AC139" s="6">
        <f t="shared" si="38"/>
        <v>0</v>
      </c>
      <c r="AD139" s="6">
        <f t="shared" si="38"/>
        <v>0</v>
      </c>
      <c r="AE139" s="13">
        <f t="shared" si="38"/>
        <v>0</v>
      </c>
      <c r="AF139" s="16">
        <f t="shared" si="39"/>
        <v>0</v>
      </c>
      <c r="AG139" s="16">
        <f t="shared" si="40"/>
        <v>0</v>
      </c>
      <c r="AH139" s="118">
        <f>H7</f>
        <v>0</v>
      </c>
      <c r="AI139" s="118"/>
      <c r="AJ139" s="118"/>
      <c r="AK139" s="118"/>
      <c r="AL139" s="118"/>
      <c r="AN139" s="118">
        <f>H8</f>
        <v>0</v>
      </c>
      <c r="AO139" s="118">
        <f>H8</f>
        <v>0</v>
      </c>
      <c r="AP139" s="118"/>
      <c r="AQ139" s="118"/>
      <c r="AR139" s="118"/>
      <c r="AT139" s="118">
        <f>H9</f>
        <v>0</v>
      </c>
      <c r="AU139" s="118"/>
      <c r="AV139" s="118"/>
      <c r="AW139" s="118"/>
      <c r="AX139" s="118"/>
      <c r="AZ139" s="118">
        <f>H10</f>
        <v>0</v>
      </c>
      <c r="BA139" s="118"/>
      <c r="BB139" s="118"/>
      <c r="BC139" s="118"/>
      <c r="BD139" s="118"/>
      <c r="BF139" s="118">
        <f>H11</f>
        <v>0</v>
      </c>
      <c r="BG139" s="118"/>
      <c r="BH139" s="118"/>
      <c r="BI139" s="118"/>
      <c r="BJ139" s="118"/>
    </row>
    <row r="140" spans="1:62" ht="15.75" thickBot="1" x14ac:dyDescent="0.3">
      <c r="A140" s="15">
        <v>5000</v>
      </c>
      <c r="B140" s="8">
        <f t="shared" si="34"/>
        <v>0</v>
      </c>
      <c r="C140" s="6">
        <f t="shared" si="34"/>
        <v>0</v>
      </c>
      <c r="D140" s="6">
        <f t="shared" si="34"/>
        <v>0</v>
      </c>
      <c r="E140" s="6">
        <f t="shared" si="34"/>
        <v>0</v>
      </c>
      <c r="F140" s="13">
        <f t="shared" si="34"/>
        <v>0</v>
      </c>
      <c r="G140" s="8">
        <f t="shared" si="35"/>
        <v>0</v>
      </c>
      <c r="H140" s="6">
        <f t="shared" si="35"/>
        <v>0</v>
      </c>
      <c r="I140" s="6">
        <f t="shared" si="35"/>
        <v>0</v>
      </c>
      <c r="J140" s="6">
        <f t="shared" si="35"/>
        <v>0</v>
      </c>
      <c r="K140" s="13">
        <f t="shared" si="35"/>
        <v>0</v>
      </c>
      <c r="L140" s="8">
        <f t="shared" si="36"/>
        <v>0</v>
      </c>
      <c r="M140" s="6">
        <f t="shared" si="36"/>
        <v>0</v>
      </c>
      <c r="N140" s="6">
        <f t="shared" si="36"/>
        <v>0</v>
      </c>
      <c r="O140" s="6">
        <f t="shared" si="36"/>
        <v>0</v>
      </c>
      <c r="P140" s="13">
        <f t="shared" si="36"/>
        <v>0</v>
      </c>
      <c r="Q140" s="8">
        <f t="shared" si="37"/>
        <v>0</v>
      </c>
      <c r="R140" s="6">
        <f t="shared" si="37"/>
        <v>0</v>
      </c>
      <c r="S140" s="6">
        <f t="shared" si="37"/>
        <v>0</v>
      </c>
      <c r="T140" s="6">
        <f t="shared" si="37"/>
        <v>0</v>
      </c>
      <c r="U140" s="13">
        <f t="shared" si="37"/>
        <v>0</v>
      </c>
      <c r="V140" s="8">
        <f t="shared" si="38"/>
        <v>0</v>
      </c>
      <c r="W140" s="6">
        <f t="shared" si="38"/>
        <v>0</v>
      </c>
      <c r="X140" s="6">
        <f t="shared" si="38"/>
        <v>0</v>
      </c>
      <c r="Y140" s="6">
        <f t="shared" si="38"/>
        <v>0</v>
      </c>
      <c r="Z140" s="13">
        <f t="shared" si="38"/>
        <v>0</v>
      </c>
      <c r="AA140" s="8">
        <f t="shared" si="38"/>
        <v>0</v>
      </c>
      <c r="AB140" s="6">
        <f t="shared" si="38"/>
        <v>0</v>
      </c>
      <c r="AC140" s="6">
        <f t="shared" si="38"/>
        <v>0</v>
      </c>
      <c r="AD140" s="6">
        <f t="shared" si="38"/>
        <v>0</v>
      </c>
      <c r="AE140" s="13">
        <f t="shared" si="38"/>
        <v>0</v>
      </c>
      <c r="AF140" s="16">
        <f t="shared" si="39"/>
        <v>0</v>
      </c>
      <c r="AG140" s="16">
        <f t="shared" si="40"/>
        <v>0</v>
      </c>
      <c r="AH140" s="30" t="s">
        <v>136</v>
      </c>
      <c r="AI140" s="30" t="s">
        <v>27</v>
      </c>
      <c r="AJ140" s="30" t="s">
        <v>28</v>
      </c>
      <c r="AK140" s="30" t="s">
        <v>29</v>
      </c>
      <c r="AL140" s="30" t="s">
        <v>30</v>
      </c>
      <c r="AN140" s="30" t="s">
        <v>136</v>
      </c>
      <c r="AO140" s="30" t="s">
        <v>27</v>
      </c>
      <c r="AP140" s="30" t="s">
        <v>28</v>
      </c>
      <c r="AQ140" s="30" t="s">
        <v>29</v>
      </c>
      <c r="AR140" s="30" t="s">
        <v>30</v>
      </c>
      <c r="AT140" s="30" t="s">
        <v>136</v>
      </c>
      <c r="AU140" s="30" t="s">
        <v>27</v>
      </c>
      <c r="AV140" s="30" t="s">
        <v>28</v>
      </c>
      <c r="AW140" s="30" t="s">
        <v>29</v>
      </c>
      <c r="AX140" s="30" t="s">
        <v>30</v>
      </c>
      <c r="AZ140" s="30" t="s">
        <v>136</v>
      </c>
      <c r="BA140" s="30" t="s">
        <v>27</v>
      </c>
      <c r="BB140" s="30" t="s">
        <v>28</v>
      </c>
      <c r="BC140" s="30" t="s">
        <v>29</v>
      </c>
      <c r="BD140" s="30" t="s">
        <v>30</v>
      </c>
      <c r="BF140" s="30" t="s">
        <v>136</v>
      </c>
      <c r="BG140" s="30" t="s">
        <v>27</v>
      </c>
      <c r="BH140" s="30" t="s">
        <v>28</v>
      </c>
      <c r="BI140" s="30" t="s">
        <v>29</v>
      </c>
      <c r="BJ140" s="30" t="s">
        <v>30</v>
      </c>
    </row>
    <row r="141" spans="1:62" ht="15.75" thickBot="1" x14ac:dyDescent="0.3">
      <c r="A141" s="59">
        <v>10000</v>
      </c>
      <c r="B141" s="31">
        <f t="shared" si="34"/>
        <v>0</v>
      </c>
      <c r="C141" s="32">
        <f t="shared" si="34"/>
        <v>0</v>
      </c>
      <c r="D141" s="32">
        <f t="shared" si="34"/>
        <v>0</v>
      </c>
      <c r="E141" s="32">
        <f t="shared" si="34"/>
        <v>0</v>
      </c>
      <c r="F141" s="33">
        <f t="shared" si="34"/>
        <v>0</v>
      </c>
      <c r="G141" s="31">
        <f t="shared" si="35"/>
        <v>0</v>
      </c>
      <c r="H141" s="32">
        <f t="shared" si="35"/>
        <v>0</v>
      </c>
      <c r="I141" s="32">
        <f t="shared" si="35"/>
        <v>0</v>
      </c>
      <c r="J141" s="32">
        <f t="shared" si="35"/>
        <v>0</v>
      </c>
      <c r="K141" s="33">
        <f t="shared" si="35"/>
        <v>0</v>
      </c>
      <c r="L141" s="31">
        <f t="shared" si="36"/>
        <v>0</v>
      </c>
      <c r="M141" s="32">
        <f t="shared" si="36"/>
        <v>0</v>
      </c>
      <c r="N141" s="32">
        <f t="shared" si="36"/>
        <v>0</v>
      </c>
      <c r="O141" s="32">
        <f t="shared" si="36"/>
        <v>0</v>
      </c>
      <c r="P141" s="33">
        <f t="shared" si="36"/>
        <v>0</v>
      </c>
      <c r="Q141" s="31">
        <f t="shared" si="37"/>
        <v>0</v>
      </c>
      <c r="R141" s="32">
        <f t="shared" si="37"/>
        <v>0</v>
      </c>
      <c r="S141" s="32">
        <f t="shared" si="37"/>
        <v>0</v>
      </c>
      <c r="T141" s="32">
        <f t="shared" si="37"/>
        <v>0</v>
      </c>
      <c r="U141" s="33">
        <f t="shared" si="37"/>
        <v>0</v>
      </c>
      <c r="V141" s="31">
        <f t="shared" si="38"/>
        <v>0</v>
      </c>
      <c r="W141" s="32">
        <f t="shared" si="38"/>
        <v>0</v>
      </c>
      <c r="X141" s="32">
        <f t="shared" si="38"/>
        <v>0</v>
      </c>
      <c r="Y141" s="32">
        <f t="shared" si="38"/>
        <v>0</v>
      </c>
      <c r="Z141" s="33">
        <f t="shared" si="38"/>
        <v>0</v>
      </c>
      <c r="AA141" s="31">
        <f t="shared" si="38"/>
        <v>0</v>
      </c>
      <c r="AB141" s="32">
        <f t="shared" si="38"/>
        <v>0</v>
      </c>
      <c r="AC141" s="32">
        <f t="shared" si="38"/>
        <v>0</v>
      </c>
      <c r="AD141" s="32">
        <f t="shared" si="38"/>
        <v>0</v>
      </c>
      <c r="AE141" s="33">
        <f t="shared" si="38"/>
        <v>0</v>
      </c>
      <c r="AF141" s="16">
        <f t="shared" si="39"/>
        <v>0</v>
      </c>
      <c r="AG141" s="43">
        <f t="shared" si="40"/>
        <v>0</v>
      </c>
      <c r="AH141" s="16">
        <f>J7</f>
        <v>0</v>
      </c>
      <c r="AI141" s="10">
        <f>K7</f>
        <v>0</v>
      </c>
      <c r="AJ141" s="11">
        <f>L7</f>
        <v>0</v>
      </c>
      <c r="AK141" s="11">
        <f>M7</f>
        <v>0</v>
      </c>
      <c r="AL141" s="17">
        <f>N7</f>
        <v>0</v>
      </c>
      <c r="AN141" s="16">
        <f>J8</f>
        <v>0</v>
      </c>
      <c r="AO141" s="10">
        <f>K8</f>
        <v>0</v>
      </c>
      <c r="AP141" s="11">
        <f>L8</f>
        <v>0</v>
      </c>
      <c r="AQ141" s="11">
        <f>M8</f>
        <v>0</v>
      </c>
      <c r="AR141" s="17">
        <f>N8</f>
        <v>0</v>
      </c>
      <c r="AT141" s="16">
        <f>J9</f>
        <v>0</v>
      </c>
      <c r="AU141" s="10">
        <f>K9</f>
        <v>0</v>
      </c>
      <c r="AV141" s="11">
        <f>L9</f>
        <v>0</v>
      </c>
      <c r="AW141" s="11">
        <f>M9</f>
        <v>0</v>
      </c>
      <c r="AX141" s="17">
        <f>N9</f>
        <v>0</v>
      </c>
      <c r="AZ141" s="16">
        <f>J10</f>
        <v>0</v>
      </c>
      <c r="BA141" s="10">
        <f>K10</f>
        <v>0</v>
      </c>
      <c r="BB141" s="11">
        <f>L10</f>
        <v>0</v>
      </c>
      <c r="BC141" s="11">
        <f>M10</f>
        <v>0</v>
      </c>
      <c r="BD141" s="17">
        <f>N10</f>
        <v>0</v>
      </c>
      <c r="BF141" s="16">
        <f>J11</f>
        <v>0</v>
      </c>
      <c r="BG141" s="10">
        <f>K11</f>
        <v>0</v>
      </c>
      <c r="BH141" s="11">
        <f>L11</f>
        <v>0</v>
      </c>
      <c r="BI141" s="11">
        <f>M11</f>
        <v>0</v>
      </c>
      <c r="BJ141" s="17">
        <f>N11</f>
        <v>0</v>
      </c>
    </row>
    <row r="142" spans="1:62" ht="15.75" thickBot="1" x14ac:dyDescent="0.3">
      <c r="A142" s="35"/>
      <c r="B142" s="60">
        <f t="shared" ref="B142:AG142" si="41">SUM(B133:B141)</f>
        <v>0</v>
      </c>
      <c r="C142" s="61">
        <f t="shared" si="41"/>
        <v>0</v>
      </c>
      <c r="D142" s="61">
        <f t="shared" si="41"/>
        <v>0</v>
      </c>
      <c r="E142" s="61">
        <f t="shared" si="41"/>
        <v>0</v>
      </c>
      <c r="F142" s="62">
        <f t="shared" si="41"/>
        <v>0</v>
      </c>
      <c r="G142" s="60">
        <f t="shared" si="41"/>
        <v>0</v>
      </c>
      <c r="H142" s="61">
        <f t="shared" si="41"/>
        <v>0</v>
      </c>
      <c r="I142" s="61">
        <f t="shared" si="41"/>
        <v>0</v>
      </c>
      <c r="J142" s="61">
        <f t="shared" si="41"/>
        <v>0</v>
      </c>
      <c r="K142" s="62">
        <f t="shared" si="41"/>
        <v>0</v>
      </c>
      <c r="L142" s="60">
        <f t="shared" si="41"/>
        <v>0</v>
      </c>
      <c r="M142" s="61">
        <f t="shared" si="41"/>
        <v>0</v>
      </c>
      <c r="N142" s="61">
        <f t="shared" si="41"/>
        <v>0</v>
      </c>
      <c r="O142" s="61">
        <f t="shared" si="41"/>
        <v>0</v>
      </c>
      <c r="P142" s="62">
        <f t="shared" si="41"/>
        <v>0</v>
      </c>
      <c r="Q142" s="60">
        <f t="shared" si="41"/>
        <v>0</v>
      </c>
      <c r="R142" s="61">
        <f t="shared" si="41"/>
        <v>0</v>
      </c>
      <c r="S142" s="61">
        <f t="shared" si="41"/>
        <v>0</v>
      </c>
      <c r="T142" s="61">
        <f t="shared" si="41"/>
        <v>0</v>
      </c>
      <c r="U142" s="62">
        <f t="shared" si="41"/>
        <v>0</v>
      </c>
      <c r="V142" s="60">
        <f t="shared" si="41"/>
        <v>0</v>
      </c>
      <c r="W142" s="61">
        <f t="shared" si="41"/>
        <v>0</v>
      </c>
      <c r="X142" s="61">
        <f t="shared" si="41"/>
        <v>0</v>
      </c>
      <c r="Y142" s="61">
        <f t="shared" si="41"/>
        <v>0</v>
      </c>
      <c r="Z142" s="62">
        <f t="shared" si="41"/>
        <v>0</v>
      </c>
      <c r="AA142" s="60">
        <f t="shared" si="41"/>
        <v>0</v>
      </c>
      <c r="AB142" s="61">
        <f t="shared" si="41"/>
        <v>0</v>
      </c>
      <c r="AC142" s="61">
        <f t="shared" si="41"/>
        <v>0</v>
      </c>
      <c r="AD142" s="61">
        <f t="shared" si="41"/>
        <v>0</v>
      </c>
      <c r="AE142" s="62">
        <f t="shared" si="41"/>
        <v>0</v>
      </c>
      <c r="AF142" s="35">
        <f t="shared" si="41"/>
        <v>0</v>
      </c>
      <c r="AG142" s="35">
        <f t="shared" si="40"/>
        <v>0</v>
      </c>
      <c r="AH142" s="15">
        <f>P7</f>
        <v>0</v>
      </c>
      <c r="AI142" s="8">
        <f>Q7</f>
        <v>0</v>
      </c>
      <c r="AJ142" s="6">
        <f>R7</f>
        <v>0</v>
      </c>
      <c r="AK142" s="6">
        <f>S7</f>
        <v>0</v>
      </c>
      <c r="AL142" s="13">
        <f>T7</f>
        <v>0</v>
      </c>
      <c r="AN142" s="15">
        <f>P8</f>
        <v>0</v>
      </c>
      <c r="AO142" s="8">
        <f>Q8</f>
        <v>0</v>
      </c>
      <c r="AP142" s="6">
        <f>R8</f>
        <v>0</v>
      </c>
      <c r="AQ142" s="6">
        <f>S8</f>
        <v>0</v>
      </c>
      <c r="AR142" s="13">
        <f>T8</f>
        <v>0</v>
      </c>
      <c r="AT142" s="15">
        <f>P9</f>
        <v>0</v>
      </c>
      <c r="AU142" s="8">
        <f>Q9</f>
        <v>0</v>
      </c>
      <c r="AV142" s="6">
        <f>R9</f>
        <v>0</v>
      </c>
      <c r="AW142" s="6">
        <f>S9</f>
        <v>0</v>
      </c>
      <c r="AX142" s="13">
        <f>T9</f>
        <v>0</v>
      </c>
      <c r="AZ142" s="15">
        <f>P10</f>
        <v>0</v>
      </c>
      <c r="BA142" s="8">
        <f>Q10</f>
        <v>0</v>
      </c>
      <c r="BB142" s="6">
        <f>R10</f>
        <v>0</v>
      </c>
      <c r="BC142" s="6">
        <f>S10</f>
        <v>0</v>
      </c>
      <c r="BD142" s="13">
        <f>T10</f>
        <v>0</v>
      </c>
      <c r="BF142" s="15">
        <f>P11</f>
        <v>0</v>
      </c>
      <c r="BG142" s="8">
        <f>Q11</f>
        <v>0</v>
      </c>
      <c r="BH142" s="6">
        <f>R11</f>
        <v>0</v>
      </c>
      <c r="BI142" s="6">
        <f>S11</f>
        <v>0</v>
      </c>
      <c r="BJ142" s="13">
        <f>T11</f>
        <v>0</v>
      </c>
    </row>
    <row r="143" spans="1:62" ht="15.75" thickBot="1" x14ac:dyDescent="0.3">
      <c r="AH143" s="15">
        <f>V7</f>
        <v>0</v>
      </c>
      <c r="AI143" s="8">
        <f>W7</f>
        <v>0</v>
      </c>
      <c r="AJ143" s="6">
        <f>X7</f>
        <v>0</v>
      </c>
      <c r="AK143" s="6">
        <f>Y7</f>
        <v>0</v>
      </c>
      <c r="AL143" s="13">
        <f>Z7</f>
        <v>0</v>
      </c>
      <c r="AN143" s="15">
        <f>V8</f>
        <v>0</v>
      </c>
      <c r="AO143" s="8">
        <f>W8</f>
        <v>0</v>
      </c>
      <c r="AP143" s="6">
        <f>X8</f>
        <v>0</v>
      </c>
      <c r="AQ143" s="6">
        <f>Y8</f>
        <v>0</v>
      </c>
      <c r="AR143" s="13">
        <f>Z8</f>
        <v>0</v>
      </c>
      <c r="AT143" s="15">
        <f>V9</f>
        <v>0</v>
      </c>
      <c r="AU143" s="8">
        <f>W9</f>
        <v>0</v>
      </c>
      <c r="AV143" s="6">
        <f>X9</f>
        <v>0</v>
      </c>
      <c r="AW143" s="6">
        <f>Y9</f>
        <v>0</v>
      </c>
      <c r="AX143" s="13">
        <f>Z9</f>
        <v>0</v>
      </c>
      <c r="AZ143" s="15">
        <f>V10</f>
        <v>0</v>
      </c>
      <c r="BA143" s="8">
        <f>W10</f>
        <v>0</v>
      </c>
      <c r="BB143" s="6">
        <f>X10</f>
        <v>0</v>
      </c>
      <c r="BC143" s="6">
        <f>Y10</f>
        <v>0</v>
      </c>
      <c r="BD143" s="13">
        <f>Z10</f>
        <v>0</v>
      </c>
      <c r="BF143" s="15">
        <f>V11</f>
        <v>0</v>
      </c>
      <c r="BG143" s="8">
        <f>W11</f>
        <v>0</v>
      </c>
      <c r="BH143" s="6">
        <f>X11</f>
        <v>0</v>
      </c>
      <c r="BI143" s="6">
        <f>Y11</f>
        <v>0</v>
      </c>
      <c r="BJ143" s="13">
        <f>Z11</f>
        <v>0</v>
      </c>
    </row>
    <row r="144" spans="1:62" ht="15.75" customHeight="1" thickBot="1" x14ac:dyDescent="0.3">
      <c r="A144" s="111" t="s">
        <v>130</v>
      </c>
      <c r="B144" s="112"/>
      <c r="D144" s="111" t="s">
        <v>131</v>
      </c>
      <c r="E144" s="112"/>
      <c r="G144" s="111" t="s">
        <v>132</v>
      </c>
      <c r="H144" s="112"/>
      <c r="J144" s="161" t="s">
        <v>250</v>
      </c>
      <c r="K144" s="162"/>
      <c r="M144" s="161" t="s">
        <v>251</v>
      </c>
      <c r="N144" s="162"/>
      <c r="P144" s="161" t="s">
        <v>252</v>
      </c>
      <c r="Q144" s="162"/>
      <c r="S144" s="123" t="s">
        <v>31</v>
      </c>
      <c r="T144" s="113" t="s">
        <v>84</v>
      </c>
      <c r="U144" s="115"/>
      <c r="V144" s="116" t="s">
        <v>24</v>
      </c>
      <c r="W144" s="116" t="s">
        <v>86</v>
      </c>
      <c r="AH144" s="15">
        <f>AB7</f>
        <v>0</v>
      </c>
      <c r="AI144" s="8">
        <f>AC7</f>
        <v>0</v>
      </c>
      <c r="AJ144" s="6">
        <f>AD7</f>
        <v>0</v>
      </c>
      <c r="AK144" s="6">
        <f>AE7</f>
        <v>0</v>
      </c>
      <c r="AL144" s="13">
        <f>AF7</f>
        <v>0</v>
      </c>
      <c r="AN144" s="15">
        <f>AB8</f>
        <v>0</v>
      </c>
      <c r="AO144" s="8">
        <f>AC8</f>
        <v>0</v>
      </c>
      <c r="AP144" s="6">
        <f>AD8</f>
        <v>0</v>
      </c>
      <c r="AQ144" s="6">
        <f>AE8</f>
        <v>0</v>
      </c>
      <c r="AR144" s="13">
        <f>AF8</f>
        <v>0</v>
      </c>
      <c r="AT144" s="15">
        <f>AB9</f>
        <v>0</v>
      </c>
      <c r="AU144" s="8">
        <f>AC9</f>
        <v>0</v>
      </c>
      <c r="AV144" s="6">
        <f>AD9</f>
        <v>0</v>
      </c>
      <c r="AW144" s="6">
        <f>AE9</f>
        <v>0</v>
      </c>
      <c r="AX144" s="13">
        <f>AF9</f>
        <v>0</v>
      </c>
      <c r="AZ144" s="15">
        <f>AB10</f>
        <v>0</v>
      </c>
      <c r="BA144" s="8">
        <f>AC10</f>
        <v>0</v>
      </c>
      <c r="BB144" s="6">
        <f>AD10</f>
        <v>0</v>
      </c>
      <c r="BC144" s="6">
        <f>AE10</f>
        <v>0</v>
      </c>
      <c r="BD144" s="13">
        <f>AF10</f>
        <v>0</v>
      </c>
      <c r="BF144" s="15">
        <f>AB11</f>
        <v>0</v>
      </c>
      <c r="BG144" s="8">
        <f>AC11</f>
        <v>0</v>
      </c>
      <c r="BH144" s="6">
        <f>AD11</f>
        <v>0</v>
      </c>
      <c r="BI144" s="6">
        <f>AE11</f>
        <v>0</v>
      </c>
      <c r="BJ144" s="13">
        <f>AF11</f>
        <v>0</v>
      </c>
    </row>
    <row r="145" spans="1:62" ht="15.75" thickBot="1" x14ac:dyDescent="0.3">
      <c r="A145" s="60" t="s">
        <v>27</v>
      </c>
      <c r="B145" s="62" t="s">
        <v>102</v>
      </c>
      <c r="D145" s="34" t="s">
        <v>27</v>
      </c>
      <c r="E145" s="79" t="s">
        <v>102</v>
      </c>
      <c r="G145" s="34" t="s">
        <v>27</v>
      </c>
      <c r="H145" s="79" t="s">
        <v>102</v>
      </c>
      <c r="J145" s="163"/>
      <c r="K145" s="164"/>
      <c r="M145" s="163"/>
      <c r="N145" s="164"/>
      <c r="P145" s="163"/>
      <c r="Q145" s="164"/>
      <c r="S145" s="124"/>
      <c r="T145" s="12" t="s">
        <v>17</v>
      </c>
      <c r="U145" s="12" t="s">
        <v>19</v>
      </c>
      <c r="V145" s="117"/>
      <c r="W145" s="117"/>
      <c r="AH145" s="15">
        <f>AH7</f>
        <v>0</v>
      </c>
      <c r="AI145" s="8">
        <f>AI7</f>
        <v>0</v>
      </c>
      <c r="AJ145" s="6">
        <f>AJ7</f>
        <v>0</v>
      </c>
      <c r="AK145" s="6">
        <f>AK7</f>
        <v>0</v>
      </c>
      <c r="AL145" s="13">
        <f>AL7</f>
        <v>0</v>
      </c>
      <c r="AN145" s="15">
        <f>AH8</f>
        <v>0</v>
      </c>
      <c r="AO145" s="8">
        <f>AI8</f>
        <v>0</v>
      </c>
      <c r="AP145" s="6">
        <f>AJ8</f>
        <v>0</v>
      </c>
      <c r="AQ145" s="6">
        <f>AK8</f>
        <v>0</v>
      </c>
      <c r="AR145" s="13">
        <f>AL8</f>
        <v>0</v>
      </c>
      <c r="AT145" s="15">
        <f>AH9</f>
        <v>0</v>
      </c>
      <c r="AU145" s="8">
        <f>AI9</f>
        <v>0</v>
      </c>
      <c r="AV145" s="6">
        <f>AJ9</f>
        <v>0</v>
      </c>
      <c r="AW145" s="6">
        <f>AK9</f>
        <v>0</v>
      </c>
      <c r="AX145" s="13">
        <f>AL9</f>
        <v>0</v>
      </c>
      <c r="AZ145" s="15">
        <f>AH10</f>
        <v>0</v>
      </c>
      <c r="BA145" s="8">
        <f>AI10</f>
        <v>0</v>
      </c>
      <c r="BB145" s="6">
        <f>AJ10</f>
        <v>0</v>
      </c>
      <c r="BC145" s="6">
        <f>AK10</f>
        <v>0</v>
      </c>
      <c r="BD145" s="13">
        <f>AL10</f>
        <v>0</v>
      </c>
      <c r="BF145" s="15">
        <f>AH11</f>
        <v>0</v>
      </c>
      <c r="BG145" s="8">
        <f>AI11</f>
        <v>0</v>
      </c>
      <c r="BH145" s="6">
        <f>AJ11</f>
        <v>0</v>
      </c>
      <c r="BI145" s="6">
        <f>AK11</f>
        <v>0</v>
      </c>
      <c r="BJ145" s="13">
        <f>AL11</f>
        <v>0</v>
      </c>
    </row>
    <row r="146" spans="1:62" x14ac:dyDescent="0.25">
      <c r="A146" s="10">
        <v>225</v>
      </c>
      <c r="B146" s="17">
        <f t="shared" ref="B146:B151" si="42">SUMIFS($J$14:$J$113,$H$14:$H$113,$A$144,$I$14:$I$113,A146)</f>
        <v>0</v>
      </c>
      <c r="D146" s="10">
        <v>1000</v>
      </c>
      <c r="E146" s="17">
        <f>SUMIFS($J$14:$J$113,$H$14:$H$113,$D$144,$I$14:$I$113,D146)</f>
        <v>0</v>
      </c>
      <c r="G146" s="10">
        <v>1000</v>
      </c>
      <c r="H146" s="17">
        <f>SUMIFS($J$14:$J$113,$H$14:$H$113,$G$144,$I$14:$I$113,G146)</f>
        <v>0</v>
      </c>
      <c r="J146" s="163"/>
      <c r="K146" s="164"/>
      <c r="M146" s="163"/>
      <c r="N146" s="164"/>
      <c r="P146" s="163"/>
      <c r="Q146" s="164"/>
      <c r="S146" s="16">
        <v>300</v>
      </c>
      <c r="T146" s="11">
        <f>SUMIFS($J$14:$J$113,$I$14:$I$113,$S146,$K$14:$K$113,T$145,$H$14:$H$113,$T$144)</f>
        <v>0</v>
      </c>
      <c r="U146" s="11">
        <f>SUMIFS($J$14:$J$113,$I$14:$I$113,$S146,$K$14:$K$113,U$145,$H$14:$H$113,$T$144)</f>
        <v>0</v>
      </c>
      <c r="V146" s="16">
        <f>SUM(T146:U146)*S146</f>
        <v>0</v>
      </c>
      <c r="W146" s="16">
        <f>T146+U146</f>
        <v>0</v>
      </c>
      <c r="AH146" s="15">
        <f>AN7</f>
        <v>0</v>
      </c>
      <c r="AI146" s="8">
        <f>AO7</f>
        <v>0</v>
      </c>
      <c r="AJ146" s="6">
        <f>AP7</f>
        <v>0</v>
      </c>
      <c r="AK146" s="6">
        <f>AQ7</f>
        <v>0</v>
      </c>
      <c r="AL146" s="13">
        <f>AR7</f>
        <v>0</v>
      </c>
      <c r="AN146" s="15">
        <f>AN8</f>
        <v>0</v>
      </c>
      <c r="AO146" s="8">
        <f>AO8</f>
        <v>0</v>
      </c>
      <c r="AP146" s="6">
        <f>AP8</f>
        <v>0</v>
      </c>
      <c r="AQ146" s="6">
        <f>AQ8</f>
        <v>0</v>
      </c>
      <c r="AR146" s="13">
        <f>AR8</f>
        <v>0</v>
      </c>
      <c r="AT146" s="15">
        <f>AN9</f>
        <v>0</v>
      </c>
      <c r="AU146" s="8">
        <f>AO9</f>
        <v>0</v>
      </c>
      <c r="AV146" s="6">
        <f>AP9</f>
        <v>0</v>
      </c>
      <c r="AW146" s="6">
        <f>AQ9</f>
        <v>0</v>
      </c>
      <c r="AX146" s="13">
        <f>AR9</f>
        <v>0</v>
      </c>
      <c r="AZ146" s="15">
        <f>AN10</f>
        <v>0</v>
      </c>
      <c r="BA146" s="8">
        <f>AO10</f>
        <v>0</v>
      </c>
      <c r="BB146" s="6">
        <f>AP10</f>
        <v>0</v>
      </c>
      <c r="BC146" s="6">
        <f>AQ10</f>
        <v>0</v>
      </c>
      <c r="BD146" s="13">
        <f>AR10</f>
        <v>0</v>
      </c>
      <c r="BF146" s="15">
        <f>AN11</f>
        <v>0</v>
      </c>
      <c r="BG146" s="8">
        <f>AO11</f>
        <v>0</v>
      </c>
      <c r="BH146" s="6">
        <f>AP11</f>
        <v>0</v>
      </c>
      <c r="BI146" s="6">
        <f>AQ11</f>
        <v>0</v>
      </c>
      <c r="BJ146" s="13">
        <f>AR11</f>
        <v>0</v>
      </c>
    </row>
    <row r="147" spans="1:62" ht="15.75" thickBot="1" x14ac:dyDescent="0.3">
      <c r="A147" s="8">
        <v>325</v>
      </c>
      <c r="B147" s="17">
        <f t="shared" si="42"/>
        <v>0</v>
      </c>
      <c r="D147" s="9">
        <v>3000</v>
      </c>
      <c r="E147" s="17">
        <f>SUMIFS($J$14:$J$113,$H$14:$H$113,$D$144,$I$14:$I$113,D147)</f>
        <v>0</v>
      </c>
      <c r="G147" s="31">
        <v>2000</v>
      </c>
      <c r="H147" s="17">
        <f>SUMIFS($J$14:$J$113,$H$14:$H$113,$G$144,$I$14:$I$113,G147)</f>
        <v>0</v>
      </c>
      <c r="J147" s="165"/>
      <c r="K147" s="166"/>
      <c r="M147" s="165"/>
      <c r="N147" s="166"/>
      <c r="P147" s="165"/>
      <c r="Q147" s="166"/>
      <c r="S147" s="16">
        <v>500</v>
      </c>
      <c r="T147" s="11">
        <f t="shared" ref="T147:U154" si="43">SUMIFS($J$14:$J$113,$I$14:$I$113,$S147,$K$14:$K$113,T$145,$H$14:$H$113,$T$144)</f>
        <v>0</v>
      </c>
      <c r="U147" s="11">
        <f t="shared" si="43"/>
        <v>0</v>
      </c>
      <c r="V147" s="16">
        <f t="shared" ref="V147:V154" si="44">SUM(T147:U147)*S147</f>
        <v>0</v>
      </c>
      <c r="W147" s="16">
        <f t="shared" ref="W147:W154" si="45">T147+U147</f>
        <v>0</v>
      </c>
      <c r="AA147" s="167" t="s">
        <v>37</v>
      </c>
      <c r="AB147" s="167"/>
      <c r="AC147" s="167"/>
      <c r="AD147" s="167" t="s">
        <v>113</v>
      </c>
      <c r="AE147" s="167"/>
      <c r="AF147" s="167"/>
      <c r="AH147" s="15">
        <f>AT7</f>
        <v>0</v>
      </c>
      <c r="AI147" s="8">
        <f>AU7</f>
        <v>0</v>
      </c>
      <c r="AJ147" s="6">
        <f>AV7</f>
        <v>0</v>
      </c>
      <c r="AK147" s="6">
        <f>AW7</f>
        <v>0</v>
      </c>
      <c r="AL147" s="13">
        <f>AX7</f>
        <v>0</v>
      </c>
      <c r="AN147" s="15">
        <f>AT8</f>
        <v>0</v>
      </c>
      <c r="AO147" s="8">
        <f>AU8</f>
        <v>0</v>
      </c>
      <c r="AP147" s="6">
        <f>AV8</f>
        <v>0</v>
      </c>
      <c r="AQ147" s="6">
        <f>AW8</f>
        <v>0</v>
      </c>
      <c r="AR147" s="13">
        <f>AX8</f>
        <v>0</v>
      </c>
      <c r="AT147" s="15">
        <f>AT9</f>
        <v>0</v>
      </c>
      <c r="AU147" s="8">
        <f>AU9</f>
        <v>0</v>
      </c>
      <c r="AV147" s="6">
        <f>AV9</f>
        <v>0</v>
      </c>
      <c r="AW147" s="6">
        <f>AW9</f>
        <v>0</v>
      </c>
      <c r="AX147" s="13">
        <f>AX9</f>
        <v>0</v>
      </c>
      <c r="AZ147" s="15">
        <f>AT10</f>
        <v>0</v>
      </c>
      <c r="BA147" s="8">
        <f>AU10</f>
        <v>0</v>
      </c>
      <c r="BB147" s="6">
        <f>AV10</f>
        <v>0</v>
      </c>
      <c r="BC147" s="6">
        <f>AW10</f>
        <v>0</v>
      </c>
      <c r="BD147" s="13">
        <f>AX10</f>
        <v>0</v>
      </c>
      <c r="BF147" s="15">
        <f>AT11</f>
        <v>0</v>
      </c>
      <c r="BG147" s="8">
        <f>AU11</f>
        <v>0</v>
      </c>
      <c r="BH147" s="6">
        <f>AV11</f>
        <v>0</v>
      </c>
      <c r="BI147" s="6">
        <f>AW11</f>
        <v>0</v>
      </c>
      <c r="BJ147" s="13">
        <f>AX11</f>
        <v>0</v>
      </c>
    </row>
    <row r="148" spans="1:62" ht="15.75" thickBot="1" x14ac:dyDescent="0.3">
      <c r="A148" s="8">
        <v>400</v>
      </c>
      <c r="B148" s="17">
        <f t="shared" si="42"/>
        <v>0</v>
      </c>
      <c r="D148" s="60" t="s">
        <v>24</v>
      </c>
      <c r="E148" s="62">
        <f>SUMPRODUCT(D146:D147,E146:E147)</f>
        <v>0</v>
      </c>
      <c r="G148" s="60" t="s">
        <v>24</v>
      </c>
      <c r="H148" s="62">
        <f>SUMPRODUCT(G146:G147,H146:H147)</f>
        <v>0</v>
      </c>
      <c r="J148" s="60" t="s">
        <v>29</v>
      </c>
      <c r="K148" s="62" t="s">
        <v>102</v>
      </c>
      <c r="M148" s="60" t="s">
        <v>29</v>
      </c>
      <c r="N148" s="62" t="s">
        <v>102</v>
      </c>
      <c r="P148" s="60" t="s">
        <v>29</v>
      </c>
      <c r="Q148" s="62" t="s">
        <v>102</v>
      </c>
      <c r="S148" s="15">
        <v>750</v>
      </c>
      <c r="T148" s="11">
        <f t="shared" si="43"/>
        <v>0</v>
      </c>
      <c r="U148" s="11">
        <f t="shared" si="43"/>
        <v>0</v>
      </c>
      <c r="V148" s="16">
        <f t="shared" si="44"/>
        <v>0</v>
      </c>
      <c r="W148" s="16">
        <f t="shared" si="45"/>
        <v>0</v>
      </c>
      <c r="AA148" s="167" t="str">
        <f>"TANKS: " &amp; SUM(B128:AE128,B146:B151,E146:E147,H146:H147,B142:AE142,W155)</f>
        <v>TANKS: 48</v>
      </c>
      <c r="AB148" s="167"/>
      <c r="AC148" s="167"/>
      <c r="AD148" s="167" t="str">
        <f>"LTRS: " &amp;SUM(AF128,B152,E148,H148,AF142,V155)</f>
        <v>LTRS: 39500</v>
      </c>
      <c r="AE148" s="167"/>
      <c r="AF148" s="167"/>
      <c r="AH148" s="15">
        <f>AZ7</f>
        <v>0</v>
      </c>
      <c r="AI148" s="8">
        <f>BA7</f>
        <v>0</v>
      </c>
      <c r="AJ148" s="6">
        <f>BB7</f>
        <v>0</v>
      </c>
      <c r="AK148" s="6">
        <f>BC7</f>
        <v>0</v>
      </c>
      <c r="AL148" s="13">
        <f>BD7</f>
        <v>0</v>
      </c>
      <c r="AN148" s="15">
        <f>AZ8</f>
        <v>0</v>
      </c>
      <c r="AO148" s="8">
        <f>BA8</f>
        <v>0</v>
      </c>
      <c r="AP148" s="6">
        <f>BB8</f>
        <v>0</v>
      </c>
      <c r="AQ148" s="6">
        <f>BC8</f>
        <v>0</v>
      </c>
      <c r="AR148" s="13">
        <f>BD8</f>
        <v>0</v>
      </c>
      <c r="AT148" s="15">
        <f>AZ9</f>
        <v>0</v>
      </c>
      <c r="AU148" s="8">
        <f>BA9</f>
        <v>0</v>
      </c>
      <c r="AV148" s="6">
        <f>BB9</f>
        <v>0</v>
      </c>
      <c r="AW148" s="6">
        <f>BC9</f>
        <v>0</v>
      </c>
      <c r="AX148" s="13">
        <f>BD9</f>
        <v>0</v>
      </c>
      <c r="AZ148" s="15">
        <f>AZ10</f>
        <v>0</v>
      </c>
      <c r="BA148" s="8">
        <f>BA10</f>
        <v>0</v>
      </c>
      <c r="BB148" s="6">
        <f>BB10</f>
        <v>0</v>
      </c>
      <c r="BC148" s="6">
        <f>BC10</f>
        <v>0</v>
      </c>
      <c r="BD148" s="13">
        <f>BD10</f>
        <v>0</v>
      </c>
      <c r="BF148" s="15">
        <f>AZ11</f>
        <v>0</v>
      </c>
      <c r="BG148" s="8">
        <f>BA11</f>
        <v>0</v>
      </c>
      <c r="BH148" s="6">
        <f>BB11</f>
        <v>0</v>
      </c>
      <c r="BI148" s="6">
        <f>BC11</f>
        <v>0</v>
      </c>
      <c r="BJ148" s="13">
        <f>BD11</f>
        <v>0</v>
      </c>
    </row>
    <row r="149" spans="1:62" x14ac:dyDescent="0.25">
      <c r="A149" s="8">
        <v>500</v>
      </c>
      <c r="B149" s="17">
        <f t="shared" si="42"/>
        <v>0</v>
      </c>
      <c r="J149" s="10" t="s">
        <v>17</v>
      </c>
      <c r="K149" s="17">
        <f>SUMIFS($J$14:$J$113,$H$14:$H$113,"CAP16_1",$K$14:$K$113,J149)</f>
        <v>0</v>
      </c>
      <c r="M149" s="10" t="s">
        <v>17</v>
      </c>
      <c r="N149" s="17">
        <f>SUMIFS($J$14:$J$113,$H$14:$H$113,"CAP16_2",$K$14:$K$113,M149)</f>
        <v>0</v>
      </c>
      <c r="P149" s="10" t="s">
        <v>17</v>
      </c>
      <c r="Q149" s="17">
        <f>SUMIFS($J$14:$J$113,$H$14:$H$113,"CAP19",$K$14:$K$113,P149)</f>
        <v>0</v>
      </c>
      <c r="S149" s="15">
        <v>1000</v>
      </c>
      <c r="T149" s="11">
        <f t="shared" si="43"/>
        <v>0</v>
      </c>
      <c r="U149" s="11">
        <f t="shared" si="43"/>
        <v>0</v>
      </c>
      <c r="V149" s="16">
        <f t="shared" si="44"/>
        <v>0</v>
      </c>
      <c r="W149" s="16">
        <f t="shared" si="45"/>
        <v>0</v>
      </c>
      <c r="AA149" s="167" t="s">
        <v>76</v>
      </c>
      <c r="AB149" s="167"/>
      <c r="AC149" s="167"/>
      <c r="AD149" s="176">
        <f>D114</f>
        <v>46008</v>
      </c>
      <c r="AE149" s="176"/>
      <c r="AF149" s="176"/>
      <c r="AH149" s="15">
        <f>BF7</f>
        <v>0</v>
      </c>
      <c r="AI149" s="8">
        <f>BG7</f>
        <v>0</v>
      </c>
      <c r="AJ149" s="6">
        <f>BH7</f>
        <v>0</v>
      </c>
      <c r="AK149" s="6">
        <f>BI7</f>
        <v>0</v>
      </c>
      <c r="AL149" s="13">
        <f>BJ7</f>
        <v>0</v>
      </c>
      <c r="AN149" s="15">
        <f>BF8</f>
        <v>0</v>
      </c>
      <c r="AO149" s="8">
        <f>BG8</f>
        <v>0</v>
      </c>
      <c r="AP149" s="6">
        <f>BH8</f>
        <v>0</v>
      </c>
      <c r="AQ149" s="6">
        <f>BI8</f>
        <v>0</v>
      </c>
      <c r="AR149" s="13">
        <f>BJ8</f>
        <v>0</v>
      </c>
      <c r="AT149" s="15">
        <f>BF9</f>
        <v>0</v>
      </c>
      <c r="AU149" s="8">
        <f>BG9</f>
        <v>0</v>
      </c>
      <c r="AV149" s="6">
        <f>BH9</f>
        <v>0</v>
      </c>
      <c r="AW149" s="6">
        <f>BI9</f>
        <v>0</v>
      </c>
      <c r="AX149" s="13">
        <f>BJ9</f>
        <v>0</v>
      </c>
      <c r="AZ149" s="15">
        <f>BF10</f>
        <v>0</v>
      </c>
      <c r="BA149" s="8">
        <f>BG10</f>
        <v>0</v>
      </c>
      <c r="BB149" s="6">
        <f>BH10</f>
        <v>0</v>
      </c>
      <c r="BC149" s="6">
        <f>BI10</f>
        <v>0</v>
      </c>
      <c r="BD149" s="13">
        <f>BJ10</f>
        <v>0</v>
      </c>
      <c r="BF149" s="15">
        <f>BF11</f>
        <v>0</v>
      </c>
      <c r="BG149" s="8">
        <f>BG11</f>
        <v>0</v>
      </c>
      <c r="BH149" s="6">
        <f>BH11</f>
        <v>0</v>
      </c>
      <c r="BI149" s="6">
        <f>BI11</f>
        <v>0</v>
      </c>
      <c r="BJ149" s="13">
        <f>BJ11</f>
        <v>0</v>
      </c>
    </row>
    <row r="150" spans="1:62" ht="15.75" thickBot="1" x14ac:dyDescent="0.3">
      <c r="A150" s="8">
        <v>750</v>
      </c>
      <c r="B150" s="17">
        <f t="shared" si="42"/>
        <v>0</v>
      </c>
      <c r="J150" s="8" t="s">
        <v>19</v>
      </c>
      <c r="K150" s="17">
        <f t="shared" ref="K150:K153" si="46">SUMIFS($J$14:$J$113,$H$14:$H$113,"CAP16_1",$K$14:$K$113,J150)</f>
        <v>0</v>
      </c>
      <c r="M150" s="8" t="s">
        <v>19</v>
      </c>
      <c r="N150" s="17">
        <f t="shared" ref="N150:N153" si="47">SUMIFS($J$14:$J$113,$H$14:$H$113,"CAP16_2",$K$14:$K$113,M150)</f>
        <v>0</v>
      </c>
      <c r="P150" s="8" t="s">
        <v>19</v>
      </c>
      <c r="Q150" s="17">
        <f t="shared" ref="Q150:Q153" si="48">SUMIFS($J$14:$J$113,$H$14:$H$113,"CAP19",$K$14:$K$113,P150)</f>
        <v>0</v>
      </c>
      <c r="S150" s="15">
        <v>1500</v>
      </c>
      <c r="T150" s="11">
        <f t="shared" si="43"/>
        <v>0</v>
      </c>
      <c r="U150" s="11">
        <f t="shared" si="43"/>
        <v>0</v>
      </c>
      <c r="V150" s="16">
        <f t="shared" si="44"/>
        <v>0</v>
      </c>
      <c r="W150" s="16">
        <f t="shared" si="45"/>
        <v>0</v>
      </c>
      <c r="AH150" s="59">
        <f>BL7</f>
        <v>0</v>
      </c>
      <c r="AI150" s="31">
        <f>BM7</f>
        <v>0</v>
      </c>
      <c r="AJ150" s="32">
        <f>BN7</f>
        <v>0</v>
      </c>
      <c r="AK150" s="32">
        <f>BO7</f>
        <v>0</v>
      </c>
      <c r="AL150" s="33">
        <f>BP7</f>
        <v>0</v>
      </c>
      <c r="AN150" s="59">
        <f>BL8</f>
        <v>0</v>
      </c>
      <c r="AO150" s="31">
        <f>BM8</f>
        <v>0</v>
      </c>
      <c r="AP150" s="32">
        <f>BN8</f>
        <v>0</v>
      </c>
      <c r="AQ150" s="32">
        <f>BO8</f>
        <v>0</v>
      </c>
      <c r="AR150" s="33">
        <f>BP8</f>
        <v>0</v>
      </c>
      <c r="AT150" s="59">
        <f>BL9</f>
        <v>0</v>
      </c>
      <c r="AU150" s="31">
        <f>BM9</f>
        <v>0</v>
      </c>
      <c r="AV150" s="32">
        <f>BN9</f>
        <v>0</v>
      </c>
      <c r="AW150" s="32">
        <f>BO9</f>
        <v>0</v>
      </c>
      <c r="AX150" s="33">
        <f>BP9</f>
        <v>0</v>
      </c>
      <c r="AZ150" s="59">
        <f>BL10</f>
        <v>0</v>
      </c>
      <c r="BA150" s="31">
        <f>BM10</f>
        <v>0</v>
      </c>
      <c r="BB150" s="32">
        <f>BN10</f>
        <v>0</v>
      </c>
      <c r="BC150" s="32">
        <f>BO10</f>
        <v>0</v>
      </c>
      <c r="BD150" s="33">
        <f>BP10</f>
        <v>0</v>
      </c>
      <c r="BF150" s="59">
        <f>BL11</f>
        <v>0</v>
      </c>
      <c r="BG150" s="31">
        <f>BM11</f>
        <v>0</v>
      </c>
      <c r="BH150" s="32">
        <f>BN11</f>
        <v>0</v>
      </c>
      <c r="BI150" s="32">
        <f>BO11</f>
        <v>0</v>
      </c>
      <c r="BJ150" s="33">
        <f>BP11</f>
        <v>0</v>
      </c>
    </row>
    <row r="151" spans="1:62" ht="15.75" thickBot="1" x14ac:dyDescent="0.3">
      <c r="A151" s="9">
        <v>1000</v>
      </c>
      <c r="B151" s="17">
        <f t="shared" si="42"/>
        <v>0</v>
      </c>
      <c r="J151" s="8" t="s">
        <v>32</v>
      </c>
      <c r="K151" s="17">
        <f t="shared" si="46"/>
        <v>0</v>
      </c>
      <c r="M151" s="8" t="s">
        <v>32</v>
      </c>
      <c r="N151" s="17">
        <f t="shared" si="47"/>
        <v>0</v>
      </c>
      <c r="P151" s="8" t="s">
        <v>32</v>
      </c>
      <c r="Q151" s="17">
        <f t="shared" si="48"/>
        <v>0</v>
      </c>
      <c r="S151" s="15">
        <v>2000</v>
      </c>
      <c r="T151" s="11">
        <f t="shared" si="43"/>
        <v>0</v>
      </c>
      <c r="U151" s="11">
        <f t="shared" si="43"/>
        <v>0</v>
      </c>
      <c r="V151" s="16">
        <f t="shared" si="44"/>
        <v>0</v>
      </c>
      <c r="W151" s="16">
        <f t="shared" si="45"/>
        <v>0</v>
      </c>
      <c r="AH151" s="35">
        <f>C7</f>
        <v>0</v>
      </c>
      <c r="AI151" s="158">
        <f>SUM(AI141:AI150)</f>
        <v>0</v>
      </c>
      <c r="AJ151" s="159"/>
      <c r="AK151" s="158">
        <f>BT7</f>
        <v>0</v>
      </c>
      <c r="AL151" s="159"/>
      <c r="AN151" s="35">
        <f>C8</f>
        <v>0</v>
      </c>
      <c r="AO151" s="158">
        <f>SUM(AO141:AO150)</f>
        <v>0</v>
      </c>
      <c r="AP151" s="159"/>
      <c r="AQ151" s="158">
        <f>BT8</f>
        <v>0</v>
      </c>
      <c r="AR151" s="159"/>
      <c r="AT151" s="35">
        <f>C9</f>
        <v>0</v>
      </c>
      <c r="AU151" s="158">
        <f>SUM(AU141:AU150)</f>
        <v>0</v>
      </c>
      <c r="AV151" s="159"/>
      <c r="AW151" s="158">
        <f>BT9</f>
        <v>0</v>
      </c>
      <c r="AX151" s="159"/>
      <c r="AZ151" s="35">
        <f>C10</f>
        <v>0</v>
      </c>
      <c r="BA151" s="158">
        <f>SUM(BA141:BA150)</f>
        <v>0</v>
      </c>
      <c r="BB151" s="159"/>
      <c r="BC151" s="158">
        <f>BT10</f>
        <v>0</v>
      </c>
      <c r="BD151" s="159"/>
      <c r="BF151" s="35">
        <f>C11</f>
        <v>0</v>
      </c>
      <c r="BG151" s="158">
        <f>SUM(BG141:BG150)</f>
        <v>0</v>
      </c>
      <c r="BH151" s="159"/>
      <c r="BI151" s="158">
        <f>BT11</f>
        <v>0</v>
      </c>
      <c r="BJ151" s="159"/>
    </row>
    <row r="152" spans="1:62" ht="15.75" thickBot="1" x14ac:dyDescent="0.3">
      <c r="A152" s="60" t="s">
        <v>24</v>
      </c>
      <c r="B152" s="62">
        <f>SUMPRODUCT(A146:A151,B146:B151)</f>
        <v>0</v>
      </c>
      <c r="J152" s="8" t="s">
        <v>33</v>
      </c>
      <c r="K152" s="17">
        <f t="shared" si="46"/>
        <v>0</v>
      </c>
      <c r="M152" s="8" t="s">
        <v>33</v>
      </c>
      <c r="N152" s="17">
        <f t="shared" si="47"/>
        <v>0</v>
      </c>
      <c r="P152" s="8" t="s">
        <v>33</v>
      </c>
      <c r="Q152" s="17">
        <f t="shared" si="48"/>
        <v>0</v>
      </c>
      <c r="S152" s="15">
        <v>3000</v>
      </c>
      <c r="T152" s="11">
        <f t="shared" si="43"/>
        <v>0</v>
      </c>
      <c r="U152" s="11">
        <f t="shared" si="43"/>
        <v>0</v>
      </c>
      <c r="V152" s="16">
        <f t="shared" si="44"/>
        <v>0</v>
      </c>
      <c r="W152" s="16">
        <f t="shared" si="45"/>
        <v>0</v>
      </c>
      <c r="AH152" s="35" t="s">
        <v>25</v>
      </c>
      <c r="AI152" s="158">
        <f>A7</f>
        <v>0</v>
      </c>
      <c r="AJ152" s="160"/>
      <c r="AK152" s="158">
        <f>BR7</f>
        <v>0</v>
      </c>
      <c r="AL152" s="159"/>
      <c r="AN152" s="35" t="s">
        <v>25</v>
      </c>
      <c r="AO152" s="158">
        <f>A8</f>
        <v>0</v>
      </c>
      <c r="AP152" s="160"/>
      <c r="AQ152" s="158">
        <f>BR8</f>
        <v>0</v>
      </c>
      <c r="AR152" s="159"/>
      <c r="AT152" s="35" t="s">
        <v>25</v>
      </c>
      <c r="AU152" s="158">
        <f>A9</f>
        <v>0</v>
      </c>
      <c r="AV152" s="160"/>
      <c r="AW152" s="158">
        <f>BR9</f>
        <v>0</v>
      </c>
      <c r="AX152" s="159"/>
      <c r="AZ152" s="35" t="s">
        <v>25</v>
      </c>
      <c r="BA152" s="158">
        <f>A10</f>
        <v>0</v>
      </c>
      <c r="BB152" s="160"/>
      <c r="BC152" s="158">
        <f>BR10</f>
        <v>0</v>
      </c>
      <c r="BD152" s="159"/>
      <c r="BF152" s="35" t="s">
        <v>25</v>
      </c>
      <c r="BG152" s="158">
        <f>A11</f>
        <v>0</v>
      </c>
      <c r="BH152" s="160"/>
      <c r="BI152" s="158">
        <f>BR11</f>
        <v>0</v>
      </c>
      <c r="BJ152" s="159"/>
    </row>
    <row r="153" spans="1:62" ht="15.75" thickBot="1" x14ac:dyDescent="0.3">
      <c r="J153" s="9" t="s">
        <v>80</v>
      </c>
      <c r="K153" s="17">
        <f t="shared" si="46"/>
        <v>0</v>
      </c>
      <c r="M153" s="9" t="s">
        <v>80</v>
      </c>
      <c r="N153" s="17">
        <f t="shared" si="47"/>
        <v>0</v>
      </c>
      <c r="P153" s="9" t="s">
        <v>80</v>
      </c>
      <c r="Q153" s="17">
        <f t="shared" si="48"/>
        <v>0</v>
      </c>
      <c r="S153" s="15">
        <v>5000</v>
      </c>
      <c r="T153" s="11">
        <f t="shared" si="43"/>
        <v>0</v>
      </c>
      <c r="U153" s="11">
        <f t="shared" si="43"/>
        <v>0</v>
      </c>
      <c r="V153" s="16">
        <f t="shared" si="44"/>
        <v>0</v>
      </c>
      <c r="W153" s="16">
        <f t="shared" si="45"/>
        <v>0</v>
      </c>
      <c r="AH153" s="58" t="s">
        <v>130</v>
      </c>
      <c r="AI153" s="58" t="s">
        <v>131</v>
      </c>
      <c r="AJ153" s="58" t="s">
        <v>132</v>
      </c>
      <c r="AK153" s="58" t="s">
        <v>166</v>
      </c>
      <c r="AL153" s="58" t="s">
        <v>33</v>
      </c>
      <c r="AN153" s="58" t="s">
        <v>130</v>
      </c>
      <c r="AO153" s="58" t="s">
        <v>131</v>
      </c>
      <c r="AP153" s="58" t="s">
        <v>132</v>
      </c>
      <c r="AQ153" s="58" t="s">
        <v>166</v>
      </c>
      <c r="AR153" s="58" t="s">
        <v>33</v>
      </c>
      <c r="AT153" s="58" t="s">
        <v>130</v>
      </c>
      <c r="AU153" s="58" t="s">
        <v>131</v>
      </c>
      <c r="AV153" s="58" t="s">
        <v>132</v>
      </c>
      <c r="AW153" s="58" t="s">
        <v>166</v>
      </c>
      <c r="AX153" s="58" t="s">
        <v>33</v>
      </c>
      <c r="AZ153" s="58" t="s">
        <v>130</v>
      </c>
      <c r="BA153" s="58" t="s">
        <v>131</v>
      </c>
      <c r="BB153" s="58" t="s">
        <v>132</v>
      </c>
      <c r="BC153" s="58" t="s">
        <v>166</v>
      </c>
      <c r="BD153" s="58" t="s">
        <v>33</v>
      </c>
      <c r="BF153" s="58" t="s">
        <v>130</v>
      </c>
      <c r="BG153" s="58" t="s">
        <v>131</v>
      </c>
      <c r="BH153" s="58" t="s">
        <v>132</v>
      </c>
      <c r="BI153" s="58" t="s">
        <v>166</v>
      </c>
      <c r="BJ153" s="58" t="s">
        <v>33</v>
      </c>
    </row>
    <row r="154" spans="1:62" ht="15.75" thickBot="1" x14ac:dyDescent="0.3">
      <c r="J154" s="60" t="s">
        <v>24</v>
      </c>
      <c r="K154" s="62">
        <f>SUM(K149:K153)</f>
        <v>0</v>
      </c>
      <c r="M154" s="60" t="s">
        <v>24</v>
      </c>
      <c r="N154" s="62">
        <f>SUM(N149:N153)</f>
        <v>0</v>
      </c>
      <c r="P154" s="60" t="s">
        <v>24</v>
      </c>
      <c r="Q154" s="62">
        <f>SUM(Q149:Q153)</f>
        <v>0</v>
      </c>
      <c r="S154" s="59">
        <v>10000</v>
      </c>
      <c r="T154" s="11">
        <f t="shared" si="43"/>
        <v>0</v>
      </c>
      <c r="U154" s="11">
        <f t="shared" si="43"/>
        <v>0</v>
      </c>
      <c r="V154" s="16">
        <f t="shared" si="44"/>
        <v>0</v>
      </c>
      <c r="W154" s="16">
        <f t="shared" si="45"/>
        <v>0</v>
      </c>
      <c r="AH154" s="34" t="str">
        <f>AZ19</f>
        <v/>
      </c>
      <c r="AI154" s="34" t="str">
        <f>BA19</f>
        <v/>
      </c>
      <c r="AJ154" s="34" t="str">
        <f>BB19</f>
        <v/>
      </c>
      <c r="AK154" s="35" t="str">
        <f>BC19</f>
        <v/>
      </c>
      <c r="AL154" s="35" t="str">
        <f>BD19</f>
        <v/>
      </c>
      <c r="AN154" s="34" t="str">
        <f>AZ20</f>
        <v/>
      </c>
      <c r="AO154" s="34" t="str">
        <f>BA20</f>
        <v/>
      </c>
      <c r="AP154" s="34" t="str">
        <f>BB20</f>
        <v/>
      </c>
      <c r="AQ154" s="35" t="str">
        <f>BC20</f>
        <v/>
      </c>
      <c r="AR154" s="35" t="str">
        <f>BD20</f>
        <v/>
      </c>
      <c r="AT154" s="34" t="str">
        <f>AZ21</f>
        <v/>
      </c>
      <c r="AU154" s="34" t="str">
        <f>BA21</f>
        <v/>
      </c>
      <c r="AV154" s="34" t="str">
        <f>BB21</f>
        <v/>
      </c>
      <c r="AW154" s="35" t="str">
        <f>BC21</f>
        <v/>
      </c>
      <c r="AX154" s="35" t="str">
        <f>BD21</f>
        <v/>
      </c>
      <c r="AZ154" s="34" t="str">
        <f>AZ22</f>
        <v/>
      </c>
      <c r="BA154" s="34" t="str">
        <f>BA22</f>
        <v/>
      </c>
      <c r="BB154" s="34" t="str">
        <f>BB22</f>
        <v/>
      </c>
      <c r="BC154" s="35" t="str">
        <f>BC22</f>
        <v/>
      </c>
      <c r="BD154" s="35" t="str">
        <f>BD22</f>
        <v/>
      </c>
      <c r="BF154" s="34" t="str">
        <f>AZ23</f>
        <v/>
      </c>
      <c r="BG154" s="34" t="str">
        <f>BA23</f>
        <v/>
      </c>
      <c r="BH154" s="34" t="str">
        <f>BB23</f>
        <v/>
      </c>
      <c r="BI154" s="35" t="str">
        <f>BC23</f>
        <v/>
      </c>
      <c r="BJ154" s="35" t="str">
        <f>BD23</f>
        <v/>
      </c>
    </row>
    <row r="155" spans="1:62" ht="15.75" thickBot="1" x14ac:dyDescent="0.3">
      <c r="S155" s="35"/>
      <c r="T155" s="61">
        <f>SUM(T146:T154)</f>
        <v>0</v>
      </c>
      <c r="U155" s="61">
        <f t="shared" ref="U155:W155" si="49">SUM(U146:U154)</f>
        <v>0</v>
      </c>
      <c r="V155" s="35">
        <f t="shared" si="49"/>
        <v>0</v>
      </c>
      <c r="W155" s="35">
        <f t="shared" si="49"/>
        <v>0</v>
      </c>
      <c r="AH155" s="58" t="s">
        <v>22</v>
      </c>
      <c r="AI155" s="58" t="s">
        <v>20</v>
      </c>
      <c r="AJ155" s="58" t="s">
        <v>34</v>
      </c>
      <c r="AK155" s="58" t="s">
        <v>127</v>
      </c>
      <c r="AL155" s="58" t="s">
        <v>129</v>
      </c>
      <c r="AN155" s="58" t="s">
        <v>22</v>
      </c>
      <c r="AO155" s="58" t="s">
        <v>20</v>
      </c>
      <c r="AP155" s="58" t="s">
        <v>34</v>
      </c>
      <c r="AQ155" s="58" t="s">
        <v>127</v>
      </c>
      <c r="AR155" s="58" t="s">
        <v>129</v>
      </c>
      <c r="AT155" s="58" t="s">
        <v>22</v>
      </c>
      <c r="AU155" s="58" t="s">
        <v>20</v>
      </c>
      <c r="AV155" s="58" t="s">
        <v>34</v>
      </c>
      <c r="AW155" s="58" t="s">
        <v>127</v>
      </c>
      <c r="AX155" s="58" t="s">
        <v>129</v>
      </c>
      <c r="AZ155" s="58" t="s">
        <v>22</v>
      </c>
      <c r="BA155" s="58" t="s">
        <v>20</v>
      </c>
      <c r="BB155" s="58" t="s">
        <v>34</v>
      </c>
      <c r="BC155" s="58" t="s">
        <v>127</v>
      </c>
      <c r="BD155" s="58" t="s">
        <v>129</v>
      </c>
      <c r="BF155" s="58" t="s">
        <v>22</v>
      </c>
      <c r="BG155" s="58" t="s">
        <v>20</v>
      </c>
      <c r="BH155" s="58" t="s">
        <v>34</v>
      </c>
      <c r="BI155" s="58" t="s">
        <v>127</v>
      </c>
      <c r="BJ155" s="58" t="s">
        <v>129</v>
      </c>
    </row>
    <row r="156" spans="1:62" ht="15.75" thickBot="1" x14ac:dyDescent="0.3">
      <c r="AH156" s="34" t="str">
        <f>AU19</f>
        <v/>
      </c>
      <c r="AI156" s="34" t="str">
        <f>AV19</f>
        <v/>
      </c>
      <c r="AJ156" s="34" t="str">
        <f>AW19</f>
        <v/>
      </c>
      <c r="AK156" s="35" t="str">
        <f>AX19</f>
        <v/>
      </c>
      <c r="AL156" s="35" t="str">
        <f>AY19</f>
        <v/>
      </c>
      <c r="AN156" s="34" t="str">
        <f>AU20</f>
        <v/>
      </c>
      <c r="AO156" s="34" t="str">
        <f>AV20</f>
        <v/>
      </c>
      <c r="AP156" s="34" t="str">
        <f>AW20</f>
        <v/>
      </c>
      <c r="AQ156" s="35" t="str">
        <f>AX20</f>
        <v/>
      </c>
      <c r="AR156" s="35" t="str">
        <f>AY20</f>
        <v/>
      </c>
      <c r="AT156" s="34" t="str">
        <f>AU21</f>
        <v/>
      </c>
      <c r="AU156" s="34" t="str">
        <f>AV21</f>
        <v/>
      </c>
      <c r="AV156" s="34" t="str">
        <f>AW21</f>
        <v/>
      </c>
      <c r="AW156" s="35" t="str">
        <f>AX21</f>
        <v/>
      </c>
      <c r="AX156" s="35" t="str">
        <f>AY21</f>
        <v/>
      </c>
      <c r="AZ156" s="34" t="str">
        <f>AU22</f>
        <v/>
      </c>
      <c r="BA156" s="34" t="str">
        <f>AV22</f>
        <v/>
      </c>
      <c r="BB156" s="34" t="str">
        <f>AW22</f>
        <v/>
      </c>
      <c r="BC156" s="35" t="str">
        <f>AX22</f>
        <v/>
      </c>
      <c r="BD156" s="35" t="str">
        <f>AY22</f>
        <v/>
      </c>
      <c r="BF156" s="34" t="str">
        <f>AU23</f>
        <v/>
      </c>
      <c r="BG156" s="34" t="str">
        <f>AV23</f>
        <v/>
      </c>
      <c r="BH156" s="34" t="str">
        <f>AW23</f>
        <v/>
      </c>
      <c r="BI156" s="35" t="str">
        <f>AX23</f>
        <v/>
      </c>
      <c r="BJ156" s="35" t="str">
        <f>AY23</f>
        <v/>
      </c>
    </row>
    <row r="157" spans="1:62" ht="13.7" customHeight="1" thickBot="1" x14ac:dyDescent="0.3"/>
    <row r="158" spans="1:62" ht="15.75" thickBot="1" x14ac:dyDescent="0.3">
      <c r="AH158" s="149" t="s">
        <v>37</v>
      </c>
      <c r="AI158" s="150"/>
      <c r="AJ158" s="150"/>
      <c r="AK158" s="151" t="str">
        <f>AD147</f>
        <v>KA41C4059</v>
      </c>
      <c r="AL158" s="151"/>
      <c r="AM158" s="152"/>
      <c r="AN158" s="157" t="str">
        <f>AA148</f>
        <v>TANKS: 48</v>
      </c>
      <c r="AO158" s="153"/>
      <c r="AP158" s="153" t="str">
        <f>AD148</f>
        <v>LTRS: 39500</v>
      </c>
      <c r="AQ158" s="153"/>
      <c r="AR158" s="154"/>
      <c r="AS158" s="150" t="s">
        <v>76</v>
      </c>
      <c r="AT158" s="150"/>
      <c r="AU158" s="155">
        <f>AD149</f>
        <v>46008</v>
      </c>
      <c r="AV158" s="155"/>
      <c r="AW158" s="156"/>
    </row>
    <row r="159" spans="1:62" ht="13.7" customHeight="1" x14ac:dyDescent="0.25"/>
    <row r="160" spans="1:62" ht="13.7" customHeight="1" thickBot="1" x14ac:dyDescent="0.3"/>
    <row r="161" spans="1:52" ht="13.7" customHeight="1" x14ac:dyDescent="0.25">
      <c r="A161" s="123" t="s">
        <v>31</v>
      </c>
      <c r="B161" s="113" t="s">
        <v>84</v>
      </c>
      <c r="C161" s="115"/>
      <c r="D161" s="113" t="s">
        <v>22</v>
      </c>
      <c r="E161" s="114"/>
      <c r="F161" s="114"/>
      <c r="G161" s="114"/>
      <c r="H161" s="115"/>
      <c r="I161" s="113" t="s">
        <v>20</v>
      </c>
      <c r="J161" s="114"/>
      <c r="K161" s="114"/>
      <c r="L161" s="114"/>
      <c r="M161" s="115"/>
      <c r="N161" s="113" t="s">
        <v>34</v>
      </c>
      <c r="O161" s="114"/>
      <c r="P161" s="114"/>
      <c r="Q161" s="114"/>
      <c r="R161" s="115"/>
      <c r="S161" s="113" t="s">
        <v>127</v>
      </c>
      <c r="T161" s="114"/>
      <c r="U161" s="114"/>
      <c r="V161" s="114"/>
      <c r="W161" s="115"/>
      <c r="X161" s="113" t="s">
        <v>129</v>
      </c>
      <c r="Y161" s="114"/>
      <c r="Z161" s="114"/>
      <c r="AA161" s="114"/>
      <c r="AB161" s="115"/>
      <c r="AC161" s="113" t="s">
        <v>26</v>
      </c>
      <c r="AD161" s="114"/>
      <c r="AE161" s="114"/>
      <c r="AF161" s="114"/>
      <c r="AG161" s="115"/>
      <c r="AH161" s="116" t="s">
        <v>24</v>
      </c>
      <c r="AI161" s="116" t="s">
        <v>86</v>
      </c>
      <c r="AJ161" s="81"/>
    </row>
    <row r="162" spans="1:52" ht="13.7" customHeight="1" thickBot="1" x14ac:dyDescent="0.3">
      <c r="A162" s="124"/>
      <c r="B162" s="12" t="s">
        <v>17</v>
      </c>
      <c r="C162" s="12" t="s">
        <v>19</v>
      </c>
      <c r="D162" s="9" t="s">
        <v>32</v>
      </c>
      <c r="E162" s="12" t="s">
        <v>17</v>
      </c>
      <c r="F162" s="12" t="s">
        <v>19</v>
      </c>
      <c r="G162" s="12" t="s">
        <v>33</v>
      </c>
      <c r="H162" s="14" t="s">
        <v>80</v>
      </c>
      <c r="I162" s="9" t="s">
        <v>32</v>
      </c>
      <c r="J162" s="12" t="s">
        <v>17</v>
      </c>
      <c r="K162" s="12" t="s">
        <v>19</v>
      </c>
      <c r="L162" s="12" t="s">
        <v>33</v>
      </c>
      <c r="M162" s="14" t="s">
        <v>80</v>
      </c>
      <c r="N162" s="9" t="s">
        <v>32</v>
      </c>
      <c r="O162" s="12" t="s">
        <v>17</v>
      </c>
      <c r="P162" s="12" t="s">
        <v>19</v>
      </c>
      <c r="Q162" s="12" t="s">
        <v>33</v>
      </c>
      <c r="R162" s="14" t="s">
        <v>80</v>
      </c>
      <c r="S162" s="9" t="s">
        <v>32</v>
      </c>
      <c r="T162" s="12" t="s">
        <v>17</v>
      </c>
      <c r="U162" s="12" t="s">
        <v>19</v>
      </c>
      <c r="V162" s="12" t="s">
        <v>33</v>
      </c>
      <c r="W162" s="14" t="s">
        <v>80</v>
      </c>
      <c r="X162" s="9" t="s">
        <v>32</v>
      </c>
      <c r="Y162" s="12" t="s">
        <v>17</v>
      </c>
      <c r="Z162" s="12" t="s">
        <v>19</v>
      </c>
      <c r="AA162" s="12" t="s">
        <v>33</v>
      </c>
      <c r="AB162" s="14" t="s">
        <v>80</v>
      </c>
      <c r="AC162" s="9" t="s">
        <v>32</v>
      </c>
      <c r="AD162" s="12" t="s">
        <v>17</v>
      </c>
      <c r="AE162" s="12" t="s">
        <v>19</v>
      </c>
      <c r="AF162" s="12" t="s">
        <v>33</v>
      </c>
      <c r="AG162" s="14" t="s">
        <v>80</v>
      </c>
      <c r="AH162" s="117"/>
      <c r="AI162" s="117"/>
      <c r="AJ162" s="81"/>
    </row>
    <row r="163" spans="1:52" ht="13.7" customHeight="1" x14ac:dyDescent="0.25">
      <c r="A163" s="16">
        <v>300</v>
      </c>
      <c r="B163" s="11">
        <f>T146</f>
        <v>0</v>
      </c>
      <c r="C163" s="11">
        <f>U146</f>
        <v>0</v>
      </c>
      <c r="D163" s="10">
        <f>B119+B133</f>
        <v>0</v>
      </c>
      <c r="E163" s="11">
        <f t="shared" ref="E163:AG171" si="50">C119+C133</f>
        <v>0</v>
      </c>
      <c r="F163" s="11">
        <f t="shared" si="50"/>
        <v>0</v>
      </c>
      <c r="G163" s="11">
        <f t="shared" si="50"/>
        <v>0</v>
      </c>
      <c r="H163" s="17">
        <f t="shared" si="50"/>
        <v>0</v>
      </c>
      <c r="I163" s="10">
        <f t="shared" si="50"/>
        <v>0</v>
      </c>
      <c r="J163" s="11">
        <f t="shared" si="50"/>
        <v>0</v>
      </c>
      <c r="K163" s="11">
        <f t="shared" si="50"/>
        <v>0</v>
      </c>
      <c r="L163" s="11">
        <f t="shared" si="50"/>
        <v>0</v>
      </c>
      <c r="M163" s="17">
        <f t="shared" si="50"/>
        <v>0</v>
      </c>
      <c r="N163" s="10">
        <f t="shared" si="50"/>
        <v>0</v>
      </c>
      <c r="O163" s="11">
        <f t="shared" si="50"/>
        <v>0</v>
      </c>
      <c r="P163" s="11">
        <f t="shared" si="50"/>
        <v>0</v>
      </c>
      <c r="Q163" s="11">
        <f t="shared" si="50"/>
        <v>0</v>
      </c>
      <c r="R163" s="17">
        <f t="shared" si="50"/>
        <v>0</v>
      </c>
      <c r="S163" s="10">
        <f t="shared" si="50"/>
        <v>0</v>
      </c>
      <c r="T163" s="11">
        <f t="shared" si="50"/>
        <v>0</v>
      </c>
      <c r="U163" s="11">
        <f t="shared" si="50"/>
        <v>0</v>
      </c>
      <c r="V163" s="11">
        <f t="shared" si="50"/>
        <v>0</v>
      </c>
      <c r="W163" s="17">
        <f t="shared" si="50"/>
        <v>0</v>
      </c>
      <c r="X163" s="10">
        <f t="shared" si="50"/>
        <v>0</v>
      </c>
      <c r="Y163" s="11">
        <f t="shared" si="50"/>
        <v>0</v>
      </c>
      <c r="Z163" s="11">
        <f t="shared" si="50"/>
        <v>0</v>
      </c>
      <c r="AA163" s="11">
        <f t="shared" si="50"/>
        <v>0</v>
      </c>
      <c r="AB163" s="17">
        <f t="shared" si="50"/>
        <v>0</v>
      </c>
      <c r="AC163" s="10">
        <f t="shared" si="50"/>
        <v>0</v>
      </c>
      <c r="AD163" s="11">
        <f t="shared" si="50"/>
        <v>0</v>
      </c>
      <c r="AE163" s="11">
        <f t="shared" si="50"/>
        <v>0</v>
      </c>
      <c r="AF163" s="11">
        <f t="shared" si="50"/>
        <v>0</v>
      </c>
      <c r="AG163" s="17">
        <f t="shared" si="50"/>
        <v>0</v>
      </c>
      <c r="AH163" s="16">
        <f>SUM(D163:AG163)*A163</f>
        <v>0</v>
      </c>
      <c r="AI163" s="16">
        <f>SUM(D163:AG163)</f>
        <v>0</v>
      </c>
      <c r="AJ163" s="82"/>
    </row>
    <row r="164" spans="1:52" ht="13.7" customHeight="1" x14ac:dyDescent="0.25">
      <c r="A164" s="16">
        <v>500</v>
      </c>
      <c r="B164" s="11">
        <f t="shared" ref="B164:C171" si="51">T147</f>
        <v>0</v>
      </c>
      <c r="C164" s="11">
        <f t="shared" si="51"/>
        <v>0</v>
      </c>
      <c r="D164" s="10">
        <f t="shared" ref="D164:D171" si="52">B120+B134</f>
        <v>0</v>
      </c>
      <c r="E164" s="11">
        <f t="shared" si="50"/>
        <v>20</v>
      </c>
      <c r="F164" s="11">
        <f t="shared" si="50"/>
        <v>0</v>
      </c>
      <c r="G164" s="11">
        <f t="shared" si="50"/>
        <v>0</v>
      </c>
      <c r="H164" s="17">
        <f t="shared" si="50"/>
        <v>0</v>
      </c>
      <c r="I164" s="10">
        <f t="shared" si="50"/>
        <v>0</v>
      </c>
      <c r="J164" s="11">
        <f t="shared" si="50"/>
        <v>0</v>
      </c>
      <c r="K164" s="11">
        <f t="shared" si="50"/>
        <v>0</v>
      </c>
      <c r="L164" s="11">
        <f t="shared" si="50"/>
        <v>0</v>
      </c>
      <c r="M164" s="17">
        <f t="shared" si="50"/>
        <v>0</v>
      </c>
      <c r="N164" s="10">
        <f t="shared" si="50"/>
        <v>0</v>
      </c>
      <c r="O164" s="11">
        <f t="shared" si="50"/>
        <v>0</v>
      </c>
      <c r="P164" s="11">
        <f t="shared" si="50"/>
        <v>0</v>
      </c>
      <c r="Q164" s="11">
        <f t="shared" si="50"/>
        <v>0</v>
      </c>
      <c r="R164" s="17">
        <f t="shared" si="50"/>
        <v>0</v>
      </c>
      <c r="S164" s="10">
        <f t="shared" si="50"/>
        <v>0</v>
      </c>
      <c r="T164" s="11">
        <f t="shared" si="50"/>
        <v>0</v>
      </c>
      <c r="U164" s="11">
        <f t="shared" si="50"/>
        <v>0</v>
      </c>
      <c r="V164" s="11">
        <f t="shared" si="50"/>
        <v>0</v>
      </c>
      <c r="W164" s="17">
        <f t="shared" si="50"/>
        <v>0</v>
      </c>
      <c r="X164" s="10">
        <f t="shared" si="50"/>
        <v>0</v>
      </c>
      <c r="Y164" s="11">
        <f t="shared" si="50"/>
        <v>0</v>
      </c>
      <c r="Z164" s="11">
        <f t="shared" si="50"/>
        <v>0</v>
      </c>
      <c r="AA164" s="11">
        <f t="shared" si="50"/>
        <v>0</v>
      </c>
      <c r="AB164" s="17">
        <f t="shared" si="50"/>
        <v>0</v>
      </c>
      <c r="AC164" s="10">
        <f t="shared" si="50"/>
        <v>0</v>
      </c>
      <c r="AD164" s="11">
        <f t="shared" si="50"/>
        <v>0</v>
      </c>
      <c r="AE164" s="11">
        <f t="shared" si="50"/>
        <v>0</v>
      </c>
      <c r="AF164" s="11">
        <f t="shared" si="50"/>
        <v>0</v>
      </c>
      <c r="AG164" s="17">
        <f t="shared" si="50"/>
        <v>0</v>
      </c>
      <c r="AH164" s="16">
        <f>SUM(D164:AG164)*A164</f>
        <v>10000</v>
      </c>
      <c r="AI164" s="16">
        <f t="shared" ref="AI164:AI172" si="53">SUM(D164:AG164)</f>
        <v>20</v>
      </c>
    </row>
    <row r="165" spans="1:52" ht="13.7" customHeight="1" x14ac:dyDescent="0.25">
      <c r="A165" s="15">
        <v>750</v>
      </c>
      <c r="B165" s="11">
        <f t="shared" si="51"/>
        <v>0</v>
      </c>
      <c r="C165" s="11">
        <f t="shared" si="51"/>
        <v>0</v>
      </c>
      <c r="D165" s="8">
        <f t="shared" si="52"/>
        <v>0</v>
      </c>
      <c r="E165" s="6">
        <f t="shared" si="50"/>
        <v>10</v>
      </c>
      <c r="F165" s="6">
        <f t="shared" si="50"/>
        <v>0</v>
      </c>
      <c r="G165" s="6">
        <f t="shared" si="50"/>
        <v>0</v>
      </c>
      <c r="H165" s="13">
        <f t="shared" si="50"/>
        <v>0</v>
      </c>
      <c r="I165" s="8">
        <f t="shared" si="50"/>
        <v>0</v>
      </c>
      <c r="J165" s="6">
        <f t="shared" si="50"/>
        <v>0</v>
      </c>
      <c r="K165" s="6">
        <f t="shared" si="50"/>
        <v>0</v>
      </c>
      <c r="L165" s="6">
        <f t="shared" si="50"/>
        <v>0</v>
      </c>
      <c r="M165" s="13">
        <f t="shared" si="50"/>
        <v>0</v>
      </c>
      <c r="N165" s="8">
        <f t="shared" si="50"/>
        <v>0</v>
      </c>
      <c r="O165" s="6">
        <f t="shared" si="50"/>
        <v>0</v>
      </c>
      <c r="P165" s="6">
        <f t="shared" si="50"/>
        <v>0</v>
      </c>
      <c r="Q165" s="6">
        <f t="shared" si="50"/>
        <v>0</v>
      </c>
      <c r="R165" s="13">
        <f t="shared" si="50"/>
        <v>0</v>
      </c>
      <c r="S165" s="8">
        <f t="shared" si="50"/>
        <v>0</v>
      </c>
      <c r="T165" s="6">
        <f t="shared" si="50"/>
        <v>0</v>
      </c>
      <c r="U165" s="6">
        <f t="shared" si="50"/>
        <v>0</v>
      </c>
      <c r="V165" s="6">
        <f t="shared" si="50"/>
        <v>0</v>
      </c>
      <c r="W165" s="13">
        <f t="shared" si="50"/>
        <v>0</v>
      </c>
      <c r="X165" s="8">
        <f t="shared" si="50"/>
        <v>0</v>
      </c>
      <c r="Y165" s="6">
        <f t="shared" si="50"/>
        <v>0</v>
      </c>
      <c r="Z165" s="6">
        <f t="shared" si="50"/>
        <v>0</v>
      </c>
      <c r="AA165" s="6">
        <f t="shared" si="50"/>
        <v>0</v>
      </c>
      <c r="AB165" s="13">
        <f t="shared" si="50"/>
        <v>0</v>
      </c>
      <c r="AC165" s="8">
        <f t="shared" si="50"/>
        <v>0</v>
      </c>
      <c r="AD165" s="6">
        <f t="shared" si="50"/>
        <v>0</v>
      </c>
      <c r="AE165" s="6">
        <f t="shared" si="50"/>
        <v>0</v>
      </c>
      <c r="AF165" s="6">
        <f t="shared" si="50"/>
        <v>0</v>
      </c>
      <c r="AG165" s="13">
        <f t="shared" si="50"/>
        <v>0</v>
      </c>
      <c r="AH165" s="16">
        <f>SUM(D165:AG165)*A165</f>
        <v>7500</v>
      </c>
      <c r="AI165" s="16">
        <f t="shared" si="53"/>
        <v>10</v>
      </c>
    </row>
    <row r="166" spans="1:52" ht="13.7" customHeight="1" x14ac:dyDescent="0.25">
      <c r="A166" s="15">
        <v>1000</v>
      </c>
      <c r="B166" s="11">
        <f t="shared" si="51"/>
        <v>0</v>
      </c>
      <c r="C166" s="11">
        <f t="shared" si="51"/>
        <v>0</v>
      </c>
      <c r="D166" s="8">
        <f t="shared" si="52"/>
        <v>0</v>
      </c>
      <c r="E166" s="6">
        <f t="shared" si="50"/>
        <v>10</v>
      </c>
      <c r="F166" s="6">
        <f t="shared" si="50"/>
        <v>0</v>
      </c>
      <c r="G166" s="6">
        <f t="shared" si="50"/>
        <v>0</v>
      </c>
      <c r="H166" s="13">
        <f t="shared" si="50"/>
        <v>0</v>
      </c>
      <c r="I166" s="8">
        <f t="shared" si="50"/>
        <v>0</v>
      </c>
      <c r="J166" s="6">
        <f t="shared" si="50"/>
        <v>0</v>
      </c>
      <c r="K166" s="6">
        <f t="shared" si="50"/>
        <v>0</v>
      </c>
      <c r="L166" s="6">
        <f t="shared" si="50"/>
        <v>0</v>
      </c>
      <c r="M166" s="13">
        <f t="shared" si="50"/>
        <v>0</v>
      </c>
      <c r="N166" s="8">
        <f t="shared" si="50"/>
        <v>0</v>
      </c>
      <c r="O166" s="6">
        <f t="shared" si="50"/>
        <v>0</v>
      </c>
      <c r="P166" s="6">
        <f t="shared" si="50"/>
        <v>0</v>
      </c>
      <c r="Q166" s="6">
        <f t="shared" si="50"/>
        <v>0</v>
      </c>
      <c r="R166" s="13">
        <f t="shared" si="50"/>
        <v>0</v>
      </c>
      <c r="S166" s="8">
        <f t="shared" si="50"/>
        <v>0</v>
      </c>
      <c r="T166" s="6">
        <f t="shared" si="50"/>
        <v>0</v>
      </c>
      <c r="U166" s="6">
        <f t="shared" si="50"/>
        <v>0</v>
      </c>
      <c r="V166" s="6">
        <f t="shared" si="50"/>
        <v>0</v>
      </c>
      <c r="W166" s="13">
        <f t="shared" si="50"/>
        <v>0</v>
      </c>
      <c r="X166" s="8">
        <f t="shared" si="50"/>
        <v>0</v>
      </c>
      <c r="Y166" s="6">
        <f t="shared" si="50"/>
        <v>0</v>
      </c>
      <c r="Z166" s="6">
        <f t="shared" si="50"/>
        <v>0</v>
      </c>
      <c r="AA166" s="6">
        <f t="shared" si="50"/>
        <v>0</v>
      </c>
      <c r="AB166" s="13">
        <f t="shared" si="50"/>
        <v>0</v>
      </c>
      <c r="AC166" s="8">
        <f t="shared" si="50"/>
        <v>0</v>
      </c>
      <c r="AD166" s="6">
        <f t="shared" si="50"/>
        <v>0</v>
      </c>
      <c r="AE166" s="6">
        <f t="shared" si="50"/>
        <v>0</v>
      </c>
      <c r="AF166" s="6">
        <f t="shared" si="50"/>
        <v>0</v>
      </c>
      <c r="AG166" s="13">
        <f t="shared" si="50"/>
        <v>0</v>
      </c>
      <c r="AH166" s="16">
        <f>SUM(D166:AG166)*A166</f>
        <v>10000</v>
      </c>
      <c r="AI166" s="16">
        <f t="shared" si="53"/>
        <v>10</v>
      </c>
    </row>
    <row r="167" spans="1:52" ht="13.7" customHeight="1" x14ac:dyDescent="0.25">
      <c r="A167" s="15">
        <v>1500</v>
      </c>
      <c r="B167" s="11">
        <f t="shared" si="51"/>
        <v>0</v>
      </c>
      <c r="C167" s="11">
        <f t="shared" si="51"/>
        <v>0</v>
      </c>
      <c r="D167" s="8">
        <f t="shared" si="52"/>
        <v>0</v>
      </c>
      <c r="E167" s="6">
        <f t="shared" si="50"/>
        <v>8</v>
      </c>
      <c r="F167" s="6">
        <f t="shared" si="50"/>
        <v>0</v>
      </c>
      <c r="G167" s="6">
        <f t="shared" si="50"/>
        <v>0</v>
      </c>
      <c r="H167" s="13">
        <f t="shared" si="50"/>
        <v>0</v>
      </c>
      <c r="I167" s="8">
        <f t="shared" si="50"/>
        <v>0</v>
      </c>
      <c r="J167" s="6">
        <f t="shared" si="50"/>
        <v>0</v>
      </c>
      <c r="K167" s="6">
        <f t="shared" si="50"/>
        <v>0</v>
      </c>
      <c r="L167" s="6">
        <f t="shared" si="50"/>
        <v>0</v>
      </c>
      <c r="M167" s="13">
        <f t="shared" si="50"/>
        <v>0</v>
      </c>
      <c r="N167" s="8">
        <f t="shared" si="50"/>
        <v>0</v>
      </c>
      <c r="O167" s="6">
        <f t="shared" si="50"/>
        <v>0</v>
      </c>
      <c r="P167" s="6">
        <f t="shared" si="50"/>
        <v>0</v>
      </c>
      <c r="Q167" s="6">
        <f t="shared" si="50"/>
        <v>0</v>
      </c>
      <c r="R167" s="13">
        <f t="shared" si="50"/>
        <v>0</v>
      </c>
      <c r="S167" s="8">
        <f t="shared" si="50"/>
        <v>0</v>
      </c>
      <c r="T167" s="6">
        <f t="shared" si="50"/>
        <v>0</v>
      </c>
      <c r="U167" s="6">
        <f t="shared" si="50"/>
        <v>0</v>
      </c>
      <c r="V167" s="6">
        <f t="shared" si="50"/>
        <v>0</v>
      </c>
      <c r="W167" s="13">
        <f t="shared" si="50"/>
        <v>0</v>
      </c>
      <c r="X167" s="8">
        <f t="shared" si="50"/>
        <v>0</v>
      </c>
      <c r="Y167" s="6">
        <f t="shared" si="50"/>
        <v>0</v>
      </c>
      <c r="Z167" s="6">
        <f t="shared" si="50"/>
        <v>0</v>
      </c>
      <c r="AA167" s="6">
        <f t="shared" si="50"/>
        <v>0</v>
      </c>
      <c r="AB167" s="13">
        <f t="shared" si="50"/>
        <v>0</v>
      </c>
      <c r="AC167" s="8">
        <f t="shared" si="50"/>
        <v>0</v>
      </c>
      <c r="AD167" s="6">
        <f t="shared" si="50"/>
        <v>0</v>
      </c>
      <c r="AE167" s="6">
        <f t="shared" si="50"/>
        <v>0</v>
      </c>
      <c r="AF167" s="6">
        <f t="shared" si="50"/>
        <v>0</v>
      </c>
      <c r="AG167" s="13">
        <f t="shared" si="50"/>
        <v>0</v>
      </c>
      <c r="AH167" s="16">
        <f>SUM(D167:AG167)*A167</f>
        <v>12000</v>
      </c>
      <c r="AI167" s="16">
        <f t="shared" si="53"/>
        <v>8</v>
      </c>
    </row>
    <row r="168" spans="1:52" ht="13.7" customHeight="1" x14ac:dyDescent="0.25">
      <c r="A168" s="15">
        <v>2000</v>
      </c>
      <c r="B168" s="11">
        <f t="shared" si="51"/>
        <v>0</v>
      </c>
      <c r="C168" s="11">
        <f t="shared" si="51"/>
        <v>0</v>
      </c>
      <c r="D168" s="8">
        <f t="shared" si="52"/>
        <v>0</v>
      </c>
      <c r="E168" s="6">
        <f t="shared" si="50"/>
        <v>0</v>
      </c>
      <c r="F168" s="6">
        <f t="shared" si="50"/>
        <v>0</v>
      </c>
      <c r="G168" s="6">
        <f t="shared" si="50"/>
        <v>0</v>
      </c>
      <c r="H168" s="13">
        <f t="shared" si="50"/>
        <v>0</v>
      </c>
      <c r="I168" s="8">
        <f t="shared" si="50"/>
        <v>0</v>
      </c>
      <c r="J168" s="6">
        <f t="shared" si="50"/>
        <v>0</v>
      </c>
      <c r="K168" s="6">
        <f t="shared" si="50"/>
        <v>0</v>
      </c>
      <c r="L168" s="6">
        <f t="shared" si="50"/>
        <v>0</v>
      </c>
      <c r="M168" s="13">
        <f t="shared" si="50"/>
        <v>0</v>
      </c>
      <c r="N168" s="8">
        <f t="shared" si="50"/>
        <v>0</v>
      </c>
      <c r="O168" s="6">
        <f t="shared" si="50"/>
        <v>0</v>
      </c>
      <c r="P168" s="6">
        <f t="shared" si="50"/>
        <v>0</v>
      </c>
      <c r="Q168" s="6">
        <f t="shared" si="50"/>
        <v>0</v>
      </c>
      <c r="R168" s="13">
        <f t="shared" si="50"/>
        <v>0</v>
      </c>
      <c r="S168" s="8">
        <f t="shared" si="50"/>
        <v>0</v>
      </c>
      <c r="T168" s="6">
        <f t="shared" si="50"/>
        <v>0</v>
      </c>
      <c r="U168" s="6">
        <f t="shared" si="50"/>
        <v>0</v>
      </c>
      <c r="V168" s="6">
        <f t="shared" si="50"/>
        <v>0</v>
      </c>
      <c r="W168" s="13">
        <f t="shared" si="50"/>
        <v>0</v>
      </c>
      <c r="X168" s="8">
        <f t="shared" si="50"/>
        <v>0</v>
      </c>
      <c r="Y168" s="6">
        <f t="shared" si="50"/>
        <v>0</v>
      </c>
      <c r="Z168" s="6">
        <f t="shared" si="50"/>
        <v>0</v>
      </c>
      <c r="AA168" s="6">
        <f t="shared" si="50"/>
        <v>0</v>
      </c>
      <c r="AB168" s="13">
        <f t="shared" si="50"/>
        <v>0</v>
      </c>
      <c r="AC168" s="8">
        <f t="shared" si="50"/>
        <v>0</v>
      </c>
      <c r="AD168" s="6">
        <f t="shared" si="50"/>
        <v>0</v>
      </c>
      <c r="AE168" s="6">
        <f t="shared" si="50"/>
        <v>0</v>
      </c>
      <c r="AF168" s="6">
        <f t="shared" si="50"/>
        <v>0</v>
      </c>
      <c r="AG168" s="13">
        <f t="shared" si="50"/>
        <v>0</v>
      </c>
      <c r="AH168" s="16">
        <f>SUM(D168:AG168)*A168</f>
        <v>0</v>
      </c>
      <c r="AI168" s="16">
        <f t="shared" si="53"/>
        <v>0</v>
      </c>
    </row>
    <row r="169" spans="1:52" ht="13.7" customHeight="1" x14ac:dyDescent="0.25">
      <c r="A169" s="15">
        <v>3000</v>
      </c>
      <c r="B169" s="11">
        <f t="shared" si="51"/>
        <v>0</v>
      </c>
      <c r="C169" s="11">
        <f t="shared" si="51"/>
        <v>0</v>
      </c>
      <c r="D169" s="8">
        <f t="shared" si="52"/>
        <v>0</v>
      </c>
      <c r="E169" s="6">
        <f t="shared" si="50"/>
        <v>0</v>
      </c>
      <c r="F169" s="6">
        <f t="shared" si="50"/>
        <v>0</v>
      </c>
      <c r="G169" s="6">
        <f t="shared" si="50"/>
        <v>0</v>
      </c>
      <c r="H169" s="13">
        <f t="shared" si="50"/>
        <v>0</v>
      </c>
      <c r="I169" s="8">
        <f t="shared" si="50"/>
        <v>0</v>
      </c>
      <c r="J169" s="6">
        <f t="shared" si="50"/>
        <v>0</v>
      </c>
      <c r="K169" s="6">
        <f t="shared" si="50"/>
        <v>0</v>
      </c>
      <c r="L169" s="6">
        <f t="shared" si="50"/>
        <v>0</v>
      </c>
      <c r="M169" s="13">
        <f t="shared" si="50"/>
        <v>0</v>
      </c>
      <c r="N169" s="8">
        <f t="shared" si="50"/>
        <v>0</v>
      </c>
      <c r="O169" s="6">
        <f t="shared" si="50"/>
        <v>0</v>
      </c>
      <c r="P169" s="6">
        <f t="shared" si="50"/>
        <v>0</v>
      </c>
      <c r="Q169" s="6">
        <f t="shared" si="50"/>
        <v>0</v>
      </c>
      <c r="R169" s="13">
        <f t="shared" si="50"/>
        <v>0</v>
      </c>
      <c r="S169" s="8">
        <f t="shared" si="50"/>
        <v>0</v>
      </c>
      <c r="T169" s="6">
        <f t="shared" si="50"/>
        <v>0</v>
      </c>
      <c r="U169" s="6">
        <f t="shared" si="50"/>
        <v>0</v>
      </c>
      <c r="V169" s="6">
        <f t="shared" si="50"/>
        <v>0</v>
      </c>
      <c r="W169" s="13">
        <f t="shared" si="50"/>
        <v>0</v>
      </c>
      <c r="X169" s="8">
        <f t="shared" si="50"/>
        <v>0</v>
      </c>
      <c r="Y169" s="6">
        <f t="shared" si="50"/>
        <v>0</v>
      </c>
      <c r="Z169" s="6">
        <f t="shared" si="50"/>
        <v>0</v>
      </c>
      <c r="AA169" s="6">
        <f t="shared" si="50"/>
        <v>0</v>
      </c>
      <c r="AB169" s="13">
        <f t="shared" si="50"/>
        <v>0</v>
      </c>
      <c r="AC169" s="8">
        <f t="shared" si="50"/>
        <v>0</v>
      </c>
      <c r="AD169" s="6">
        <f t="shared" si="50"/>
        <v>0</v>
      </c>
      <c r="AE169" s="6">
        <f t="shared" si="50"/>
        <v>0</v>
      </c>
      <c r="AF169" s="6">
        <f t="shared" si="50"/>
        <v>0</v>
      </c>
      <c r="AG169" s="13">
        <f t="shared" si="50"/>
        <v>0</v>
      </c>
      <c r="AH169" s="16">
        <f>SUM(D169:AG169)*A169</f>
        <v>0</v>
      </c>
      <c r="AI169" s="16">
        <f t="shared" si="53"/>
        <v>0</v>
      </c>
    </row>
    <row r="170" spans="1:52" ht="13.7" customHeight="1" x14ac:dyDescent="0.25">
      <c r="A170" s="15">
        <v>5000</v>
      </c>
      <c r="B170" s="11">
        <f t="shared" si="51"/>
        <v>0</v>
      </c>
      <c r="C170" s="11">
        <f t="shared" si="51"/>
        <v>0</v>
      </c>
      <c r="D170" s="8">
        <f t="shared" si="52"/>
        <v>0</v>
      </c>
      <c r="E170" s="6">
        <f t="shared" si="50"/>
        <v>0</v>
      </c>
      <c r="F170" s="6">
        <f t="shared" si="50"/>
        <v>0</v>
      </c>
      <c r="G170" s="6">
        <f t="shared" si="50"/>
        <v>0</v>
      </c>
      <c r="H170" s="13">
        <f t="shared" si="50"/>
        <v>0</v>
      </c>
      <c r="I170" s="8">
        <f t="shared" si="50"/>
        <v>0</v>
      </c>
      <c r="J170" s="6">
        <f t="shared" si="50"/>
        <v>0</v>
      </c>
      <c r="K170" s="6">
        <f t="shared" si="50"/>
        <v>0</v>
      </c>
      <c r="L170" s="6">
        <f t="shared" si="50"/>
        <v>0</v>
      </c>
      <c r="M170" s="13">
        <f t="shared" si="50"/>
        <v>0</v>
      </c>
      <c r="N170" s="8">
        <f t="shared" si="50"/>
        <v>0</v>
      </c>
      <c r="O170" s="6">
        <f t="shared" si="50"/>
        <v>0</v>
      </c>
      <c r="P170" s="6">
        <f t="shared" si="50"/>
        <v>0</v>
      </c>
      <c r="Q170" s="6">
        <f t="shared" si="50"/>
        <v>0</v>
      </c>
      <c r="R170" s="13">
        <f t="shared" si="50"/>
        <v>0</v>
      </c>
      <c r="S170" s="8">
        <f t="shared" si="50"/>
        <v>0</v>
      </c>
      <c r="T170" s="6">
        <f t="shared" si="50"/>
        <v>0</v>
      </c>
      <c r="U170" s="6">
        <f t="shared" si="50"/>
        <v>0</v>
      </c>
      <c r="V170" s="6">
        <f t="shared" si="50"/>
        <v>0</v>
      </c>
      <c r="W170" s="13">
        <f t="shared" si="50"/>
        <v>0</v>
      </c>
      <c r="X170" s="8">
        <f t="shared" si="50"/>
        <v>0</v>
      </c>
      <c r="Y170" s="6">
        <f t="shared" si="50"/>
        <v>0</v>
      </c>
      <c r="Z170" s="6">
        <f t="shared" si="50"/>
        <v>0</v>
      </c>
      <c r="AA170" s="6">
        <f t="shared" si="50"/>
        <v>0</v>
      </c>
      <c r="AB170" s="13">
        <f t="shared" si="50"/>
        <v>0</v>
      </c>
      <c r="AC170" s="8">
        <f t="shared" si="50"/>
        <v>0</v>
      </c>
      <c r="AD170" s="6">
        <f t="shared" si="50"/>
        <v>0</v>
      </c>
      <c r="AE170" s="6">
        <f t="shared" si="50"/>
        <v>0</v>
      </c>
      <c r="AF170" s="6">
        <f t="shared" si="50"/>
        <v>0</v>
      </c>
      <c r="AG170" s="13">
        <f t="shared" si="50"/>
        <v>0</v>
      </c>
      <c r="AH170" s="16">
        <f>SUM(D170:AG170)*A170</f>
        <v>0</v>
      </c>
      <c r="AI170" s="16">
        <f t="shared" si="53"/>
        <v>0</v>
      </c>
    </row>
    <row r="171" spans="1:52" ht="15" customHeight="1" thickBot="1" x14ac:dyDescent="0.3">
      <c r="A171" s="59">
        <v>10000</v>
      </c>
      <c r="B171" s="11">
        <f t="shared" si="51"/>
        <v>0</v>
      </c>
      <c r="C171" s="11">
        <f t="shared" si="51"/>
        <v>0</v>
      </c>
      <c r="D171" s="31">
        <f t="shared" si="52"/>
        <v>0</v>
      </c>
      <c r="E171" s="32">
        <f t="shared" si="50"/>
        <v>0</v>
      </c>
      <c r="F171" s="32">
        <f t="shared" si="50"/>
        <v>0</v>
      </c>
      <c r="G171" s="32">
        <f t="shared" si="50"/>
        <v>0</v>
      </c>
      <c r="H171" s="33">
        <f t="shared" si="50"/>
        <v>0</v>
      </c>
      <c r="I171" s="31">
        <f t="shared" si="50"/>
        <v>0</v>
      </c>
      <c r="J171" s="32">
        <f t="shared" si="50"/>
        <v>0</v>
      </c>
      <c r="K171" s="32">
        <f t="shared" si="50"/>
        <v>0</v>
      </c>
      <c r="L171" s="32">
        <f t="shared" si="50"/>
        <v>0</v>
      </c>
      <c r="M171" s="33">
        <f t="shared" si="50"/>
        <v>0</v>
      </c>
      <c r="N171" s="31">
        <f t="shared" si="50"/>
        <v>0</v>
      </c>
      <c r="O171" s="32">
        <f t="shared" si="50"/>
        <v>0</v>
      </c>
      <c r="P171" s="32">
        <f t="shared" si="50"/>
        <v>0</v>
      </c>
      <c r="Q171" s="32">
        <f t="shared" si="50"/>
        <v>0</v>
      </c>
      <c r="R171" s="33">
        <f t="shared" si="50"/>
        <v>0</v>
      </c>
      <c r="S171" s="31">
        <f t="shared" si="50"/>
        <v>0</v>
      </c>
      <c r="T171" s="32">
        <f t="shared" si="50"/>
        <v>0</v>
      </c>
      <c r="U171" s="32">
        <f t="shared" si="50"/>
        <v>0</v>
      </c>
      <c r="V171" s="32">
        <f t="shared" si="50"/>
        <v>0</v>
      </c>
      <c r="W171" s="33">
        <f t="shared" si="50"/>
        <v>0</v>
      </c>
      <c r="X171" s="31">
        <f t="shared" si="50"/>
        <v>0</v>
      </c>
      <c r="Y171" s="32">
        <f t="shared" si="50"/>
        <v>0</v>
      </c>
      <c r="Z171" s="32">
        <f t="shared" si="50"/>
        <v>0</v>
      </c>
      <c r="AA171" s="32">
        <f t="shared" si="50"/>
        <v>0</v>
      </c>
      <c r="AB171" s="33">
        <f t="shared" ref="AB171:AG171" si="54">Z127+Z141</f>
        <v>0</v>
      </c>
      <c r="AC171" s="31">
        <f t="shared" si="54"/>
        <v>0</v>
      </c>
      <c r="AD171" s="32">
        <f t="shared" si="54"/>
        <v>0</v>
      </c>
      <c r="AE171" s="32">
        <f t="shared" si="54"/>
        <v>0</v>
      </c>
      <c r="AF171" s="32">
        <f t="shared" si="54"/>
        <v>0</v>
      </c>
      <c r="AG171" s="33">
        <f t="shared" si="54"/>
        <v>0</v>
      </c>
      <c r="AH171" s="16">
        <f>SUM(D171:AG171)*A171</f>
        <v>0</v>
      </c>
      <c r="AI171" s="43">
        <f t="shared" si="53"/>
        <v>0</v>
      </c>
    </row>
    <row r="172" spans="1:52" ht="15" customHeight="1" thickBot="1" x14ac:dyDescent="0.3">
      <c r="A172" s="35"/>
      <c r="B172" s="61">
        <f>SUM(B163:B171)</f>
        <v>0</v>
      </c>
      <c r="C172" s="61">
        <f t="shared" ref="C172" si="55">SUM(C163:C171)</f>
        <v>0</v>
      </c>
      <c r="D172" s="60">
        <f t="shared" ref="D172:AI172" si="56">SUM(D163:D171)</f>
        <v>0</v>
      </c>
      <c r="E172" s="61">
        <f t="shared" si="56"/>
        <v>48</v>
      </c>
      <c r="F172" s="61">
        <f t="shared" si="56"/>
        <v>0</v>
      </c>
      <c r="G172" s="61">
        <f t="shared" si="56"/>
        <v>0</v>
      </c>
      <c r="H172" s="62">
        <f t="shared" si="56"/>
        <v>0</v>
      </c>
      <c r="I172" s="60">
        <f t="shared" si="56"/>
        <v>0</v>
      </c>
      <c r="J172" s="61">
        <f t="shared" si="56"/>
        <v>0</v>
      </c>
      <c r="K172" s="61">
        <f t="shared" si="56"/>
        <v>0</v>
      </c>
      <c r="L172" s="61">
        <f t="shared" si="56"/>
        <v>0</v>
      </c>
      <c r="M172" s="62">
        <f t="shared" si="56"/>
        <v>0</v>
      </c>
      <c r="N172" s="60">
        <f t="shared" si="56"/>
        <v>0</v>
      </c>
      <c r="O172" s="61">
        <f t="shared" si="56"/>
        <v>0</v>
      </c>
      <c r="P172" s="61">
        <f t="shared" si="56"/>
        <v>0</v>
      </c>
      <c r="Q172" s="61">
        <f t="shared" si="56"/>
        <v>0</v>
      </c>
      <c r="R172" s="62">
        <f t="shared" si="56"/>
        <v>0</v>
      </c>
      <c r="S172" s="60">
        <f t="shared" si="56"/>
        <v>0</v>
      </c>
      <c r="T172" s="61">
        <f t="shared" si="56"/>
        <v>0</v>
      </c>
      <c r="U172" s="61">
        <f t="shared" si="56"/>
        <v>0</v>
      </c>
      <c r="V172" s="61">
        <f t="shared" si="56"/>
        <v>0</v>
      </c>
      <c r="W172" s="62">
        <f t="shared" si="56"/>
        <v>0</v>
      </c>
      <c r="X172" s="60">
        <f t="shared" si="56"/>
        <v>0</v>
      </c>
      <c r="Y172" s="61">
        <f t="shared" si="56"/>
        <v>0</v>
      </c>
      <c r="Z172" s="61">
        <f t="shared" si="56"/>
        <v>0</v>
      </c>
      <c r="AA172" s="61">
        <f t="shared" si="56"/>
        <v>0</v>
      </c>
      <c r="AB172" s="62">
        <f t="shared" si="56"/>
        <v>0</v>
      </c>
      <c r="AC172" s="60">
        <f t="shared" si="56"/>
        <v>0</v>
      </c>
      <c r="AD172" s="61">
        <f t="shared" si="56"/>
        <v>0</v>
      </c>
      <c r="AE172" s="61">
        <f t="shared" si="56"/>
        <v>0</v>
      </c>
      <c r="AF172" s="61">
        <f t="shared" si="56"/>
        <v>0</v>
      </c>
      <c r="AG172" s="62">
        <f t="shared" si="56"/>
        <v>0</v>
      </c>
      <c r="AH172" s="35">
        <f>SUM(AH163:AH171)</f>
        <v>39500</v>
      </c>
      <c r="AI172" s="35">
        <f t="shared" si="53"/>
        <v>48</v>
      </c>
    </row>
    <row r="173" spans="1:52" ht="15.75" customHeight="1" x14ac:dyDescent="0.25"/>
    <row r="174" spans="1:52" ht="15.75" customHeight="1" x14ac:dyDescent="0.25"/>
    <row r="175" spans="1:52" ht="15" customHeight="1" x14ac:dyDescent="0.25">
      <c r="AX175" s="44"/>
      <c r="AY175" s="44"/>
      <c r="AZ175" s="44"/>
    </row>
    <row r="176" spans="1:52" ht="15" customHeight="1" x14ac:dyDescent="0.25">
      <c r="AX176" s="44"/>
      <c r="AY176" s="44"/>
      <c r="AZ176" s="44"/>
    </row>
    <row r="177" spans="50:54" ht="15" customHeight="1" x14ac:dyDescent="0.25">
      <c r="AX177" s="44"/>
      <c r="AY177" s="44"/>
      <c r="AZ177" s="44"/>
    </row>
    <row r="178" spans="50:54" ht="15" customHeight="1" x14ac:dyDescent="0.25">
      <c r="AX178" s="44"/>
      <c r="AY178" s="44"/>
      <c r="AZ178" s="44"/>
    </row>
    <row r="179" spans="50:54" ht="15" customHeight="1" x14ac:dyDescent="0.25">
      <c r="AX179" s="44"/>
      <c r="AY179" s="44"/>
      <c r="AZ179" s="44"/>
    </row>
    <row r="180" spans="50:54" ht="15" customHeight="1" x14ac:dyDescent="0.25">
      <c r="AX180" s="44"/>
      <c r="AY180" s="44"/>
      <c r="AZ180" s="44"/>
    </row>
    <row r="181" spans="50:54" ht="15" customHeight="1" x14ac:dyDescent="0.25">
      <c r="AX181" s="44"/>
    </row>
    <row r="182" spans="50:54" ht="15" customHeight="1" x14ac:dyDescent="0.25">
      <c r="AX182" s="44"/>
    </row>
    <row r="183" spans="50:54" ht="15" customHeight="1" x14ac:dyDescent="0.25">
      <c r="AX183" s="44"/>
    </row>
    <row r="184" spans="50:54" ht="15.75" customHeight="1" x14ac:dyDescent="0.25"/>
    <row r="186" spans="50:54" x14ac:dyDescent="0.25">
      <c r="BB186" s="44"/>
    </row>
    <row r="187" spans="50:54" ht="15" customHeight="1" x14ac:dyDescent="0.25"/>
    <row r="188" spans="50:54" ht="15" customHeight="1" x14ac:dyDescent="0.25"/>
    <row r="189" spans="50:54" ht="15" customHeight="1" x14ac:dyDescent="0.25"/>
  </sheetData>
  <mergeCells count="134">
    <mergeCell ref="AN158:AO158"/>
    <mergeCell ref="AP158:AR158"/>
    <mergeCell ref="AS158:AT158"/>
    <mergeCell ref="AU158:AW158"/>
    <mergeCell ref="A161:A162"/>
    <mergeCell ref="B161:C161"/>
    <mergeCell ref="D161:H161"/>
    <mergeCell ref="I161:M161"/>
    <mergeCell ref="N161:R161"/>
    <mergeCell ref="S161:W161"/>
    <mergeCell ref="X161:AB161"/>
    <mergeCell ref="AC161:AG161"/>
    <mergeCell ref="AH161:AH162"/>
    <mergeCell ref="AI161:AI162"/>
    <mergeCell ref="AO151:AP151"/>
    <mergeCell ref="AQ151:AR151"/>
    <mergeCell ref="AU151:AV151"/>
    <mergeCell ref="AW151:AX151"/>
    <mergeCell ref="BA151:BB151"/>
    <mergeCell ref="BC151:BD151"/>
    <mergeCell ref="BG151:BH151"/>
    <mergeCell ref="BI151:BJ151"/>
    <mergeCell ref="AI152:AJ152"/>
    <mergeCell ref="AK152:AL152"/>
    <mergeCell ref="AO152:AP152"/>
    <mergeCell ref="AQ152:AR152"/>
    <mergeCell ref="AU152:AV152"/>
    <mergeCell ref="AW152:AX152"/>
    <mergeCell ref="BA152:BB152"/>
    <mergeCell ref="BC152:BD152"/>
    <mergeCell ref="BG152:BH152"/>
    <mergeCell ref="BI152:BJ152"/>
    <mergeCell ref="AN139:AR139"/>
    <mergeCell ref="AT139:AX139"/>
    <mergeCell ref="AZ139:BD139"/>
    <mergeCell ref="BF139:BJ139"/>
    <mergeCell ref="A144:B144"/>
    <mergeCell ref="G144:H144"/>
    <mergeCell ref="J144:K147"/>
    <mergeCell ref="M144:N147"/>
    <mergeCell ref="P144:Q147"/>
    <mergeCell ref="S144:S145"/>
    <mergeCell ref="V144:V145"/>
    <mergeCell ref="W144:W145"/>
    <mergeCell ref="AA147:AC147"/>
    <mergeCell ref="AD147:AF147"/>
    <mergeCell ref="AN137:AO137"/>
    <mergeCell ref="AP137:AR137"/>
    <mergeCell ref="AT137:AU137"/>
    <mergeCell ref="AV137:AX137"/>
    <mergeCell ref="AZ137:BA137"/>
    <mergeCell ref="BB137:BD137"/>
    <mergeCell ref="BF137:BG137"/>
    <mergeCell ref="BH137:BJ137"/>
    <mergeCell ref="AH138:AL138"/>
    <mergeCell ref="AN138:AR138"/>
    <mergeCell ref="AT138:AX138"/>
    <mergeCell ref="AZ138:BD138"/>
    <mergeCell ref="BF138:BJ138"/>
    <mergeCell ref="AK131:AL131"/>
    <mergeCell ref="AO131:AP131"/>
    <mergeCell ref="AQ131:AR131"/>
    <mergeCell ref="AU131:AV131"/>
    <mergeCell ref="AW131:AX131"/>
    <mergeCell ref="BA131:BB131"/>
    <mergeCell ref="BC131:BD131"/>
    <mergeCell ref="BG131:BH131"/>
    <mergeCell ref="BI131:BJ131"/>
    <mergeCell ref="AK130:AL130"/>
    <mergeCell ref="AO130:AP130"/>
    <mergeCell ref="AQ130:AR130"/>
    <mergeCell ref="AU130:AV130"/>
    <mergeCell ref="AW130:AX130"/>
    <mergeCell ref="BA130:BB130"/>
    <mergeCell ref="BC130:BD130"/>
    <mergeCell ref="BG130:BH130"/>
    <mergeCell ref="BI130:BJ130"/>
    <mergeCell ref="AN117:AR117"/>
    <mergeCell ref="AT117:AX117"/>
    <mergeCell ref="AZ117:BD117"/>
    <mergeCell ref="BF117:BJ117"/>
    <mergeCell ref="AH118:AL118"/>
    <mergeCell ref="AN118:AR118"/>
    <mergeCell ref="AT118:AX118"/>
    <mergeCell ref="AZ118:BD118"/>
    <mergeCell ref="BF118:BJ118"/>
    <mergeCell ref="AJ116:AL116"/>
    <mergeCell ref="AN116:AO116"/>
    <mergeCell ref="AP116:AR116"/>
    <mergeCell ref="AT116:AU116"/>
    <mergeCell ref="AV116:AX116"/>
    <mergeCell ref="AZ116:BA116"/>
    <mergeCell ref="BB116:BD116"/>
    <mergeCell ref="BF116:BG116"/>
    <mergeCell ref="BH116:BJ116"/>
    <mergeCell ref="T144:U144"/>
    <mergeCell ref="A116:AG116"/>
    <mergeCell ref="AH116:AI116"/>
    <mergeCell ref="A117:A118"/>
    <mergeCell ref="B117:F117"/>
    <mergeCell ref="G117:K117"/>
    <mergeCell ref="L117:P117"/>
    <mergeCell ref="Q117:U117"/>
    <mergeCell ref="V117:Z117"/>
    <mergeCell ref="AA117:AE117"/>
    <mergeCell ref="AF117:AF118"/>
    <mergeCell ref="AG117:AG118"/>
    <mergeCell ref="AH117:AL117"/>
    <mergeCell ref="A130:AG130"/>
    <mergeCell ref="AI130:AJ130"/>
    <mergeCell ref="A114:C114"/>
    <mergeCell ref="D114:G114"/>
    <mergeCell ref="L131:P131"/>
    <mergeCell ref="Q131:U131"/>
    <mergeCell ref="V131:Z131"/>
    <mergeCell ref="AA131:AE131"/>
    <mergeCell ref="AF131:AF132"/>
    <mergeCell ref="AG131:AG132"/>
    <mergeCell ref="AA148:AC148"/>
    <mergeCell ref="AD148:AF148"/>
    <mergeCell ref="AA149:AC149"/>
    <mergeCell ref="AD149:AF149"/>
    <mergeCell ref="AI131:AJ131"/>
    <mergeCell ref="AH137:AI137"/>
    <mergeCell ref="AJ137:AL137"/>
    <mergeCell ref="AH139:AL139"/>
    <mergeCell ref="AI151:AJ151"/>
    <mergeCell ref="AK151:AL151"/>
    <mergeCell ref="AH158:AJ158"/>
    <mergeCell ref="AK158:AM158"/>
    <mergeCell ref="D144:E144"/>
    <mergeCell ref="B131:F131"/>
    <mergeCell ref="G131:K131"/>
    <mergeCell ref="A131:A132"/>
  </mergeCells>
  <pageMargins left="0" right="0" top="0" bottom="0" header="0.31496062992125984" footer="0.31496062992125984"/>
  <pageSetup paperSize="9" scale="85" orientation="landscape" verticalDpi="300" r:id="rId1"/>
  <headerFooter>
    <oddFooter>&amp;LPRINTED ON &amp;D AT &amp;T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Y189"/>
  <sheetViews>
    <sheetView showZeros="0" zoomScaleNormal="100" workbookViewId="0">
      <selection sqref="A1:XFD1048576"/>
    </sheetView>
  </sheetViews>
  <sheetFormatPr defaultColWidth="9.140625" defaultRowHeight="15" x14ac:dyDescent="0.25"/>
  <cols>
    <col min="1" max="1" width="6.28515625" style="28" customWidth="1"/>
    <col min="2" max="2" width="5.85546875" style="28" customWidth="1"/>
    <col min="3" max="3" width="4.42578125" style="28" customWidth="1"/>
    <col min="4" max="4" width="6.28515625" style="28" customWidth="1"/>
    <col min="5" max="5" width="5.85546875" style="28" customWidth="1"/>
    <col min="6" max="6" width="4.42578125" style="28" customWidth="1"/>
    <col min="7" max="7" width="6.28515625" style="28" customWidth="1"/>
    <col min="8" max="8" width="5.85546875" style="28" customWidth="1"/>
    <col min="9" max="9" width="4.42578125" style="28" customWidth="1"/>
    <col min="10" max="10" width="6.28515625" style="28" customWidth="1"/>
    <col min="11" max="12" width="4.42578125" style="28" customWidth="1"/>
    <col min="13" max="13" width="6.28515625" style="28" customWidth="1"/>
    <col min="14" max="15" width="4.42578125" style="28" customWidth="1"/>
    <col min="16" max="16" width="6.28515625" style="28" customWidth="1"/>
    <col min="17" max="18" width="4.42578125" style="28" customWidth="1"/>
    <col min="19" max="19" width="6.28515625" style="28" customWidth="1"/>
    <col min="20" max="21" width="4.7109375" style="28" customWidth="1"/>
    <col min="22" max="22" width="6.28515625" style="28" customWidth="1"/>
    <col min="23" max="23" width="5.42578125" style="28" customWidth="1"/>
    <col min="24" max="31" width="4.42578125" style="28" customWidth="1"/>
    <col min="32" max="33" width="6.28515625" style="28" customWidth="1"/>
    <col min="34" max="62" width="5.85546875" style="28" customWidth="1"/>
    <col min="63" max="63" width="5.140625" style="28" bestFit="1" customWidth="1"/>
    <col min="64" max="64" width="5.7109375" style="28" bestFit="1" customWidth="1"/>
    <col min="65" max="65" width="5" style="28" bestFit="1" customWidth="1"/>
    <col min="66" max="67" width="4.140625" style="28" bestFit="1" customWidth="1"/>
    <col min="68" max="68" width="4.28515625" style="28" bestFit="1" customWidth="1"/>
    <col min="69" max="69" width="5.140625" style="28" bestFit="1" customWidth="1"/>
    <col min="70" max="70" width="7.42578125" style="28" bestFit="1" customWidth="1"/>
    <col min="71" max="71" width="12.5703125" style="28" bestFit="1" customWidth="1"/>
    <col min="72" max="72" width="6.140625" style="28" bestFit="1" customWidth="1"/>
    <col min="73" max="16384" width="9.140625" style="28"/>
  </cols>
  <sheetData>
    <row r="1" spans="1:77" ht="16.5" customHeight="1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15</v>
      </c>
      <c r="J1" s="24" t="s">
        <v>133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133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133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12</v>
      </c>
      <c r="AB1" s="24" t="s">
        <v>133</v>
      </c>
      <c r="AC1" s="24" t="s">
        <v>8</v>
      </c>
      <c r="AD1" s="24" t="s">
        <v>9</v>
      </c>
      <c r="AE1" s="24" t="s">
        <v>10</v>
      </c>
      <c r="AF1" s="24" t="s">
        <v>11</v>
      </c>
      <c r="AG1" s="24" t="s">
        <v>12</v>
      </c>
      <c r="AH1" s="24" t="s">
        <v>133</v>
      </c>
      <c r="AI1" s="24" t="s">
        <v>8</v>
      </c>
      <c r="AJ1" s="24" t="s">
        <v>9</v>
      </c>
      <c r="AK1" s="24" t="s">
        <v>10</v>
      </c>
      <c r="AL1" s="24" t="s">
        <v>11</v>
      </c>
      <c r="AM1" s="24" t="s">
        <v>12</v>
      </c>
      <c r="AN1" s="24" t="s">
        <v>133</v>
      </c>
      <c r="AO1" s="24" t="s">
        <v>8</v>
      </c>
      <c r="AP1" s="24" t="s">
        <v>9</v>
      </c>
      <c r="AQ1" s="24" t="s">
        <v>10</v>
      </c>
      <c r="AR1" s="24" t="s">
        <v>11</v>
      </c>
      <c r="AS1" s="24" t="s">
        <v>12</v>
      </c>
      <c r="AT1" s="24" t="s">
        <v>133</v>
      </c>
      <c r="AU1" s="24" t="s">
        <v>8</v>
      </c>
      <c r="AV1" s="24" t="s">
        <v>9</v>
      </c>
      <c r="AW1" s="24" t="s">
        <v>10</v>
      </c>
      <c r="AX1" s="24" t="s">
        <v>11</v>
      </c>
      <c r="AY1" s="24" t="s">
        <v>12</v>
      </c>
      <c r="AZ1" s="24" t="s">
        <v>133</v>
      </c>
      <c r="BA1" s="24" t="s">
        <v>8</v>
      </c>
      <c r="BB1" s="24" t="s">
        <v>9</v>
      </c>
      <c r="BC1" s="24" t="s">
        <v>10</v>
      </c>
      <c r="BD1" s="24" t="s">
        <v>11</v>
      </c>
      <c r="BE1" s="24" t="s">
        <v>12</v>
      </c>
      <c r="BF1" s="24" t="s">
        <v>133</v>
      </c>
      <c r="BG1" s="24" t="s">
        <v>8</v>
      </c>
      <c r="BH1" s="24" t="s">
        <v>9</v>
      </c>
      <c r="BI1" s="24" t="s">
        <v>10</v>
      </c>
      <c r="BJ1" s="24" t="s">
        <v>11</v>
      </c>
      <c r="BK1" s="24" t="s">
        <v>12</v>
      </c>
      <c r="BL1" s="24" t="s">
        <v>133</v>
      </c>
      <c r="BM1" s="24" t="s">
        <v>8</v>
      </c>
      <c r="BN1" s="24" t="s">
        <v>9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36</v>
      </c>
      <c r="BU1" s="26"/>
      <c r="BV1" s="27"/>
      <c r="BW1" s="27"/>
      <c r="BX1" s="27"/>
      <c r="BY1" s="27"/>
    </row>
    <row r="2" spans="1:77" s="56" customFormat="1" ht="78" thickBot="1" x14ac:dyDescent="0.3">
      <c r="A2" s="188">
        <v>21420</v>
      </c>
      <c r="B2" s="189">
        <v>46031</v>
      </c>
      <c r="C2" s="41" t="s">
        <v>239</v>
      </c>
      <c r="D2" s="41" t="s">
        <v>90</v>
      </c>
      <c r="E2" s="41" t="s">
        <v>42</v>
      </c>
      <c r="F2" s="41" t="s">
        <v>121</v>
      </c>
      <c r="G2" s="41" t="s">
        <v>122</v>
      </c>
      <c r="H2" s="41" t="s">
        <v>123</v>
      </c>
      <c r="I2" s="41"/>
      <c r="J2" s="41" t="s">
        <v>134</v>
      </c>
      <c r="K2" s="188">
        <v>1500</v>
      </c>
      <c r="L2" s="188">
        <v>8</v>
      </c>
      <c r="M2" s="41" t="s">
        <v>17</v>
      </c>
      <c r="N2" s="41" t="s">
        <v>22</v>
      </c>
      <c r="O2" s="188">
        <v>3.5</v>
      </c>
      <c r="P2" s="41" t="s">
        <v>134</v>
      </c>
      <c r="Q2" s="188">
        <v>1000</v>
      </c>
      <c r="R2" s="188">
        <v>10</v>
      </c>
      <c r="S2" s="41" t="s">
        <v>17</v>
      </c>
      <c r="T2" s="41" t="s">
        <v>22</v>
      </c>
      <c r="U2" s="188">
        <v>3.5</v>
      </c>
      <c r="V2" s="41" t="s">
        <v>134</v>
      </c>
      <c r="W2" s="188">
        <v>750</v>
      </c>
      <c r="X2" s="188">
        <v>10</v>
      </c>
      <c r="Y2" s="41" t="s">
        <v>17</v>
      </c>
      <c r="Z2" s="41" t="s">
        <v>22</v>
      </c>
      <c r="AA2" s="188">
        <v>3.5</v>
      </c>
      <c r="AB2" s="41" t="s">
        <v>134</v>
      </c>
      <c r="AC2" s="188">
        <v>500</v>
      </c>
      <c r="AD2" s="188">
        <v>20</v>
      </c>
      <c r="AE2" s="41" t="s">
        <v>17</v>
      </c>
      <c r="AF2" s="41" t="s">
        <v>22</v>
      </c>
      <c r="AG2" s="188">
        <v>3.5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 t="s">
        <v>91</v>
      </c>
      <c r="BS2" s="41" t="s">
        <v>253</v>
      </c>
      <c r="BT2" s="108">
        <f t="shared" ref="BT2" si="0">K2*L2+Q2*R2+W2*X2+AC2*AD2+AI2*AJ2+AO2*AP2+AU2*AV2+BA2*BB2+BG2*BH2+BM2*BN2</f>
        <v>39500</v>
      </c>
    </row>
    <row r="3" spans="1:77" s="56" customFormat="1" ht="15.75" thickBot="1" x14ac:dyDescent="0.3">
      <c r="A3" s="80"/>
      <c r="B3" s="49"/>
      <c r="C3" s="20"/>
      <c r="D3" s="20"/>
      <c r="E3" s="20"/>
      <c r="F3" s="20"/>
      <c r="G3" s="20"/>
      <c r="H3" s="20"/>
      <c r="I3" s="20"/>
      <c r="J3" s="48"/>
      <c r="K3" s="48"/>
      <c r="L3" s="48"/>
      <c r="M3" s="20"/>
      <c r="N3" s="20"/>
      <c r="O3" s="48"/>
      <c r="P3" s="48"/>
      <c r="Q3" s="48"/>
      <c r="R3" s="48"/>
      <c r="S3" s="20"/>
      <c r="T3" s="20"/>
      <c r="U3" s="48"/>
      <c r="V3" s="48"/>
      <c r="W3" s="48"/>
      <c r="X3" s="48"/>
      <c r="Y3" s="48"/>
      <c r="Z3" s="20"/>
      <c r="AA3" s="48"/>
      <c r="AB3" s="48"/>
      <c r="AC3" s="48"/>
      <c r="AD3" s="48"/>
      <c r="AE3" s="20"/>
      <c r="AF3" s="20"/>
      <c r="AG3" s="48"/>
      <c r="AH3" s="48"/>
      <c r="AI3" s="48"/>
      <c r="AJ3" s="48"/>
      <c r="AK3" s="20"/>
      <c r="AL3" s="20"/>
      <c r="AM3" s="48"/>
      <c r="AN3" s="48"/>
      <c r="AO3" s="48"/>
      <c r="AP3" s="48"/>
      <c r="AQ3" s="20"/>
      <c r="AR3" s="20"/>
      <c r="AS3" s="48"/>
      <c r="AT3" s="48"/>
      <c r="AU3" s="48"/>
      <c r="AV3" s="48"/>
      <c r="AW3" s="20"/>
      <c r="AX3" s="20"/>
      <c r="AY3" s="48"/>
      <c r="AZ3" s="48"/>
      <c r="BA3" s="48"/>
      <c r="BB3" s="48"/>
      <c r="BC3" s="20"/>
      <c r="BD3" s="20"/>
      <c r="BE3" s="48"/>
      <c r="BF3" s="48"/>
      <c r="BG3" s="48"/>
      <c r="BH3" s="48"/>
      <c r="BI3" s="20"/>
      <c r="BJ3" s="20"/>
      <c r="BK3" s="48"/>
      <c r="BL3" s="48"/>
      <c r="BM3" s="48"/>
      <c r="BN3" s="48"/>
      <c r="BO3" s="20"/>
      <c r="BP3" s="20"/>
      <c r="BQ3" s="48"/>
      <c r="BR3" s="20"/>
      <c r="BS3" s="20"/>
      <c r="BT3" s="55"/>
      <c r="BU3" s="20"/>
      <c r="BV3" s="20"/>
      <c r="BW3" s="20"/>
      <c r="BX3" s="20"/>
      <c r="BY3" s="20"/>
    </row>
    <row r="4" spans="1:77" s="56" customFormat="1" ht="15.75" thickBot="1" x14ac:dyDescent="0.3">
      <c r="A4" s="80"/>
      <c r="B4" s="49"/>
      <c r="C4" s="20"/>
      <c r="D4" s="20"/>
      <c r="E4" s="20"/>
      <c r="F4" s="20"/>
      <c r="G4" s="20"/>
      <c r="H4" s="20"/>
      <c r="I4" s="20"/>
      <c r="J4" s="48"/>
      <c r="K4" s="48"/>
      <c r="L4" s="48"/>
      <c r="M4" s="20"/>
      <c r="N4" s="20"/>
      <c r="O4" s="48"/>
      <c r="P4" s="48"/>
      <c r="Q4" s="48"/>
      <c r="R4" s="48"/>
      <c r="S4" s="20"/>
      <c r="T4" s="20"/>
      <c r="U4" s="48"/>
      <c r="V4" s="48"/>
      <c r="W4" s="48"/>
      <c r="X4" s="48"/>
      <c r="Y4" s="48"/>
      <c r="Z4" s="20"/>
      <c r="AA4" s="48"/>
      <c r="AB4" s="48"/>
      <c r="AC4" s="48"/>
      <c r="AD4" s="48"/>
      <c r="AE4" s="20"/>
      <c r="AF4" s="20"/>
      <c r="AG4" s="48"/>
      <c r="AH4" s="48"/>
      <c r="AI4" s="48"/>
      <c r="AJ4" s="48"/>
      <c r="AK4" s="20"/>
      <c r="AL4" s="20"/>
      <c r="AM4" s="48"/>
      <c r="AN4" s="48"/>
      <c r="AO4" s="48"/>
      <c r="AP4" s="48"/>
      <c r="AQ4" s="20"/>
      <c r="AR4" s="20"/>
      <c r="AS4" s="48"/>
      <c r="AT4" s="48"/>
      <c r="AU4" s="48"/>
      <c r="AV4" s="48"/>
      <c r="AW4" s="20"/>
      <c r="AX4" s="20"/>
      <c r="AY4" s="48"/>
      <c r="AZ4" s="48"/>
      <c r="BA4" s="48"/>
      <c r="BB4" s="48"/>
      <c r="BC4" s="20"/>
      <c r="BD4" s="20"/>
      <c r="BE4" s="48"/>
      <c r="BF4" s="48"/>
      <c r="BG4" s="48"/>
      <c r="BH4" s="48"/>
      <c r="BI4" s="20"/>
      <c r="BJ4" s="20"/>
      <c r="BK4" s="48"/>
      <c r="BL4" s="48"/>
      <c r="BM4" s="48"/>
      <c r="BN4" s="48"/>
      <c r="BO4" s="20"/>
      <c r="BP4" s="20"/>
      <c r="BQ4" s="48"/>
      <c r="BR4" s="20"/>
      <c r="BS4" s="20"/>
      <c r="BT4" s="55"/>
      <c r="BU4" s="20"/>
      <c r="BV4" s="20"/>
      <c r="BW4" s="20"/>
      <c r="BX4" s="20"/>
      <c r="BY4" s="20"/>
    </row>
    <row r="5" spans="1:77" s="56" customFormat="1" ht="15.75" thickBot="1" x14ac:dyDescent="0.3">
      <c r="A5" s="80"/>
      <c r="B5" s="49"/>
      <c r="C5" s="20"/>
      <c r="D5" s="20"/>
      <c r="E5" s="20"/>
      <c r="F5" s="20"/>
      <c r="G5" s="20"/>
      <c r="H5" s="20"/>
      <c r="I5" s="20"/>
      <c r="J5" s="48"/>
      <c r="K5" s="48"/>
      <c r="L5" s="48"/>
      <c r="M5" s="20"/>
      <c r="N5" s="20"/>
      <c r="O5" s="48"/>
      <c r="P5" s="48"/>
      <c r="Q5" s="48"/>
      <c r="R5" s="48"/>
      <c r="S5" s="20"/>
      <c r="T5" s="20"/>
      <c r="U5" s="48"/>
      <c r="V5" s="48"/>
      <c r="W5" s="48"/>
      <c r="X5" s="48"/>
      <c r="Y5" s="48"/>
      <c r="Z5" s="20"/>
      <c r="AA5" s="48"/>
      <c r="AB5" s="48"/>
      <c r="AC5" s="48"/>
      <c r="AD5" s="48"/>
      <c r="AE5" s="20"/>
      <c r="AF5" s="20"/>
      <c r="AG5" s="48"/>
      <c r="AH5" s="48"/>
      <c r="AI5" s="48"/>
      <c r="AJ5" s="48"/>
      <c r="AK5" s="20"/>
      <c r="AL5" s="20"/>
      <c r="AM5" s="48"/>
      <c r="AN5" s="48"/>
      <c r="AO5" s="48"/>
      <c r="AP5" s="48"/>
      <c r="AQ5" s="20"/>
      <c r="AR5" s="20"/>
      <c r="AS5" s="48"/>
      <c r="AT5" s="48"/>
      <c r="AU5" s="48"/>
      <c r="AV5" s="48"/>
      <c r="AW5" s="20"/>
      <c r="AX5" s="20"/>
      <c r="AY5" s="48"/>
      <c r="AZ5" s="48"/>
      <c r="BA5" s="48"/>
      <c r="BB5" s="48"/>
      <c r="BC5" s="20"/>
      <c r="BD5" s="20"/>
      <c r="BE5" s="48"/>
      <c r="BF5" s="48"/>
      <c r="BG5" s="48"/>
      <c r="BH5" s="48"/>
      <c r="BI5" s="20"/>
      <c r="BJ5" s="20"/>
      <c r="BK5" s="48"/>
      <c r="BL5" s="48"/>
      <c r="BM5" s="48"/>
      <c r="BN5" s="48"/>
      <c r="BO5" s="20"/>
      <c r="BP5" s="20"/>
      <c r="BQ5" s="48"/>
      <c r="BR5" s="20"/>
      <c r="BS5" s="20"/>
      <c r="BT5" s="55"/>
      <c r="BU5" s="20"/>
      <c r="BV5" s="20"/>
      <c r="BW5" s="20"/>
      <c r="BX5" s="20"/>
      <c r="BY5" s="20"/>
    </row>
    <row r="6" spans="1:77" s="56" customFormat="1" ht="15.75" thickBot="1" x14ac:dyDescent="0.3">
      <c r="A6" s="80"/>
      <c r="B6" s="49"/>
      <c r="C6" s="20"/>
      <c r="D6" s="20"/>
      <c r="E6" s="20"/>
      <c r="F6" s="20"/>
      <c r="G6" s="20"/>
      <c r="H6" s="20"/>
      <c r="I6" s="20"/>
      <c r="J6" s="48"/>
      <c r="K6" s="48"/>
      <c r="L6" s="48"/>
      <c r="M6" s="20"/>
      <c r="N6" s="20"/>
      <c r="O6" s="48"/>
      <c r="P6" s="48"/>
      <c r="Q6" s="48"/>
      <c r="R6" s="48"/>
      <c r="S6" s="20"/>
      <c r="T6" s="20"/>
      <c r="U6" s="48"/>
      <c r="V6" s="48"/>
      <c r="W6" s="48"/>
      <c r="X6" s="48"/>
      <c r="Y6" s="48"/>
      <c r="Z6" s="20"/>
      <c r="AA6" s="48"/>
      <c r="AB6" s="48"/>
      <c r="AC6" s="48"/>
      <c r="AD6" s="48"/>
      <c r="AE6" s="20"/>
      <c r="AF6" s="20"/>
      <c r="AG6" s="48"/>
      <c r="AH6" s="48"/>
      <c r="AI6" s="48"/>
      <c r="AJ6" s="48"/>
      <c r="AK6" s="20"/>
      <c r="AL6" s="20"/>
      <c r="AM6" s="48"/>
      <c r="AN6" s="48"/>
      <c r="AO6" s="48"/>
      <c r="AP6" s="48"/>
      <c r="AQ6" s="20"/>
      <c r="AR6" s="20"/>
      <c r="AS6" s="48"/>
      <c r="AT6" s="48"/>
      <c r="AU6" s="48"/>
      <c r="AV6" s="48"/>
      <c r="AW6" s="20"/>
      <c r="AX6" s="20"/>
      <c r="AY6" s="48"/>
      <c r="AZ6" s="48"/>
      <c r="BA6" s="48"/>
      <c r="BB6" s="48"/>
      <c r="BC6" s="20"/>
      <c r="BD6" s="20"/>
      <c r="BE6" s="48"/>
      <c r="BF6" s="48"/>
      <c r="BG6" s="48"/>
      <c r="BH6" s="48"/>
      <c r="BI6" s="20"/>
      <c r="BJ6" s="20"/>
      <c r="BK6" s="48"/>
      <c r="BL6" s="48"/>
      <c r="BM6" s="48"/>
      <c r="BN6" s="48"/>
      <c r="BO6" s="20"/>
      <c r="BP6" s="20"/>
      <c r="BQ6" s="48"/>
      <c r="BR6" s="20"/>
      <c r="BS6" s="20"/>
      <c r="BT6" s="55"/>
      <c r="BU6" s="20"/>
      <c r="BV6" s="20"/>
      <c r="BW6" s="20"/>
      <c r="BX6" s="20"/>
      <c r="BY6" s="20"/>
    </row>
    <row r="7" spans="1:77" s="56" customFormat="1" ht="15.75" thickBot="1" x14ac:dyDescent="0.3">
      <c r="A7" s="80"/>
      <c r="B7" s="49"/>
      <c r="C7" s="20"/>
      <c r="D7" s="20"/>
      <c r="E7" s="20"/>
      <c r="F7" s="20"/>
      <c r="G7" s="20"/>
      <c r="H7" s="20"/>
      <c r="I7" s="20"/>
      <c r="J7" s="48"/>
      <c r="K7" s="48"/>
      <c r="L7" s="48"/>
      <c r="M7" s="20"/>
      <c r="N7" s="20"/>
      <c r="O7" s="48"/>
      <c r="P7" s="48"/>
      <c r="Q7" s="48"/>
      <c r="R7" s="48"/>
      <c r="S7" s="20"/>
      <c r="T7" s="20"/>
      <c r="U7" s="48"/>
      <c r="V7" s="48"/>
      <c r="W7" s="48"/>
      <c r="X7" s="48"/>
      <c r="Y7" s="48"/>
      <c r="Z7" s="20"/>
      <c r="AA7" s="48"/>
      <c r="AB7" s="48"/>
      <c r="AC7" s="48"/>
      <c r="AD7" s="48"/>
      <c r="AE7" s="20"/>
      <c r="AF7" s="20"/>
      <c r="AG7" s="48"/>
      <c r="AH7" s="48"/>
      <c r="AI7" s="48"/>
      <c r="AJ7" s="48"/>
      <c r="AK7" s="20"/>
      <c r="AL7" s="20"/>
      <c r="AM7" s="48"/>
      <c r="AN7" s="48"/>
      <c r="AO7" s="48"/>
      <c r="AP7" s="48"/>
      <c r="AQ7" s="20"/>
      <c r="AR7" s="20"/>
      <c r="AS7" s="48"/>
      <c r="AT7" s="48"/>
      <c r="AU7" s="48"/>
      <c r="AV7" s="48"/>
      <c r="AW7" s="20"/>
      <c r="AX7" s="20"/>
      <c r="AY7" s="48"/>
      <c r="AZ7" s="48"/>
      <c r="BA7" s="48"/>
      <c r="BB7" s="48"/>
      <c r="BC7" s="20"/>
      <c r="BD7" s="20"/>
      <c r="BE7" s="48"/>
      <c r="BF7" s="48"/>
      <c r="BG7" s="48"/>
      <c r="BH7" s="48"/>
      <c r="BI7" s="20"/>
      <c r="BJ7" s="20"/>
      <c r="BK7" s="48"/>
      <c r="BL7" s="48"/>
      <c r="BM7" s="48"/>
      <c r="BN7" s="48"/>
      <c r="BO7" s="20"/>
      <c r="BP7" s="20"/>
      <c r="BQ7" s="48"/>
      <c r="BR7" s="20"/>
      <c r="BS7" s="20"/>
      <c r="BT7" s="55"/>
      <c r="BU7" s="20"/>
      <c r="BV7" s="20"/>
      <c r="BW7" s="20"/>
      <c r="BX7" s="20"/>
      <c r="BY7" s="20"/>
    </row>
    <row r="8" spans="1:77" s="56" customFormat="1" ht="15.75" thickBot="1" x14ac:dyDescent="0.3">
      <c r="A8" s="80"/>
      <c r="B8" s="49"/>
      <c r="C8" s="20"/>
      <c r="D8" s="20"/>
      <c r="E8" s="20"/>
      <c r="F8" s="20"/>
      <c r="G8" s="20"/>
      <c r="H8" s="20"/>
      <c r="I8" s="20"/>
      <c r="J8" s="48"/>
      <c r="K8" s="48"/>
      <c r="L8" s="48"/>
      <c r="M8" s="20"/>
      <c r="N8" s="20"/>
      <c r="O8" s="48"/>
      <c r="P8" s="48"/>
      <c r="Q8" s="48"/>
      <c r="R8" s="48"/>
      <c r="S8" s="20"/>
      <c r="T8" s="20"/>
      <c r="U8" s="48"/>
      <c r="V8" s="48"/>
      <c r="W8" s="48"/>
      <c r="X8" s="48"/>
      <c r="Y8" s="48"/>
      <c r="Z8" s="20"/>
      <c r="AA8" s="48"/>
      <c r="AB8" s="48"/>
      <c r="AC8" s="48"/>
      <c r="AD8" s="48"/>
      <c r="AE8" s="20"/>
      <c r="AF8" s="20"/>
      <c r="AG8" s="48"/>
      <c r="AH8" s="48"/>
      <c r="AI8" s="48"/>
      <c r="AJ8" s="48"/>
      <c r="AK8" s="20"/>
      <c r="AL8" s="20"/>
      <c r="AM8" s="48"/>
      <c r="AN8" s="48"/>
      <c r="AO8" s="48"/>
      <c r="AP8" s="48"/>
      <c r="AQ8" s="20"/>
      <c r="AR8" s="20"/>
      <c r="AS8" s="48"/>
      <c r="AT8" s="48"/>
      <c r="AU8" s="48"/>
      <c r="AV8" s="48"/>
      <c r="AW8" s="20"/>
      <c r="AX8" s="20"/>
      <c r="AY8" s="48"/>
      <c r="AZ8" s="48"/>
      <c r="BA8" s="48"/>
      <c r="BB8" s="48"/>
      <c r="BC8" s="20"/>
      <c r="BD8" s="20"/>
      <c r="BE8" s="48"/>
      <c r="BF8" s="48"/>
      <c r="BG8" s="48"/>
      <c r="BH8" s="48"/>
      <c r="BI8" s="20"/>
      <c r="BJ8" s="20"/>
      <c r="BK8" s="48"/>
      <c r="BL8" s="48"/>
      <c r="BM8" s="48"/>
      <c r="BN8" s="48"/>
      <c r="BO8" s="20"/>
      <c r="BP8" s="20"/>
      <c r="BQ8" s="48"/>
      <c r="BR8" s="20"/>
      <c r="BS8" s="20"/>
      <c r="BT8" s="55"/>
      <c r="BU8" s="20"/>
      <c r="BV8" s="20"/>
      <c r="BW8" s="20"/>
      <c r="BX8" s="20"/>
      <c r="BY8" s="20"/>
    </row>
    <row r="9" spans="1:77" s="56" customFormat="1" ht="15.75" thickBot="1" x14ac:dyDescent="0.3">
      <c r="A9" s="80"/>
      <c r="B9" s="49"/>
      <c r="C9" s="20"/>
      <c r="D9" s="20"/>
      <c r="E9" s="20"/>
      <c r="F9" s="20"/>
      <c r="G9" s="20"/>
      <c r="H9" s="20"/>
      <c r="I9" s="20"/>
      <c r="J9" s="48"/>
      <c r="K9" s="48"/>
      <c r="L9" s="48"/>
      <c r="M9" s="20"/>
      <c r="N9" s="20"/>
      <c r="O9" s="48"/>
      <c r="P9" s="48"/>
      <c r="Q9" s="48"/>
      <c r="R9" s="48"/>
      <c r="S9" s="20"/>
      <c r="T9" s="20"/>
      <c r="U9" s="48"/>
      <c r="V9" s="48"/>
      <c r="W9" s="48"/>
      <c r="X9" s="48"/>
      <c r="Y9" s="48"/>
      <c r="Z9" s="20"/>
      <c r="AA9" s="48"/>
      <c r="AB9" s="48"/>
      <c r="AC9" s="48"/>
      <c r="AD9" s="48"/>
      <c r="AE9" s="20"/>
      <c r="AF9" s="20"/>
      <c r="AG9" s="48"/>
      <c r="AH9" s="48"/>
      <c r="AI9" s="48"/>
      <c r="AJ9" s="48"/>
      <c r="AK9" s="20"/>
      <c r="AL9" s="20"/>
      <c r="AM9" s="48"/>
      <c r="AN9" s="48"/>
      <c r="AO9" s="48"/>
      <c r="AP9" s="48"/>
      <c r="AQ9" s="20"/>
      <c r="AR9" s="20"/>
      <c r="AS9" s="48"/>
      <c r="AT9" s="48"/>
      <c r="AU9" s="48"/>
      <c r="AV9" s="48"/>
      <c r="AW9" s="20"/>
      <c r="AX9" s="20"/>
      <c r="AY9" s="48"/>
      <c r="AZ9" s="48"/>
      <c r="BA9" s="48"/>
      <c r="BB9" s="48"/>
      <c r="BC9" s="20"/>
      <c r="BD9" s="20"/>
      <c r="BE9" s="48"/>
      <c r="BF9" s="48"/>
      <c r="BG9" s="48"/>
      <c r="BH9" s="48"/>
      <c r="BI9" s="20"/>
      <c r="BJ9" s="20"/>
      <c r="BK9" s="48"/>
      <c r="BL9" s="48"/>
      <c r="BM9" s="48"/>
      <c r="BN9" s="48"/>
      <c r="BO9" s="20"/>
      <c r="BP9" s="20"/>
      <c r="BQ9" s="48"/>
      <c r="BR9" s="20"/>
      <c r="BS9" s="20"/>
      <c r="BT9" s="55"/>
      <c r="BU9" s="20"/>
      <c r="BV9" s="20"/>
      <c r="BW9" s="20"/>
      <c r="BX9" s="20"/>
      <c r="BY9" s="20"/>
    </row>
    <row r="10" spans="1:77" s="56" customFormat="1" ht="15.75" thickBot="1" x14ac:dyDescent="0.3">
      <c r="A10" s="80"/>
      <c r="B10" s="49"/>
      <c r="C10" s="20"/>
      <c r="D10" s="20"/>
      <c r="E10" s="20"/>
      <c r="F10" s="20"/>
      <c r="G10" s="20"/>
      <c r="H10" s="20"/>
      <c r="I10" s="20"/>
      <c r="J10" s="48"/>
      <c r="K10" s="48"/>
      <c r="L10" s="48"/>
      <c r="M10" s="20"/>
      <c r="N10" s="20"/>
      <c r="O10" s="48"/>
      <c r="P10" s="48"/>
      <c r="Q10" s="48"/>
      <c r="R10" s="48"/>
      <c r="S10" s="20"/>
      <c r="T10" s="20"/>
      <c r="U10" s="48"/>
      <c r="V10" s="48"/>
      <c r="W10" s="48"/>
      <c r="X10" s="48"/>
      <c r="Y10" s="48"/>
      <c r="Z10" s="20"/>
      <c r="AA10" s="48"/>
      <c r="AB10" s="48"/>
      <c r="AC10" s="48"/>
      <c r="AD10" s="48"/>
      <c r="AE10" s="20"/>
      <c r="AF10" s="20"/>
      <c r="AG10" s="48"/>
      <c r="AH10" s="48"/>
      <c r="AI10" s="48"/>
      <c r="AJ10" s="48"/>
      <c r="AK10" s="20"/>
      <c r="AL10" s="20"/>
      <c r="AM10" s="48"/>
      <c r="AN10" s="48"/>
      <c r="AO10" s="48"/>
      <c r="AP10" s="48"/>
      <c r="AQ10" s="20"/>
      <c r="AR10" s="20"/>
      <c r="AS10" s="48"/>
      <c r="AT10" s="48"/>
      <c r="AU10" s="48"/>
      <c r="AV10" s="48"/>
      <c r="AW10" s="20"/>
      <c r="AX10" s="20"/>
      <c r="AY10" s="48"/>
      <c r="AZ10" s="48"/>
      <c r="BA10" s="48"/>
      <c r="BB10" s="48"/>
      <c r="BC10" s="20"/>
      <c r="BD10" s="20"/>
      <c r="BE10" s="48"/>
      <c r="BF10" s="48"/>
      <c r="BG10" s="48"/>
      <c r="BH10" s="48"/>
      <c r="BI10" s="20"/>
      <c r="BJ10" s="20"/>
      <c r="BK10" s="48"/>
      <c r="BL10" s="48"/>
      <c r="BM10" s="48"/>
      <c r="BN10" s="48"/>
      <c r="BO10" s="20"/>
      <c r="BP10" s="20"/>
      <c r="BQ10" s="48"/>
      <c r="BR10" s="20"/>
      <c r="BS10" s="20"/>
      <c r="BT10" s="55"/>
      <c r="BU10" s="20"/>
      <c r="BV10" s="20"/>
      <c r="BW10" s="20"/>
      <c r="BX10" s="20"/>
      <c r="BY10" s="20"/>
    </row>
    <row r="11" spans="1:77" s="56" customFormat="1" ht="15.75" thickBot="1" x14ac:dyDescent="0.3">
      <c r="A11" s="80"/>
      <c r="B11" s="49"/>
      <c r="C11" s="20"/>
      <c r="D11" s="20"/>
      <c r="E11" s="20"/>
      <c r="F11" s="20"/>
      <c r="G11" s="20"/>
      <c r="H11" s="20"/>
      <c r="I11" s="20"/>
      <c r="J11" s="48"/>
      <c r="K11" s="48"/>
      <c r="L11" s="48"/>
      <c r="M11" s="20"/>
      <c r="N11" s="20"/>
      <c r="O11" s="48"/>
      <c r="P11" s="48"/>
      <c r="Q11" s="48"/>
      <c r="R11" s="48"/>
      <c r="S11" s="20"/>
      <c r="T11" s="20"/>
      <c r="U11" s="48"/>
      <c r="V11" s="48"/>
      <c r="W11" s="48"/>
      <c r="X11" s="48"/>
      <c r="Y11" s="48"/>
      <c r="Z11" s="20"/>
      <c r="AA11" s="48"/>
      <c r="AB11" s="48"/>
      <c r="AC11" s="48"/>
      <c r="AD11" s="48"/>
      <c r="AE11" s="20"/>
      <c r="AF11" s="20"/>
      <c r="AG11" s="48"/>
      <c r="AH11" s="48"/>
      <c r="AI11" s="48"/>
      <c r="AJ11" s="48"/>
      <c r="AK11" s="20"/>
      <c r="AL11" s="20"/>
      <c r="AM11" s="48"/>
      <c r="AN11" s="48"/>
      <c r="AO11" s="48"/>
      <c r="AP11" s="48"/>
      <c r="AQ11" s="20"/>
      <c r="AR11" s="20"/>
      <c r="AS11" s="48"/>
      <c r="AT11" s="48"/>
      <c r="AU11" s="48"/>
      <c r="AV11" s="48"/>
      <c r="AW11" s="20"/>
      <c r="AX11" s="20"/>
      <c r="AY11" s="48"/>
      <c r="AZ11" s="48"/>
      <c r="BA11" s="48"/>
      <c r="BB11" s="48"/>
      <c r="BC11" s="20"/>
      <c r="BD11" s="20"/>
      <c r="BE11" s="48"/>
      <c r="BF11" s="48"/>
      <c r="BG11" s="48"/>
      <c r="BH11" s="48"/>
      <c r="BI11" s="20"/>
      <c r="BJ11" s="20"/>
      <c r="BK11" s="48"/>
      <c r="BL11" s="48"/>
      <c r="BM11" s="48"/>
      <c r="BN11" s="48"/>
      <c r="BO11" s="20"/>
      <c r="BP11" s="20"/>
      <c r="BQ11" s="48"/>
      <c r="BR11" s="20"/>
      <c r="BS11" s="20"/>
      <c r="BT11" s="55"/>
      <c r="BU11" s="20"/>
      <c r="BV11" s="20"/>
      <c r="BW11" s="20"/>
      <c r="BX11" s="20"/>
      <c r="BY11" s="20"/>
    </row>
    <row r="12" spans="1:77" s="40" customFormat="1" ht="15.75" thickBot="1" x14ac:dyDescent="0.3">
      <c r="A12" s="75"/>
      <c r="B12" s="2"/>
      <c r="C12" s="1"/>
      <c r="D12" s="1"/>
      <c r="E12" s="1"/>
      <c r="F12" s="25"/>
      <c r="G12" s="1"/>
      <c r="H12" s="1"/>
      <c r="I12" s="1"/>
      <c r="J12" s="3"/>
      <c r="K12" s="3"/>
      <c r="L12" s="3"/>
      <c r="M12" s="1"/>
      <c r="N12" s="1"/>
      <c r="O12" s="3"/>
      <c r="P12" s="3"/>
      <c r="Q12" s="3"/>
      <c r="R12" s="3"/>
      <c r="S12" s="1"/>
      <c r="T12" s="1"/>
      <c r="U12" s="3"/>
      <c r="V12" s="3"/>
      <c r="W12" s="1"/>
      <c r="X12" s="1"/>
      <c r="Y12" s="1"/>
      <c r="Z12" s="1"/>
      <c r="AA12" s="1"/>
      <c r="AB12" s="3"/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3"/>
      <c r="AO12" s="1"/>
      <c r="AP12" s="1"/>
      <c r="AQ12" s="1"/>
      <c r="AR12" s="1"/>
      <c r="AS12" s="1"/>
      <c r="AT12" s="3"/>
      <c r="AU12" s="1"/>
      <c r="AV12" s="1"/>
      <c r="AW12" s="1"/>
      <c r="AX12" s="1"/>
      <c r="AY12" s="1"/>
      <c r="AZ12" s="3"/>
      <c r="BA12" s="1"/>
      <c r="BB12" s="1"/>
      <c r="BC12" s="1"/>
      <c r="BD12" s="1"/>
      <c r="BE12" s="1"/>
      <c r="BF12" s="3"/>
      <c r="BG12" s="1"/>
      <c r="BH12" s="1"/>
      <c r="BI12" s="1"/>
      <c r="BJ12" s="1"/>
      <c r="BK12" s="1"/>
      <c r="BL12" s="3"/>
      <c r="BM12" s="1"/>
      <c r="BN12" s="1"/>
      <c r="BO12" s="1"/>
      <c r="BP12" s="1"/>
      <c r="BQ12" s="1"/>
      <c r="BR12" s="19"/>
      <c r="BS12" s="1"/>
      <c r="BT12" s="37"/>
      <c r="BU12" s="1"/>
      <c r="BV12" s="1"/>
      <c r="BW12" s="1"/>
      <c r="BX12" s="1"/>
      <c r="BY12" s="39"/>
    </row>
    <row r="13" spans="1:77" s="40" customFormat="1" ht="15.75" thickBot="1" x14ac:dyDescent="0.3">
      <c r="A13" s="48"/>
      <c r="B13" s="49"/>
      <c r="C13" s="20"/>
      <c r="D13" s="20"/>
      <c r="E13" s="20"/>
      <c r="F13" s="20"/>
      <c r="G13" s="20"/>
      <c r="H13" s="20"/>
      <c r="I13" s="20"/>
      <c r="J13" s="48"/>
      <c r="K13" s="48"/>
      <c r="L13" s="48"/>
      <c r="M13" s="20"/>
      <c r="N13" s="20"/>
      <c r="O13" s="48"/>
      <c r="P13" s="48"/>
      <c r="Q13" s="20"/>
      <c r="R13" s="20"/>
      <c r="S13" s="20"/>
      <c r="T13" s="20"/>
      <c r="U13" s="20"/>
      <c r="V13" s="48"/>
      <c r="W13" s="20"/>
      <c r="X13" s="20"/>
      <c r="Y13" s="20"/>
      <c r="Z13" s="20"/>
      <c r="AA13" s="20"/>
      <c r="AB13" s="48"/>
      <c r="AC13" s="20"/>
      <c r="AD13" s="20"/>
      <c r="AE13" s="20"/>
      <c r="AF13" s="20"/>
      <c r="AG13" s="20"/>
      <c r="AH13" s="48"/>
      <c r="AI13" s="20"/>
      <c r="AJ13" s="20"/>
      <c r="AK13" s="20"/>
      <c r="AL13" s="20"/>
      <c r="AM13" s="20"/>
      <c r="AN13" s="48"/>
      <c r="AO13" s="20"/>
      <c r="AP13" s="20"/>
      <c r="AQ13" s="20"/>
      <c r="AR13" s="20"/>
      <c r="AS13" s="20"/>
      <c r="AT13" s="48"/>
      <c r="AU13" s="20"/>
      <c r="AV13" s="20"/>
      <c r="AW13" s="20"/>
      <c r="AX13" s="20"/>
      <c r="AY13" s="20"/>
      <c r="AZ13" s="48"/>
      <c r="BA13" s="20"/>
      <c r="BB13" s="20"/>
      <c r="BC13" s="20"/>
      <c r="BD13" s="20"/>
      <c r="BE13" s="20"/>
      <c r="BF13" s="48"/>
      <c r="BG13" s="20"/>
      <c r="BH13" s="20"/>
      <c r="BI13" s="20"/>
      <c r="BJ13" s="20"/>
      <c r="BK13" s="20"/>
      <c r="BL13" s="48"/>
      <c r="BM13" s="20"/>
      <c r="BN13" s="20"/>
      <c r="BO13" s="20"/>
      <c r="BP13" s="20"/>
      <c r="BQ13" s="20"/>
      <c r="BR13" s="20"/>
      <c r="BS13" s="20"/>
      <c r="BT13" s="50"/>
      <c r="BU13" s="20"/>
      <c r="BV13" s="20"/>
      <c r="BW13" s="20"/>
      <c r="BX13" s="20"/>
      <c r="BY13" s="39"/>
    </row>
    <row r="14" spans="1:77" hidden="1" x14ac:dyDescent="0.25">
      <c r="H14" s="4" t="str">
        <f t="shared" ref="H14:L23" si="1">J2</f>
        <v>AG</v>
      </c>
      <c r="I14" s="4">
        <f t="shared" si="1"/>
        <v>1500</v>
      </c>
      <c r="J14" s="4">
        <f t="shared" si="1"/>
        <v>8</v>
      </c>
      <c r="K14" s="4" t="str">
        <f t="shared" si="1"/>
        <v>Y</v>
      </c>
      <c r="L14" s="4" t="str">
        <f t="shared" si="1"/>
        <v>3L</v>
      </c>
      <c r="O14" s="28" t="str">
        <f>J2</f>
        <v>AG</v>
      </c>
      <c r="P14" s="4" t="str">
        <f t="shared" ref="P14:R23" si="2">N2</f>
        <v>3L</v>
      </c>
      <c r="Q14" s="4">
        <f t="shared" si="2"/>
        <v>3.5</v>
      </c>
      <c r="R14" s="4" t="str">
        <f t="shared" si="2"/>
        <v>AG</v>
      </c>
      <c r="S14" s="4" t="str">
        <f t="shared" ref="S14:U23" si="3">T2</f>
        <v>3L</v>
      </c>
      <c r="T14" s="4">
        <f t="shared" si="3"/>
        <v>3.5</v>
      </c>
      <c r="U14" s="4" t="str">
        <f t="shared" si="3"/>
        <v>AG</v>
      </c>
      <c r="V14" s="4" t="str">
        <f t="shared" ref="V14:X23" si="4">Z2</f>
        <v>3L</v>
      </c>
      <c r="W14" s="4">
        <f t="shared" si="4"/>
        <v>3.5</v>
      </c>
      <c r="X14" s="4" t="str">
        <f t="shared" si="4"/>
        <v>AG</v>
      </c>
      <c r="Y14" s="4" t="str">
        <f t="shared" ref="Y14:AA23" si="5">AF2</f>
        <v>3L</v>
      </c>
      <c r="Z14" s="4">
        <f t="shared" si="5"/>
        <v>3.5</v>
      </c>
      <c r="AA14" s="4">
        <f t="shared" si="5"/>
        <v>0</v>
      </c>
      <c r="AB14" s="4">
        <f t="shared" ref="AB14:AD23" si="6">AL2</f>
        <v>0</v>
      </c>
      <c r="AC14" s="4">
        <f t="shared" si="6"/>
        <v>0</v>
      </c>
      <c r="AD14" s="4">
        <f t="shared" si="6"/>
        <v>0</v>
      </c>
      <c r="AE14" s="4">
        <f t="shared" ref="AE14:AG23" si="7">AR2</f>
        <v>0</v>
      </c>
      <c r="AF14" s="4">
        <f t="shared" si="7"/>
        <v>0</v>
      </c>
      <c r="AG14" s="4">
        <f t="shared" si="7"/>
        <v>0</v>
      </c>
      <c r="AH14" s="4">
        <f t="shared" ref="AH14:AJ23" si="8">AX2</f>
        <v>0</v>
      </c>
      <c r="AI14" s="4">
        <f t="shared" si="8"/>
        <v>0</v>
      </c>
      <c r="AJ14" s="4">
        <f t="shared" si="8"/>
        <v>0</v>
      </c>
      <c r="AK14" s="4">
        <f t="shared" ref="AK14:AM23" si="9">BD2</f>
        <v>0</v>
      </c>
      <c r="AL14" s="4">
        <f t="shared" si="9"/>
        <v>0</v>
      </c>
      <c r="AM14" s="4">
        <f t="shared" si="9"/>
        <v>0</v>
      </c>
      <c r="AN14" s="4">
        <f t="shared" ref="AN14:AP23" si="10">BJ2</f>
        <v>0</v>
      </c>
      <c r="AO14" s="4">
        <f t="shared" si="10"/>
        <v>0</v>
      </c>
      <c r="AP14" s="4">
        <f t="shared" si="10"/>
        <v>0</v>
      </c>
      <c r="AQ14" s="4">
        <f t="shared" ref="AQ14:AR23" si="11">BP2</f>
        <v>0</v>
      </c>
      <c r="AR14" s="4">
        <f t="shared" si="11"/>
        <v>0</v>
      </c>
      <c r="AT14" s="28">
        <v>1</v>
      </c>
      <c r="AU14" s="29">
        <f>IF($P$14="3L",$Q$14,IF($S$14="3L",$T$14,IF($V$14="3L",$W$14,IF($Y$14="3L",$Z$14,IF($AB$14="3L",$AC$14,IF($AE$14="3L",$AF$14,IF($AH$14="3L",$AI$14,IF($AK$14="3L",$AL$14,IF($AN$14="3L",$AO$14,IF($AQ$14="3L",$AR$14,""))))))))))</f>
        <v>3.5</v>
      </c>
      <c r="AV14" s="29" t="str">
        <f>IF($P$14="4L",$Q$14,IF($S$14="4L",$T$14,IF($V$14="4L",$W$14,IF($Y$14="4L",$Z$14,IF($AB$14="4L",$AC$14,IF($AE$14="4L",$AF$14,IF($AH$14="4L",$AI$14,IF($AK$14="4L",$AL$14,IF($AN$14="4L",$AO$14,IF($AQ$14="4L",$AR$14,""))))))))))</f>
        <v/>
      </c>
      <c r="AW14" s="29" t="str">
        <f>IF($P$14="5L",$Q$14,IF($S$14="5L",$T$14,IF($V$14="5L",$W$14,IF($Y$14="5L",$Z$14,IF($AB$14="5L",$AC$14,IF($AE$14="5L",$AF$14,IF($AH$14="5L",$AI$14,IF($AK$14="5L",$AL$14,IF($AN$14="5L",$AO$14,IF($AQ$14="5L",$AR$14,""))))))))))</f>
        <v/>
      </c>
      <c r="AX14" s="29" t="str">
        <f>IF($P$14="6L",$Q$14,IF($S$14="6L",$T$14,IF($V$14="6L",$W$14,IF($Y$14="6L",$Z$14,IF($AB$14="6L",$AC$14,IF($AE$14="6L",$AF$14,IF($AH$14="6L",$AI$14,IF($AK$14="6L",$AL$14,IF($AN$14="6L",$AO$14,IF($AQ$14="6L",$AR$14,""))))))))))</f>
        <v/>
      </c>
      <c r="AY14" s="29" t="str">
        <f>IF($P$14="7L",$Q$14,IF($S$14="7L",$T$14,IF($V$14="7L",$W$14,IF($Y$14="7L",$Z$14,IF($AB$14="7L",$AC$14,IF($AE$14="7L",$AF$14,IF($AH$14="7L",$AI$14,IF($AK$14="7L",$AL$14,IF($AN$14="7L",$AO$14,IF($AQ$14="7L",$AR$14,""))))))))))</f>
        <v/>
      </c>
      <c r="AZ14" s="29" t="str">
        <f t="shared" ref="AZ14:AZ23" si="12">IF($O$14="LOFT",$Q$14,IF($R$14="LOFT",$T$14,IF($U$14="LOFT",$W$14,IF($X$14="LOFT",$Z$14,IF($AA$14="LOFT",$AC$14,IF($AD$14="LOFT",$AF$14,IF($AG$14="LOFT",$AI$14,IF($AJ$14="LOFT",$AL$14,IF($AM$14="LOFT",$AO$14,IF($AP$14="LOFT",$AR$14,""))))))))))</f>
        <v/>
      </c>
      <c r="BA14" s="29" t="str">
        <f t="shared" ref="BA14:BA23" si="13">IF($O$14="UT",$Q$14,IF($R$14="UT",$T$14,IF($U$14="UT",$W$14,IF($X$14="UT",$Z$14,IF($AA$14="UT",$AC$14,IF($AD$14="UT",$AF$14,IF($AG$14="UT",$AI$14,IF($AJ$14="UT",$AL$14,IF($AM$14="UT",$AO$14,IF($AP$14="UT",$AR$14,""))))))))))</f>
        <v/>
      </c>
      <c r="BB14" s="29" t="str">
        <f t="shared" ref="BB14:BB23" si="14">IF($O$14="HT",$Q$14,IF($R$14="HT",$T$14,IF($U$14="HT",$W$14,IF($X$14="HT",$Z$14,IF($AA$14="HT",$AC$14,IF($AD$14="HT",$AF$14,IF($AG$14="HT",$AI$14,IF($AJ$14="HT",$AL$14,IF($AM$14="HT",$AO$14,IF($AP$14="HT",$AR$14,""))))))))))</f>
        <v/>
      </c>
      <c r="BC14" s="29" t="str">
        <f t="shared" ref="BC14:BC23" si="15">IF($O$14="PURE",$Q$14,IF($R$14="PURE",$T$14,IF($U$14="PURE",$W$14,IF($X$14="PURE",$Z$14,IF($AA$14="PURE",$AC$14,IF($AD$14="PURE",$AF$14,IF($AG$14="PURE",$AI$14,IF($AJ$14="PURE",$AL$14,IF($AM$14="PURE",$AO$14,IF($AP$14="PURE",$AR$14,""))))))))))</f>
        <v/>
      </c>
      <c r="BD14" s="29" t="str">
        <f>IF($P$14="FUM",$Q$14,IF($S$14="FUM",$T$14,IF($V$14="FUM",$W$14,IF($Y$14="FUM",$Z$14,IF($AB$14="FUM",$AC$14,IF($AE$14="FUM",$AF$14,IF($AH$14="FUM",$AI$14,IF($AK$14="FUM",$AL$14,IF($AN$14="FUM",$AO$14,IF($AQ$14="FUM",$AR$14,""))))))))))</f>
        <v/>
      </c>
    </row>
    <row r="15" spans="1:77" hidden="1" x14ac:dyDescent="0.25">
      <c r="H15" s="4">
        <f t="shared" si="1"/>
        <v>0</v>
      </c>
      <c r="I15" s="4">
        <f t="shared" si="1"/>
        <v>0</v>
      </c>
      <c r="J15" s="4">
        <f t="shared" si="1"/>
        <v>0</v>
      </c>
      <c r="K15" s="4">
        <f t="shared" si="1"/>
        <v>0</v>
      </c>
      <c r="L15" s="4">
        <f t="shared" si="1"/>
        <v>0</v>
      </c>
      <c r="O15" s="28">
        <f t="shared" ref="O15:O23" si="16">J3</f>
        <v>0</v>
      </c>
      <c r="P15" s="4">
        <f t="shared" si="2"/>
        <v>0</v>
      </c>
      <c r="Q15" s="4">
        <f t="shared" si="2"/>
        <v>0</v>
      </c>
      <c r="R15" s="4">
        <f t="shared" si="2"/>
        <v>0</v>
      </c>
      <c r="S15" s="4">
        <f t="shared" si="3"/>
        <v>0</v>
      </c>
      <c r="T15" s="4">
        <f t="shared" si="3"/>
        <v>0</v>
      </c>
      <c r="U15" s="4">
        <f t="shared" si="3"/>
        <v>0</v>
      </c>
      <c r="V15" s="4">
        <f t="shared" si="4"/>
        <v>0</v>
      </c>
      <c r="W15" s="4">
        <f t="shared" si="4"/>
        <v>0</v>
      </c>
      <c r="X15" s="4">
        <f t="shared" si="4"/>
        <v>0</v>
      </c>
      <c r="Y15" s="4">
        <f t="shared" si="5"/>
        <v>0</v>
      </c>
      <c r="Z15" s="4">
        <f t="shared" si="5"/>
        <v>0</v>
      </c>
      <c r="AA15" s="4">
        <f t="shared" si="5"/>
        <v>0</v>
      </c>
      <c r="AB15" s="4">
        <f t="shared" si="6"/>
        <v>0</v>
      </c>
      <c r="AC15" s="4">
        <f t="shared" si="6"/>
        <v>0</v>
      </c>
      <c r="AD15" s="4">
        <f t="shared" si="6"/>
        <v>0</v>
      </c>
      <c r="AE15" s="4">
        <f t="shared" si="7"/>
        <v>0</v>
      </c>
      <c r="AF15" s="4">
        <f t="shared" si="7"/>
        <v>0</v>
      </c>
      <c r="AG15" s="4">
        <f t="shared" si="7"/>
        <v>0</v>
      </c>
      <c r="AH15" s="4">
        <f t="shared" si="8"/>
        <v>0</v>
      </c>
      <c r="AI15" s="4">
        <f t="shared" si="8"/>
        <v>0</v>
      </c>
      <c r="AJ15" s="4">
        <f t="shared" si="8"/>
        <v>0</v>
      </c>
      <c r="AK15" s="4">
        <f t="shared" si="9"/>
        <v>0</v>
      </c>
      <c r="AL15" s="4">
        <f t="shared" si="9"/>
        <v>0</v>
      </c>
      <c r="AM15" s="4">
        <f t="shared" si="9"/>
        <v>0</v>
      </c>
      <c r="AN15" s="4">
        <f t="shared" si="10"/>
        <v>0</v>
      </c>
      <c r="AO15" s="4">
        <f t="shared" si="10"/>
        <v>0</v>
      </c>
      <c r="AP15" s="4">
        <f t="shared" si="10"/>
        <v>0</v>
      </c>
      <c r="AQ15" s="4">
        <f t="shared" si="11"/>
        <v>0</v>
      </c>
      <c r="AR15" s="4">
        <f t="shared" si="11"/>
        <v>0</v>
      </c>
      <c r="AT15" s="28">
        <v>2</v>
      </c>
      <c r="AU15" s="29" t="str">
        <f>IF($P$15="3L",$Q$15,IF($S$15="3L",$T$15,IF($V$15="3L",$W$15,IF($Y$15="3L",$Z$15,IF($AB$15="3L",$AC$15,IF($AE$15="3L",$AF$15,IF($AH$15="3L",$AI$15,IF($AK$15="3L",$AL$15,IF($AN$15="3L",$AO$15,IF($AQ$15="3L",$AR$15,""))))))))))</f>
        <v/>
      </c>
      <c r="AV15" s="29" t="str">
        <f>IF($P$15="4L",$Q$15,IF($S$15="4L",$T$15,IF($V$15="4L",$W$15,IF($Y$15="4L",$Z$15,IF($AB$15="4L",$AC$15,IF($AE$15="4L",$AF$15,IF($AH$15="4L",$AI$15,IF($AK$15="4L",$AL$15,IF($AN$15="4L",$AO$15,IF($AQ$15="4L",$AR$15,""))))))))))</f>
        <v/>
      </c>
      <c r="AW15" s="29" t="str">
        <f>IF($P$15="5L",$Q$15,IF($S$15="5L",$T$15,IF($V$15="5L",$W$15,IF($Y$15="5L",$Z$15,IF($AB$15="5L",$AC$15,IF($AE$15="5L",$AF$15,IF($AH$15="5L",$AI$15,IF($AK$15="5L",$AL$15,IF($AN$15="5L",$AO$15,IF($AQ$15="5L",$AR$15,""))))))))))</f>
        <v/>
      </c>
      <c r="AX15" s="29" t="str">
        <f>IF($P$15="6L",$Q$15,IF($S$15="6L",$T$15,IF($V$15="6L",$W$15,IF($Y$15="6L",$Z$15,IF($AB$15="6L",$AC$15,IF($AE$15="6L",$AF$15,IF($AH$15="6L",$AI$15,IF($AK$15="6L",$AL$15,IF($AN$15="6L",$AO$15,IF($AQ$15="6L",$AR$15,""))))))))))</f>
        <v/>
      </c>
      <c r="AY15" s="29" t="str">
        <f>IF($P$15="7L",$Q$15,IF($S$15="7L",$T$15,IF($V$15="7L",$W$15,IF($Y$15="7L",$Z$15,IF($AB$15="7L",$AC$15,IF($AE$15="7L",$AF$15,IF($AH$15="7L",$AI$15,IF($AK$15="7L",$AL$15,IF($AN$15="7L",$AO$15,IF($AQ$15="7L",$AR$15,""))))))))))</f>
        <v/>
      </c>
      <c r="AZ15" s="29" t="str">
        <f t="shared" si="12"/>
        <v/>
      </c>
      <c r="BA15" s="29" t="str">
        <f t="shared" si="13"/>
        <v/>
      </c>
      <c r="BB15" s="29" t="str">
        <f t="shared" si="14"/>
        <v/>
      </c>
      <c r="BC15" s="29" t="str">
        <f t="shared" si="15"/>
        <v/>
      </c>
      <c r="BD15" s="29" t="str">
        <f>IF($P$15="FUM",$Q$15,IF($S$15="FUM",$T$15,IF($V$15="FUM",$W$15,IF($Y$15="FUM",$Z$15,IF($AB$15="FUM",$AC$15,IF($AE$15="FUM",$AF$15,IF($AH$15="FUM",$AI$15,IF($AK$15="FUM",$AL$15,IF($AN$15="FUM",$AO$15,IF($AQ$15="FUM",$AR$15,""))))))))))</f>
        <v/>
      </c>
    </row>
    <row r="16" spans="1:77" hidden="1" x14ac:dyDescent="0.25">
      <c r="H16" s="4">
        <f t="shared" si="1"/>
        <v>0</v>
      </c>
      <c r="I16" s="4">
        <f t="shared" si="1"/>
        <v>0</v>
      </c>
      <c r="J16" s="4">
        <f t="shared" si="1"/>
        <v>0</v>
      </c>
      <c r="K16" s="4">
        <f t="shared" si="1"/>
        <v>0</v>
      </c>
      <c r="L16" s="4">
        <f t="shared" si="1"/>
        <v>0</v>
      </c>
      <c r="O16" s="28">
        <f t="shared" si="16"/>
        <v>0</v>
      </c>
      <c r="P16" s="4">
        <f t="shared" si="2"/>
        <v>0</v>
      </c>
      <c r="Q16" s="4">
        <f t="shared" si="2"/>
        <v>0</v>
      </c>
      <c r="R16" s="4">
        <f t="shared" si="2"/>
        <v>0</v>
      </c>
      <c r="S16" s="4">
        <f t="shared" si="3"/>
        <v>0</v>
      </c>
      <c r="T16" s="4">
        <f t="shared" si="3"/>
        <v>0</v>
      </c>
      <c r="U16" s="4">
        <f t="shared" si="3"/>
        <v>0</v>
      </c>
      <c r="V16" s="4">
        <f t="shared" si="4"/>
        <v>0</v>
      </c>
      <c r="W16" s="4">
        <f t="shared" si="4"/>
        <v>0</v>
      </c>
      <c r="X16" s="4">
        <f t="shared" si="4"/>
        <v>0</v>
      </c>
      <c r="Y16" s="4">
        <f t="shared" si="5"/>
        <v>0</v>
      </c>
      <c r="Z16" s="4">
        <f t="shared" si="5"/>
        <v>0</v>
      </c>
      <c r="AA16" s="4">
        <f t="shared" si="5"/>
        <v>0</v>
      </c>
      <c r="AB16" s="4">
        <f t="shared" si="6"/>
        <v>0</v>
      </c>
      <c r="AC16" s="4">
        <f t="shared" si="6"/>
        <v>0</v>
      </c>
      <c r="AD16" s="4">
        <f t="shared" si="6"/>
        <v>0</v>
      </c>
      <c r="AE16" s="4">
        <f t="shared" si="7"/>
        <v>0</v>
      </c>
      <c r="AF16" s="4">
        <f t="shared" si="7"/>
        <v>0</v>
      </c>
      <c r="AG16" s="4">
        <f t="shared" si="7"/>
        <v>0</v>
      </c>
      <c r="AH16" s="4">
        <f t="shared" si="8"/>
        <v>0</v>
      </c>
      <c r="AI16" s="4">
        <f t="shared" si="8"/>
        <v>0</v>
      </c>
      <c r="AJ16" s="4">
        <f t="shared" si="8"/>
        <v>0</v>
      </c>
      <c r="AK16" s="4">
        <f t="shared" si="9"/>
        <v>0</v>
      </c>
      <c r="AL16" s="4">
        <f t="shared" si="9"/>
        <v>0</v>
      </c>
      <c r="AM16" s="4">
        <f t="shared" si="9"/>
        <v>0</v>
      </c>
      <c r="AN16" s="4">
        <f t="shared" si="10"/>
        <v>0</v>
      </c>
      <c r="AO16" s="4">
        <f t="shared" si="10"/>
        <v>0</v>
      </c>
      <c r="AP16" s="4">
        <f t="shared" si="10"/>
        <v>0</v>
      </c>
      <c r="AQ16" s="4">
        <f t="shared" si="11"/>
        <v>0</v>
      </c>
      <c r="AR16" s="4">
        <f t="shared" si="11"/>
        <v>0</v>
      </c>
      <c r="AT16" s="28">
        <v>3</v>
      </c>
      <c r="AU16" s="29" t="str">
        <f>IF($P$16="3L",$Q$16,IF($S$16="3L",$T$16,IF($V$16="3L",$W$16,IF($Y$16="3L",$Z$16,IF($AB$16="3L",$AC$16,IF($AE$16="3L",$AF$16,IF($AH$16="3L",$AI$16,IF($AK$16="3L",$AL$16,IF($AN$16="3L",$AO$16,IF($AQ$16="3L",$AR$16,""))))))))))</f>
        <v/>
      </c>
      <c r="AV16" s="29" t="str">
        <f>IF($P$16="4L",$Q$16,IF($S$16="4L",$T$16,IF($V$16="4L",$W$16,IF($Y$16="4L",$Z$16,IF($AB$16="4L",$AC$16,IF($AE$16="4L",$AF$16,IF($AH$16="4L",$AI$16,IF($AK$16="4L",$AL$16,IF($AN$16="4L",$AO$16,IF($AQ$16="4L",$AR$16,""))))))))))</f>
        <v/>
      </c>
      <c r="AW16" s="29" t="str">
        <f>IF($P$16="5L",$Q$16,IF($S$16="5L",$T$16,IF($V$16="5L",$W$16,IF($Y$16="5L",$Z$16,IF($AB$16="5L",$AC$16,IF($AE$16="5L",$AF$16,IF($AH$16="5L",$AI$16,IF($AK$16="5L",$AL$16,IF($AN$16="5L",$AO$16,IF($AQ$16="5L",$AR$16,""))))))))))</f>
        <v/>
      </c>
      <c r="AX16" s="29" t="str">
        <f>IF($P$16="6L",$Q$16,IF($S$16="6L",$T$16,IF($V$16="6L",$W$16,IF($Y$16="6L",$Z$16,IF($AB$16="6L",$AC$16,IF($AE$16="6L",$AF$16,IF($AH$16="6L",$AI$16,IF($AK$16="6L",$AL$16,IF($AN$16="6L",$AO$16,IF($AQ$16="6L",$AR$16,""))))))))))</f>
        <v/>
      </c>
      <c r="AY16" s="29" t="str">
        <f>IF($P$16="7L",$Q$16,IF($S$16="7L",$T$16,IF($V$16="7L",$W$16,IF($Y$16="7L",$Z$16,IF($AB$16="7L",$AC$16,IF($AE$16="7L",$AF$16,IF($AH$16="7L",$AI$16,IF($AK$16="7L",$AL$16,IF($AN$16="7L",$AO$16,IF($AQ$16="7L",$AR$16,""))))))))))</f>
        <v/>
      </c>
      <c r="AZ16" s="29" t="str">
        <f t="shared" si="12"/>
        <v/>
      </c>
      <c r="BA16" s="29" t="str">
        <f t="shared" si="13"/>
        <v/>
      </c>
      <c r="BB16" s="29" t="str">
        <f t="shared" si="14"/>
        <v/>
      </c>
      <c r="BC16" s="29" t="str">
        <f t="shared" si="15"/>
        <v/>
      </c>
      <c r="BD16" s="29" t="str">
        <f>IF($P$16="FUM",$Q$16,IF($S$16="FUM",$T$16,IF($V$16="FUM",$W$16,IF($Y$16="FUM",$Z$16,IF($AB$16="FUM",$AC$16,IF($AE$16="FUM",$AF$16,IF($AH$16="FUM",$AI$16,IF($AK$16="FUM",$AL$16,IF($AN$16="FUM",$AO$16,IF($AQ$16="FUM",$AR$16,""))))))))))</f>
        <v/>
      </c>
    </row>
    <row r="17" spans="8:56" hidden="1" x14ac:dyDescent="0.25">
      <c r="H17" s="4">
        <f t="shared" si="1"/>
        <v>0</v>
      </c>
      <c r="I17" s="4">
        <f t="shared" si="1"/>
        <v>0</v>
      </c>
      <c r="J17" s="4">
        <f t="shared" si="1"/>
        <v>0</v>
      </c>
      <c r="K17" s="4">
        <f t="shared" si="1"/>
        <v>0</v>
      </c>
      <c r="L17" s="4">
        <f t="shared" si="1"/>
        <v>0</v>
      </c>
      <c r="O17" s="28">
        <f t="shared" si="16"/>
        <v>0</v>
      </c>
      <c r="P17" s="4">
        <f t="shared" si="2"/>
        <v>0</v>
      </c>
      <c r="Q17" s="4">
        <f t="shared" si="2"/>
        <v>0</v>
      </c>
      <c r="R17" s="4">
        <f t="shared" si="2"/>
        <v>0</v>
      </c>
      <c r="S17" s="4">
        <f t="shared" si="3"/>
        <v>0</v>
      </c>
      <c r="T17" s="4">
        <f t="shared" si="3"/>
        <v>0</v>
      </c>
      <c r="U17" s="4">
        <f t="shared" si="3"/>
        <v>0</v>
      </c>
      <c r="V17" s="4">
        <f t="shared" si="4"/>
        <v>0</v>
      </c>
      <c r="W17" s="4">
        <f t="shared" si="4"/>
        <v>0</v>
      </c>
      <c r="X17" s="4">
        <f t="shared" si="4"/>
        <v>0</v>
      </c>
      <c r="Y17" s="4">
        <f t="shared" si="5"/>
        <v>0</v>
      </c>
      <c r="Z17" s="4">
        <f t="shared" si="5"/>
        <v>0</v>
      </c>
      <c r="AA17" s="4">
        <f t="shared" si="5"/>
        <v>0</v>
      </c>
      <c r="AB17" s="4">
        <f t="shared" si="6"/>
        <v>0</v>
      </c>
      <c r="AC17" s="4">
        <f t="shared" si="6"/>
        <v>0</v>
      </c>
      <c r="AD17" s="4">
        <f t="shared" si="6"/>
        <v>0</v>
      </c>
      <c r="AE17" s="4">
        <f t="shared" si="7"/>
        <v>0</v>
      </c>
      <c r="AF17" s="4">
        <f t="shared" si="7"/>
        <v>0</v>
      </c>
      <c r="AG17" s="4">
        <f t="shared" si="7"/>
        <v>0</v>
      </c>
      <c r="AH17" s="4">
        <f t="shared" si="8"/>
        <v>0</v>
      </c>
      <c r="AI17" s="4">
        <f t="shared" si="8"/>
        <v>0</v>
      </c>
      <c r="AJ17" s="4">
        <f t="shared" si="8"/>
        <v>0</v>
      </c>
      <c r="AK17" s="4">
        <f t="shared" si="9"/>
        <v>0</v>
      </c>
      <c r="AL17" s="4">
        <f t="shared" si="9"/>
        <v>0</v>
      </c>
      <c r="AM17" s="4">
        <f t="shared" si="9"/>
        <v>0</v>
      </c>
      <c r="AN17" s="4">
        <f t="shared" si="10"/>
        <v>0</v>
      </c>
      <c r="AO17" s="4">
        <f t="shared" si="10"/>
        <v>0</v>
      </c>
      <c r="AP17" s="4">
        <f t="shared" si="10"/>
        <v>0</v>
      </c>
      <c r="AQ17" s="4">
        <f t="shared" si="11"/>
        <v>0</v>
      </c>
      <c r="AR17" s="4">
        <f t="shared" si="11"/>
        <v>0</v>
      </c>
      <c r="AT17" s="28">
        <v>4</v>
      </c>
      <c r="AU17" s="29" t="str">
        <f>IF($P$17="3L",$Q$17,IF($S$17="3L",$T$17,IF($V$17="3L",$W$17,IF($Y$17="3L",$Z$17,IF($AB$17="3L",$AC$17,IF($AE$17="3L",$AF$17,IF($AH$17="3L",$AI$17,IF($AK$17="3L",$AL$17,IF($AN$17="3L",$AO$17,IF($AQ$17="3L",$AR$17,""))))))))))</f>
        <v/>
      </c>
      <c r="AV17" s="29" t="str">
        <f>IF($P$17="4L",$Q$17,IF($S$17="4L",$T$17,IF($V$17="4L",$W$17,IF($Y$17="4L",$Z$17,IF($AB$17="4L",$AC$17,IF($AE$17="4L",$AF$17,IF($AH$17="4L",$AI$17,IF($AK$17="4L",$AL$17,IF($AN$17="4L",$AO$17,IF($AQ$17="4L",$AR$17,""))))))))))</f>
        <v/>
      </c>
      <c r="AW17" s="29" t="str">
        <f>IF($P$17="5L",$Q$17,IF($S$17="5L",$T$17,IF($V$17="5L",$W$17,IF($Y$17="5L",$Z$17,IF($AB$17="5L",$AC$17,IF($AE$17="5L",$AF$17,IF($AH$17="5L",$AI$17,IF($AK$17="5L",$AL$17,IF($AN$17="5L",$AO$17,IF($AQ$17="5L",$AR$17,""))))))))))</f>
        <v/>
      </c>
      <c r="AX17" s="29" t="str">
        <f>IF($P$17="6L",$Q$17,IF($S$17="6L",$T$17,IF($V$17="6L",$W$17,IF($Y$17="6L",$Z$17,IF($AB$17="6L",$AC$17,IF($AE$17="6L",$AF$17,IF($AH$17="6L",$AI$17,IF($AK$17="6L",$AL$17,IF($AN$17="6L",$AO$17,IF($AQ$17="6L",$AR$17,""))))))))))</f>
        <v/>
      </c>
      <c r="AY17" s="29" t="str">
        <f>IF($P$17="7L",$Q$17,IF($S$17="7L",$T$17,IF($V$17="7L",$W$17,IF($Y$17="7L",$Z$17,IF($AB$17="7L",$AC$17,IF($AE$17="7L",$AF$17,IF($AH$17="7L",$AI$17,IF($AK$17="7L",$AL$17,IF($AN$17="7L",$AO$17,IF($AQ$17="7L",$AR$17,""))))))))))</f>
        <v/>
      </c>
      <c r="AZ17" s="29" t="str">
        <f t="shared" si="12"/>
        <v/>
      </c>
      <c r="BA17" s="29" t="str">
        <f t="shared" si="13"/>
        <v/>
      </c>
      <c r="BB17" s="29" t="str">
        <f t="shared" si="14"/>
        <v/>
      </c>
      <c r="BC17" s="29" t="str">
        <f t="shared" si="15"/>
        <v/>
      </c>
      <c r="BD17" s="29" t="str">
        <f>IF($P$17="FUM",$Q$17,IF($S$17="FUM",$T$17,IF($V$17="FUM",$W$17,IF($Y$17="FUM",$Z$17,IF($AB$17="FUM",$AC$17,IF($AE$17="FUM",$AF$17,IF($AH$17="FUM",$AI$17,IF($AK$17="FUM",$AL$17,IF($AN$17="FUM",$AO$17,IF($AQ$17="FUM",$AR$17,""))))))))))</f>
        <v/>
      </c>
    </row>
    <row r="18" spans="8:56" hidden="1" x14ac:dyDescent="0.25">
      <c r="H18" s="4">
        <f t="shared" si="1"/>
        <v>0</v>
      </c>
      <c r="I18" s="4">
        <f t="shared" si="1"/>
        <v>0</v>
      </c>
      <c r="J18" s="4">
        <f t="shared" si="1"/>
        <v>0</v>
      </c>
      <c r="K18" s="4">
        <f t="shared" si="1"/>
        <v>0</v>
      </c>
      <c r="L18" s="4">
        <f t="shared" si="1"/>
        <v>0</v>
      </c>
      <c r="O18" s="28">
        <f t="shared" si="16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3"/>
        <v>0</v>
      </c>
      <c r="T18" s="4">
        <f t="shared" si="3"/>
        <v>0</v>
      </c>
      <c r="U18" s="4">
        <f t="shared" si="3"/>
        <v>0</v>
      </c>
      <c r="V18" s="4">
        <f t="shared" si="4"/>
        <v>0</v>
      </c>
      <c r="W18" s="4">
        <f t="shared" si="4"/>
        <v>0</v>
      </c>
      <c r="X18" s="4">
        <f t="shared" si="4"/>
        <v>0</v>
      </c>
      <c r="Y18" s="4">
        <f t="shared" si="5"/>
        <v>0</v>
      </c>
      <c r="Z18" s="4">
        <f t="shared" si="5"/>
        <v>0</v>
      </c>
      <c r="AA18" s="4">
        <f t="shared" si="5"/>
        <v>0</v>
      </c>
      <c r="AB18" s="4">
        <f t="shared" si="6"/>
        <v>0</v>
      </c>
      <c r="AC18" s="4">
        <f t="shared" si="6"/>
        <v>0</v>
      </c>
      <c r="AD18" s="4">
        <f t="shared" si="6"/>
        <v>0</v>
      </c>
      <c r="AE18" s="4">
        <f t="shared" si="7"/>
        <v>0</v>
      </c>
      <c r="AF18" s="4">
        <f t="shared" si="7"/>
        <v>0</v>
      </c>
      <c r="AG18" s="4">
        <f t="shared" si="7"/>
        <v>0</v>
      </c>
      <c r="AH18" s="4">
        <f t="shared" si="8"/>
        <v>0</v>
      </c>
      <c r="AI18" s="4">
        <f t="shared" si="8"/>
        <v>0</v>
      </c>
      <c r="AJ18" s="4">
        <f t="shared" si="8"/>
        <v>0</v>
      </c>
      <c r="AK18" s="4">
        <f t="shared" si="9"/>
        <v>0</v>
      </c>
      <c r="AL18" s="4">
        <f t="shared" si="9"/>
        <v>0</v>
      </c>
      <c r="AM18" s="4">
        <f t="shared" si="9"/>
        <v>0</v>
      </c>
      <c r="AN18" s="4">
        <f t="shared" si="10"/>
        <v>0</v>
      </c>
      <c r="AO18" s="4">
        <f t="shared" si="10"/>
        <v>0</v>
      </c>
      <c r="AP18" s="4">
        <f t="shared" si="10"/>
        <v>0</v>
      </c>
      <c r="AQ18" s="4">
        <f t="shared" si="11"/>
        <v>0</v>
      </c>
      <c r="AR18" s="4">
        <f t="shared" si="11"/>
        <v>0</v>
      </c>
      <c r="AT18" s="28">
        <v>5</v>
      </c>
      <c r="AU18" s="29" t="str">
        <f>IF($P$18="3L",$Q$18,IF($S$18="3L",$T$18,IF($V$18="3L",$W$18,IF($Y$18="3L",$Z$18,IF($AB$18="3L",$AC$18,IF($AE$18="3L",$AF$18,IF($AH$18="3L",$AI$18,IF($AK$18="3L",$AL$18,IF($AN$18="3L",$AO$18,IF($AQ$18="3L",$AR$18,""))))))))))</f>
        <v/>
      </c>
      <c r="AV18" s="29" t="str">
        <f>IF($P$18="4L",$Q$18,IF($S$18="4L",$T$18,IF($V$18="4L",$W$18,IF($Y$18="4L",$Z$18,IF($AB$18="4L",$AC$18,IF($AE$18="4L",$AF$18,IF($AH$18="4L",$AI$18,IF($AK$18="4L",$AL$18,IF($AN$18="4L",$AO$18,IF($AQ$18="4L",$AR$18,""))))))))))</f>
        <v/>
      </c>
      <c r="AW18" s="29" t="str">
        <f>IF($P$18="5L",$Q$18,IF($S$18="5L",$T$18,IF($V$18="5L",$W$18,IF($Y$18="5L",$Z$18,IF($AB$18="5L",$AC$18,IF($AE$18="5L",$AF$18,IF($AH$18="5L",$AI$18,IF($AK$18="5L",$AL$18,IF($AN$18="5L",$AO$18,IF($AQ$18="5L",$AR$18,""))))))))))</f>
        <v/>
      </c>
      <c r="AX18" s="29" t="str">
        <f>IF($P$18="6L",$Q$18,IF($S$18="6L",$T$18,IF($V$18="6L",$W$18,IF($Y$18="6L",$Z$18,IF($AB$18="6L",$AC$18,IF($AE$18="6L",$AF$18,IF($AH$18="6L",$AI$18,IF($AK$18="6L",$AL$18,IF($AN$18="6L",$AO$18,IF($AQ$18="6L",$AR$18,""))))))))))</f>
        <v/>
      </c>
      <c r="AY18" s="29" t="str">
        <f>IF($P$18="7L",$Q$18,IF($S$18="7L",$T$18,IF($V$18="7L",$W$18,IF($Y$18="7L",$Z$18,IF($AB$18="7L",$AC$18,IF($AE$18="7L",$AF$18,IF($AH$18="7L",$AI$18,IF($AK$18="7L",$AL$18,IF($AN$18="7L",$AO$18,IF($AQ$18="7L",$AR$18,""))))))))))</f>
        <v/>
      </c>
      <c r="AZ18" s="29" t="str">
        <f t="shared" si="12"/>
        <v/>
      </c>
      <c r="BA18" s="29" t="str">
        <f t="shared" si="13"/>
        <v/>
      </c>
      <c r="BB18" s="29" t="str">
        <f t="shared" si="14"/>
        <v/>
      </c>
      <c r="BC18" s="29" t="str">
        <f t="shared" si="15"/>
        <v/>
      </c>
      <c r="BD18" s="29" t="str">
        <f>IF($P$18="FUM",$Q$18,IF($S$18="FUM",$T$18,IF($V$18="FUM",$W$18,IF($Y$18="FUM",$Z$18,IF($AB$18="FUM",$AC$18,IF($AE$18="FUM",$AF$18,IF($AH$18="FUM",$AI$18,IF($AK$18="FUM",$AL$18,IF($AN$18="FUM",$AO$18,IF($AQ$18="FUM",$AR$18,""))))))))))</f>
        <v/>
      </c>
    </row>
    <row r="19" spans="8:56" hidden="1" x14ac:dyDescent="0.25"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0</v>
      </c>
      <c r="L19" s="4">
        <f t="shared" si="1"/>
        <v>0</v>
      </c>
      <c r="O19" s="28">
        <f t="shared" si="16"/>
        <v>0</v>
      </c>
      <c r="P19" s="4">
        <f t="shared" si="2"/>
        <v>0</v>
      </c>
      <c r="Q19" s="4">
        <f t="shared" si="2"/>
        <v>0</v>
      </c>
      <c r="R19" s="4">
        <f t="shared" si="2"/>
        <v>0</v>
      </c>
      <c r="S19" s="4">
        <f t="shared" si="3"/>
        <v>0</v>
      </c>
      <c r="T19" s="4">
        <f t="shared" si="3"/>
        <v>0</v>
      </c>
      <c r="U19" s="4">
        <f t="shared" si="3"/>
        <v>0</v>
      </c>
      <c r="V19" s="4">
        <f t="shared" si="4"/>
        <v>0</v>
      </c>
      <c r="W19" s="4">
        <f t="shared" si="4"/>
        <v>0</v>
      </c>
      <c r="X19" s="4">
        <f t="shared" si="4"/>
        <v>0</v>
      </c>
      <c r="Y19" s="4">
        <f t="shared" si="5"/>
        <v>0</v>
      </c>
      <c r="Z19" s="4">
        <f t="shared" si="5"/>
        <v>0</v>
      </c>
      <c r="AA19" s="4">
        <f t="shared" si="5"/>
        <v>0</v>
      </c>
      <c r="AB19" s="4">
        <f t="shared" si="6"/>
        <v>0</v>
      </c>
      <c r="AC19" s="4">
        <f t="shared" si="6"/>
        <v>0</v>
      </c>
      <c r="AD19" s="4">
        <f t="shared" si="6"/>
        <v>0</v>
      </c>
      <c r="AE19" s="4">
        <f t="shared" si="7"/>
        <v>0</v>
      </c>
      <c r="AF19" s="4">
        <f t="shared" si="7"/>
        <v>0</v>
      </c>
      <c r="AG19" s="4">
        <f t="shared" si="7"/>
        <v>0</v>
      </c>
      <c r="AH19" s="4">
        <f t="shared" si="8"/>
        <v>0</v>
      </c>
      <c r="AI19" s="4">
        <f t="shared" si="8"/>
        <v>0</v>
      </c>
      <c r="AJ19" s="4">
        <f t="shared" si="8"/>
        <v>0</v>
      </c>
      <c r="AK19" s="4">
        <f t="shared" si="9"/>
        <v>0</v>
      </c>
      <c r="AL19" s="4">
        <f t="shared" si="9"/>
        <v>0</v>
      </c>
      <c r="AM19" s="4">
        <f t="shared" si="9"/>
        <v>0</v>
      </c>
      <c r="AN19" s="4">
        <f t="shared" si="10"/>
        <v>0</v>
      </c>
      <c r="AO19" s="4">
        <f t="shared" si="10"/>
        <v>0</v>
      </c>
      <c r="AP19" s="4">
        <f t="shared" si="10"/>
        <v>0</v>
      </c>
      <c r="AQ19" s="4">
        <f t="shared" si="11"/>
        <v>0</v>
      </c>
      <c r="AR19" s="4">
        <f t="shared" si="11"/>
        <v>0</v>
      </c>
      <c r="AT19" s="28">
        <v>6</v>
      </c>
      <c r="AU19" s="29" t="str">
        <f>IF($P$19="3L",$Q$19,IF($S$19="3L",$T$19,IF($V$19="3L",$W$19,IF($Y$19="3L",$Z$19,IF($AB$19="3L",$AC$19,IF($AE$19="3L",$AF$19,IF($AH$19="3L",$AI$19,IF($AK$19="3L",$AL$19,IF($AN$19="3L",$AO$19,IF($AQ$19="3L",$AR$19,""))))))))))</f>
        <v/>
      </c>
      <c r="AV19" s="29" t="str">
        <f>IF($P$19="4L",$Q$19,IF($S$19="4L",$T$19,IF($V$19="4L",$W$19,IF($Y$19="4L",$Z$19,IF($AB$19="4L",$AC$19,IF($AE$19="4L",$AF$19,IF($AH$19="4L",$AI$19,IF($AK$19="4L",$AL$19,IF($AN$19="4L",$AO$19,IF($AQ$19="4L",$AR$19,""))))))))))</f>
        <v/>
      </c>
      <c r="AW19" s="29" t="str">
        <f>IF($P$19="5L",$Q$19,IF($S$19="5L",$T$19,IF($V$19="5L",$W$19,IF($Y$19="5L",$Z$19,IF($AB$19="5L",$AC$19,IF($AE$19="5L",$AF$19,IF($AH$19="5L",$AI$19,IF($AK$19="5L",$AL$19,IF($AN$19="5L",$AO$19,IF($AQ$19="5L",$AR$19,""))))))))))</f>
        <v/>
      </c>
      <c r="AX19" s="29" t="str">
        <f>IF($P$19="6L",$Q$19,IF($S$19="6L",$T$19,IF($V$19="6L",$W$19,IF($Y$19="6L",$Z$19,IF($AB$19="6L",$AC$19,IF($AE$19="6L",$AF$19,IF($AH$19="6L",$AI$19,IF($AK$19="6L",$AL$19,IF($AN$19="6L",$AO$19,IF($AQ$19="6L",$AR$19,""))))))))))</f>
        <v/>
      </c>
      <c r="AY19" s="29" t="str">
        <f>IF($P$19="7L",$Q$19,IF($S$19="7L",$T$19,IF($V$19="7L",$W$19,IF($Y$19="7L",$Z$19,IF($AB$19="7L",$AC$19,IF($AE$19="7L",$AF$19,IF($AH$19="7L",$AI$19,IF($AK$19="7L",$AL$19,IF($AN$19="7L",$AO$19,IF($AQ$19="7L",$AR$19,""))))))))))</f>
        <v/>
      </c>
      <c r="AZ19" s="29" t="str">
        <f t="shared" si="12"/>
        <v/>
      </c>
      <c r="BA19" s="29" t="str">
        <f t="shared" si="13"/>
        <v/>
      </c>
      <c r="BB19" s="29" t="str">
        <f t="shared" si="14"/>
        <v/>
      </c>
      <c r="BC19" s="29" t="str">
        <f t="shared" si="15"/>
        <v/>
      </c>
      <c r="BD19" s="29" t="str">
        <f>IF($P$19="FUM",$Q$19,IF($S$19="FUM",$T$19,IF($V$19="FUM",$W$19,IF($Y$19="FUM",$Z$19,IF($AB$19="FUM",$AC$19,IF($AE$19="FUM",$AF$19,IF($AH$19="FUM",$AI$19,IF($AK$19="FUM",$AL$19,IF($AN$19="FUM",$AO$19,IF($AQ$19="FUM",$AR$19,""))))))))))</f>
        <v/>
      </c>
    </row>
    <row r="20" spans="8:56" hidden="1" x14ac:dyDescent="0.25"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0</v>
      </c>
      <c r="O20" s="28">
        <f t="shared" si="16"/>
        <v>0</v>
      </c>
      <c r="P20" s="4">
        <f t="shared" si="2"/>
        <v>0</v>
      </c>
      <c r="Q20" s="4">
        <f t="shared" si="2"/>
        <v>0</v>
      </c>
      <c r="R20" s="4">
        <f t="shared" si="2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4"/>
        <v>0</v>
      </c>
      <c r="W20" s="4">
        <f t="shared" si="4"/>
        <v>0</v>
      </c>
      <c r="X20" s="4">
        <f t="shared" si="4"/>
        <v>0</v>
      </c>
      <c r="Y20" s="4">
        <f t="shared" si="5"/>
        <v>0</v>
      </c>
      <c r="Z20" s="4">
        <f t="shared" si="5"/>
        <v>0</v>
      </c>
      <c r="AA20" s="4">
        <f t="shared" si="5"/>
        <v>0</v>
      </c>
      <c r="AB20" s="4">
        <f t="shared" si="6"/>
        <v>0</v>
      </c>
      <c r="AC20" s="4">
        <f t="shared" si="6"/>
        <v>0</v>
      </c>
      <c r="AD20" s="4">
        <f t="shared" si="6"/>
        <v>0</v>
      </c>
      <c r="AE20" s="4">
        <f t="shared" si="7"/>
        <v>0</v>
      </c>
      <c r="AF20" s="4">
        <f t="shared" si="7"/>
        <v>0</v>
      </c>
      <c r="AG20" s="4">
        <f t="shared" si="7"/>
        <v>0</v>
      </c>
      <c r="AH20" s="4">
        <f t="shared" si="8"/>
        <v>0</v>
      </c>
      <c r="AI20" s="4">
        <f t="shared" si="8"/>
        <v>0</v>
      </c>
      <c r="AJ20" s="4">
        <f t="shared" si="8"/>
        <v>0</v>
      </c>
      <c r="AK20" s="4">
        <f t="shared" si="9"/>
        <v>0</v>
      </c>
      <c r="AL20" s="4">
        <f t="shared" si="9"/>
        <v>0</v>
      </c>
      <c r="AM20" s="4">
        <f t="shared" si="9"/>
        <v>0</v>
      </c>
      <c r="AN20" s="4">
        <f t="shared" si="10"/>
        <v>0</v>
      </c>
      <c r="AO20" s="4">
        <f t="shared" si="10"/>
        <v>0</v>
      </c>
      <c r="AP20" s="4">
        <f t="shared" si="10"/>
        <v>0</v>
      </c>
      <c r="AQ20" s="4">
        <f t="shared" si="11"/>
        <v>0</v>
      </c>
      <c r="AR20" s="4">
        <f t="shared" si="11"/>
        <v>0</v>
      </c>
      <c r="AT20" s="28">
        <v>7</v>
      </c>
      <c r="AU20" s="29" t="str">
        <f>IF($P$20="3L",$Q$20,IF($S$20="3L",$T$20,IF($V$20="3L",$W$20,IF($Y$20="3L",$Z$20,IF($AB$20="3L",$AC$20,IF($AE$20="3L",$AF$20,IF($AH$20="3L",$AI$20,IF($AK$20="3L",$AL$20,IF($AN$20="3L",$AO$20,IF($AQ$20="3L",$AR$20,""))))))))))</f>
        <v/>
      </c>
      <c r="AV20" s="29" t="str">
        <f>IF($P$20="4L",$Q$20,IF($S$20="4L",$T$20,IF($V$20="4L",$W$20,IF($Y$20="4L",$Z$20,IF($AB$20="4L",$AC$20,IF($AE$20="4L",$AF$20,IF($AH$20="4L",$AI$20,IF($AK$20="4L",$AL$20,IF($AN$20="4L",$AO$20,IF($AQ$20="4L",$AR$20,""))))))))))</f>
        <v/>
      </c>
      <c r="AW20" s="29" t="str">
        <f>IF($P$20="5L",$Q$20,IF($S$20="5L",$T$20,IF($V$20="5L",$W$20,IF($Y$20="5L",$Z$20,IF($AB$20="5L",$AC$20,IF($AE$20="5L",$AF$20,IF($AH$20="5L",$AI$20,IF($AK$20="5L",$AL$20,IF($AN$20="5L",$AO$20,IF($AQ$20="5L",$AR$20,""))))))))))</f>
        <v/>
      </c>
      <c r="AX20" s="29" t="str">
        <f>IF($P$20="6L",$Q$20,IF($S$20="6L",$T$20,IF($V$20="6L",$W$20,IF($Y$20="6L",$Z$20,IF($AB$20="6L",$AC$20,IF($AE$20="6L",$AF$20,IF($AH$20="6L",$AI$20,IF($AK$20="6L",$AL$20,IF($AN$20="6L",$AO$20,IF($AQ$20="6L",$AR$20,""))))))))))</f>
        <v/>
      </c>
      <c r="AY20" s="29" t="str">
        <f>IF($P$20="7L",$Q$20,IF($S$20="7L",$T$20,IF($V$20="7L",$W$20,IF($Y$20="7L",$Z$20,IF($AB$20="7L",$AC$20,IF($AE$20="7L",$AF$20,IF($AH$20="7L",$AI$20,IF($AK$20="7L",$AL$20,IF($AN$20="7L",$AO$20,IF($AQ$20="7L",$AR$20,""))))))))))</f>
        <v/>
      </c>
      <c r="AZ20" s="29" t="str">
        <f t="shared" si="12"/>
        <v/>
      </c>
      <c r="BA20" s="29" t="str">
        <f t="shared" si="13"/>
        <v/>
      </c>
      <c r="BB20" s="29" t="str">
        <f t="shared" si="14"/>
        <v/>
      </c>
      <c r="BC20" s="29" t="str">
        <f t="shared" si="15"/>
        <v/>
      </c>
      <c r="BD20" s="29" t="str">
        <f>IF($P$20="FUM",$Q$20,IF($S$20="FUM",$T$20,IF($V$20="FUM",$W$20,IF($Y$20="FUM",$Z$20,IF($AB$20="FUM",$AC$20,IF($AE$20="FUM",$AF$20,IF($AH$20="FUM",$AI$20,IF($AK$20="FUM",$AL$20,IF($AN$20="FUM",$AO$20,IF($AQ$20="FUM",$AR$20,""))))))))))</f>
        <v/>
      </c>
    </row>
    <row r="21" spans="8:56" hidden="1" x14ac:dyDescent="0.25">
      <c r="H21" s="4">
        <f t="shared" si="1"/>
        <v>0</v>
      </c>
      <c r="I21" s="4">
        <f t="shared" si="1"/>
        <v>0</v>
      </c>
      <c r="J21" s="4">
        <f t="shared" si="1"/>
        <v>0</v>
      </c>
      <c r="K21" s="4">
        <f t="shared" si="1"/>
        <v>0</v>
      </c>
      <c r="L21" s="4">
        <f t="shared" si="1"/>
        <v>0</v>
      </c>
      <c r="O21" s="28">
        <f t="shared" si="16"/>
        <v>0</v>
      </c>
      <c r="P21" s="4">
        <f t="shared" si="2"/>
        <v>0</v>
      </c>
      <c r="Q21" s="4">
        <f t="shared" si="2"/>
        <v>0</v>
      </c>
      <c r="R21" s="4">
        <f t="shared" si="2"/>
        <v>0</v>
      </c>
      <c r="S21" s="4">
        <f t="shared" si="3"/>
        <v>0</v>
      </c>
      <c r="T21" s="4">
        <f t="shared" si="3"/>
        <v>0</v>
      </c>
      <c r="U21" s="4">
        <f t="shared" si="3"/>
        <v>0</v>
      </c>
      <c r="V21" s="4">
        <f t="shared" si="4"/>
        <v>0</v>
      </c>
      <c r="W21" s="4">
        <f t="shared" si="4"/>
        <v>0</v>
      </c>
      <c r="X21" s="4">
        <f t="shared" si="4"/>
        <v>0</v>
      </c>
      <c r="Y21" s="4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6"/>
        <v>0</v>
      </c>
      <c r="AC21" s="4">
        <f t="shared" si="6"/>
        <v>0</v>
      </c>
      <c r="AD21" s="4">
        <f t="shared" si="6"/>
        <v>0</v>
      </c>
      <c r="AE21" s="4">
        <f t="shared" si="7"/>
        <v>0</v>
      </c>
      <c r="AF21" s="4">
        <f t="shared" si="7"/>
        <v>0</v>
      </c>
      <c r="AG21" s="4">
        <f t="shared" si="7"/>
        <v>0</v>
      </c>
      <c r="AH21" s="4">
        <f t="shared" si="8"/>
        <v>0</v>
      </c>
      <c r="AI21" s="4">
        <f t="shared" si="8"/>
        <v>0</v>
      </c>
      <c r="AJ21" s="4">
        <f t="shared" si="8"/>
        <v>0</v>
      </c>
      <c r="AK21" s="4">
        <f t="shared" si="9"/>
        <v>0</v>
      </c>
      <c r="AL21" s="4">
        <f t="shared" si="9"/>
        <v>0</v>
      </c>
      <c r="AM21" s="4">
        <f t="shared" si="9"/>
        <v>0</v>
      </c>
      <c r="AN21" s="4">
        <f t="shared" si="10"/>
        <v>0</v>
      </c>
      <c r="AO21" s="4">
        <f t="shared" si="10"/>
        <v>0</v>
      </c>
      <c r="AP21" s="4">
        <f t="shared" si="10"/>
        <v>0</v>
      </c>
      <c r="AQ21" s="4">
        <f t="shared" si="11"/>
        <v>0</v>
      </c>
      <c r="AR21" s="4">
        <f t="shared" si="11"/>
        <v>0</v>
      </c>
      <c r="AT21" s="28">
        <v>8</v>
      </c>
      <c r="AU21" s="29" t="str">
        <f>IF($P$21="3L",$Q$21,IF($S$21="3L",$T$21,IF($V$21="3L",$W$21,IF($Y$21="3L",$Z$21,IF($AB$21="3L",$AC$21,IF($AE$21="3L",$AF$21,IF($AH$21="3L",$AI$21,IF($AK$21="3L",$AL$21,IF($AN$21="3L",$AO$21,IF($AQ$21="3L",$AR$21,""))))))))))</f>
        <v/>
      </c>
      <c r="AV21" s="29" t="str">
        <f>IF($P$21="4L",$Q$21,IF($S$21="4L",$T$21,IF($V$21="4L",$W$21,IF($Y$21="4L",$Z$21,IF($AB$21="4L",$AC$21,IF($AE$21="4L",$AF$21,IF($AH$21="4L",$AI$21,IF($AK$21="4L",$AL$21,IF($AN$21="4L",$AO$21,IF($AQ$21="4L",$AR$21,""))))))))))</f>
        <v/>
      </c>
      <c r="AW21" s="29" t="str">
        <f>IF($P$21="5L",$Q$21,IF($S$21="5L",$T$21,IF($V$21="5L",$W$21,IF($Y$21="5L",$Z$21,IF($AB$21="5L",$AC$21,IF($AE$21="5L",$AF$21,IF($AH$21="5L",$AI$21,IF($AK$21="5L",$AL$21,IF($AN$21="5L",$AO$21,IF($AQ$21="5L",$AR$21,""))))))))))</f>
        <v/>
      </c>
      <c r="AX21" s="29" t="str">
        <f>IF($P$21="6L",$Q$21,IF($S$21="6L",$T$21,IF($V$21="6L",$W$21,IF($Y$21="6L",$Z$21,IF($AB$21="6L",$AC$21,IF($AE$21="6L",$AF$21,IF($AH$21="6L",$AI$21,IF($AK$21="6L",$AL$21,IF($AN$21="6L",$AO$21,IF($AQ$21="6L",$AR$21,""))))))))))</f>
        <v/>
      </c>
      <c r="AY21" s="29" t="str">
        <f>IF($P$21="7L",$Q$21,IF($S$21="7L",$T$21,IF($V$21="7L",$W$21,IF($Y$21="7L",$Z$21,IF($AB$21="7L",$AC$21,IF($AE$21="7L",$AF$21,IF($AH$21="7L",$AI$21,IF($AK$21="7L",$AL$21,IF($AN$21="7L",$AO$21,IF($AQ$21="7L",$AR$21,""))))))))))</f>
        <v/>
      </c>
      <c r="AZ21" s="29" t="str">
        <f t="shared" si="12"/>
        <v/>
      </c>
      <c r="BA21" s="29" t="str">
        <f t="shared" si="13"/>
        <v/>
      </c>
      <c r="BB21" s="29" t="str">
        <f t="shared" si="14"/>
        <v/>
      </c>
      <c r="BC21" s="29" t="str">
        <f t="shared" si="15"/>
        <v/>
      </c>
      <c r="BD21" s="29" t="str">
        <f>IF($P$21="FUM",$Q$21,IF($S$21="FUM",$T$21,IF($V$21="FUM",$W$21,IF($Y$21="FUM",$Z$21,IF($AB$21="FUM",$AC$21,IF($AE$21="FUM",$AF$21,IF($AH$21="FUM",$AI$21,IF($AK$21="FUM",$AL$21,IF($AN$21="FUM",$AO$21,IF($AQ$21="FUM",$AR$21,""))))))))))</f>
        <v/>
      </c>
    </row>
    <row r="22" spans="8:56" hidden="1" x14ac:dyDescent="0.25">
      <c r="H22" s="4">
        <f t="shared" si="1"/>
        <v>0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O22" s="28">
        <f t="shared" si="16"/>
        <v>0</v>
      </c>
      <c r="P22" s="4">
        <f t="shared" si="2"/>
        <v>0</v>
      </c>
      <c r="Q22" s="4">
        <f t="shared" si="2"/>
        <v>0</v>
      </c>
      <c r="R22" s="4">
        <f t="shared" si="2"/>
        <v>0</v>
      </c>
      <c r="S22" s="4">
        <f t="shared" si="3"/>
        <v>0</v>
      </c>
      <c r="T22" s="4">
        <f t="shared" si="3"/>
        <v>0</v>
      </c>
      <c r="U22" s="4">
        <f t="shared" si="3"/>
        <v>0</v>
      </c>
      <c r="V22" s="4">
        <f t="shared" si="4"/>
        <v>0</v>
      </c>
      <c r="W22" s="4">
        <f t="shared" si="4"/>
        <v>0</v>
      </c>
      <c r="X22" s="4">
        <f t="shared" si="4"/>
        <v>0</v>
      </c>
      <c r="Y22" s="4">
        <f t="shared" si="5"/>
        <v>0</v>
      </c>
      <c r="Z22" s="4">
        <f t="shared" si="5"/>
        <v>0</v>
      </c>
      <c r="AA22" s="4">
        <f t="shared" si="5"/>
        <v>0</v>
      </c>
      <c r="AB22" s="4">
        <f t="shared" si="6"/>
        <v>0</v>
      </c>
      <c r="AC22" s="4">
        <f t="shared" si="6"/>
        <v>0</v>
      </c>
      <c r="AD22" s="4">
        <f t="shared" si="6"/>
        <v>0</v>
      </c>
      <c r="AE22" s="4">
        <f t="shared" si="7"/>
        <v>0</v>
      </c>
      <c r="AF22" s="4">
        <f t="shared" si="7"/>
        <v>0</v>
      </c>
      <c r="AG22" s="4">
        <f t="shared" si="7"/>
        <v>0</v>
      </c>
      <c r="AH22" s="4">
        <f t="shared" si="8"/>
        <v>0</v>
      </c>
      <c r="AI22" s="4">
        <f t="shared" si="8"/>
        <v>0</v>
      </c>
      <c r="AJ22" s="4">
        <f t="shared" si="8"/>
        <v>0</v>
      </c>
      <c r="AK22" s="4">
        <f t="shared" si="9"/>
        <v>0</v>
      </c>
      <c r="AL22" s="4">
        <f t="shared" si="9"/>
        <v>0</v>
      </c>
      <c r="AM22" s="4">
        <f t="shared" si="9"/>
        <v>0</v>
      </c>
      <c r="AN22" s="4">
        <f t="shared" si="10"/>
        <v>0</v>
      </c>
      <c r="AO22" s="4">
        <f t="shared" si="10"/>
        <v>0</v>
      </c>
      <c r="AP22" s="4">
        <f t="shared" si="10"/>
        <v>0</v>
      </c>
      <c r="AQ22" s="4">
        <f t="shared" si="11"/>
        <v>0</v>
      </c>
      <c r="AR22" s="4">
        <f t="shared" si="11"/>
        <v>0</v>
      </c>
      <c r="AT22" s="28">
        <v>9</v>
      </c>
      <c r="AU22" s="29" t="str">
        <f>IF($P$22="3L",$Q$22,IF($S$22="3L",$T$22,IF($V$22="3L",$W$22,IF($Y$22="3L",$Z$22,IF($AB$22="3L",$AC$22,IF($AE$22="3L",$AF$22,IF($AH$22="3L",$AI$22,IF($AK$22="3L",$AL$22,IF($AN$22="3L",$AO$22,IF($AQ$22="3L",$AR$22,""))))))))))</f>
        <v/>
      </c>
      <c r="AV22" s="29" t="str">
        <f>IF($P$22="4L",$Q$22,IF($S$22="4L",$T$22,IF($V$22="4L",$W$22,IF($Y$22="4L",$Z$22,IF($AB$22="4L",$AC$22,IF($AE$22="4L",$AF$22,IF($AH$22="4L",$AI$22,IF($AK$22="4L",$AL$22,IF($AN$22="4L",$AO$22,IF($AQ$22="4L",$AR$22,""))))))))))</f>
        <v/>
      </c>
      <c r="AW22" s="29" t="str">
        <f>IF($P$22="5L",$Q$22,IF($S$22="5L",$T$22,IF($V$22="5L",$W$22,IF($Y$22="5L",$Z$22,IF($AB$22="5L",$AC$22,IF($AE$22="5L",$AF$22,IF($AH$22="5L",$AI$22,IF($AK$22="5L",$AL$22,IF($AN$22="5L",$AO$22,IF($AQ$22="5L",$AR$22,""))))))))))</f>
        <v/>
      </c>
      <c r="AX22" s="29" t="str">
        <f>IF($P$22="6L",$Q$22,IF($S$22="6L",$T$22,IF($V$22="6L",$W$22,IF($Y$22="6L",$Z$22,IF($AB$22="6L",$AC$22,IF($AE$22="6L",$AF$22,IF($AH$22="6L",$AI$22,IF($AK$22="6L",$AL$22,IF($AN$22="6L",$AO$22,IF($AQ$22="6L",$AR$22,""))))))))))</f>
        <v/>
      </c>
      <c r="AY22" s="29" t="str">
        <f>IF($P$22="7L",$Q$22,IF($S$22="7L",$T$22,IF($V$22="7L",$W$22,IF($Y$22="7L",$Z$22,IF($AB$22="7L",$AC$22,IF($AE$22="7L",$AF$22,IF($AH$22="7L",$AI$22,IF($AK$22="7L",$AL$22,IF($AN$22="7L",$AO$22,IF($AQ$22="7L",$AR$22,""))))))))))</f>
        <v/>
      </c>
      <c r="AZ22" s="29" t="str">
        <f t="shared" si="12"/>
        <v/>
      </c>
      <c r="BA22" s="29" t="str">
        <f t="shared" si="13"/>
        <v/>
      </c>
      <c r="BB22" s="29" t="str">
        <f t="shared" si="14"/>
        <v/>
      </c>
      <c r="BC22" s="29" t="str">
        <f t="shared" si="15"/>
        <v/>
      </c>
      <c r="BD22" s="29" t="str">
        <f>IF($P$22="FUM",$Q$22,IF($S$22="FUM",$T$22,IF($V$22="FUM",$W$22,IF($Y$22="FUM",$Z$22,IF($AB$22="FUM",$AC$22,IF($AE$22="FUM",$AF$22,IF($AH$22="FUM",$AI$22,IF($AK$22="FUM",$AL$22,IF($AN$22="FUM",$AO$22,IF($AQ$22="FUM",$AR$22,""))))))))))</f>
        <v/>
      </c>
    </row>
    <row r="23" spans="8:56" hidden="1" x14ac:dyDescent="0.25">
      <c r="H23" s="4">
        <f t="shared" si="1"/>
        <v>0</v>
      </c>
      <c r="I23" s="4">
        <f t="shared" si="1"/>
        <v>0</v>
      </c>
      <c r="J23" s="4">
        <f t="shared" si="1"/>
        <v>0</v>
      </c>
      <c r="K23" s="4">
        <f t="shared" si="1"/>
        <v>0</v>
      </c>
      <c r="L23" s="4">
        <f t="shared" si="1"/>
        <v>0</v>
      </c>
      <c r="O23" s="28">
        <f t="shared" si="16"/>
        <v>0</v>
      </c>
      <c r="P23" s="4">
        <f t="shared" si="2"/>
        <v>0</v>
      </c>
      <c r="Q23" s="4">
        <f t="shared" si="2"/>
        <v>0</v>
      </c>
      <c r="R23" s="4">
        <f t="shared" si="2"/>
        <v>0</v>
      </c>
      <c r="S23" s="4">
        <f t="shared" si="3"/>
        <v>0</v>
      </c>
      <c r="T23" s="4">
        <f t="shared" si="3"/>
        <v>0</v>
      </c>
      <c r="U23" s="4">
        <f t="shared" si="3"/>
        <v>0</v>
      </c>
      <c r="V23" s="4">
        <f t="shared" si="4"/>
        <v>0</v>
      </c>
      <c r="W23" s="4">
        <f t="shared" si="4"/>
        <v>0</v>
      </c>
      <c r="X23" s="4">
        <f t="shared" si="4"/>
        <v>0</v>
      </c>
      <c r="Y23" s="4">
        <f t="shared" si="5"/>
        <v>0</v>
      </c>
      <c r="Z23" s="4">
        <f t="shared" si="5"/>
        <v>0</v>
      </c>
      <c r="AA23" s="4">
        <f t="shared" si="5"/>
        <v>0</v>
      </c>
      <c r="AB23" s="4">
        <f t="shared" si="6"/>
        <v>0</v>
      </c>
      <c r="AC23" s="4">
        <f t="shared" si="6"/>
        <v>0</v>
      </c>
      <c r="AD23" s="4">
        <f t="shared" si="6"/>
        <v>0</v>
      </c>
      <c r="AE23" s="4">
        <f t="shared" si="7"/>
        <v>0</v>
      </c>
      <c r="AF23" s="4">
        <f t="shared" si="7"/>
        <v>0</v>
      </c>
      <c r="AG23" s="4">
        <f t="shared" si="7"/>
        <v>0</v>
      </c>
      <c r="AH23" s="4">
        <f t="shared" si="8"/>
        <v>0</v>
      </c>
      <c r="AI23" s="4">
        <f t="shared" si="8"/>
        <v>0</v>
      </c>
      <c r="AJ23" s="4">
        <f t="shared" si="8"/>
        <v>0</v>
      </c>
      <c r="AK23" s="4">
        <f t="shared" si="9"/>
        <v>0</v>
      </c>
      <c r="AL23" s="4">
        <f t="shared" si="9"/>
        <v>0</v>
      </c>
      <c r="AM23" s="4">
        <f t="shared" si="9"/>
        <v>0</v>
      </c>
      <c r="AN23" s="4">
        <f t="shared" si="10"/>
        <v>0</v>
      </c>
      <c r="AO23" s="4">
        <f t="shared" si="10"/>
        <v>0</v>
      </c>
      <c r="AP23" s="4">
        <f t="shared" si="10"/>
        <v>0</v>
      </c>
      <c r="AQ23" s="4">
        <f t="shared" si="11"/>
        <v>0</v>
      </c>
      <c r="AR23" s="4">
        <f t="shared" si="11"/>
        <v>0</v>
      </c>
      <c r="AT23" s="28">
        <v>10</v>
      </c>
      <c r="AU23" s="29" t="str">
        <f>IF($P$23="3L",$Q$23,IF($S$23="3L",$T$23,IF($V$23="3L",$W$23,IF($Y$23="3L",$Z$23,IF($AB$23="3L",$AC$23,IF($AE$23="3L",$AF$23,IF($AH$23="3L",$AI$23,IF($AK$23="3L",$AL$23,IF($AN$23="3L",$AO$23,IF($AQ$23="3L",$AR$23,""))))))))))</f>
        <v/>
      </c>
      <c r="AV23" s="29" t="str">
        <f>IF($P$23="4L",$Q$23,IF($S$23="4L",$T$23,IF($V$23="4L",$W$23,IF($Y$23="4L",$Z$23,IF($AB$23="4L",$AC$23,IF($AE$23="4L",$AF$23,IF($AH$23="4L",$AI$23,IF($AK$23="4L",$AL$23,IF($AN$23="4L",$AO$23,IF($AQ$23="4L",$AR$23,""))))))))))</f>
        <v/>
      </c>
      <c r="AW23" s="29" t="str">
        <f>IF($P$23="5L",$Q$23,IF($S$23="5L",$T$23,IF($V$23="5L",$W$23,IF($Y$23="5L",$Z$23,IF($AB$23="5L",$AC$23,IF($AE$23="5L",$AF$23,IF($AH$23="5L",$AI$23,IF($AK$23="5L",$AL$23,IF($AN$23="5L",$AO$23,IF($AQ$23="5L",$AR$23,""))))))))))</f>
        <v/>
      </c>
      <c r="AX23" s="29" t="str">
        <f>IF($P$23="6L",$Q$23,IF($S$23="6L",$T$23,IF($V$23="6L",$W$23,IF($Y$23="6L",$Z$23,IF($AB$23="6L",$AC$23,IF($AE$23="6L",$AF$23,IF($AH$23="6L",$AI$23,IF($AK$23="6L",$AL$23,IF($AN$23="6L",$AO$23,IF($AQ$23="6L",$AR$23,""))))))))))</f>
        <v/>
      </c>
      <c r="AY23" s="29" t="str">
        <f>IF($P$23="7L",$Q$23,IF($S$23="7L",$T$23,IF($V$23="7L",$W$23,IF($Y$23="7L",$Z$23,IF($AB$23="7L",$AC$23,IF($AE$23="7L",$AF$23,IF($AH$23="7L",$AI$23,IF($AK$23="7L",$AL$23,IF($AN$23="7L",$AO$23,IF($AQ$23="7L",$AR$23,""))))))))))</f>
        <v/>
      </c>
      <c r="AZ23" s="29" t="str">
        <f t="shared" si="12"/>
        <v/>
      </c>
      <c r="BA23" s="29" t="str">
        <f t="shared" si="13"/>
        <v/>
      </c>
      <c r="BB23" s="29" t="str">
        <f t="shared" si="14"/>
        <v/>
      </c>
      <c r="BC23" s="29" t="str">
        <f t="shared" si="15"/>
        <v/>
      </c>
      <c r="BD23" s="29" t="str">
        <f>IF($P$23="FUM",$Q$23,IF($S$23="FUM",$T$23,IF($V$23="FUM",$W$23,IF($Y$23="FUM",$Z$23,IF($AB$23="FUM",$AC$23,IF($AE$23="FUM",$AF$23,IF($AH$23="FUM",$AI$23,IF($AK$23="FUM",$AL$23,IF($AN$23="FUM",$AO$23,IF($AQ$23="FUM",$AR$23,""))))))))))</f>
        <v/>
      </c>
    </row>
    <row r="24" spans="8:56" hidden="1" x14ac:dyDescent="0.25">
      <c r="H24" s="4" t="str">
        <f t="shared" ref="H24:L33" si="17">P2</f>
        <v>AG</v>
      </c>
      <c r="I24" s="4">
        <f t="shared" si="17"/>
        <v>1000</v>
      </c>
      <c r="J24" s="4">
        <f t="shared" si="17"/>
        <v>10</v>
      </c>
      <c r="K24" s="4" t="str">
        <f t="shared" si="17"/>
        <v>Y</v>
      </c>
      <c r="L24" s="4" t="str">
        <f t="shared" si="17"/>
        <v>3L</v>
      </c>
    </row>
    <row r="25" spans="8:56" hidden="1" x14ac:dyDescent="0.25">
      <c r="H25" s="4">
        <f t="shared" si="17"/>
        <v>0</v>
      </c>
      <c r="I25" s="4">
        <f t="shared" si="17"/>
        <v>0</v>
      </c>
      <c r="J25" s="4">
        <f t="shared" si="17"/>
        <v>0</v>
      </c>
      <c r="K25" s="4">
        <f t="shared" si="17"/>
        <v>0</v>
      </c>
      <c r="L25" s="4">
        <f t="shared" si="17"/>
        <v>0</v>
      </c>
    </row>
    <row r="26" spans="8:56" hidden="1" x14ac:dyDescent="0.25">
      <c r="H26" s="4">
        <f t="shared" si="17"/>
        <v>0</v>
      </c>
      <c r="I26" s="4">
        <f t="shared" si="17"/>
        <v>0</v>
      </c>
      <c r="J26" s="4">
        <f t="shared" si="17"/>
        <v>0</v>
      </c>
      <c r="K26" s="4">
        <f t="shared" si="17"/>
        <v>0</v>
      </c>
      <c r="L26" s="4">
        <f t="shared" si="17"/>
        <v>0</v>
      </c>
    </row>
    <row r="27" spans="8:56" hidden="1" x14ac:dyDescent="0.25">
      <c r="H27" s="4">
        <f t="shared" si="17"/>
        <v>0</v>
      </c>
      <c r="I27" s="4">
        <f t="shared" si="17"/>
        <v>0</v>
      </c>
      <c r="J27" s="4">
        <f t="shared" si="17"/>
        <v>0</v>
      </c>
      <c r="K27" s="4">
        <f t="shared" si="17"/>
        <v>0</v>
      </c>
      <c r="L27" s="4">
        <f t="shared" si="17"/>
        <v>0</v>
      </c>
    </row>
    <row r="28" spans="8:56" hidden="1" x14ac:dyDescent="0.25">
      <c r="H28" s="4">
        <f t="shared" si="17"/>
        <v>0</v>
      </c>
      <c r="I28" s="4">
        <f t="shared" si="17"/>
        <v>0</v>
      </c>
      <c r="J28" s="4">
        <f t="shared" si="17"/>
        <v>0</v>
      </c>
      <c r="K28" s="4">
        <f t="shared" si="17"/>
        <v>0</v>
      </c>
      <c r="L28" s="4">
        <f t="shared" si="17"/>
        <v>0</v>
      </c>
    </row>
    <row r="29" spans="8:56" hidden="1" x14ac:dyDescent="0.25"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</row>
    <row r="30" spans="8:56" hidden="1" x14ac:dyDescent="0.25">
      <c r="H30" s="4">
        <f t="shared" si="17"/>
        <v>0</v>
      </c>
      <c r="I30" s="4">
        <f t="shared" si="17"/>
        <v>0</v>
      </c>
      <c r="J30" s="4">
        <f t="shared" si="17"/>
        <v>0</v>
      </c>
      <c r="K30" s="4">
        <f t="shared" si="17"/>
        <v>0</v>
      </c>
      <c r="L30" s="4">
        <f t="shared" si="17"/>
        <v>0</v>
      </c>
    </row>
    <row r="31" spans="8:56" hidden="1" x14ac:dyDescent="0.25">
      <c r="H31" s="4">
        <f t="shared" si="17"/>
        <v>0</v>
      </c>
      <c r="I31" s="4">
        <f t="shared" si="17"/>
        <v>0</v>
      </c>
      <c r="J31" s="4">
        <f t="shared" si="17"/>
        <v>0</v>
      </c>
      <c r="K31" s="4">
        <f t="shared" si="17"/>
        <v>0</v>
      </c>
      <c r="L31" s="4">
        <f t="shared" si="17"/>
        <v>0</v>
      </c>
    </row>
    <row r="32" spans="8:56" hidden="1" x14ac:dyDescent="0.25">
      <c r="H32" s="4">
        <f t="shared" si="17"/>
        <v>0</v>
      </c>
      <c r="I32" s="4">
        <f t="shared" si="17"/>
        <v>0</v>
      </c>
      <c r="J32" s="4">
        <f t="shared" si="17"/>
        <v>0</v>
      </c>
      <c r="K32" s="4">
        <f t="shared" si="17"/>
        <v>0</v>
      </c>
      <c r="L32" s="4">
        <f t="shared" si="17"/>
        <v>0</v>
      </c>
    </row>
    <row r="33" spans="8:12" hidden="1" x14ac:dyDescent="0.25">
      <c r="H33" s="4">
        <f t="shared" si="17"/>
        <v>0</v>
      </c>
      <c r="I33" s="4">
        <f t="shared" si="17"/>
        <v>0</v>
      </c>
      <c r="J33" s="4">
        <f t="shared" si="17"/>
        <v>0</v>
      </c>
      <c r="K33" s="4">
        <f t="shared" si="17"/>
        <v>0</v>
      </c>
      <c r="L33" s="4">
        <f t="shared" si="17"/>
        <v>0</v>
      </c>
    </row>
    <row r="34" spans="8:12" hidden="1" x14ac:dyDescent="0.25">
      <c r="H34" s="4" t="str">
        <f t="shared" ref="H34:L43" si="18">V2</f>
        <v>AG</v>
      </c>
      <c r="I34" s="4">
        <f t="shared" si="18"/>
        <v>750</v>
      </c>
      <c r="J34" s="4">
        <f t="shared" si="18"/>
        <v>10</v>
      </c>
      <c r="K34" s="4" t="str">
        <f t="shared" si="18"/>
        <v>Y</v>
      </c>
      <c r="L34" s="4" t="str">
        <f t="shared" si="18"/>
        <v>3L</v>
      </c>
    </row>
    <row r="35" spans="8:12" hidden="1" x14ac:dyDescent="0.25">
      <c r="H35" s="4">
        <f t="shared" si="18"/>
        <v>0</v>
      </c>
      <c r="I35" s="4">
        <f t="shared" si="18"/>
        <v>0</v>
      </c>
      <c r="J35" s="4">
        <f t="shared" si="18"/>
        <v>0</v>
      </c>
      <c r="K35" s="4">
        <f t="shared" si="18"/>
        <v>0</v>
      </c>
      <c r="L35" s="4">
        <f t="shared" si="18"/>
        <v>0</v>
      </c>
    </row>
    <row r="36" spans="8:12" hidden="1" x14ac:dyDescent="0.25">
      <c r="H36" s="4">
        <f t="shared" si="18"/>
        <v>0</v>
      </c>
      <c r="I36" s="4">
        <f t="shared" si="18"/>
        <v>0</v>
      </c>
      <c r="J36" s="4">
        <f t="shared" si="18"/>
        <v>0</v>
      </c>
      <c r="K36" s="4">
        <f t="shared" si="18"/>
        <v>0</v>
      </c>
      <c r="L36" s="4">
        <f t="shared" si="18"/>
        <v>0</v>
      </c>
    </row>
    <row r="37" spans="8:12" hidden="1" x14ac:dyDescent="0.25">
      <c r="H37" s="4">
        <f t="shared" si="18"/>
        <v>0</v>
      </c>
      <c r="I37" s="4">
        <f t="shared" si="18"/>
        <v>0</v>
      </c>
      <c r="J37" s="4">
        <f t="shared" si="18"/>
        <v>0</v>
      </c>
      <c r="K37" s="4">
        <f t="shared" si="18"/>
        <v>0</v>
      </c>
      <c r="L37" s="4">
        <f t="shared" si="18"/>
        <v>0</v>
      </c>
    </row>
    <row r="38" spans="8:12" hidden="1" x14ac:dyDescent="0.25">
      <c r="H38" s="4">
        <f t="shared" si="18"/>
        <v>0</v>
      </c>
      <c r="I38" s="4">
        <f t="shared" si="18"/>
        <v>0</v>
      </c>
      <c r="J38" s="4">
        <f t="shared" si="18"/>
        <v>0</v>
      </c>
      <c r="K38" s="4">
        <f t="shared" si="18"/>
        <v>0</v>
      </c>
      <c r="L38" s="4">
        <f t="shared" si="18"/>
        <v>0</v>
      </c>
    </row>
    <row r="39" spans="8:12" hidden="1" x14ac:dyDescent="0.25">
      <c r="H39" s="4">
        <f t="shared" si="18"/>
        <v>0</v>
      </c>
      <c r="I39" s="4">
        <f t="shared" si="18"/>
        <v>0</v>
      </c>
      <c r="J39" s="4">
        <f t="shared" si="18"/>
        <v>0</v>
      </c>
      <c r="K39" s="4">
        <f t="shared" si="18"/>
        <v>0</v>
      </c>
      <c r="L39" s="4">
        <f t="shared" si="18"/>
        <v>0</v>
      </c>
    </row>
    <row r="40" spans="8:12" hidden="1" x14ac:dyDescent="0.25">
      <c r="H40" s="4">
        <f t="shared" si="18"/>
        <v>0</v>
      </c>
      <c r="I40" s="4">
        <f t="shared" si="18"/>
        <v>0</v>
      </c>
      <c r="J40" s="4">
        <f t="shared" si="18"/>
        <v>0</v>
      </c>
      <c r="K40" s="4">
        <f t="shared" si="18"/>
        <v>0</v>
      </c>
      <c r="L40" s="4">
        <f t="shared" si="18"/>
        <v>0</v>
      </c>
    </row>
    <row r="41" spans="8:12" hidden="1" x14ac:dyDescent="0.25">
      <c r="H41" s="4">
        <f t="shared" si="18"/>
        <v>0</v>
      </c>
      <c r="I41" s="4">
        <f t="shared" si="18"/>
        <v>0</v>
      </c>
      <c r="J41" s="4">
        <f t="shared" si="18"/>
        <v>0</v>
      </c>
      <c r="K41" s="4">
        <f t="shared" si="18"/>
        <v>0</v>
      </c>
      <c r="L41" s="4">
        <f t="shared" si="18"/>
        <v>0</v>
      </c>
    </row>
    <row r="42" spans="8:12" hidden="1" x14ac:dyDescent="0.25">
      <c r="H42" s="4">
        <f t="shared" si="18"/>
        <v>0</v>
      </c>
      <c r="I42" s="4">
        <f t="shared" si="18"/>
        <v>0</v>
      </c>
      <c r="J42" s="4">
        <f t="shared" si="18"/>
        <v>0</v>
      </c>
      <c r="K42" s="4">
        <f t="shared" si="18"/>
        <v>0</v>
      </c>
      <c r="L42" s="4">
        <f t="shared" si="18"/>
        <v>0</v>
      </c>
    </row>
    <row r="43" spans="8:12" hidden="1" x14ac:dyDescent="0.25">
      <c r="H43" s="4">
        <f t="shared" si="18"/>
        <v>0</v>
      </c>
      <c r="I43" s="4">
        <f t="shared" si="18"/>
        <v>0</v>
      </c>
      <c r="J43" s="4">
        <f t="shared" si="18"/>
        <v>0</v>
      </c>
      <c r="K43" s="4">
        <f t="shared" si="18"/>
        <v>0</v>
      </c>
      <c r="L43" s="4">
        <f t="shared" si="18"/>
        <v>0</v>
      </c>
    </row>
    <row r="44" spans="8:12" hidden="1" x14ac:dyDescent="0.25">
      <c r="H44" s="4" t="str">
        <f t="shared" ref="H44:L53" si="19">AB2</f>
        <v>AG</v>
      </c>
      <c r="I44" s="4">
        <f t="shared" si="19"/>
        <v>500</v>
      </c>
      <c r="J44" s="4">
        <f t="shared" si="19"/>
        <v>20</v>
      </c>
      <c r="K44" s="4" t="str">
        <f t="shared" si="19"/>
        <v>Y</v>
      </c>
      <c r="L44" s="4" t="str">
        <f t="shared" si="19"/>
        <v>3L</v>
      </c>
    </row>
    <row r="45" spans="8:12" hidden="1" x14ac:dyDescent="0.25">
      <c r="H45" s="4">
        <f t="shared" si="19"/>
        <v>0</v>
      </c>
      <c r="I45" s="4">
        <f t="shared" si="19"/>
        <v>0</v>
      </c>
      <c r="J45" s="4">
        <f t="shared" si="19"/>
        <v>0</v>
      </c>
      <c r="K45" s="4">
        <f t="shared" si="19"/>
        <v>0</v>
      </c>
      <c r="L45" s="4">
        <f t="shared" si="19"/>
        <v>0</v>
      </c>
    </row>
    <row r="46" spans="8:12" hidden="1" x14ac:dyDescent="0.25">
      <c r="H46" s="4">
        <f t="shared" si="19"/>
        <v>0</v>
      </c>
      <c r="I46" s="4">
        <f t="shared" si="19"/>
        <v>0</v>
      </c>
      <c r="J46" s="4">
        <f t="shared" si="19"/>
        <v>0</v>
      </c>
      <c r="K46" s="4">
        <f t="shared" si="19"/>
        <v>0</v>
      </c>
      <c r="L46" s="4">
        <f t="shared" si="19"/>
        <v>0</v>
      </c>
    </row>
    <row r="47" spans="8:12" hidden="1" x14ac:dyDescent="0.25">
      <c r="H47" s="4">
        <f t="shared" si="19"/>
        <v>0</v>
      </c>
      <c r="I47" s="4">
        <f t="shared" si="19"/>
        <v>0</v>
      </c>
      <c r="J47" s="4">
        <f t="shared" si="19"/>
        <v>0</v>
      </c>
      <c r="K47" s="4">
        <f t="shared" si="19"/>
        <v>0</v>
      </c>
      <c r="L47" s="4">
        <f t="shared" si="19"/>
        <v>0</v>
      </c>
    </row>
    <row r="48" spans="8:12" hidden="1" x14ac:dyDescent="0.25">
      <c r="H48" s="4">
        <f t="shared" si="19"/>
        <v>0</v>
      </c>
      <c r="I48" s="4">
        <f t="shared" si="19"/>
        <v>0</v>
      </c>
      <c r="J48" s="4">
        <f t="shared" si="19"/>
        <v>0</v>
      </c>
      <c r="K48" s="4">
        <f t="shared" si="19"/>
        <v>0</v>
      </c>
      <c r="L48" s="4">
        <f t="shared" si="19"/>
        <v>0</v>
      </c>
    </row>
    <row r="49" spans="8:12" hidden="1" x14ac:dyDescent="0.25">
      <c r="H49" s="4">
        <f t="shared" si="19"/>
        <v>0</v>
      </c>
      <c r="I49" s="4">
        <f t="shared" si="19"/>
        <v>0</v>
      </c>
      <c r="J49" s="4">
        <f t="shared" si="19"/>
        <v>0</v>
      </c>
      <c r="K49" s="4">
        <f t="shared" si="19"/>
        <v>0</v>
      </c>
      <c r="L49" s="4">
        <f t="shared" si="19"/>
        <v>0</v>
      </c>
    </row>
    <row r="50" spans="8:12" hidden="1" x14ac:dyDescent="0.25">
      <c r="H50" s="4">
        <f t="shared" si="19"/>
        <v>0</v>
      </c>
      <c r="I50" s="4">
        <f t="shared" si="19"/>
        <v>0</v>
      </c>
      <c r="J50" s="4">
        <f t="shared" si="19"/>
        <v>0</v>
      </c>
      <c r="K50" s="4">
        <f t="shared" si="19"/>
        <v>0</v>
      </c>
      <c r="L50" s="4">
        <f t="shared" si="19"/>
        <v>0</v>
      </c>
    </row>
    <row r="51" spans="8:12" hidden="1" x14ac:dyDescent="0.25">
      <c r="H51" s="4">
        <f t="shared" si="19"/>
        <v>0</v>
      </c>
      <c r="I51" s="4">
        <f t="shared" si="19"/>
        <v>0</v>
      </c>
      <c r="J51" s="4">
        <f t="shared" si="19"/>
        <v>0</v>
      </c>
      <c r="K51" s="4">
        <f t="shared" si="19"/>
        <v>0</v>
      </c>
      <c r="L51" s="4">
        <f t="shared" si="19"/>
        <v>0</v>
      </c>
    </row>
    <row r="52" spans="8:12" hidden="1" x14ac:dyDescent="0.25">
      <c r="H52" s="4">
        <f t="shared" si="19"/>
        <v>0</v>
      </c>
      <c r="I52" s="4">
        <f t="shared" si="19"/>
        <v>0</v>
      </c>
      <c r="J52" s="4">
        <f t="shared" si="19"/>
        <v>0</v>
      </c>
      <c r="K52" s="4">
        <f t="shared" si="19"/>
        <v>0</v>
      </c>
      <c r="L52" s="4">
        <f t="shared" si="19"/>
        <v>0</v>
      </c>
    </row>
    <row r="53" spans="8:12" hidden="1" x14ac:dyDescent="0.25">
      <c r="H53" s="4">
        <f t="shared" si="19"/>
        <v>0</v>
      </c>
      <c r="I53" s="4">
        <f t="shared" si="19"/>
        <v>0</v>
      </c>
      <c r="J53" s="4">
        <f t="shared" si="19"/>
        <v>0</v>
      </c>
      <c r="K53" s="4">
        <f t="shared" si="19"/>
        <v>0</v>
      </c>
      <c r="L53" s="4">
        <f t="shared" si="19"/>
        <v>0</v>
      </c>
    </row>
    <row r="54" spans="8:12" hidden="1" x14ac:dyDescent="0.25">
      <c r="H54" s="4">
        <f t="shared" ref="H54:L63" si="20">AH2</f>
        <v>0</v>
      </c>
      <c r="I54" s="4">
        <f t="shared" si="20"/>
        <v>0</v>
      </c>
      <c r="J54" s="4">
        <f t="shared" si="20"/>
        <v>0</v>
      </c>
      <c r="K54" s="4">
        <f t="shared" si="20"/>
        <v>0</v>
      </c>
      <c r="L54" s="4">
        <f t="shared" si="20"/>
        <v>0</v>
      </c>
    </row>
    <row r="55" spans="8:12" hidden="1" x14ac:dyDescent="0.25">
      <c r="H55" s="4">
        <f t="shared" si="20"/>
        <v>0</v>
      </c>
      <c r="I55" s="4">
        <f t="shared" si="20"/>
        <v>0</v>
      </c>
      <c r="J55" s="4">
        <f t="shared" si="20"/>
        <v>0</v>
      </c>
      <c r="K55" s="4">
        <f t="shared" si="20"/>
        <v>0</v>
      </c>
      <c r="L55" s="4">
        <f t="shared" si="20"/>
        <v>0</v>
      </c>
    </row>
    <row r="56" spans="8:12" hidden="1" x14ac:dyDescent="0.25">
      <c r="H56" s="4">
        <f t="shared" si="20"/>
        <v>0</v>
      </c>
      <c r="I56" s="4">
        <f t="shared" si="20"/>
        <v>0</v>
      </c>
      <c r="J56" s="4">
        <f t="shared" si="20"/>
        <v>0</v>
      </c>
      <c r="K56" s="4">
        <f t="shared" si="20"/>
        <v>0</v>
      </c>
      <c r="L56" s="4">
        <f t="shared" si="20"/>
        <v>0</v>
      </c>
    </row>
    <row r="57" spans="8:12" hidden="1" x14ac:dyDescent="0.25">
      <c r="H57" s="4">
        <f t="shared" si="20"/>
        <v>0</v>
      </c>
      <c r="I57" s="4">
        <f t="shared" si="20"/>
        <v>0</v>
      </c>
      <c r="J57" s="4">
        <f t="shared" si="20"/>
        <v>0</v>
      </c>
      <c r="K57" s="4">
        <f t="shared" si="20"/>
        <v>0</v>
      </c>
      <c r="L57" s="4">
        <f t="shared" si="20"/>
        <v>0</v>
      </c>
    </row>
    <row r="58" spans="8:12" hidden="1" x14ac:dyDescent="0.25">
      <c r="H58" s="4">
        <f t="shared" si="20"/>
        <v>0</v>
      </c>
      <c r="I58" s="4">
        <f t="shared" si="20"/>
        <v>0</v>
      </c>
      <c r="J58" s="4">
        <f t="shared" si="20"/>
        <v>0</v>
      </c>
      <c r="K58" s="4">
        <f t="shared" si="20"/>
        <v>0</v>
      </c>
      <c r="L58" s="4">
        <f t="shared" si="20"/>
        <v>0</v>
      </c>
    </row>
    <row r="59" spans="8:12" hidden="1" x14ac:dyDescent="0.25">
      <c r="H59" s="4">
        <f t="shared" si="20"/>
        <v>0</v>
      </c>
      <c r="I59" s="4">
        <f t="shared" si="20"/>
        <v>0</v>
      </c>
      <c r="J59" s="4">
        <f t="shared" si="20"/>
        <v>0</v>
      </c>
      <c r="K59" s="4">
        <f t="shared" si="20"/>
        <v>0</v>
      </c>
      <c r="L59" s="4">
        <f t="shared" si="20"/>
        <v>0</v>
      </c>
    </row>
    <row r="60" spans="8:12" hidden="1" x14ac:dyDescent="0.25">
      <c r="H60" s="4">
        <f t="shared" si="20"/>
        <v>0</v>
      </c>
      <c r="I60" s="4">
        <f t="shared" si="20"/>
        <v>0</v>
      </c>
      <c r="J60" s="4">
        <f t="shared" si="20"/>
        <v>0</v>
      </c>
      <c r="K60" s="4">
        <f t="shared" si="20"/>
        <v>0</v>
      </c>
      <c r="L60" s="4">
        <f t="shared" si="20"/>
        <v>0</v>
      </c>
    </row>
    <row r="61" spans="8:12" hidden="1" x14ac:dyDescent="0.25">
      <c r="H61" s="4">
        <f t="shared" si="20"/>
        <v>0</v>
      </c>
      <c r="I61" s="4">
        <f t="shared" si="20"/>
        <v>0</v>
      </c>
      <c r="J61" s="4">
        <f t="shared" si="20"/>
        <v>0</v>
      </c>
      <c r="K61" s="4">
        <f t="shared" si="20"/>
        <v>0</v>
      </c>
      <c r="L61" s="4">
        <f t="shared" si="20"/>
        <v>0</v>
      </c>
    </row>
    <row r="62" spans="8:12" hidden="1" x14ac:dyDescent="0.25">
      <c r="H62" s="4">
        <f t="shared" si="20"/>
        <v>0</v>
      </c>
      <c r="I62" s="4">
        <f t="shared" si="20"/>
        <v>0</v>
      </c>
      <c r="J62" s="4">
        <f t="shared" si="20"/>
        <v>0</v>
      </c>
      <c r="K62" s="4">
        <f t="shared" si="20"/>
        <v>0</v>
      </c>
      <c r="L62" s="4">
        <f t="shared" si="20"/>
        <v>0</v>
      </c>
    </row>
    <row r="63" spans="8:12" hidden="1" x14ac:dyDescent="0.25">
      <c r="H63" s="4">
        <f t="shared" si="20"/>
        <v>0</v>
      </c>
      <c r="I63" s="4">
        <f t="shared" si="20"/>
        <v>0</v>
      </c>
      <c r="J63" s="4">
        <f t="shared" si="20"/>
        <v>0</v>
      </c>
      <c r="K63" s="4">
        <f t="shared" si="20"/>
        <v>0</v>
      </c>
      <c r="L63" s="4">
        <f t="shared" si="20"/>
        <v>0</v>
      </c>
    </row>
    <row r="64" spans="8:12" hidden="1" x14ac:dyDescent="0.25">
      <c r="H64" s="4">
        <f t="shared" ref="H64:L73" si="21">AN2</f>
        <v>0</v>
      </c>
      <c r="I64" s="4">
        <f t="shared" si="21"/>
        <v>0</v>
      </c>
      <c r="J64" s="4">
        <f t="shared" si="21"/>
        <v>0</v>
      </c>
      <c r="K64" s="4">
        <f t="shared" si="21"/>
        <v>0</v>
      </c>
      <c r="L64" s="4">
        <f t="shared" si="21"/>
        <v>0</v>
      </c>
    </row>
    <row r="65" spans="8:12" hidden="1" x14ac:dyDescent="0.25">
      <c r="H65" s="4">
        <f t="shared" si="21"/>
        <v>0</v>
      </c>
      <c r="I65" s="4">
        <f t="shared" si="21"/>
        <v>0</v>
      </c>
      <c r="J65" s="4">
        <f t="shared" si="21"/>
        <v>0</v>
      </c>
      <c r="K65" s="4">
        <f t="shared" si="21"/>
        <v>0</v>
      </c>
      <c r="L65" s="4">
        <f t="shared" si="21"/>
        <v>0</v>
      </c>
    </row>
    <row r="66" spans="8:12" hidden="1" x14ac:dyDescent="0.25">
      <c r="H66" s="4">
        <f t="shared" si="21"/>
        <v>0</v>
      </c>
      <c r="I66" s="4">
        <f t="shared" si="21"/>
        <v>0</v>
      </c>
      <c r="J66" s="4">
        <f t="shared" si="21"/>
        <v>0</v>
      </c>
      <c r="K66" s="4">
        <f t="shared" si="21"/>
        <v>0</v>
      </c>
      <c r="L66" s="4">
        <f t="shared" si="21"/>
        <v>0</v>
      </c>
    </row>
    <row r="67" spans="8:12" hidden="1" x14ac:dyDescent="0.25">
      <c r="H67" s="4">
        <f t="shared" si="21"/>
        <v>0</v>
      </c>
      <c r="I67" s="4">
        <f t="shared" si="21"/>
        <v>0</v>
      </c>
      <c r="J67" s="4">
        <f t="shared" si="21"/>
        <v>0</v>
      </c>
      <c r="K67" s="4">
        <f t="shared" si="21"/>
        <v>0</v>
      </c>
      <c r="L67" s="4">
        <f t="shared" si="21"/>
        <v>0</v>
      </c>
    </row>
    <row r="68" spans="8:12" hidden="1" x14ac:dyDescent="0.25">
      <c r="H68" s="4">
        <f t="shared" si="21"/>
        <v>0</v>
      </c>
      <c r="I68" s="4">
        <f t="shared" si="21"/>
        <v>0</v>
      </c>
      <c r="J68" s="4">
        <f t="shared" si="21"/>
        <v>0</v>
      </c>
      <c r="K68" s="4">
        <f t="shared" si="21"/>
        <v>0</v>
      </c>
      <c r="L68" s="4">
        <f t="shared" si="21"/>
        <v>0</v>
      </c>
    </row>
    <row r="69" spans="8:12" hidden="1" x14ac:dyDescent="0.25">
      <c r="H69" s="4">
        <f t="shared" si="21"/>
        <v>0</v>
      </c>
      <c r="I69" s="4">
        <f t="shared" si="21"/>
        <v>0</v>
      </c>
      <c r="J69" s="4">
        <f t="shared" si="21"/>
        <v>0</v>
      </c>
      <c r="K69" s="4">
        <f t="shared" si="21"/>
        <v>0</v>
      </c>
      <c r="L69" s="4">
        <f t="shared" si="21"/>
        <v>0</v>
      </c>
    </row>
    <row r="70" spans="8:12" hidden="1" x14ac:dyDescent="0.25">
      <c r="H70" s="4">
        <f t="shared" si="21"/>
        <v>0</v>
      </c>
      <c r="I70" s="4">
        <f t="shared" si="21"/>
        <v>0</v>
      </c>
      <c r="J70" s="4">
        <f t="shared" si="21"/>
        <v>0</v>
      </c>
      <c r="K70" s="4">
        <f t="shared" si="21"/>
        <v>0</v>
      </c>
      <c r="L70" s="4">
        <f t="shared" si="21"/>
        <v>0</v>
      </c>
    </row>
    <row r="71" spans="8:12" hidden="1" x14ac:dyDescent="0.25">
      <c r="H71" s="4">
        <f t="shared" si="21"/>
        <v>0</v>
      </c>
      <c r="I71" s="4">
        <f t="shared" si="21"/>
        <v>0</v>
      </c>
      <c r="J71" s="4">
        <f t="shared" si="21"/>
        <v>0</v>
      </c>
      <c r="K71" s="4">
        <f t="shared" si="21"/>
        <v>0</v>
      </c>
      <c r="L71" s="4">
        <f t="shared" si="21"/>
        <v>0</v>
      </c>
    </row>
    <row r="72" spans="8:12" hidden="1" x14ac:dyDescent="0.25">
      <c r="H72" s="4">
        <f t="shared" si="21"/>
        <v>0</v>
      </c>
      <c r="I72" s="4">
        <f t="shared" si="21"/>
        <v>0</v>
      </c>
      <c r="J72" s="4">
        <f t="shared" si="21"/>
        <v>0</v>
      </c>
      <c r="K72" s="4">
        <f t="shared" si="21"/>
        <v>0</v>
      </c>
      <c r="L72" s="4">
        <f t="shared" si="21"/>
        <v>0</v>
      </c>
    </row>
    <row r="73" spans="8:12" hidden="1" x14ac:dyDescent="0.25">
      <c r="H73" s="4">
        <f t="shared" si="21"/>
        <v>0</v>
      </c>
      <c r="I73" s="4">
        <f t="shared" si="21"/>
        <v>0</v>
      </c>
      <c r="J73" s="4">
        <f t="shared" si="21"/>
        <v>0</v>
      </c>
      <c r="K73" s="4">
        <f t="shared" si="21"/>
        <v>0</v>
      </c>
      <c r="L73" s="4">
        <f t="shared" si="21"/>
        <v>0</v>
      </c>
    </row>
    <row r="74" spans="8:12" hidden="1" x14ac:dyDescent="0.25">
      <c r="H74" s="4">
        <f t="shared" ref="H74:L83" si="22">AT2</f>
        <v>0</v>
      </c>
      <c r="I74" s="4">
        <f t="shared" si="22"/>
        <v>0</v>
      </c>
      <c r="J74" s="4">
        <f t="shared" si="22"/>
        <v>0</v>
      </c>
      <c r="K74" s="4">
        <f t="shared" si="22"/>
        <v>0</v>
      </c>
      <c r="L74" s="4">
        <f t="shared" si="22"/>
        <v>0</v>
      </c>
    </row>
    <row r="75" spans="8:12" hidden="1" x14ac:dyDescent="0.25">
      <c r="H75" s="4">
        <f t="shared" si="22"/>
        <v>0</v>
      </c>
      <c r="I75" s="4">
        <f t="shared" si="22"/>
        <v>0</v>
      </c>
      <c r="J75" s="4">
        <f t="shared" si="22"/>
        <v>0</v>
      </c>
      <c r="K75" s="4">
        <f t="shared" si="22"/>
        <v>0</v>
      </c>
      <c r="L75" s="4">
        <f t="shared" si="22"/>
        <v>0</v>
      </c>
    </row>
    <row r="76" spans="8:12" hidden="1" x14ac:dyDescent="0.25"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0</v>
      </c>
    </row>
    <row r="77" spans="8:12" hidden="1" x14ac:dyDescent="0.25">
      <c r="H77" s="4">
        <f t="shared" si="22"/>
        <v>0</v>
      </c>
      <c r="I77" s="4">
        <f t="shared" si="22"/>
        <v>0</v>
      </c>
      <c r="J77" s="4">
        <f t="shared" si="22"/>
        <v>0</v>
      </c>
      <c r="K77" s="4">
        <f t="shared" si="22"/>
        <v>0</v>
      </c>
      <c r="L77" s="4">
        <f t="shared" si="22"/>
        <v>0</v>
      </c>
    </row>
    <row r="78" spans="8:12" hidden="1" x14ac:dyDescent="0.25">
      <c r="H78" s="4">
        <f t="shared" si="22"/>
        <v>0</v>
      </c>
      <c r="I78" s="4">
        <f t="shared" si="22"/>
        <v>0</v>
      </c>
      <c r="J78" s="4">
        <f t="shared" si="22"/>
        <v>0</v>
      </c>
      <c r="K78" s="4">
        <f t="shared" si="22"/>
        <v>0</v>
      </c>
      <c r="L78" s="4">
        <f t="shared" si="22"/>
        <v>0</v>
      </c>
    </row>
    <row r="79" spans="8:12" hidden="1" x14ac:dyDescent="0.25">
      <c r="H79" s="4">
        <f t="shared" si="22"/>
        <v>0</v>
      </c>
      <c r="I79" s="4">
        <f t="shared" si="22"/>
        <v>0</v>
      </c>
      <c r="J79" s="4">
        <f t="shared" si="22"/>
        <v>0</v>
      </c>
      <c r="K79" s="4">
        <f t="shared" si="22"/>
        <v>0</v>
      </c>
      <c r="L79" s="4">
        <f t="shared" si="22"/>
        <v>0</v>
      </c>
    </row>
    <row r="80" spans="8:12" hidden="1" x14ac:dyDescent="0.25">
      <c r="H80" s="4">
        <f t="shared" si="22"/>
        <v>0</v>
      </c>
      <c r="I80" s="4">
        <f t="shared" si="22"/>
        <v>0</v>
      </c>
      <c r="J80" s="4">
        <f t="shared" si="22"/>
        <v>0</v>
      </c>
      <c r="K80" s="4">
        <f t="shared" si="22"/>
        <v>0</v>
      </c>
      <c r="L80" s="4">
        <f t="shared" si="22"/>
        <v>0</v>
      </c>
    </row>
    <row r="81" spans="8:12" hidden="1" x14ac:dyDescent="0.25">
      <c r="H81" s="4">
        <f t="shared" si="22"/>
        <v>0</v>
      </c>
      <c r="I81" s="4">
        <f t="shared" si="22"/>
        <v>0</v>
      </c>
      <c r="J81" s="4">
        <f t="shared" si="22"/>
        <v>0</v>
      </c>
      <c r="K81" s="4">
        <f t="shared" si="22"/>
        <v>0</v>
      </c>
      <c r="L81" s="4">
        <f t="shared" si="22"/>
        <v>0</v>
      </c>
    </row>
    <row r="82" spans="8:12" hidden="1" x14ac:dyDescent="0.25"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</row>
    <row r="83" spans="8:12" hidden="1" x14ac:dyDescent="0.25">
      <c r="H83" s="4">
        <f t="shared" si="22"/>
        <v>0</v>
      </c>
      <c r="I83" s="4">
        <f t="shared" si="22"/>
        <v>0</v>
      </c>
      <c r="J83" s="4">
        <f t="shared" si="22"/>
        <v>0</v>
      </c>
      <c r="K83" s="4">
        <f t="shared" si="22"/>
        <v>0</v>
      </c>
      <c r="L83" s="4">
        <f t="shared" si="22"/>
        <v>0</v>
      </c>
    </row>
    <row r="84" spans="8:12" hidden="1" x14ac:dyDescent="0.25">
      <c r="H84" s="4">
        <f t="shared" ref="H84:L93" si="23">AZ2</f>
        <v>0</v>
      </c>
      <c r="I84" s="4">
        <f t="shared" si="23"/>
        <v>0</v>
      </c>
      <c r="J84" s="4">
        <f t="shared" si="23"/>
        <v>0</v>
      </c>
      <c r="K84" s="4">
        <f t="shared" si="23"/>
        <v>0</v>
      </c>
      <c r="L84" s="4">
        <f t="shared" si="23"/>
        <v>0</v>
      </c>
    </row>
    <row r="85" spans="8:12" hidden="1" x14ac:dyDescent="0.25">
      <c r="H85" s="4">
        <f t="shared" si="23"/>
        <v>0</v>
      </c>
      <c r="I85" s="4">
        <f t="shared" si="23"/>
        <v>0</v>
      </c>
      <c r="J85" s="4">
        <f t="shared" si="23"/>
        <v>0</v>
      </c>
      <c r="K85" s="4">
        <f t="shared" si="23"/>
        <v>0</v>
      </c>
      <c r="L85" s="4">
        <f t="shared" si="23"/>
        <v>0</v>
      </c>
    </row>
    <row r="86" spans="8:12" hidden="1" x14ac:dyDescent="0.25">
      <c r="H86" s="4">
        <f t="shared" si="23"/>
        <v>0</v>
      </c>
      <c r="I86" s="4">
        <f t="shared" si="23"/>
        <v>0</v>
      </c>
      <c r="J86" s="4">
        <f t="shared" si="23"/>
        <v>0</v>
      </c>
      <c r="K86" s="4">
        <f t="shared" si="23"/>
        <v>0</v>
      </c>
      <c r="L86" s="4">
        <f t="shared" si="23"/>
        <v>0</v>
      </c>
    </row>
    <row r="87" spans="8:12" hidden="1" x14ac:dyDescent="0.25">
      <c r="H87" s="4">
        <f t="shared" si="23"/>
        <v>0</v>
      </c>
      <c r="I87" s="4">
        <f t="shared" si="23"/>
        <v>0</v>
      </c>
      <c r="J87" s="4">
        <f t="shared" si="23"/>
        <v>0</v>
      </c>
      <c r="K87" s="4">
        <f t="shared" si="23"/>
        <v>0</v>
      </c>
      <c r="L87" s="4">
        <f t="shared" si="23"/>
        <v>0</v>
      </c>
    </row>
    <row r="88" spans="8:12" hidden="1" x14ac:dyDescent="0.25">
      <c r="H88" s="4">
        <f t="shared" si="23"/>
        <v>0</v>
      </c>
      <c r="I88" s="4">
        <f t="shared" si="23"/>
        <v>0</v>
      </c>
      <c r="J88" s="4">
        <f t="shared" si="23"/>
        <v>0</v>
      </c>
      <c r="K88" s="4">
        <f t="shared" si="23"/>
        <v>0</v>
      </c>
      <c r="L88" s="4">
        <f t="shared" si="23"/>
        <v>0</v>
      </c>
    </row>
    <row r="89" spans="8:12" hidden="1" x14ac:dyDescent="0.25">
      <c r="H89" s="4">
        <f t="shared" si="23"/>
        <v>0</v>
      </c>
      <c r="I89" s="4">
        <f t="shared" si="23"/>
        <v>0</v>
      </c>
      <c r="J89" s="4">
        <f t="shared" si="23"/>
        <v>0</v>
      </c>
      <c r="K89" s="4">
        <f t="shared" si="23"/>
        <v>0</v>
      </c>
      <c r="L89" s="4">
        <f t="shared" si="23"/>
        <v>0</v>
      </c>
    </row>
    <row r="90" spans="8:12" hidden="1" x14ac:dyDescent="0.25">
      <c r="H90" s="4">
        <f t="shared" si="23"/>
        <v>0</v>
      </c>
      <c r="I90" s="4">
        <f t="shared" si="23"/>
        <v>0</v>
      </c>
      <c r="J90" s="4">
        <f t="shared" si="23"/>
        <v>0</v>
      </c>
      <c r="K90" s="4">
        <f t="shared" si="23"/>
        <v>0</v>
      </c>
      <c r="L90" s="4">
        <f t="shared" si="23"/>
        <v>0</v>
      </c>
    </row>
    <row r="91" spans="8:12" hidden="1" x14ac:dyDescent="0.25">
      <c r="H91" s="4">
        <f t="shared" si="23"/>
        <v>0</v>
      </c>
      <c r="I91" s="4">
        <f t="shared" si="23"/>
        <v>0</v>
      </c>
      <c r="J91" s="4">
        <f t="shared" si="23"/>
        <v>0</v>
      </c>
      <c r="K91" s="4">
        <f t="shared" si="23"/>
        <v>0</v>
      </c>
      <c r="L91" s="4">
        <f t="shared" si="23"/>
        <v>0</v>
      </c>
    </row>
    <row r="92" spans="8:12" hidden="1" x14ac:dyDescent="0.25">
      <c r="H92" s="4">
        <f t="shared" si="23"/>
        <v>0</v>
      </c>
      <c r="I92" s="4">
        <f t="shared" si="23"/>
        <v>0</v>
      </c>
      <c r="J92" s="4">
        <f t="shared" si="23"/>
        <v>0</v>
      </c>
      <c r="K92" s="4">
        <f t="shared" si="23"/>
        <v>0</v>
      </c>
      <c r="L92" s="4">
        <f t="shared" si="23"/>
        <v>0</v>
      </c>
    </row>
    <row r="93" spans="8:12" hidden="1" x14ac:dyDescent="0.25">
      <c r="H93" s="4">
        <f t="shared" si="23"/>
        <v>0</v>
      </c>
      <c r="I93" s="4">
        <f t="shared" si="23"/>
        <v>0</v>
      </c>
      <c r="J93" s="4">
        <f t="shared" si="23"/>
        <v>0</v>
      </c>
      <c r="K93" s="4">
        <f t="shared" si="23"/>
        <v>0</v>
      </c>
      <c r="L93" s="4">
        <f t="shared" si="23"/>
        <v>0</v>
      </c>
    </row>
    <row r="94" spans="8:12" hidden="1" x14ac:dyDescent="0.25">
      <c r="H94" s="4">
        <f t="shared" ref="H94:L103" si="24">BF2</f>
        <v>0</v>
      </c>
      <c r="I94" s="4">
        <f t="shared" si="24"/>
        <v>0</v>
      </c>
      <c r="J94" s="4">
        <f t="shared" si="24"/>
        <v>0</v>
      </c>
      <c r="K94" s="4">
        <f t="shared" si="24"/>
        <v>0</v>
      </c>
      <c r="L94" s="4">
        <f t="shared" si="24"/>
        <v>0</v>
      </c>
    </row>
    <row r="95" spans="8:12" hidden="1" x14ac:dyDescent="0.25">
      <c r="H95" s="4">
        <f t="shared" si="24"/>
        <v>0</v>
      </c>
      <c r="I95" s="4">
        <f t="shared" si="24"/>
        <v>0</v>
      </c>
      <c r="J95" s="4">
        <f t="shared" si="24"/>
        <v>0</v>
      </c>
      <c r="K95" s="4">
        <f t="shared" si="24"/>
        <v>0</v>
      </c>
      <c r="L95" s="4">
        <f t="shared" si="24"/>
        <v>0</v>
      </c>
    </row>
    <row r="96" spans="8:12" hidden="1" x14ac:dyDescent="0.25">
      <c r="H96" s="4">
        <f t="shared" si="24"/>
        <v>0</v>
      </c>
      <c r="I96" s="4">
        <f t="shared" si="24"/>
        <v>0</v>
      </c>
      <c r="J96" s="4">
        <f t="shared" si="24"/>
        <v>0</v>
      </c>
      <c r="K96" s="4">
        <f t="shared" si="24"/>
        <v>0</v>
      </c>
      <c r="L96" s="4">
        <f t="shared" si="24"/>
        <v>0</v>
      </c>
    </row>
    <row r="97" spans="8:12" hidden="1" x14ac:dyDescent="0.25">
      <c r="H97" s="4">
        <f t="shared" si="24"/>
        <v>0</v>
      </c>
      <c r="I97" s="4">
        <f t="shared" si="24"/>
        <v>0</v>
      </c>
      <c r="J97" s="4">
        <f t="shared" si="24"/>
        <v>0</v>
      </c>
      <c r="K97" s="4">
        <f t="shared" si="24"/>
        <v>0</v>
      </c>
      <c r="L97" s="4">
        <f t="shared" si="24"/>
        <v>0</v>
      </c>
    </row>
    <row r="98" spans="8:12" hidden="1" x14ac:dyDescent="0.25">
      <c r="H98" s="4">
        <f t="shared" si="24"/>
        <v>0</v>
      </c>
      <c r="I98" s="4">
        <f t="shared" si="24"/>
        <v>0</v>
      </c>
      <c r="J98" s="4">
        <f t="shared" si="24"/>
        <v>0</v>
      </c>
      <c r="K98" s="4">
        <f t="shared" si="24"/>
        <v>0</v>
      </c>
      <c r="L98" s="4">
        <f t="shared" si="24"/>
        <v>0</v>
      </c>
    </row>
    <row r="99" spans="8:12" hidden="1" x14ac:dyDescent="0.25">
      <c r="H99" s="4">
        <f t="shared" si="24"/>
        <v>0</v>
      </c>
      <c r="I99" s="4">
        <f t="shared" si="24"/>
        <v>0</v>
      </c>
      <c r="J99" s="4">
        <f t="shared" si="24"/>
        <v>0</v>
      </c>
      <c r="K99" s="4">
        <f t="shared" si="24"/>
        <v>0</v>
      </c>
      <c r="L99" s="4">
        <f t="shared" si="24"/>
        <v>0</v>
      </c>
    </row>
    <row r="100" spans="8:12" hidden="1" x14ac:dyDescent="0.25">
      <c r="H100" s="4">
        <f t="shared" si="24"/>
        <v>0</v>
      </c>
      <c r="I100" s="4">
        <f t="shared" si="24"/>
        <v>0</v>
      </c>
      <c r="J100" s="4">
        <f t="shared" si="24"/>
        <v>0</v>
      </c>
      <c r="K100" s="4">
        <f t="shared" si="24"/>
        <v>0</v>
      </c>
      <c r="L100" s="4">
        <f t="shared" si="24"/>
        <v>0</v>
      </c>
    </row>
    <row r="101" spans="8:12" hidden="1" x14ac:dyDescent="0.25">
      <c r="H101" s="4">
        <f t="shared" si="24"/>
        <v>0</v>
      </c>
      <c r="I101" s="4">
        <f t="shared" si="24"/>
        <v>0</v>
      </c>
      <c r="J101" s="4">
        <f t="shared" si="24"/>
        <v>0</v>
      </c>
      <c r="K101" s="4">
        <f t="shared" si="24"/>
        <v>0</v>
      </c>
      <c r="L101" s="4">
        <f t="shared" si="24"/>
        <v>0</v>
      </c>
    </row>
    <row r="102" spans="8:12" hidden="1" x14ac:dyDescent="0.25">
      <c r="H102" s="4">
        <f t="shared" si="24"/>
        <v>0</v>
      </c>
      <c r="I102" s="4">
        <f t="shared" si="24"/>
        <v>0</v>
      </c>
      <c r="J102" s="4">
        <f t="shared" si="24"/>
        <v>0</v>
      </c>
      <c r="K102" s="4">
        <f t="shared" si="24"/>
        <v>0</v>
      </c>
      <c r="L102" s="4">
        <f t="shared" si="24"/>
        <v>0</v>
      </c>
    </row>
    <row r="103" spans="8:12" hidden="1" x14ac:dyDescent="0.25">
      <c r="H103" s="4">
        <f t="shared" si="24"/>
        <v>0</v>
      </c>
      <c r="I103" s="4">
        <f t="shared" si="24"/>
        <v>0</v>
      </c>
      <c r="J103" s="4">
        <f t="shared" si="24"/>
        <v>0</v>
      </c>
      <c r="K103" s="4">
        <f t="shared" si="24"/>
        <v>0</v>
      </c>
      <c r="L103" s="4">
        <f t="shared" si="24"/>
        <v>0</v>
      </c>
    </row>
    <row r="104" spans="8:12" hidden="1" x14ac:dyDescent="0.25">
      <c r="H104" s="4">
        <f t="shared" ref="H104:L113" si="25">BL2</f>
        <v>0</v>
      </c>
      <c r="I104" s="4">
        <f t="shared" si="25"/>
        <v>0</v>
      </c>
      <c r="J104" s="4">
        <f t="shared" si="25"/>
        <v>0</v>
      </c>
      <c r="K104" s="4">
        <f t="shared" si="25"/>
        <v>0</v>
      </c>
      <c r="L104" s="4">
        <f t="shared" si="25"/>
        <v>0</v>
      </c>
    </row>
    <row r="105" spans="8:12" hidden="1" x14ac:dyDescent="0.25">
      <c r="H105" s="4">
        <f t="shared" si="25"/>
        <v>0</v>
      </c>
      <c r="I105" s="4">
        <f t="shared" si="25"/>
        <v>0</v>
      </c>
      <c r="J105" s="4">
        <f t="shared" si="25"/>
        <v>0</v>
      </c>
      <c r="K105" s="4">
        <f t="shared" si="25"/>
        <v>0</v>
      </c>
      <c r="L105" s="4">
        <f t="shared" si="25"/>
        <v>0</v>
      </c>
    </row>
    <row r="106" spans="8:12" hidden="1" x14ac:dyDescent="0.25">
      <c r="H106" s="4">
        <f t="shared" si="25"/>
        <v>0</v>
      </c>
      <c r="I106" s="4">
        <f t="shared" si="25"/>
        <v>0</v>
      </c>
      <c r="J106" s="4">
        <f t="shared" si="25"/>
        <v>0</v>
      </c>
      <c r="K106" s="4">
        <f t="shared" si="25"/>
        <v>0</v>
      </c>
      <c r="L106" s="4">
        <f t="shared" si="25"/>
        <v>0</v>
      </c>
    </row>
    <row r="107" spans="8:12" hidden="1" x14ac:dyDescent="0.25">
      <c r="H107" s="4">
        <f t="shared" si="25"/>
        <v>0</v>
      </c>
      <c r="I107" s="4">
        <f t="shared" si="25"/>
        <v>0</v>
      </c>
      <c r="J107" s="4">
        <f t="shared" si="25"/>
        <v>0</v>
      </c>
      <c r="K107" s="4">
        <f t="shared" si="25"/>
        <v>0</v>
      </c>
      <c r="L107" s="4">
        <f t="shared" si="25"/>
        <v>0</v>
      </c>
    </row>
    <row r="108" spans="8:12" hidden="1" x14ac:dyDescent="0.25">
      <c r="H108" s="4">
        <f t="shared" si="25"/>
        <v>0</v>
      </c>
      <c r="I108" s="4">
        <f t="shared" si="25"/>
        <v>0</v>
      </c>
      <c r="J108" s="4">
        <f t="shared" si="25"/>
        <v>0</v>
      </c>
      <c r="K108" s="4">
        <f t="shared" si="25"/>
        <v>0</v>
      </c>
      <c r="L108" s="4">
        <f t="shared" si="25"/>
        <v>0</v>
      </c>
    </row>
    <row r="109" spans="8:12" hidden="1" x14ac:dyDescent="0.25">
      <c r="H109" s="4">
        <f t="shared" si="25"/>
        <v>0</v>
      </c>
      <c r="I109" s="4">
        <f t="shared" si="25"/>
        <v>0</v>
      </c>
      <c r="J109" s="4">
        <f t="shared" si="25"/>
        <v>0</v>
      </c>
      <c r="K109" s="4">
        <f t="shared" si="25"/>
        <v>0</v>
      </c>
      <c r="L109" s="4">
        <f t="shared" si="25"/>
        <v>0</v>
      </c>
    </row>
    <row r="110" spans="8:12" hidden="1" x14ac:dyDescent="0.25">
      <c r="H110" s="4">
        <f t="shared" si="25"/>
        <v>0</v>
      </c>
      <c r="I110" s="4">
        <f t="shared" si="25"/>
        <v>0</v>
      </c>
      <c r="J110" s="4">
        <f t="shared" si="25"/>
        <v>0</v>
      </c>
      <c r="K110" s="4">
        <f t="shared" si="25"/>
        <v>0</v>
      </c>
      <c r="L110" s="4">
        <f t="shared" si="25"/>
        <v>0</v>
      </c>
    </row>
    <row r="111" spans="8:12" hidden="1" x14ac:dyDescent="0.25">
      <c r="H111" s="4">
        <f t="shared" si="25"/>
        <v>0</v>
      </c>
      <c r="I111" s="4">
        <f t="shared" si="25"/>
        <v>0</v>
      </c>
      <c r="J111" s="4">
        <f t="shared" si="25"/>
        <v>0</v>
      </c>
      <c r="K111" s="4">
        <f t="shared" si="25"/>
        <v>0</v>
      </c>
      <c r="L111" s="4">
        <f t="shared" si="25"/>
        <v>0</v>
      </c>
    </row>
    <row r="112" spans="8:12" hidden="1" x14ac:dyDescent="0.25">
      <c r="H112" s="4">
        <f t="shared" si="25"/>
        <v>0</v>
      </c>
      <c r="I112" s="4">
        <f t="shared" si="25"/>
        <v>0</v>
      </c>
      <c r="J112" s="4">
        <f t="shared" si="25"/>
        <v>0</v>
      </c>
      <c r="K112" s="4">
        <f t="shared" si="25"/>
        <v>0</v>
      </c>
      <c r="L112" s="4">
        <f t="shared" si="25"/>
        <v>0</v>
      </c>
    </row>
    <row r="113" spans="1:62" hidden="1" x14ac:dyDescent="0.25">
      <c r="H113" s="45">
        <f t="shared" si="25"/>
        <v>0</v>
      </c>
      <c r="I113" s="45">
        <f t="shared" si="25"/>
        <v>0</v>
      </c>
      <c r="J113" s="4">
        <f t="shared" si="25"/>
        <v>0</v>
      </c>
      <c r="K113" s="4">
        <f t="shared" si="25"/>
        <v>0</v>
      </c>
      <c r="L113" s="4">
        <f t="shared" si="25"/>
        <v>0</v>
      </c>
    </row>
    <row r="114" spans="1:62" x14ac:dyDescent="0.25">
      <c r="A114" s="168" t="s">
        <v>85</v>
      </c>
      <c r="B114" s="169"/>
      <c r="C114" s="170"/>
      <c r="D114" s="171">
        <v>46008</v>
      </c>
      <c r="E114" s="172"/>
      <c r="F114" s="172"/>
      <c r="G114" s="172"/>
      <c r="H114" s="46"/>
      <c r="I114" s="54"/>
    </row>
    <row r="115" spans="1:62" ht="15.75" thickBot="1" x14ac:dyDescent="0.3">
      <c r="A115" s="110"/>
      <c r="B115" s="110"/>
      <c r="C115" s="110"/>
      <c r="D115" s="110"/>
      <c r="E115" s="110"/>
      <c r="F115" s="110"/>
      <c r="G115" s="110"/>
      <c r="H115" s="54"/>
      <c r="I115" s="54"/>
    </row>
    <row r="116" spans="1:62" ht="16.5" thickBot="1" x14ac:dyDescent="0.3">
      <c r="A116" s="173" t="s">
        <v>248</v>
      </c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5"/>
      <c r="AH116" s="118" t="s">
        <v>35</v>
      </c>
      <c r="AI116" s="118"/>
      <c r="AJ116" s="118" t="str">
        <f>F2</f>
        <v>AP08</v>
      </c>
      <c r="AK116" s="118"/>
      <c r="AL116" s="118"/>
      <c r="AN116" s="118" t="s">
        <v>35</v>
      </c>
      <c r="AO116" s="118"/>
      <c r="AP116" s="118">
        <f>F3</f>
        <v>0</v>
      </c>
      <c r="AQ116" s="118"/>
      <c r="AR116" s="118"/>
      <c r="AT116" s="118" t="s">
        <v>35</v>
      </c>
      <c r="AU116" s="118"/>
      <c r="AV116" s="118">
        <f>F4</f>
        <v>0</v>
      </c>
      <c r="AW116" s="118"/>
      <c r="AX116" s="118"/>
      <c r="AZ116" s="118" t="s">
        <v>35</v>
      </c>
      <c r="BA116" s="118"/>
      <c r="BB116" s="118">
        <f>F5</f>
        <v>0</v>
      </c>
      <c r="BC116" s="118"/>
      <c r="BD116" s="118"/>
      <c r="BF116" s="118" t="s">
        <v>35</v>
      </c>
      <c r="BG116" s="118"/>
      <c r="BH116" s="118">
        <f>F6</f>
        <v>0</v>
      </c>
      <c r="BI116" s="118"/>
      <c r="BJ116" s="118"/>
    </row>
    <row r="117" spans="1:62" x14ac:dyDescent="0.25">
      <c r="A117" s="123" t="s">
        <v>31</v>
      </c>
      <c r="B117" s="113" t="s">
        <v>22</v>
      </c>
      <c r="C117" s="114"/>
      <c r="D117" s="114"/>
      <c r="E117" s="114"/>
      <c r="F117" s="115"/>
      <c r="G117" s="113" t="s">
        <v>20</v>
      </c>
      <c r="H117" s="114"/>
      <c r="I117" s="114"/>
      <c r="J117" s="114"/>
      <c r="K117" s="115"/>
      <c r="L117" s="113" t="s">
        <v>34</v>
      </c>
      <c r="M117" s="114"/>
      <c r="N117" s="114"/>
      <c r="O117" s="114"/>
      <c r="P117" s="115"/>
      <c r="Q117" s="113" t="s">
        <v>127</v>
      </c>
      <c r="R117" s="114"/>
      <c r="S117" s="114"/>
      <c r="T117" s="114"/>
      <c r="U117" s="115"/>
      <c r="V117" s="113" t="s">
        <v>129</v>
      </c>
      <c r="W117" s="114"/>
      <c r="X117" s="114"/>
      <c r="Y117" s="114"/>
      <c r="Z117" s="115"/>
      <c r="AA117" s="113" t="s">
        <v>26</v>
      </c>
      <c r="AB117" s="114"/>
      <c r="AC117" s="114"/>
      <c r="AD117" s="114"/>
      <c r="AE117" s="115"/>
      <c r="AF117" s="116" t="s">
        <v>24</v>
      </c>
      <c r="AG117" s="116" t="s">
        <v>86</v>
      </c>
      <c r="AH117" s="118" t="str">
        <f>G2</f>
        <v>PAWAN PUTRA AGENCY</v>
      </c>
      <c r="AI117" s="118"/>
      <c r="AJ117" s="118"/>
      <c r="AK117" s="118"/>
      <c r="AL117" s="118"/>
      <c r="AN117" s="118">
        <f>G3</f>
        <v>0</v>
      </c>
      <c r="AO117" s="118"/>
      <c r="AP117" s="118"/>
      <c r="AQ117" s="118"/>
      <c r="AR117" s="118"/>
      <c r="AT117" s="118">
        <f>G4</f>
        <v>0</v>
      </c>
      <c r="AU117" s="118"/>
      <c r="AV117" s="118"/>
      <c r="AW117" s="118"/>
      <c r="AX117" s="118"/>
      <c r="AZ117" s="118">
        <f>G5</f>
        <v>0</v>
      </c>
      <c r="BA117" s="118"/>
      <c r="BB117" s="118"/>
      <c r="BC117" s="118"/>
      <c r="BD117" s="118"/>
      <c r="BF117" s="118">
        <f>G6</f>
        <v>0</v>
      </c>
      <c r="BG117" s="118"/>
      <c r="BH117" s="118"/>
      <c r="BI117" s="118"/>
      <c r="BJ117" s="118"/>
    </row>
    <row r="118" spans="1:62" ht="15.75" thickBot="1" x14ac:dyDescent="0.3">
      <c r="A118" s="124"/>
      <c r="B118" s="9" t="s">
        <v>32</v>
      </c>
      <c r="C118" s="12" t="s">
        <v>17</v>
      </c>
      <c r="D118" s="12" t="s">
        <v>19</v>
      </c>
      <c r="E118" s="12" t="s">
        <v>33</v>
      </c>
      <c r="F118" s="14" t="s">
        <v>80</v>
      </c>
      <c r="G118" s="9" t="s">
        <v>32</v>
      </c>
      <c r="H118" s="12" t="s">
        <v>17</v>
      </c>
      <c r="I118" s="12" t="s">
        <v>19</v>
      </c>
      <c r="J118" s="12" t="s">
        <v>33</v>
      </c>
      <c r="K118" s="14" t="s">
        <v>80</v>
      </c>
      <c r="L118" s="9" t="s">
        <v>32</v>
      </c>
      <c r="M118" s="12" t="s">
        <v>17</v>
      </c>
      <c r="N118" s="12" t="s">
        <v>19</v>
      </c>
      <c r="O118" s="12" t="s">
        <v>33</v>
      </c>
      <c r="P118" s="14" t="s">
        <v>80</v>
      </c>
      <c r="Q118" s="9" t="s">
        <v>32</v>
      </c>
      <c r="R118" s="12" t="s">
        <v>17</v>
      </c>
      <c r="S118" s="12" t="s">
        <v>19</v>
      </c>
      <c r="T118" s="12" t="s">
        <v>33</v>
      </c>
      <c r="U118" s="14" t="s">
        <v>80</v>
      </c>
      <c r="V118" s="9" t="s">
        <v>32</v>
      </c>
      <c r="W118" s="12" t="s">
        <v>17</v>
      </c>
      <c r="X118" s="12" t="s">
        <v>19</v>
      </c>
      <c r="Y118" s="12" t="s">
        <v>33</v>
      </c>
      <c r="Z118" s="14" t="s">
        <v>80</v>
      </c>
      <c r="AA118" s="9" t="s">
        <v>32</v>
      </c>
      <c r="AB118" s="12" t="s">
        <v>17</v>
      </c>
      <c r="AC118" s="12" t="s">
        <v>19</v>
      </c>
      <c r="AD118" s="12" t="s">
        <v>33</v>
      </c>
      <c r="AE118" s="14" t="s">
        <v>80</v>
      </c>
      <c r="AF118" s="117"/>
      <c r="AG118" s="117"/>
      <c r="AH118" s="118" t="str">
        <f>H2</f>
        <v>TIRUPATHI</v>
      </c>
      <c r="AI118" s="118"/>
      <c r="AJ118" s="118"/>
      <c r="AK118" s="118"/>
      <c r="AL118" s="118"/>
      <c r="AN118" s="118">
        <f>H3</f>
        <v>0</v>
      </c>
      <c r="AO118" s="118"/>
      <c r="AP118" s="118"/>
      <c r="AQ118" s="118"/>
      <c r="AR118" s="118"/>
      <c r="AT118" s="118">
        <f>H4</f>
        <v>0</v>
      </c>
      <c r="AU118" s="118"/>
      <c r="AV118" s="118"/>
      <c r="AW118" s="118"/>
      <c r="AX118" s="118"/>
      <c r="AZ118" s="118">
        <f>H5</f>
        <v>0</v>
      </c>
      <c r="BA118" s="118"/>
      <c r="BB118" s="118"/>
      <c r="BC118" s="118"/>
      <c r="BD118" s="118"/>
      <c r="BF118" s="118">
        <f>H6</f>
        <v>0</v>
      </c>
      <c r="BG118" s="118"/>
      <c r="BH118" s="118"/>
      <c r="BI118" s="118"/>
      <c r="BJ118" s="118"/>
    </row>
    <row r="119" spans="1:62" ht="15.75" thickBot="1" x14ac:dyDescent="0.3">
      <c r="A119" s="16">
        <v>300</v>
      </c>
      <c r="B119" s="10">
        <f t="shared" ref="B119:F127" si="26">SUMIFS($J$14:$J$113,$I$14:$I$113,$A119,$K$14:$K$113,B$118,$L$14:$L$113,$B$117,$H$14:$H$113,"AG")</f>
        <v>0</v>
      </c>
      <c r="C119" s="11">
        <f t="shared" si="26"/>
        <v>0</v>
      </c>
      <c r="D119" s="11">
        <f t="shared" si="26"/>
        <v>0</v>
      </c>
      <c r="E119" s="11">
        <f t="shared" si="26"/>
        <v>0</v>
      </c>
      <c r="F119" s="17">
        <f t="shared" si="26"/>
        <v>0</v>
      </c>
      <c r="G119" s="10">
        <f t="shared" ref="G119:K127" si="27">SUMIFS($J$14:$J$113,$I$14:$I$113,$A119,$K$14:$K$113,G$118,$L$14:$L$113,$G$117,$H$14:$H$113,"AG")</f>
        <v>0</v>
      </c>
      <c r="H119" s="11">
        <f t="shared" si="27"/>
        <v>0</v>
      </c>
      <c r="I119" s="11">
        <f t="shared" si="27"/>
        <v>0</v>
      </c>
      <c r="J119" s="11">
        <f t="shared" si="27"/>
        <v>0</v>
      </c>
      <c r="K119" s="17">
        <f t="shared" si="27"/>
        <v>0</v>
      </c>
      <c r="L119" s="10">
        <f t="shared" ref="L119:P127" si="28">SUMIFS($J$14:$J$113,$I$14:$I$113,$A119,$K$14:$K$113,L$118,$L$14:$L$113,$L$117,$H$14:$H$113,"AG")</f>
        <v>0</v>
      </c>
      <c r="M119" s="11">
        <f t="shared" si="28"/>
        <v>0</v>
      </c>
      <c r="N119" s="11">
        <f t="shared" si="28"/>
        <v>0</v>
      </c>
      <c r="O119" s="11">
        <f t="shared" si="28"/>
        <v>0</v>
      </c>
      <c r="P119" s="17">
        <f t="shared" si="28"/>
        <v>0</v>
      </c>
      <c r="Q119" s="10">
        <f t="shared" ref="Q119:U127" si="29">SUMIFS($J$14:$J$113,$I$14:$I$113,$A119,$K$14:$K$113,Q$118,$L$14:$L$113,$Q$117,$H$14:$H$113,"AG")</f>
        <v>0</v>
      </c>
      <c r="R119" s="11">
        <f t="shared" si="29"/>
        <v>0</v>
      </c>
      <c r="S119" s="11">
        <f t="shared" si="29"/>
        <v>0</v>
      </c>
      <c r="T119" s="11">
        <f t="shared" si="29"/>
        <v>0</v>
      </c>
      <c r="U119" s="17">
        <f t="shared" si="29"/>
        <v>0</v>
      </c>
      <c r="V119" s="10">
        <f t="shared" ref="V119:AE127" si="30">SUMIFS($J$14:$J$113,$I$14:$I$113,$A119,$K$14:$K$113,V$118,$L$14:$L$113,$L$117,$H$14:$H$113,"AG")</f>
        <v>0</v>
      </c>
      <c r="W119" s="11">
        <f t="shared" si="30"/>
        <v>0</v>
      </c>
      <c r="X119" s="11">
        <f t="shared" si="30"/>
        <v>0</v>
      </c>
      <c r="Y119" s="11">
        <f t="shared" si="30"/>
        <v>0</v>
      </c>
      <c r="Z119" s="17">
        <f t="shared" si="30"/>
        <v>0</v>
      </c>
      <c r="AA119" s="10">
        <f t="shared" si="30"/>
        <v>0</v>
      </c>
      <c r="AB119" s="11">
        <f t="shared" si="30"/>
        <v>0</v>
      </c>
      <c r="AC119" s="11">
        <f t="shared" si="30"/>
        <v>0</v>
      </c>
      <c r="AD119" s="11">
        <f t="shared" si="30"/>
        <v>0</v>
      </c>
      <c r="AE119" s="17">
        <f t="shared" si="30"/>
        <v>0</v>
      </c>
      <c r="AF119" s="16">
        <f>SUM(B119:AE119)*A119</f>
        <v>0</v>
      </c>
      <c r="AG119" s="16">
        <f>SUM(B119:AE119)</f>
        <v>0</v>
      </c>
      <c r="AH119" s="30" t="s">
        <v>136</v>
      </c>
      <c r="AI119" s="30" t="s">
        <v>27</v>
      </c>
      <c r="AJ119" s="30" t="s">
        <v>28</v>
      </c>
      <c r="AK119" s="30" t="s">
        <v>29</v>
      </c>
      <c r="AL119" s="30" t="s">
        <v>30</v>
      </c>
      <c r="AN119" s="30" t="s">
        <v>136</v>
      </c>
      <c r="AO119" s="30" t="s">
        <v>27</v>
      </c>
      <c r="AP119" s="30" t="s">
        <v>28</v>
      </c>
      <c r="AQ119" s="30" t="s">
        <v>29</v>
      </c>
      <c r="AR119" s="30" t="s">
        <v>30</v>
      </c>
      <c r="AT119" s="30" t="s">
        <v>136</v>
      </c>
      <c r="AU119" s="30" t="s">
        <v>27</v>
      </c>
      <c r="AV119" s="30" t="s">
        <v>28</v>
      </c>
      <c r="AW119" s="30" t="s">
        <v>29</v>
      </c>
      <c r="AX119" s="30" t="s">
        <v>30</v>
      </c>
      <c r="AZ119" s="30" t="s">
        <v>136</v>
      </c>
      <c r="BA119" s="30" t="s">
        <v>27</v>
      </c>
      <c r="BB119" s="30" t="s">
        <v>28</v>
      </c>
      <c r="BC119" s="30" t="s">
        <v>29</v>
      </c>
      <c r="BD119" s="30" t="s">
        <v>30</v>
      </c>
      <c r="BF119" s="30" t="s">
        <v>136</v>
      </c>
      <c r="BG119" s="30" t="s">
        <v>27</v>
      </c>
      <c r="BH119" s="30" t="s">
        <v>28</v>
      </c>
      <c r="BI119" s="30" t="s">
        <v>29</v>
      </c>
      <c r="BJ119" s="30" t="s">
        <v>30</v>
      </c>
    </row>
    <row r="120" spans="1:62" x14ac:dyDescent="0.25">
      <c r="A120" s="16">
        <v>500</v>
      </c>
      <c r="B120" s="10">
        <f t="shared" si="26"/>
        <v>0</v>
      </c>
      <c r="C120" s="11">
        <f t="shared" si="26"/>
        <v>20</v>
      </c>
      <c r="D120" s="11">
        <f t="shared" si="26"/>
        <v>0</v>
      </c>
      <c r="E120" s="11">
        <f t="shared" si="26"/>
        <v>0</v>
      </c>
      <c r="F120" s="17">
        <f t="shared" si="26"/>
        <v>0</v>
      </c>
      <c r="G120" s="10">
        <f t="shared" si="27"/>
        <v>0</v>
      </c>
      <c r="H120" s="11">
        <f t="shared" si="27"/>
        <v>0</v>
      </c>
      <c r="I120" s="11">
        <f t="shared" si="27"/>
        <v>0</v>
      </c>
      <c r="J120" s="11">
        <f t="shared" si="27"/>
        <v>0</v>
      </c>
      <c r="K120" s="17">
        <f t="shared" si="27"/>
        <v>0</v>
      </c>
      <c r="L120" s="10">
        <f t="shared" si="28"/>
        <v>0</v>
      </c>
      <c r="M120" s="11">
        <f t="shared" si="28"/>
        <v>0</v>
      </c>
      <c r="N120" s="11">
        <f t="shared" si="28"/>
        <v>0</v>
      </c>
      <c r="O120" s="11">
        <f t="shared" si="28"/>
        <v>0</v>
      </c>
      <c r="P120" s="17">
        <f t="shared" si="28"/>
        <v>0</v>
      </c>
      <c r="Q120" s="10">
        <f t="shared" si="29"/>
        <v>0</v>
      </c>
      <c r="R120" s="11">
        <f t="shared" si="29"/>
        <v>0</v>
      </c>
      <c r="S120" s="11">
        <f t="shared" si="29"/>
        <v>0</v>
      </c>
      <c r="T120" s="11">
        <f t="shared" si="29"/>
        <v>0</v>
      </c>
      <c r="U120" s="17">
        <f t="shared" si="29"/>
        <v>0</v>
      </c>
      <c r="V120" s="10">
        <f t="shared" si="30"/>
        <v>0</v>
      </c>
      <c r="W120" s="11">
        <f t="shared" si="30"/>
        <v>0</v>
      </c>
      <c r="X120" s="11">
        <f t="shared" si="30"/>
        <v>0</v>
      </c>
      <c r="Y120" s="11">
        <f t="shared" si="30"/>
        <v>0</v>
      </c>
      <c r="Z120" s="17">
        <f t="shared" si="30"/>
        <v>0</v>
      </c>
      <c r="AA120" s="10">
        <f t="shared" si="30"/>
        <v>0</v>
      </c>
      <c r="AB120" s="11">
        <f t="shared" si="30"/>
        <v>0</v>
      </c>
      <c r="AC120" s="11">
        <f t="shared" si="30"/>
        <v>0</v>
      </c>
      <c r="AD120" s="11">
        <f t="shared" si="30"/>
        <v>0</v>
      </c>
      <c r="AE120" s="17">
        <f t="shared" si="30"/>
        <v>0</v>
      </c>
      <c r="AF120" s="16">
        <f t="shared" ref="AF120:AF127" si="31">SUM(B120:AE120)*A120</f>
        <v>10000</v>
      </c>
      <c r="AG120" s="16">
        <f t="shared" ref="AG120:AG128" si="32">SUM(B120:AE120)</f>
        <v>20</v>
      </c>
      <c r="AH120" s="16" t="str">
        <f>J2</f>
        <v>AG</v>
      </c>
      <c r="AI120" s="10">
        <f>K2</f>
        <v>1500</v>
      </c>
      <c r="AJ120" s="11">
        <f>L2</f>
        <v>8</v>
      </c>
      <c r="AK120" s="11" t="str">
        <f>M2</f>
        <v>Y</v>
      </c>
      <c r="AL120" s="17" t="str">
        <f>N2</f>
        <v>3L</v>
      </c>
      <c r="AN120" s="16">
        <f>J3</f>
        <v>0</v>
      </c>
      <c r="AO120" s="10">
        <f>K3</f>
        <v>0</v>
      </c>
      <c r="AP120" s="11">
        <f>L3</f>
        <v>0</v>
      </c>
      <c r="AQ120" s="11">
        <f>M3</f>
        <v>0</v>
      </c>
      <c r="AR120" s="17">
        <f>N3</f>
        <v>0</v>
      </c>
      <c r="AT120" s="16">
        <f>J4</f>
        <v>0</v>
      </c>
      <c r="AU120" s="10">
        <f>K4</f>
        <v>0</v>
      </c>
      <c r="AV120" s="11">
        <f>L4</f>
        <v>0</v>
      </c>
      <c r="AW120" s="11">
        <f>M4</f>
        <v>0</v>
      </c>
      <c r="AX120" s="17">
        <f>N4</f>
        <v>0</v>
      </c>
      <c r="AZ120" s="16">
        <f>J5</f>
        <v>0</v>
      </c>
      <c r="BA120" s="10">
        <f>K5</f>
        <v>0</v>
      </c>
      <c r="BB120" s="11">
        <f>L5</f>
        <v>0</v>
      </c>
      <c r="BC120" s="11">
        <f>M5</f>
        <v>0</v>
      </c>
      <c r="BD120" s="17">
        <f>N5</f>
        <v>0</v>
      </c>
      <c r="BF120" s="16">
        <f>J6</f>
        <v>0</v>
      </c>
      <c r="BG120" s="10">
        <f>K6</f>
        <v>0</v>
      </c>
      <c r="BH120" s="11">
        <f>L6</f>
        <v>0</v>
      </c>
      <c r="BI120" s="11">
        <f>M6</f>
        <v>0</v>
      </c>
      <c r="BJ120" s="17">
        <f>N6</f>
        <v>0</v>
      </c>
    </row>
    <row r="121" spans="1:62" x14ac:dyDescent="0.25">
      <c r="A121" s="15">
        <v>750</v>
      </c>
      <c r="B121" s="8">
        <f t="shared" si="26"/>
        <v>0</v>
      </c>
      <c r="C121" s="6">
        <f t="shared" si="26"/>
        <v>10</v>
      </c>
      <c r="D121" s="6">
        <f t="shared" si="26"/>
        <v>0</v>
      </c>
      <c r="E121" s="6">
        <f t="shared" si="26"/>
        <v>0</v>
      </c>
      <c r="F121" s="13">
        <f t="shared" si="26"/>
        <v>0</v>
      </c>
      <c r="G121" s="8">
        <f t="shared" si="27"/>
        <v>0</v>
      </c>
      <c r="H121" s="6">
        <f t="shared" si="27"/>
        <v>0</v>
      </c>
      <c r="I121" s="6">
        <f t="shared" si="27"/>
        <v>0</v>
      </c>
      <c r="J121" s="6">
        <f t="shared" si="27"/>
        <v>0</v>
      </c>
      <c r="K121" s="13">
        <f t="shared" si="27"/>
        <v>0</v>
      </c>
      <c r="L121" s="8">
        <f t="shared" si="28"/>
        <v>0</v>
      </c>
      <c r="M121" s="6">
        <f t="shared" si="28"/>
        <v>0</v>
      </c>
      <c r="N121" s="6">
        <f t="shared" si="28"/>
        <v>0</v>
      </c>
      <c r="O121" s="6">
        <f t="shared" si="28"/>
        <v>0</v>
      </c>
      <c r="P121" s="13">
        <f t="shared" si="28"/>
        <v>0</v>
      </c>
      <c r="Q121" s="8">
        <f t="shared" si="29"/>
        <v>0</v>
      </c>
      <c r="R121" s="6">
        <f t="shared" si="29"/>
        <v>0</v>
      </c>
      <c r="S121" s="6">
        <f t="shared" si="29"/>
        <v>0</v>
      </c>
      <c r="T121" s="6">
        <f t="shared" si="29"/>
        <v>0</v>
      </c>
      <c r="U121" s="13">
        <f t="shared" si="29"/>
        <v>0</v>
      </c>
      <c r="V121" s="8">
        <f t="shared" si="30"/>
        <v>0</v>
      </c>
      <c r="W121" s="6">
        <f t="shared" si="30"/>
        <v>0</v>
      </c>
      <c r="X121" s="6">
        <f t="shared" si="30"/>
        <v>0</v>
      </c>
      <c r="Y121" s="6">
        <f t="shared" si="30"/>
        <v>0</v>
      </c>
      <c r="Z121" s="13">
        <f t="shared" si="30"/>
        <v>0</v>
      </c>
      <c r="AA121" s="8">
        <f t="shared" si="30"/>
        <v>0</v>
      </c>
      <c r="AB121" s="6">
        <f t="shared" si="30"/>
        <v>0</v>
      </c>
      <c r="AC121" s="6">
        <f t="shared" si="30"/>
        <v>0</v>
      </c>
      <c r="AD121" s="6">
        <f t="shared" si="30"/>
        <v>0</v>
      </c>
      <c r="AE121" s="13">
        <f t="shared" si="30"/>
        <v>0</v>
      </c>
      <c r="AF121" s="16">
        <f t="shared" si="31"/>
        <v>7500</v>
      </c>
      <c r="AG121" s="16">
        <f t="shared" si="32"/>
        <v>10</v>
      </c>
      <c r="AH121" s="15" t="str">
        <f>P2</f>
        <v>AG</v>
      </c>
      <c r="AI121" s="8">
        <f>Q2</f>
        <v>1000</v>
      </c>
      <c r="AJ121" s="6">
        <f>R2</f>
        <v>10</v>
      </c>
      <c r="AK121" s="6" t="str">
        <f>S2</f>
        <v>Y</v>
      </c>
      <c r="AL121" s="13" t="str">
        <f>T2</f>
        <v>3L</v>
      </c>
      <c r="AN121" s="15">
        <f>P3</f>
        <v>0</v>
      </c>
      <c r="AO121" s="8">
        <f>Q3</f>
        <v>0</v>
      </c>
      <c r="AP121" s="6">
        <f>R3</f>
        <v>0</v>
      </c>
      <c r="AQ121" s="6">
        <f>S3</f>
        <v>0</v>
      </c>
      <c r="AR121" s="13">
        <f>T3</f>
        <v>0</v>
      </c>
      <c r="AT121" s="15">
        <f>P4</f>
        <v>0</v>
      </c>
      <c r="AU121" s="8">
        <f>Q4</f>
        <v>0</v>
      </c>
      <c r="AV121" s="6">
        <f>R4</f>
        <v>0</v>
      </c>
      <c r="AW121" s="6">
        <f>S4</f>
        <v>0</v>
      </c>
      <c r="AX121" s="13">
        <f>T4</f>
        <v>0</v>
      </c>
      <c r="AZ121" s="15">
        <f>P5</f>
        <v>0</v>
      </c>
      <c r="BA121" s="8">
        <f>Q5</f>
        <v>0</v>
      </c>
      <c r="BB121" s="6">
        <f>R5</f>
        <v>0</v>
      </c>
      <c r="BC121" s="6">
        <f>S5</f>
        <v>0</v>
      </c>
      <c r="BD121" s="13">
        <f>T5</f>
        <v>0</v>
      </c>
      <c r="BF121" s="15">
        <f>P6</f>
        <v>0</v>
      </c>
      <c r="BG121" s="8">
        <f>Q6</f>
        <v>0</v>
      </c>
      <c r="BH121" s="6">
        <f>R6</f>
        <v>0</v>
      </c>
      <c r="BI121" s="6">
        <f>S6</f>
        <v>0</v>
      </c>
      <c r="BJ121" s="13">
        <f>T6</f>
        <v>0</v>
      </c>
    </row>
    <row r="122" spans="1:62" x14ac:dyDescent="0.25">
      <c r="A122" s="15">
        <v>1000</v>
      </c>
      <c r="B122" s="8">
        <f t="shared" si="26"/>
        <v>0</v>
      </c>
      <c r="C122" s="6">
        <f t="shared" si="26"/>
        <v>10</v>
      </c>
      <c r="D122" s="6">
        <f t="shared" si="26"/>
        <v>0</v>
      </c>
      <c r="E122" s="6">
        <f t="shared" si="26"/>
        <v>0</v>
      </c>
      <c r="F122" s="13">
        <f t="shared" si="26"/>
        <v>0</v>
      </c>
      <c r="G122" s="8">
        <f t="shared" si="27"/>
        <v>0</v>
      </c>
      <c r="H122" s="6">
        <f t="shared" si="27"/>
        <v>0</v>
      </c>
      <c r="I122" s="6">
        <f t="shared" si="27"/>
        <v>0</v>
      </c>
      <c r="J122" s="6">
        <f t="shared" si="27"/>
        <v>0</v>
      </c>
      <c r="K122" s="13">
        <f t="shared" si="27"/>
        <v>0</v>
      </c>
      <c r="L122" s="8">
        <f t="shared" si="28"/>
        <v>0</v>
      </c>
      <c r="M122" s="6">
        <f t="shared" si="28"/>
        <v>0</v>
      </c>
      <c r="N122" s="6">
        <f t="shared" si="28"/>
        <v>0</v>
      </c>
      <c r="O122" s="6">
        <f t="shared" si="28"/>
        <v>0</v>
      </c>
      <c r="P122" s="13">
        <f t="shared" si="28"/>
        <v>0</v>
      </c>
      <c r="Q122" s="8">
        <f t="shared" si="29"/>
        <v>0</v>
      </c>
      <c r="R122" s="6">
        <f t="shared" si="29"/>
        <v>0</v>
      </c>
      <c r="S122" s="6">
        <f t="shared" si="29"/>
        <v>0</v>
      </c>
      <c r="T122" s="6">
        <f t="shared" si="29"/>
        <v>0</v>
      </c>
      <c r="U122" s="13">
        <f t="shared" si="29"/>
        <v>0</v>
      </c>
      <c r="V122" s="8">
        <f t="shared" si="30"/>
        <v>0</v>
      </c>
      <c r="W122" s="6">
        <f t="shared" si="30"/>
        <v>0</v>
      </c>
      <c r="X122" s="6">
        <f t="shared" si="30"/>
        <v>0</v>
      </c>
      <c r="Y122" s="6">
        <f t="shared" si="30"/>
        <v>0</v>
      </c>
      <c r="Z122" s="13">
        <f t="shared" si="30"/>
        <v>0</v>
      </c>
      <c r="AA122" s="8">
        <f t="shared" si="30"/>
        <v>0</v>
      </c>
      <c r="AB122" s="6">
        <f t="shared" si="30"/>
        <v>0</v>
      </c>
      <c r="AC122" s="6">
        <f t="shared" si="30"/>
        <v>0</v>
      </c>
      <c r="AD122" s="6">
        <f t="shared" si="30"/>
        <v>0</v>
      </c>
      <c r="AE122" s="13">
        <f t="shared" si="30"/>
        <v>0</v>
      </c>
      <c r="AF122" s="16">
        <f t="shared" si="31"/>
        <v>10000</v>
      </c>
      <c r="AG122" s="16">
        <f t="shared" si="32"/>
        <v>10</v>
      </c>
      <c r="AH122" s="15" t="str">
        <f>V2</f>
        <v>AG</v>
      </c>
      <c r="AI122" s="8">
        <f>W2</f>
        <v>750</v>
      </c>
      <c r="AJ122" s="6">
        <f>X2</f>
        <v>10</v>
      </c>
      <c r="AK122" s="6" t="str">
        <f>Y2</f>
        <v>Y</v>
      </c>
      <c r="AL122" s="13" t="str">
        <f>Z2</f>
        <v>3L</v>
      </c>
      <c r="AN122" s="15">
        <f>V3</f>
        <v>0</v>
      </c>
      <c r="AO122" s="8">
        <f>W3</f>
        <v>0</v>
      </c>
      <c r="AP122" s="6">
        <f>X3</f>
        <v>0</v>
      </c>
      <c r="AQ122" s="6">
        <f>Y3</f>
        <v>0</v>
      </c>
      <c r="AR122" s="13">
        <f>Z3</f>
        <v>0</v>
      </c>
      <c r="AT122" s="15">
        <f>V4</f>
        <v>0</v>
      </c>
      <c r="AU122" s="8">
        <f>W4</f>
        <v>0</v>
      </c>
      <c r="AV122" s="6">
        <f>X4</f>
        <v>0</v>
      </c>
      <c r="AW122" s="6">
        <f>Y4</f>
        <v>0</v>
      </c>
      <c r="AX122" s="13">
        <f>Z4</f>
        <v>0</v>
      </c>
      <c r="AZ122" s="15">
        <f>V5</f>
        <v>0</v>
      </c>
      <c r="BA122" s="8">
        <f>W5</f>
        <v>0</v>
      </c>
      <c r="BB122" s="6">
        <f>X5</f>
        <v>0</v>
      </c>
      <c r="BC122" s="6">
        <f>Y5</f>
        <v>0</v>
      </c>
      <c r="BD122" s="13">
        <f>Z5</f>
        <v>0</v>
      </c>
      <c r="BF122" s="15">
        <f>V6</f>
        <v>0</v>
      </c>
      <c r="BG122" s="8">
        <f>W6</f>
        <v>0</v>
      </c>
      <c r="BH122" s="6">
        <f>X6</f>
        <v>0</v>
      </c>
      <c r="BI122" s="6">
        <f>Y6</f>
        <v>0</v>
      </c>
      <c r="BJ122" s="13">
        <f>Z6</f>
        <v>0</v>
      </c>
    </row>
    <row r="123" spans="1:62" x14ac:dyDescent="0.25">
      <c r="A123" s="15">
        <v>1500</v>
      </c>
      <c r="B123" s="8">
        <f t="shared" si="26"/>
        <v>0</v>
      </c>
      <c r="C123" s="6">
        <f t="shared" si="26"/>
        <v>8</v>
      </c>
      <c r="D123" s="6">
        <f t="shared" si="26"/>
        <v>0</v>
      </c>
      <c r="E123" s="6">
        <f t="shared" si="26"/>
        <v>0</v>
      </c>
      <c r="F123" s="13">
        <f t="shared" si="26"/>
        <v>0</v>
      </c>
      <c r="G123" s="8">
        <f t="shared" si="27"/>
        <v>0</v>
      </c>
      <c r="H123" s="6">
        <f t="shared" si="27"/>
        <v>0</v>
      </c>
      <c r="I123" s="6">
        <f t="shared" si="27"/>
        <v>0</v>
      </c>
      <c r="J123" s="6">
        <f t="shared" si="27"/>
        <v>0</v>
      </c>
      <c r="K123" s="13">
        <f t="shared" si="27"/>
        <v>0</v>
      </c>
      <c r="L123" s="8">
        <f t="shared" si="28"/>
        <v>0</v>
      </c>
      <c r="M123" s="6">
        <f t="shared" si="28"/>
        <v>0</v>
      </c>
      <c r="N123" s="6">
        <f t="shared" si="28"/>
        <v>0</v>
      </c>
      <c r="O123" s="6">
        <f t="shared" si="28"/>
        <v>0</v>
      </c>
      <c r="P123" s="13">
        <f t="shared" si="28"/>
        <v>0</v>
      </c>
      <c r="Q123" s="8">
        <f t="shared" si="29"/>
        <v>0</v>
      </c>
      <c r="R123" s="6">
        <f t="shared" si="29"/>
        <v>0</v>
      </c>
      <c r="S123" s="6">
        <f t="shared" si="29"/>
        <v>0</v>
      </c>
      <c r="T123" s="6">
        <f t="shared" si="29"/>
        <v>0</v>
      </c>
      <c r="U123" s="13">
        <f t="shared" si="29"/>
        <v>0</v>
      </c>
      <c r="V123" s="8">
        <f t="shared" si="30"/>
        <v>0</v>
      </c>
      <c r="W123" s="6">
        <f t="shared" si="30"/>
        <v>0</v>
      </c>
      <c r="X123" s="6">
        <f t="shared" si="30"/>
        <v>0</v>
      </c>
      <c r="Y123" s="6">
        <f t="shared" si="30"/>
        <v>0</v>
      </c>
      <c r="Z123" s="13">
        <f t="shared" si="30"/>
        <v>0</v>
      </c>
      <c r="AA123" s="8">
        <f t="shared" si="30"/>
        <v>0</v>
      </c>
      <c r="AB123" s="6">
        <f t="shared" si="30"/>
        <v>0</v>
      </c>
      <c r="AC123" s="6">
        <f t="shared" si="30"/>
        <v>0</v>
      </c>
      <c r="AD123" s="6">
        <f t="shared" si="30"/>
        <v>0</v>
      </c>
      <c r="AE123" s="13">
        <f t="shared" si="30"/>
        <v>0</v>
      </c>
      <c r="AF123" s="16">
        <f t="shared" si="31"/>
        <v>12000</v>
      </c>
      <c r="AG123" s="16">
        <f t="shared" si="32"/>
        <v>8</v>
      </c>
      <c r="AH123" s="15" t="str">
        <f>AB2</f>
        <v>AG</v>
      </c>
      <c r="AI123" s="8">
        <f>AC2</f>
        <v>500</v>
      </c>
      <c r="AJ123" s="6">
        <f>AD2</f>
        <v>20</v>
      </c>
      <c r="AK123" s="6" t="str">
        <f>AE2</f>
        <v>Y</v>
      </c>
      <c r="AL123" s="13" t="str">
        <f>AF2</f>
        <v>3L</v>
      </c>
      <c r="AN123" s="15">
        <f>AB3</f>
        <v>0</v>
      </c>
      <c r="AO123" s="8">
        <f>AC3</f>
        <v>0</v>
      </c>
      <c r="AP123" s="6">
        <f>AD3</f>
        <v>0</v>
      </c>
      <c r="AQ123" s="6">
        <f>AE3</f>
        <v>0</v>
      </c>
      <c r="AR123" s="13">
        <f>AF3</f>
        <v>0</v>
      </c>
      <c r="AT123" s="15">
        <f>AB4</f>
        <v>0</v>
      </c>
      <c r="AU123" s="8">
        <f>AC4</f>
        <v>0</v>
      </c>
      <c r="AV123" s="6">
        <f>AD4</f>
        <v>0</v>
      </c>
      <c r="AW123" s="6">
        <f>AE4</f>
        <v>0</v>
      </c>
      <c r="AX123" s="13">
        <f>AF4</f>
        <v>0</v>
      </c>
      <c r="AZ123" s="15">
        <f>AB5</f>
        <v>0</v>
      </c>
      <c r="BA123" s="8">
        <f>AC5</f>
        <v>0</v>
      </c>
      <c r="BB123" s="6">
        <f>AD5</f>
        <v>0</v>
      </c>
      <c r="BC123" s="6">
        <f>AE5</f>
        <v>0</v>
      </c>
      <c r="BD123" s="13">
        <f>AF5</f>
        <v>0</v>
      </c>
      <c r="BF123" s="15">
        <f>AB6</f>
        <v>0</v>
      </c>
      <c r="BG123" s="8">
        <f>AC6</f>
        <v>0</v>
      </c>
      <c r="BH123" s="6">
        <f>AD6</f>
        <v>0</v>
      </c>
      <c r="BI123" s="6">
        <f>AE6</f>
        <v>0</v>
      </c>
      <c r="BJ123" s="13">
        <f>AF6</f>
        <v>0</v>
      </c>
    </row>
    <row r="124" spans="1:62" x14ac:dyDescent="0.25">
      <c r="A124" s="15">
        <v>2000</v>
      </c>
      <c r="B124" s="8">
        <f t="shared" si="26"/>
        <v>0</v>
      </c>
      <c r="C124" s="6">
        <f t="shared" si="26"/>
        <v>0</v>
      </c>
      <c r="D124" s="6">
        <f t="shared" si="26"/>
        <v>0</v>
      </c>
      <c r="E124" s="6">
        <f t="shared" si="26"/>
        <v>0</v>
      </c>
      <c r="F124" s="13">
        <f t="shared" si="26"/>
        <v>0</v>
      </c>
      <c r="G124" s="8">
        <f t="shared" si="27"/>
        <v>0</v>
      </c>
      <c r="H124" s="6">
        <f t="shared" si="27"/>
        <v>0</v>
      </c>
      <c r="I124" s="6">
        <f t="shared" si="27"/>
        <v>0</v>
      </c>
      <c r="J124" s="6">
        <f t="shared" si="27"/>
        <v>0</v>
      </c>
      <c r="K124" s="13">
        <f t="shared" si="27"/>
        <v>0</v>
      </c>
      <c r="L124" s="8">
        <f t="shared" si="28"/>
        <v>0</v>
      </c>
      <c r="M124" s="6">
        <f t="shared" si="28"/>
        <v>0</v>
      </c>
      <c r="N124" s="6">
        <f t="shared" si="28"/>
        <v>0</v>
      </c>
      <c r="O124" s="6">
        <f t="shared" si="28"/>
        <v>0</v>
      </c>
      <c r="P124" s="13">
        <f t="shared" si="28"/>
        <v>0</v>
      </c>
      <c r="Q124" s="8">
        <f t="shared" si="29"/>
        <v>0</v>
      </c>
      <c r="R124" s="6">
        <f t="shared" si="29"/>
        <v>0</v>
      </c>
      <c r="S124" s="6">
        <f t="shared" si="29"/>
        <v>0</v>
      </c>
      <c r="T124" s="6">
        <f t="shared" si="29"/>
        <v>0</v>
      </c>
      <c r="U124" s="13">
        <f t="shared" si="29"/>
        <v>0</v>
      </c>
      <c r="V124" s="8">
        <f t="shared" si="30"/>
        <v>0</v>
      </c>
      <c r="W124" s="6">
        <f t="shared" si="30"/>
        <v>0</v>
      </c>
      <c r="X124" s="6">
        <f t="shared" si="30"/>
        <v>0</v>
      </c>
      <c r="Y124" s="6">
        <f t="shared" si="30"/>
        <v>0</v>
      </c>
      <c r="Z124" s="13">
        <f t="shared" si="30"/>
        <v>0</v>
      </c>
      <c r="AA124" s="8">
        <f t="shared" si="30"/>
        <v>0</v>
      </c>
      <c r="AB124" s="6">
        <f t="shared" si="30"/>
        <v>0</v>
      </c>
      <c r="AC124" s="6">
        <f t="shared" si="30"/>
        <v>0</v>
      </c>
      <c r="AD124" s="6">
        <f t="shared" si="30"/>
        <v>0</v>
      </c>
      <c r="AE124" s="13">
        <f t="shared" si="30"/>
        <v>0</v>
      </c>
      <c r="AF124" s="16">
        <f t="shared" si="31"/>
        <v>0</v>
      </c>
      <c r="AG124" s="16">
        <f t="shared" si="32"/>
        <v>0</v>
      </c>
      <c r="AH124" s="15">
        <f>AH2</f>
        <v>0</v>
      </c>
      <c r="AI124" s="8">
        <f>AI2</f>
        <v>0</v>
      </c>
      <c r="AJ124" s="6">
        <f>AJ2</f>
        <v>0</v>
      </c>
      <c r="AK124" s="6">
        <f>AK2</f>
        <v>0</v>
      </c>
      <c r="AL124" s="13">
        <f>AL2</f>
        <v>0</v>
      </c>
      <c r="AN124" s="15">
        <f>AH3</f>
        <v>0</v>
      </c>
      <c r="AO124" s="8">
        <f>AI3</f>
        <v>0</v>
      </c>
      <c r="AP124" s="6">
        <f>AJ3</f>
        <v>0</v>
      </c>
      <c r="AQ124" s="6">
        <f>AK3</f>
        <v>0</v>
      </c>
      <c r="AR124" s="13">
        <f>AL3</f>
        <v>0</v>
      </c>
      <c r="AT124" s="15">
        <f>AH4</f>
        <v>0</v>
      </c>
      <c r="AU124" s="8">
        <f>AI4</f>
        <v>0</v>
      </c>
      <c r="AV124" s="6">
        <f>AJ4</f>
        <v>0</v>
      </c>
      <c r="AW124" s="6">
        <f>AK4</f>
        <v>0</v>
      </c>
      <c r="AX124" s="13">
        <f>AL4</f>
        <v>0</v>
      </c>
      <c r="AZ124" s="15">
        <f>AH5</f>
        <v>0</v>
      </c>
      <c r="BA124" s="8">
        <f>AI5</f>
        <v>0</v>
      </c>
      <c r="BB124" s="6">
        <f>AJ5</f>
        <v>0</v>
      </c>
      <c r="BC124" s="6">
        <f>AK5</f>
        <v>0</v>
      </c>
      <c r="BD124" s="13">
        <f>AL5</f>
        <v>0</v>
      </c>
      <c r="BF124" s="15">
        <f>AH6</f>
        <v>0</v>
      </c>
      <c r="BG124" s="8">
        <f>AI6</f>
        <v>0</v>
      </c>
      <c r="BH124" s="6">
        <f>AJ6</f>
        <v>0</v>
      </c>
      <c r="BI124" s="6">
        <f>AK6</f>
        <v>0</v>
      </c>
      <c r="BJ124" s="13">
        <f>AL6</f>
        <v>0</v>
      </c>
    </row>
    <row r="125" spans="1:62" x14ac:dyDescent="0.25">
      <c r="A125" s="15">
        <v>3000</v>
      </c>
      <c r="B125" s="8">
        <f t="shared" si="26"/>
        <v>0</v>
      </c>
      <c r="C125" s="6">
        <f t="shared" si="26"/>
        <v>0</v>
      </c>
      <c r="D125" s="6">
        <f t="shared" si="26"/>
        <v>0</v>
      </c>
      <c r="E125" s="6">
        <f t="shared" si="26"/>
        <v>0</v>
      </c>
      <c r="F125" s="13">
        <f t="shared" si="26"/>
        <v>0</v>
      </c>
      <c r="G125" s="8">
        <f t="shared" si="27"/>
        <v>0</v>
      </c>
      <c r="H125" s="6">
        <f t="shared" si="27"/>
        <v>0</v>
      </c>
      <c r="I125" s="6">
        <f t="shared" si="27"/>
        <v>0</v>
      </c>
      <c r="J125" s="6">
        <f t="shared" si="27"/>
        <v>0</v>
      </c>
      <c r="K125" s="13">
        <f t="shared" si="27"/>
        <v>0</v>
      </c>
      <c r="L125" s="8">
        <f t="shared" si="28"/>
        <v>0</v>
      </c>
      <c r="M125" s="6">
        <f t="shared" si="28"/>
        <v>0</v>
      </c>
      <c r="N125" s="6">
        <f t="shared" si="28"/>
        <v>0</v>
      </c>
      <c r="O125" s="6">
        <f t="shared" si="28"/>
        <v>0</v>
      </c>
      <c r="P125" s="13">
        <f t="shared" si="28"/>
        <v>0</v>
      </c>
      <c r="Q125" s="8">
        <f t="shared" si="29"/>
        <v>0</v>
      </c>
      <c r="R125" s="6">
        <f t="shared" si="29"/>
        <v>0</v>
      </c>
      <c r="S125" s="6">
        <f t="shared" si="29"/>
        <v>0</v>
      </c>
      <c r="T125" s="6">
        <f t="shared" si="29"/>
        <v>0</v>
      </c>
      <c r="U125" s="13">
        <f t="shared" si="29"/>
        <v>0</v>
      </c>
      <c r="V125" s="8">
        <f t="shared" si="30"/>
        <v>0</v>
      </c>
      <c r="W125" s="6">
        <f t="shared" si="30"/>
        <v>0</v>
      </c>
      <c r="X125" s="6">
        <f t="shared" si="30"/>
        <v>0</v>
      </c>
      <c r="Y125" s="6">
        <f t="shared" si="30"/>
        <v>0</v>
      </c>
      <c r="Z125" s="13">
        <f t="shared" si="30"/>
        <v>0</v>
      </c>
      <c r="AA125" s="8">
        <f t="shared" si="30"/>
        <v>0</v>
      </c>
      <c r="AB125" s="6">
        <f t="shared" si="30"/>
        <v>0</v>
      </c>
      <c r="AC125" s="6">
        <f t="shared" si="30"/>
        <v>0</v>
      </c>
      <c r="AD125" s="6">
        <f t="shared" si="30"/>
        <v>0</v>
      </c>
      <c r="AE125" s="13">
        <f t="shared" si="30"/>
        <v>0</v>
      </c>
      <c r="AF125" s="16">
        <f t="shared" si="31"/>
        <v>0</v>
      </c>
      <c r="AG125" s="16">
        <f t="shared" si="32"/>
        <v>0</v>
      </c>
      <c r="AH125" s="15">
        <f>AN2</f>
        <v>0</v>
      </c>
      <c r="AI125" s="8">
        <f>AO2</f>
        <v>0</v>
      </c>
      <c r="AJ125" s="6">
        <f>AP2</f>
        <v>0</v>
      </c>
      <c r="AK125" s="6">
        <f>AQ2</f>
        <v>0</v>
      </c>
      <c r="AL125" s="13">
        <f>AR2</f>
        <v>0</v>
      </c>
      <c r="AN125" s="15">
        <f>AN3</f>
        <v>0</v>
      </c>
      <c r="AO125" s="8">
        <f>AO3</f>
        <v>0</v>
      </c>
      <c r="AP125" s="6">
        <f>AP3</f>
        <v>0</v>
      </c>
      <c r="AQ125" s="6">
        <f>AQ3</f>
        <v>0</v>
      </c>
      <c r="AR125" s="13">
        <f>AR3</f>
        <v>0</v>
      </c>
      <c r="AT125" s="15">
        <f>AN4</f>
        <v>0</v>
      </c>
      <c r="AU125" s="8">
        <f>AO4</f>
        <v>0</v>
      </c>
      <c r="AV125" s="6">
        <f>AP4</f>
        <v>0</v>
      </c>
      <c r="AW125" s="6">
        <f>AQ4</f>
        <v>0</v>
      </c>
      <c r="AX125" s="13">
        <f>AR4</f>
        <v>0</v>
      </c>
      <c r="AZ125" s="15">
        <f>AN5</f>
        <v>0</v>
      </c>
      <c r="BA125" s="8">
        <f>AO5</f>
        <v>0</v>
      </c>
      <c r="BB125" s="6">
        <f>AP5</f>
        <v>0</v>
      </c>
      <c r="BC125" s="6">
        <f>AQ5</f>
        <v>0</v>
      </c>
      <c r="BD125" s="13">
        <f>AR5</f>
        <v>0</v>
      </c>
      <c r="BF125" s="15">
        <f>AN6</f>
        <v>0</v>
      </c>
      <c r="BG125" s="8">
        <f>AO6</f>
        <v>0</v>
      </c>
      <c r="BH125" s="6">
        <f>AP6</f>
        <v>0</v>
      </c>
      <c r="BI125" s="6">
        <f>AQ6</f>
        <v>0</v>
      </c>
      <c r="BJ125" s="13">
        <f>AR6</f>
        <v>0</v>
      </c>
    </row>
    <row r="126" spans="1:62" x14ac:dyDescent="0.25">
      <c r="A126" s="15">
        <v>5000</v>
      </c>
      <c r="B126" s="8">
        <f t="shared" si="26"/>
        <v>0</v>
      </c>
      <c r="C126" s="6">
        <f t="shared" si="26"/>
        <v>0</v>
      </c>
      <c r="D126" s="6">
        <f t="shared" si="26"/>
        <v>0</v>
      </c>
      <c r="E126" s="6">
        <f t="shared" si="26"/>
        <v>0</v>
      </c>
      <c r="F126" s="13">
        <f t="shared" si="26"/>
        <v>0</v>
      </c>
      <c r="G126" s="8">
        <f t="shared" si="27"/>
        <v>0</v>
      </c>
      <c r="H126" s="6">
        <f t="shared" si="27"/>
        <v>0</v>
      </c>
      <c r="I126" s="6">
        <f t="shared" si="27"/>
        <v>0</v>
      </c>
      <c r="J126" s="6">
        <f t="shared" si="27"/>
        <v>0</v>
      </c>
      <c r="K126" s="13">
        <f t="shared" si="27"/>
        <v>0</v>
      </c>
      <c r="L126" s="8">
        <f t="shared" si="28"/>
        <v>0</v>
      </c>
      <c r="M126" s="6">
        <f t="shared" si="28"/>
        <v>0</v>
      </c>
      <c r="N126" s="6">
        <f t="shared" si="28"/>
        <v>0</v>
      </c>
      <c r="O126" s="6">
        <f t="shared" si="28"/>
        <v>0</v>
      </c>
      <c r="P126" s="13">
        <f t="shared" si="28"/>
        <v>0</v>
      </c>
      <c r="Q126" s="8">
        <f t="shared" si="29"/>
        <v>0</v>
      </c>
      <c r="R126" s="6">
        <f t="shared" si="29"/>
        <v>0</v>
      </c>
      <c r="S126" s="6">
        <f t="shared" si="29"/>
        <v>0</v>
      </c>
      <c r="T126" s="6">
        <f t="shared" si="29"/>
        <v>0</v>
      </c>
      <c r="U126" s="13">
        <f t="shared" si="29"/>
        <v>0</v>
      </c>
      <c r="V126" s="8">
        <f t="shared" si="30"/>
        <v>0</v>
      </c>
      <c r="W126" s="6">
        <f t="shared" si="30"/>
        <v>0</v>
      </c>
      <c r="X126" s="6">
        <f t="shared" si="30"/>
        <v>0</v>
      </c>
      <c r="Y126" s="6">
        <f t="shared" si="30"/>
        <v>0</v>
      </c>
      <c r="Z126" s="13">
        <f t="shared" si="30"/>
        <v>0</v>
      </c>
      <c r="AA126" s="8">
        <f t="shared" si="30"/>
        <v>0</v>
      </c>
      <c r="AB126" s="6">
        <f t="shared" si="30"/>
        <v>0</v>
      </c>
      <c r="AC126" s="6">
        <f t="shared" si="30"/>
        <v>0</v>
      </c>
      <c r="AD126" s="6">
        <f t="shared" si="30"/>
        <v>0</v>
      </c>
      <c r="AE126" s="13">
        <f t="shared" si="30"/>
        <v>0</v>
      </c>
      <c r="AF126" s="16">
        <f t="shared" si="31"/>
        <v>0</v>
      </c>
      <c r="AG126" s="16">
        <f t="shared" si="32"/>
        <v>0</v>
      </c>
      <c r="AH126" s="15">
        <f>AT2</f>
        <v>0</v>
      </c>
      <c r="AI126" s="8">
        <f>AU2</f>
        <v>0</v>
      </c>
      <c r="AJ126" s="6">
        <f>AV2</f>
        <v>0</v>
      </c>
      <c r="AK126" s="6">
        <f>AW2</f>
        <v>0</v>
      </c>
      <c r="AL126" s="13">
        <f>AX2</f>
        <v>0</v>
      </c>
      <c r="AN126" s="15">
        <f>AT3</f>
        <v>0</v>
      </c>
      <c r="AO126" s="8">
        <f>AU3</f>
        <v>0</v>
      </c>
      <c r="AP126" s="6">
        <f>AV3</f>
        <v>0</v>
      </c>
      <c r="AQ126" s="6">
        <f>AW3</f>
        <v>0</v>
      </c>
      <c r="AR126" s="13">
        <f>AX3</f>
        <v>0</v>
      </c>
      <c r="AT126" s="15">
        <f>AT4</f>
        <v>0</v>
      </c>
      <c r="AU126" s="8">
        <f>AU4</f>
        <v>0</v>
      </c>
      <c r="AV126" s="6">
        <f>AV4</f>
        <v>0</v>
      </c>
      <c r="AW126" s="6">
        <f>AW4</f>
        <v>0</v>
      </c>
      <c r="AX126" s="13">
        <f>AX4</f>
        <v>0</v>
      </c>
      <c r="AZ126" s="15">
        <f>AT5</f>
        <v>0</v>
      </c>
      <c r="BA126" s="8">
        <f>AU5</f>
        <v>0</v>
      </c>
      <c r="BB126" s="6">
        <f>AV5</f>
        <v>0</v>
      </c>
      <c r="BC126" s="6">
        <f>AW5</f>
        <v>0</v>
      </c>
      <c r="BD126" s="13">
        <f>AX5</f>
        <v>0</v>
      </c>
      <c r="BF126" s="15">
        <f>AT6</f>
        <v>0</v>
      </c>
      <c r="BG126" s="8">
        <f>AU6</f>
        <v>0</v>
      </c>
      <c r="BH126" s="6">
        <f>AV6</f>
        <v>0</v>
      </c>
      <c r="BI126" s="6">
        <f>AW6</f>
        <v>0</v>
      </c>
      <c r="BJ126" s="13">
        <f>AX6</f>
        <v>0</v>
      </c>
    </row>
    <row r="127" spans="1:62" ht="15.75" thickBot="1" x14ac:dyDescent="0.3">
      <c r="A127" s="59">
        <v>10000</v>
      </c>
      <c r="B127" s="31">
        <f t="shared" si="26"/>
        <v>0</v>
      </c>
      <c r="C127" s="32">
        <f t="shared" si="26"/>
        <v>0</v>
      </c>
      <c r="D127" s="32">
        <f t="shared" si="26"/>
        <v>0</v>
      </c>
      <c r="E127" s="32">
        <f t="shared" si="26"/>
        <v>0</v>
      </c>
      <c r="F127" s="33">
        <f t="shared" si="26"/>
        <v>0</v>
      </c>
      <c r="G127" s="31">
        <f t="shared" si="27"/>
        <v>0</v>
      </c>
      <c r="H127" s="32">
        <f t="shared" si="27"/>
        <v>0</v>
      </c>
      <c r="I127" s="32">
        <f t="shared" si="27"/>
        <v>0</v>
      </c>
      <c r="J127" s="32">
        <f t="shared" si="27"/>
        <v>0</v>
      </c>
      <c r="K127" s="33">
        <f t="shared" si="27"/>
        <v>0</v>
      </c>
      <c r="L127" s="31">
        <f t="shared" si="28"/>
        <v>0</v>
      </c>
      <c r="M127" s="32">
        <f t="shared" si="28"/>
        <v>0</v>
      </c>
      <c r="N127" s="32">
        <f t="shared" si="28"/>
        <v>0</v>
      </c>
      <c r="O127" s="32">
        <f t="shared" si="28"/>
        <v>0</v>
      </c>
      <c r="P127" s="33">
        <f t="shared" si="28"/>
        <v>0</v>
      </c>
      <c r="Q127" s="31">
        <f t="shared" si="29"/>
        <v>0</v>
      </c>
      <c r="R127" s="32">
        <f t="shared" si="29"/>
        <v>0</v>
      </c>
      <c r="S127" s="32">
        <f t="shared" si="29"/>
        <v>0</v>
      </c>
      <c r="T127" s="32">
        <f t="shared" si="29"/>
        <v>0</v>
      </c>
      <c r="U127" s="33">
        <f t="shared" si="29"/>
        <v>0</v>
      </c>
      <c r="V127" s="31">
        <f t="shared" si="30"/>
        <v>0</v>
      </c>
      <c r="W127" s="32">
        <f t="shared" si="30"/>
        <v>0</v>
      </c>
      <c r="X127" s="32">
        <f t="shared" si="30"/>
        <v>0</v>
      </c>
      <c r="Y127" s="32">
        <f t="shared" si="30"/>
        <v>0</v>
      </c>
      <c r="Z127" s="33">
        <f t="shared" si="30"/>
        <v>0</v>
      </c>
      <c r="AA127" s="31">
        <f t="shared" si="30"/>
        <v>0</v>
      </c>
      <c r="AB127" s="32">
        <f t="shared" si="30"/>
        <v>0</v>
      </c>
      <c r="AC127" s="32">
        <f t="shared" si="30"/>
        <v>0</v>
      </c>
      <c r="AD127" s="32">
        <f t="shared" si="30"/>
        <v>0</v>
      </c>
      <c r="AE127" s="33">
        <f t="shared" si="30"/>
        <v>0</v>
      </c>
      <c r="AF127" s="16">
        <f t="shared" si="31"/>
        <v>0</v>
      </c>
      <c r="AG127" s="43">
        <f t="shared" si="32"/>
        <v>0</v>
      </c>
      <c r="AH127" s="15">
        <f>AZ2</f>
        <v>0</v>
      </c>
      <c r="AI127" s="8">
        <f>BA2</f>
        <v>0</v>
      </c>
      <c r="AJ127" s="6">
        <f>BB2</f>
        <v>0</v>
      </c>
      <c r="AK127" s="6">
        <f>BC2</f>
        <v>0</v>
      </c>
      <c r="AL127" s="13">
        <f>BD2</f>
        <v>0</v>
      </c>
      <c r="AN127" s="15">
        <f>AZ3</f>
        <v>0</v>
      </c>
      <c r="AO127" s="8">
        <f>BA3</f>
        <v>0</v>
      </c>
      <c r="AP127" s="6">
        <f>BB3</f>
        <v>0</v>
      </c>
      <c r="AQ127" s="6">
        <f>BC3</f>
        <v>0</v>
      </c>
      <c r="AR127" s="13">
        <f>BD3</f>
        <v>0</v>
      </c>
      <c r="AT127" s="15">
        <f>AZ4</f>
        <v>0</v>
      </c>
      <c r="AU127" s="8">
        <f>BA4</f>
        <v>0</v>
      </c>
      <c r="AV127" s="6">
        <f>BB4</f>
        <v>0</v>
      </c>
      <c r="AW127" s="6">
        <f>BC4</f>
        <v>0</v>
      </c>
      <c r="AX127" s="13">
        <f>BD4</f>
        <v>0</v>
      </c>
      <c r="AZ127" s="15">
        <f>AZ5</f>
        <v>0</v>
      </c>
      <c r="BA127" s="8">
        <f>BA5</f>
        <v>0</v>
      </c>
      <c r="BB127" s="6">
        <f>BB5</f>
        <v>0</v>
      </c>
      <c r="BC127" s="6">
        <f>BC5</f>
        <v>0</v>
      </c>
      <c r="BD127" s="13">
        <f>BD5</f>
        <v>0</v>
      </c>
      <c r="BF127" s="15">
        <f>AZ6</f>
        <v>0</v>
      </c>
      <c r="BG127" s="8">
        <f>BA6</f>
        <v>0</v>
      </c>
      <c r="BH127" s="6">
        <f>BB6</f>
        <v>0</v>
      </c>
      <c r="BI127" s="6">
        <f>BC6</f>
        <v>0</v>
      </c>
      <c r="BJ127" s="13">
        <f>BD6</f>
        <v>0</v>
      </c>
    </row>
    <row r="128" spans="1:62" ht="15.75" thickBot="1" x14ac:dyDescent="0.3">
      <c r="A128" s="35"/>
      <c r="B128" s="60">
        <f t="shared" ref="B128:AG128" si="33">SUM(B119:B127)</f>
        <v>0</v>
      </c>
      <c r="C128" s="61">
        <f t="shared" si="33"/>
        <v>48</v>
      </c>
      <c r="D128" s="61">
        <f t="shared" si="33"/>
        <v>0</v>
      </c>
      <c r="E128" s="61">
        <f t="shared" si="33"/>
        <v>0</v>
      </c>
      <c r="F128" s="62">
        <f t="shared" si="33"/>
        <v>0</v>
      </c>
      <c r="G128" s="60">
        <f t="shared" si="33"/>
        <v>0</v>
      </c>
      <c r="H128" s="61">
        <f t="shared" si="33"/>
        <v>0</v>
      </c>
      <c r="I128" s="61">
        <f t="shared" si="33"/>
        <v>0</v>
      </c>
      <c r="J128" s="61">
        <f t="shared" si="33"/>
        <v>0</v>
      </c>
      <c r="K128" s="62">
        <f t="shared" si="33"/>
        <v>0</v>
      </c>
      <c r="L128" s="60">
        <f t="shared" si="33"/>
        <v>0</v>
      </c>
      <c r="M128" s="61">
        <f t="shared" si="33"/>
        <v>0</v>
      </c>
      <c r="N128" s="61">
        <f t="shared" si="33"/>
        <v>0</v>
      </c>
      <c r="O128" s="61">
        <f t="shared" si="33"/>
        <v>0</v>
      </c>
      <c r="P128" s="62">
        <f t="shared" si="33"/>
        <v>0</v>
      </c>
      <c r="Q128" s="60">
        <f t="shared" si="33"/>
        <v>0</v>
      </c>
      <c r="R128" s="61">
        <f t="shared" si="33"/>
        <v>0</v>
      </c>
      <c r="S128" s="61">
        <f t="shared" si="33"/>
        <v>0</v>
      </c>
      <c r="T128" s="61">
        <f t="shared" si="33"/>
        <v>0</v>
      </c>
      <c r="U128" s="62">
        <f t="shared" si="33"/>
        <v>0</v>
      </c>
      <c r="V128" s="60">
        <f t="shared" si="33"/>
        <v>0</v>
      </c>
      <c r="W128" s="61">
        <f t="shared" si="33"/>
        <v>0</v>
      </c>
      <c r="X128" s="61">
        <f t="shared" si="33"/>
        <v>0</v>
      </c>
      <c r="Y128" s="61">
        <f t="shared" si="33"/>
        <v>0</v>
      </c>
      <c r="Z128" s="62">
        <f t="shared" si="33"/>
        <v>0</v>
      </c>
      <c r="AA128" s="60">
        <f t="shared" si="33"/>
        <v>0</v>
      </c>
      <c r="AB128" s="61">
        <f t="shared" si="33"/>
        <v>0</v>
      </c>
      <c r="AC128" s="61">
        <f t="shared" si="33"/>
        <v>0</v>
      </c>
      <c r="AD128" s="61">
        <f t="shared" si="33"/>
        <v>0</v>
      </c>
      <c r="AE128" s="62">
        <f t="shared" si="33"/>
        <v>0</v>
      </c>
      <c r="AF128" s="35">
        <f>SUM(AF119:AF127)</f>
        <v>39500</v>
      </c>
      <c r="AG128" s="35">
        <f t="shared" si="32"/>
        <v>48</v>
      </c>
      <c r="AH128" s="15">
        <f>BF2</f>
        <v>0</v>
      </c>
      <c r="AI128" s="8">
        <f>BG2</f>
        <v>0</v>
      </c>
      <c r="AJ128" s="6">
        <f>BH2</f>
        <v>0</v>
      </c>
      <c r="AK128" s="6">
        <f>BI2</f>
        <v>0</v>
      </c>
      <c r="AL128" s="13">
        <f>BJ2</f>
        <v>0</v>
      </c>
      <c r="AN128" s="15">
        <f>BF3</f>
        <v>0</v>
      </c>
      <c r="AO128" s="8">
        <f>BG3</f>
        <v>0</v>
      </c>
      <c r="AP128" s="6">
        <f>BH3</f>
        <v>0</v>
      </c>
      <c r="AQ128" s="6">
        <f>BI3</f>
        <v>0</v>
      </c>
      <c r="AR128" s="13">
        <f>BJ3</f>
        <v>0</v>
      </c>
      <c r="AT128" s="15">
        <f>BF4</f>
        <v>0</v>
      </c>
      <c r="AU128" s="8">
        <f>BG4</f>
        <v>0</v>
      </c>
      <c r="AV128" s="6">
        <f>BH4</f>
        <v>0</v>
      </c>
      <c r="AW128" s="6">
        <f>BI4</f>
        <v>0</v>
      </c>
      <c r="AX128" s="13">
        <f>BJ4</f>
        <v>0</v>
      </c>
      <c r="AZ128" s="15">
        <f>BF5</f>
        <v>0</v>
      </c>
      <c r="BA128" s="8">
        <f>BG5</f>
        <v>0</v>
      </c>
      <c r="BB128" s="6">
        <f>BH5</f>
        <v>0</v>
      </c>
      <c r="BC128" s="6">
        <f>BI5</f>
        <v>0</v>
      </c>
      <c r="BD128" s="13">
        <f>BJ5</f>
        <v>0</v>
      </c>
      <c r="BF128" s="15">
        <f>BF6</f>
        <v>0</v>
      </c>
      <c r="BG128" s="8">
        <f>BG6</f>
        <v>0</v>
      </c>
      <c r="BH128" s="6">
        <f>BH6</f>
        <v>0</v>
      </c>
      <c r="BI128" s="6">
        <f>BI6</f>
        <v>0</v>
      </c>
      <c r="BJ128" s="13">
        <f>BJ6</f>
        <v>0</v>
      </c>
    </row>
    <row r="129" spans="1:62" ht="15.75" thickBo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9">
        <f>BL2</f>
        <v>0</v>
      </c>
      <c r="AI129" s="31">
        <f>BM2</f>
        <v>0</v>
      </c>
      <c r="AJ129" s="32">
        <f>BN2</f>
        <v>0</v>
      </c>
      <c r="AK129" s="32">
        <f>BO2</f>
        <v>0</v>
      </c>
      <c r="AL129" s="33">
        <f>BP2</f>
        <v>0</v>
      </c>
      <c r="AN129" s="59">
        <f>BL3</f>
        <v>0</v>
      </c>
      <c r="AO129" s="31">
        <f>BM3</f>
        <v>0</v>
      </c>
      <c r="AP129" s="32">
        <f>BN3</f>
        <v>0</v>
      </c>
      <c r="AQ129" s="32">
        <f>BO3</f>
        <v>0</v>
      </c>
      <c r="AR129" s="33">
        <f>BP3</f>
        <v>0</v>
      </c>
      <c r="AT129" s="59">
        <f>BL4</f>
        <v>0</v>
      </c>
      <c r="AU129" s="31">
        <f>BM4</f>
        <v>0</v>
      </c>
      <c r="AV129" s="32">
        <f>BN4</f>
        <v>0</v>
      </c>
      <c r="AW129" s="32">
        <f>BO4</f>
        <v>0</v>
      </c>
      <c r="AX129" s="33">
        <f>BP4</f>
        <v>0</v>
      </c>
      <c r="AZ129" s="59">
        <f>BL5</f>
        <v>0</v>
      </c>
      <c r="BA129" s="31">
        <f>BM5</f>
        <v>0</v>
      </c>
      <c r="BB129" s="32">
        <f>BN5</f>
        <v>0</v>
      </c>
      <c r="BC129" s="32">
        <f>BO5</f>
        <v>0</v>
      </c>
      <c r="BD129" s="33">
        <f>BP5</f>
        <v>0</v>
      </c>
      <c r="BF129" s="59">
        <f>BL6</f>
        <v>0</v>
      </c>
      <c r="BG129" s="31">
        <f>BM6</f>
        <v>0</v>
      </c>
      <c r="BH129" s="32">
        <f>BN6</f>
        <v>0</v>
      </c>
      <c r="BI129" s="32">
        <f>BO6</f>
        <v>0</v>
      </c>
      <c r="BJ129" s="33">
        <f>BP6</f>
        <v>0</v>
      </c>
    </row>
    <row r="130" spans="1:62" ht="16.5" thickBot="1" x14ac:dyDescent="0.3">
      <c r="A130" s="173" t="s">
        <v>249</v>
      </c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5"/>
      <c r="AH130" s="35" t="str">
        <f>C2</f>
        <v>A/C</v>
      </c>
      <c r="AI130" s="158">
        <f>SUM(AJ120:AJ129)</f>
        <v>48</v>
      </c>
      <c r="AJ130" s="159"/>
      <c r="AK130" s="158">
        <f>BT2</f>
        <v>39500</v>
      </c>
      <c r="AL130" s="159"/>
      <c r="AN130" s="35">
        <f>C3</f>
        <v>0</v>
      </c>
      <c r="AO130" s="158">
        <f>SUM(AP120:AP129)</f>
        <v>0</v>
      </c>
      <c r="AP130" s="159"/>
      <c r="AQ130" s="158">
        <f>BT3</f>
        <v>0</v>
      </c>
      <c r="AR130" s="159"/>
      <c r="AT130" s="35">
        <f>C4</f>
        <v>0</v>
      </c>
      <c r="AU130" s="158">
        <f>SUM(AV120:AV129)</f>
        <v>0</v>
      </c>
      <c r="AV130" s="159"/>
      <c r="AW130" s="158">
        <f>BT4</f>
        <v>0</v>
      </c>
      <c r="AX130" s="159"/>
      <c r="AZ130" s="35">
        <f>C5</f>
        <v>0</v>
      </c>
      <c r="BA130" s="158">
        <f>SUM(BB120:BB129)</f>
        <v>0</v>
      </c>
      <c r="BB130" s="159"/>
      <c r="BC130" s="158">
        <f>BT5</f>
        <v>0</v>
      </c>
      <c r="BD130" s="159"/>
      <c r="BF130" s="35">
        <f>C6</f>
        <v>0</v>
      </c>
      <c r="BG130" s="158">
        <f>SUM(BG120:BG129)</f>
        <v>0</v>
      </c>
      <c r="BH130" s="159"/>
      <c r="BI130" s="158">
        <f>BT6</f>
        <v>0</v>
      </c>
      <c r="BJ130" s="159"/>
    </row>
    <row r="131" spans="1:62" ht="15.75" thickBot="1" x14ac:dyDescent="0.3">
      <c r="A131" s="123" t="s">
        <v>31</v>
      </c>
      <c r="B131" s="113" t="s">
        <v>22</v>
      </c>
      <c r="C131" s="114"/>
      <c r="D131" s="114"/>
      <c r="E131" s="114"/>
      <c r="F131" s="115"/>
      <c r="G131" s="113" t="s">
        <v>20</v>
      </c>
      <c r="H131" s="114"/>
      <c r="I131" s="114"/>
      <c r="J131" s="114"/>
      <c r="K131" s="115"/>
      <c r="L131" s="113" t="s">
        <v>34</v>
      </c>
      <c r="M131" s="114"/>
      <c r="N131" s="114"/>
      <c r="O131" s="114"/>
      <c r="P131" s="115"/>
      <c r="Q131" s="113" t="s">
        <v>127</v>
      </c>
      <c r="R131" s="114"/>
      <c r="S131" s="114"/>
      <c r="T131" s="114"/>
      <c r="U131" s="115"/>
      <c r="V131" s="113" t="s">
        <v>129</v>
      </c>
      <c r="W131" s="114"/>
      <c r="X131" s="114"/>
      <c r="Y131" s="114"/>
      <c r="Z131" s="115"/>
      <c r="AA131" s="113" t="s">
        <v>26</v>
      </c>
      <c r="AB131" s="114"/>
      <c r="AC131" s="114"/>
      <c r="AD131" s="114"/>
      <c r="AE131" s="115"/>
      <c r="AF131" s="116" t="s">
        <v>24</v>
      </c>
      <c r="AG131" s="116" t="s">
        <v>86</v>
      </c>
      <c r="AH131" s="35" t="s">
        <v>25</v>
      </c>
      <c r="AI131" s="158">
        <f>A2</f>
        <v>21420</v>
      </c>
      <c r="AJ131" s="160"/>
      <c r="AK131" s="158" t="str">
        <f>BR2</f>
        <v>COD</v>
      </c>
      <c r="AL131" s="159"/>
      <c r="AN131" s="35" t="s">
        <v>25</v>
      </c>
      <c r="AO131" s="158">
        <f>A3</f>
        <v>0</v>
      </c>
      <c r="AP131" s="160"/>
      <c r="AQ131" s="158">
        <f>BR3</f>
        <v>0</v>
      </c>
      <c r="AR131" s="159"/>
      <c r="AT131" s="35" t="s">
        <v>25</v>
      </c>
      <c r="AU131" s="158">
        <f>A4</f>
        <v>0</v>
      </c>
      <c r="AV131" s="160"/>
      <c r="AW131" s="158">
        <f>BR4</f>
        <v>0</v>
      </c>
      <c r="AX131" s="159"/>
      <c r="AZ131" s="35" t="s">
        <v>25</v>
      </c>
      <c r="BA131" s="158">
        <f>A5</f>
        <v>0</v>
      </c>
      <c r="BB131" s="160"/>
      <c r="BC131" s="158">
        <f>BR5</f>
        <v>0</v>
      </c>
      <c r="BD131" s="159"/>
      <c r="BF131" s="35" t="s">
        <v>25</v>
      </c>
      <c r="BG131" s="158">
        <f>A6</f>
        <v>0</v>
      </c>
      <c r="BH131" s="160"/>
      <c r="BI131" s="158">
        <f>BR6</f>
        <v>0</v>
      </c>
      <c r="BJ131" s="159"/>
    </row>
    <row r="132" spans="1:62" ht="15.75" thickBot="1" x14ac:dyDescent="0.3">
      <c r="A132" s="124"/>
      <c r="B132" s="9" t="s">
        <v>32</v>
      </c>
      <c r="C132" s="12" t="s">
        <v>17</v>
      </c>
      <c r="D132" s="12" t="s">
        <v>19</v>
      </c>
      <c r="E132" s="12" t="s">
        <v>33</v>
      </c>
      <c r="F132" s="14" t="s">
        <v>80</v>
      </c>
      <c r="G132" s="9" t="s">
        <v>32</v>
      </c>
      <c r="H132" s="12" t="s">
        <v>17</v>
      </c>
      <c r="I132" s="12" t="s">
        <v>19</v>
      </c>
      <c r="J132" s="12" t="s">
        <v>33</v>
      </c>
      <c r="K132" s="14" t="s">
        <v>80</v>
      </c>
      <c r="L132" s="9" t="s">
        <v>32</v>
      </c>
      <c r="M132" s="12" t="s">
        <v>17</v>
      </c>
      <c r="N132" s="12" t="s">
        <v>19</v>
      </c>
      <c r="O132" s="12" t="s">
        <v>33</v>
      </c>
      <c r="P132" s="14" t="s">
        <v>80</v>
      </c>
      <c r="Q132" s="9" t="s">
        <v>32</v>
      </c>
      <c r="R132" s="12" t="s">
        <v>17</v>
      </c>
      <c r="S132" s="12" t="s">
        <v>19</v>
      </c>
      <c r="T132" s="12" t="s">
        <v>33</v>
      </c>
      <c r="U132" s="14" t="s">
        <v>80</v>
      </c>
      <c r="V132" s="9" t="s">
        <v>32</v>
      </c>
      <c r="W132" s="12" t="s">
        <v>17</v>
      </c>
      <c r="X132" s="12" t="s">
        <v>19</v>
      </c>
      <c r="Y132" s="12" t="s">
        <v>33</v>
      </c>
      <c r="Z132" s="14" t="s">
        <v>80</v>
      </c>
      <c r="AA132" s="9" t="s">
        <v>32</v>
      </c>
      <c r="AB132" s="12" t="s">
        <v>17</v>
      </c>
      <c r="AC132" s="12" t="s">
        <v>19</v>
      </c>
      <c r="AD132" s="12" t="s">
        <v>33</v>
      </c>
      <c r="AE132" s="14" t="s">
        <v>80</v>
      </c>
      <c r="AF132" s="117"/>
      <c r="AG132" s="117"/>
      <c r="AH132" s="58" t="s">
        <v>130</v>
      </c>
      <c r="AI132" s="58" t="s">
        <v>131</v>
      </c>
      <c r="AJ132" s="58" t="s">
        <v>132</v>
      </c>
      <c r="AK132" s="58" t="s">
        <v>166</v>
      </c>
      <c r="AL132" s="58" t="s">
        <v>33</v>
      </c>
      <c r="AN132" s="58" t="s">
        <v>130</v>
      </c>
      <c r="AO132" s="58" t="s">
        <v>131</v>
      </c>
      <c r="AP132" s="58" t="s">
        <v>132</v>
      </c>
      <c r="AQ132" s="58" t="s">
        <v>166</v>
      </c>
      <c r="AR132" s="58" t="s">
        <v>33</v>
      </c>
      <c r="AT132" s="58" t="s">
        <v>130</v>
      </c>
      <c r="AU132" s="58" t="s">
        <v>131</v>
      </c>
      <c r="AV132" s="58" t="s">
        <v>132</v>
      </c>
      <c r="AW132" s="58" t="s">
        <v>166</v>
      </c>
      <c r="AX132" s="58" t="s">
        <v>33</v>
      </c>
      <c r="AZ132" s="58" t="s">
        <v>130</v>
      </c>
      <c r="BA132" s="58" t="s">
        <v>131</v>
      </c>
      <c r="BB132" s="58" t="s">
        <v>132</v>
      </c>
      <c r="BC132" s="58" t="s">
        <v>166</v>
      </c>
      <c r="BD132" s="58" t="s">
        <v>33</v>
      </c>
      <c r="BF132" s="58" t="s">
        <v>130</v>
      </c>
      <c r="BG132" s="58" t="s">
        <v>131</v>
      </c>
      <c r="BH132" s="58" t="s">
        <v>132</v>
      </c>
      <c r="BI132" s="58" t="s">
        <v>166</v>
      </c>
      <c r="BJ132" s="58" t="s">
        <v>33</v>
      </c>
    </row>
    <row r="133" spans="1:62" ht="15.75" thickBot="1" x14ac:dyDescent="0.3">
      <c r="A133" s="16">
        <v>300</v>
      </c>
      <c r="B133" s="10">
        <f t="shared" ref="B133:F141" si="34">SUMIFS($J$14:$J$113,$I$14:$I$113,$A133,$K$14:$K$113,B$118,$L$14:$L$113,$B$117,$H$14:$H$113,"NG")</f>
        <v>0</v>
      </c>
      <c r="C133" s="11">
        <f t="shared" si="34"/>
        <v>0</v>
      </c>
      <c r="D133" s="11">
        <f t="shared" si="34"/>
        <v>0</v>
      </c>
      <c r="E133" s="11">
        <f t="shared" si="34"/>
        <v>0</v>
      </c>
      <c r="F133" s="17">
        <f t="shared" si="34"/>
        <v>0</v>
      </c>
      <c r="G133" s="10">
        <f t="shared" ref="G133:K141" si="35">SUMIFS($J$14:$J$113,$I$14:$I$113,$A133,$K$14:$K$113,G$118,$L$14:$L$113,$G$117,$H$14:$H$113,"NG")</f>
        <v>0</v>
      </c>
      <c r="H133" s="11">
        <f t="shared" si="35"/>
        <v>0</v>
      </c>
      <c r="I133" s="11">
        <f t="shared" si="35"/>
        <v>0</v>
      </c>
      <c r="J133" s="11">
        <f t="shared" si="35"/>
        <v>0</v>
      </c>
      <c r="K133" s="17">
        <f t="shared" si="35"/>
        <v>0</v>
      </c>
      <c r="L133" s="10">
        <f t="shared" ref="L133:P141" si="36">SUMIFS($J$14:$J$113,$I$14:$I$113,$A133,$K$14:$K$113,L$118,$L$14:$L$113,$L$117,$H$14:$H$113,"NG")</f>
        <v>0</v>
      </c>
      <c r="M133" s="11">
        <f t="shared" si="36"/>
        <v>0</v>
      </c>
      <c r="N133" s="11">
        <f t="shared" si="36"/>
        <v>0</v>
      </c>
      <c r="O133" s="11">
        <f t="shared" si="36"/>
        <v>0</v>
      </c>
      <c r="P133" s="17">
        <f t="shared" si="36"/>
        <v>0</v>
      </c>
      <c r="Q133" s="10">
        <f t="shared" ref="Q133:U141" si="37">SUMIFS($J$14:$J$113,$I$14:$I$113,$A133,$K$14:$K$113,Q$118,$L$14:$L$113,$Q$117,$H$14:$H$113,"NG")</f>
        <v>0</v>
      </c>
      <c r="R133" s="11">
        <f t="shared" si="37"/>
        <v>0</v>
      </c>
      <c r="S133" s="11">
        <f t="shared" si="37"/>
        <v>0</v>
      </c>
      <c r="T133" s="11">
        <f t="shared" si="37"/>
        <v>0</v>
      </c>
      <c r="U133" s="17">
        <f t="shared" si="37"/>
        <v>0</v>
      </c>
      <c r="V133" s="10">
        <f t="shared" ref="V133:AE141" si="38">SUMIFS($J$14:$J$113,$I$14:$I$113,$A133,$K$14:$K$113,V$118,$L$14:$L$113,$L$117,$H$14:$H$113,"NG")</f>
        <v>0</v>
      </c>
      <c r="W133" s="11">
        <f t="shared" si="38"/>
        <v>0</v>
      </c>
      <c r="X133" s="11">
        <f t="shared" si="38"/>
        <v>0</v>
      </c>
      <c r="Y133" s="11">
        <f t="shared" si="38"/>
        <v>0</v>
      </c>
      <c r="Z133" s="17">
        <f t="shared" si="38"/>
        <v>0</v>
      </c>
      <c r="AA133" s="10">
        <f t="shared" si="38"/>
        <v>0</v>
      </c>
      <c r="AB133" s="11">
        <f t="shared" si="38"/>
        <v>0</v>
      </c>
      <c r="AC133" s="11">
        <f t="shared" si="38"/>
        <v>0</v>
      </c>
      <c r="AD133" s="11">
        <f t="shared" si="38"/>
        <v>0</v>
      </c>
      <c r="AE133" s="17">
        <f t="shared" si="38"/>
        <v>0</v>
      </c>
      <c r="AF133" s="16">
        <f>SUM(B133:AE133)*A133</f>
        <v>0</v>
      </c>
      <c r="AG133" s="16">
        <f>SUM(B133:AE133)</f>
        <v>0</v>
      </c>
      <c r="AH133" s="34" t="str">
        <f>AZ14</f>
        <v/>
      </c>
      <c r="AI133" s="34" t="str">
        <f>BA14</f>
        <v/>
      </c>
      <c r="AJ133" s="34" t="str">
        <f>BB14</f>
        <v/>
      </c>
      <c r="AK133" s="35" t="str">
        <f>BC14</f>
        <v/>
      </c>
      <c r="AL133" s="35" t="str">
        <f>BD14</f>
        <v/>
      </c>
      <c r="AN133" s="34" t="str">
        <f>AZ15</f>
        <v/>
      </c>
      <c r="AO133" s="34" t="str">
        <f>BA15</f>
        <v/>
      </c>
      <c r="AP133" s="34" t="str">
        <f>BB15</f>
        <v/>
      </c>
      <c r="AQ133" s="35" t="str">
        <f>BC15</f>
        <v/>
      </c>
      <c r="AR133" s="35" t="str">
        <f>BD15</f>
        <v/>
      </c>
      <c r="AT133" s="34" t="str">
        <f>AZ16</f>
        <v/>
      </c>
      <c r="AU133" s="34" t="str">
        <f>BA16</f>
        <v/>
      </c>
      <c r="AV133" s="34" t="str">
        <f>BB16</f>
        <v/>
      </c>
      <c r="AW133" s="35" t="str">
        <f>BC16</f>
        <v/>
      </c>
      <c r="AX133" s="35" t="str">
        <f>BD16</f>
        <v/>
      </c>
      <c r="AZ133" s="34" t="str">
        <f>AZ17</f>
        <v/>
      </c>
      <c r="BA133" s="34" t="str">
        <f>BA17</f>
        <v/>
      </c>
      <c r="BB133" s="34" t="str">
        <f>BB17</f>
        <v/>
      </c>
      <c r="BC133" s="35" t="str">
        <f>BC17</f>
        <v/>
      </c>
      <c r="BD133" s="35" t="str">
        <f>BD17</f>
        <v/>
      </c>
      <c r="BF133" s="34" t="str">
        <f>AZ18</f>
        <v/>
      </c>
      <c r="BG133" s="34" t="str">
        <f>BA18</f>
        <v/>
      </c>
      <c r="BH133" s="34" t="str">
        <f>BB18</f>
        <v/>
      </c>
      <c r="BI133" s="35" t="str">
        <f>BC18</f>
        <v/>
      </c>
      <c r="BJ133" s="35" t="str">
        <f>BD18</f>
        <v/>
      </c>
    </row>
    <row r="134" spans="1:62" ht="15.75" thickBot="1" x14ac:dyDescent="0.3">
      <c r="A134" s="16">
        <v>500</v>
      </c>
      <c r="B134" s="10">
        <f t="shared" si="34"/>
        <v>0</v>
      </c>
      <c r="C134" s="11">
        <f t="shared" si="34"/>
        <v>0</v>
      </c>
      <c r="D134" s="11">
        <f t="shared" si="34"/>
        <v>0</v>
      </c>
      <c r="E134" s="11">
        <f t="shared" si="34"/>
        <v>0</v>
      </c>
      <c r="F134" s="17">
        <f t="shared" si="34"/>
        <v>0</v>
      </c>
      <c r="G134" s="10">
        <f t="shared" si="35"/>
        <v>0</v>
      </c>
      <c r="H134" s="11">
        <f t="shared" si="35"/>
        <v>0</v>
      </c>
      <c r="I134" s="11">
        <f t="shared" si="35"/>
        <v>0</v>
      </c>
      <c r="J134" s="11">
        <f t="shared" si="35"/>
        <v>0</v>
      </c>
      <c r="K134" s="17">
        <f t="shared" si="35"/>
        <v>0</v>
      </c>
      <c r="L134" s="10">
        <f t="shared" si="36"/>
        <v>0</v>
      </c>
      <c r="M134" s="11">
        <f t="shared" si="36"/>
        <v>0</v>
      </c>
      <c r="N134" s="11">
        <f t="shared" si="36"/>
        <v>0</v>
      </c>
      <c r="O134" s="11">
        <f t="shared" si="36"/>
        <v>0</v>
      </c>
      <c r="P134" s="17">
        <f t="shared" si="36"/>
        <v>0</v>
      </c>
      <c r="Q134" s="10">
        <f t="shared" si="37"/>
        <v>0</v>
      </c>
      <c r="R134" s="11">
        <f t="shared" si="37"/>
        <v>0</v>
      </c>
      <c r="S134" s="11">
        <f t="shared" si="37"/>
        <v>0</v>
      </c>
      <c r="T134" s="11">
        <f t="shared" si="37"/>
        <v>0</v>
      </c>
      <c r="U134" s="17">
        <f t="shared" si="37"/>
        <v>0</v>
      </c>
      <c r="V134" s="10">
        <f t="shared" si="38"/>
        <v>0</v>
      </c>
      <c r="W134" s="11">
        <f t="shared" si="38"/>
        <v>0</v>
      </c>
      <c r="X134" s="11">
        <f t="shared" si="38"/>
        <v>0</v>
      </c>
      <c r="Y134" s="11">
        <f t="shared" si="38"/>
        <v>0</v>
      </c>
      <c r="Z134" s="17">
        <f t="shared" si="38"/>
        <v>0</v>
      </c>
      <c r="AA134" s="10">
        <f t="shared" si="38"/>
        <v>0</v>
      </c>
      <c r="AB134" s="11">
        <f t="shared" si="38"/>
        <v>0</v>
      </c>
      <c r="AC134" s="11">
        <f t="shared" si="38"/>
        <v>0</v>
      </c>
      <c r="AD134" s="11">
        <f t="shared" si="38"/>
        <v>0</v>
      </c>
      <c r="AE134" s="17">
        <f t="shared" si="38"/>
        <v>0</v>
      </c>
      <c r="AF134" s="16">
        <f t="shared" ref="AF134:AF141" si="39">SUM(B134:AE134)*A134</f>
        <v>0</v>
      </c>
      <c r="AG134" s="16">
        <f t="shared" ref="AG134:AG142" si="40">SUM(B134:AE134)</f>
        <v>0</v>
      </c>
      <c r="AH134" s="58" t="s">
        <v>22</v>
      </c>
      <c r="AI134" s="58" t="s">
        <v>20</v>
      </c>
      <c r="AJ134" s="58" t="s">
        <v>34</v>
      </c>
      <c r="AK134" s="58" t="s">
        <v>127</v>
      </c>
      <c r="AL134" s="58" t="s">
        <v>129</v>
      </c>
      <c r="AN134" s="58" t="s">
        <v>22</v>
      </c>
      <c r="AO134" s="58" t="s">
        <v>20</v>
      </c>
      <c r="AP134" s="58" t="s">
        <v>34</v>
      </c>
      <c r="AQ134" s="58" t="s">
        <v>127</v>
      </c>
      <c r="AR134" s="58" t="s">
        <v>129</v>
      </c>
      <c r="AT134" s="58" t="s">
        <v>22</v>
      </c>
      <c r="AU134" s="58" t="s">
        <v>20</v>
      </c>
      <c r="AV134" s="58" t="s">
        <v>34</v>
      </c>
      <c r="AW134" s="58" t="s">
        <v>127</v>
      </c>
      <c r="AX134" s="58" t="s">
        <v>129</v>
      </c>
      <c r="AZ134" s="58" t="s">
        <v>22</v>
      </c>
      <c r="BA134" s="58" t="s">
        <v>20</v>
      </c>
      <c r="BB134" s="58" t="s">
        <v>34</v>
      </c>
      <c r="BC134" s="58" t="s">
        <v>127</v>
      </c>
      <c r="BD134" s="58" t="s">
        <v>129</v>
      </c>
      <c r="BF134" s="58" t="s">
        <v>22</v>
      </c>
      <c r="BG134" s="58" t="s">
        <v>20</v>
      </c>
      <c r="BH134" s="58" t="s">
        <v>34</v>
      </c>
      <c r="BI134" s="58" t="s">
        <v>127</v>
      </c>
      <c r="BJ134" s="58" t="s">
        <v>129</v>
      </c>
    </row>
    <row r="135" spans="1:62" ht="15.75" thickBot="1" x14ac:dyDescent="0.3">
      <c r="A135" s="15">
        <v>750</v>
      </c>
      <c r="B135" s="8">
        <f t="shared" si="34"/>
        <v>0</v>
      </c>
      <c r="C135" s="6">
        <f t="shared" si="34"/>
        <v>0</v>
      </c>
      <c r="D135" s="6">
        <f t="shared" si="34"/>
        <v>0</v>
      </c>
      <c r="E135" s="6">
        <f t="shared" si="34"/>
        <v>0</v>
      </c>
      <c r="F135" s="13">
        <f t="shared" si="34"/>
        <v>0</v>
      </c>
      <c r="G135" s="8">
        <f t="shared" si="35"/>
        <v>0</v>
      </c>
      <c r="H135" s="6">
        <f t="shared" si="35"/>
        <v>0</v>
      </c>
      <c r="I135" s="6">
        <f t="shared" si="35"/>
        <v>0</v>
      </c>
      <c r="J135" s="6">
        <f t="shared" si="35"/>
        <v>0</v>
      </c>
      <c r="K135" s="13">
        <f t="shared" si="35"/>
        <v>0</v>
      </c>
      <c r="L135" s="8">
        <f t="shared" si="36"/>
        <v>0</v>
      </c>
      <c r="M135" s="6">
        <f t="shared" si="36"/>
        <v>0</v>
      </c>
      <c r="N135" s="6">
        <f t="shared" si="36"/>
        <v>0</v>
      </c>
      <c r="O135" s="6">
        <f t="shared" si="36"/>
        <v>0</v>
      </c>
      <c r="P135" s="13">
        <f t="shared" si="36"/>
        <v>0</v>
      </c>
      <c r="Q135" s="8">
        <f t="shared" si="37"/>
        <v>0</v>
      </c>
      <c r="R135" s="6">
        <f t="shared" si="37"/>
        <v>0</v>
      </c>
      <c r="S135" s="6">
        <f t="shared" si="37"/>
        <v>0</v>
      </c>
      <c r="T135" s="6">
        <f t="shared" si="37"/>
        <v>0</v>
      </c>
      <c r="U135" s="13">
        <f t="shared" si="37"/>
        <v>0</v>
      </c>
      <c r="V135" s="8">
        <f t="shared" si="38"/>
        <v>0</v>
      </c>
      <c r="W135" s="6">
        <f t="shared" si="38"/>
        <v>0</v>
      </c>
      <c r="X135" s="6">
        <f t="shared" si="38"/>
        <v>0</v>
      </c>
      <c r="Y135" s="6">
        <f t="shared" si="38"/>
        <v>0</v>
      </c>
      <c r="Z135" s="13">
        <f t="shared" si="38"/>
        <v>0</v>
      </c>
      <c r="AA135" s="8">
        <f t="shared" si="38"/>
        <v>0</v>
      </c>
      <c r="AB135" s="6">
        <f t="shared" si="38"/>
        <v>0</v>
      </c>
      <c r="AC135" s="6">
        <f t="shared" si="38"/>
        <v>0</v>
      </c>
      <c r="AD135" s="6">
        <f t="shared" si="38"/>
        <v>0</v>
      </c>
      <c r="AE135" s="13">
        <f t="shared" si="38"/>
        <v>0</v>
      </c>
      <c r="AF135" s="16">
        <f t="shared" si="39"/>
        <v>0</v>
      </c>
      <c r="AG135" s="16">
        <f t="shared" si="40"/>
        <v>0</v>
      </c>
      <c r="AH135" s="34">
        <f>AU14</f>
        <v>3.5</v>
      </c>
      <c r="AI135" s="34" t="str">
        <f>AV14</f>
        <v/>
      </c>
      <c r="AJ135" s="34" t="str">
        <f>AW14</f>
        <v/>
      </c>
      <c r="AK135" s="35" t="str">
        <f>AX14</f>
        <v/>
      </c>
      <c r="AL135" s="35" t="str">
        <f>AY14</f>
        <v/>
      </c>
      <c r="AN135" s="34" t="str">
        <f>AU15</f>
        <v/>
      </c>
      <c r="AO135" s="34" t="str">
        <f>AV15</f>
        <v/>
      </c>
      <c r="AP135" s="34" t="str">
        <f>AW15</f>
        <v/>
      </c>
      <c r="AQ135" s="35" t="str">
        <f>AX15</f>
        <v/>
      </c>
      <c r="AR135" s="35" t="str">
        <f>AY15</f>
        <v/>
      </c>
      <c r="AT135" s="34" t="str">
        <f>AU16</f>
        <v/>
      </c>
      <c r="AU135" s="34" t="str">
        <f>AV16</f>
        <v/>
      </c>
      <c r="AV135" s="34" t="str">
        <f>AW16</f>
        <v/>
      </c>
      <c r="AW135" s="35" t="str">
        <f>AX16</f>
        <v/>
      </c>
      <c r="AX135" s="35" t="str">
        <f>AY16</f>
        <v/>
      </c>
      <c r="AZ135" s="34" t="str">
        <f>AU17</f>
        <v/>
      </c>
      <c r="BA135" s="34" t="str">
        <f>AV17</f>
        <v/>
      </c>
      <c r="BB135" s="34" t="str">
        <f>AW17</f>
        <v/>
      </c>
      <c r="BC135" s="35" t="str">
        <f>AX17</f>
        <v/>
      </c>
      <c r="BD135" s="35" t="str">
        <f>AY17</f>
        <v/>
      </c>
      <c r="BF135" s="34" t="str">
        <f>AU18</f>
        <v/>
      </c>
      <c r="BG135" s="34" t="str">
        <f>AV18</f>
        <v/>
      </c>
      <c r="BH135" s="34" t="str">
        <f>AW18</f>
        <v/>
      </c>
      <c r="BI135" s="35" t="str">
        <f>AX18</f>
        <v/>
      </c>
      <c r="BJ135" s="35" t="str">
        <f>AY18</f>
        <v/>
      </c>
    </row>
    <row r="136" spans="1:62" x14ac:dyDescent="0.25">
      <c r="A136" s="15">
        <v>1000</v>
      </c>
      <c r="B136" s="8">
        <f t="shared" si="34"/>
        <v>0</v>
      </c>
      <c r="C136" s="6">
        <f t="shared" si="34"/>
        <v>0</v>
      </c>
      <c r="D136" s="6">
        <f t="shared" si="34"/>
        <v>0</v>
      </c>
      <c r="E136" s="6">
        <f t="shared" si="34"/>
        <v>0</v>
      </c>
      <c r="F136" s="13">
        <f t="shared" si="34"/>
        <v>0</v>
      </c>
      <c r="G136" s="8">
        <f t="shared" si="35"/>
        <v>0</v>
      </c>
      <c r="H136" s="6">
        <f t="shared" si="35"/>
        <v>0</v>
      </c>
      <c r="I136" s="6">
        <f t="shared" si="35"/>
        <v>0</v>
      </c>
      <c r="J136" s="6">
        <f t="shared" si="35"/>
        <v>0</v>
      </c>
      <c r="K136" s="13">
        <f t="shared" si="35"/>
        <v>0</v>
      </c>
      <c r="L136" s="8">
        <f t="shared" si="36"/>
        <v>0</v>
      </c>
      <c r="M136" s="6">
        <f t="shared" si="36"/>
        <v>0</v>
      </c>
      <c r="N136" s="6">
        <f t="shared" si="36"/>
        <v>0</v>
      </c>
      <c r="O136" s="6">
        <f t="shared" si="36"/>
        <v>0</v>
      </c>
      <c r="P136" s="13">
        <f t="shared" si="36"/>
        <v>0</v>
      </c>
      <c r="Q136" s="8">
        <f t="shared" si="37"/>
        <v>0</v>
      </c>
      <c r="R136" s="6">
        <f t="shared" si="37"/>
        <v>0</v>
      </c>
      <c r="S136" s="6">
        <f t="shared" si="37"/>
        <v>0</v>
      </c>
      <c r="T136" s="6">
        <f t="shared" si="37"/>
        <v>0</v>
      </c>
      <c r="U136" s="13">
        <f t="shared" si="37"/>
        <v>0</v>
      </c>
      <c r="V136" s="8">
        <f t="shared" si="38"/>
        <v>0</v>
      </c>
      <c r="W136" s="6">
        <f t="shared" si="38"/>
        <v>0</v>
      </c>
      <c r="X136" s="6">
        <f t="shared" si="38"/>
        <v>0</v>
      </c>
      <c r="Y136" s="6">
        <f t="shared" si="38"/>
        <v>0</v>
      </c>
      <c r="Z136" s="13">
        <f t="shared" si="38"/>
        <v>0</v>
      </c>
      <c r="AA136" s="8">
        <f t="shared" si="38"/>
        <v>0</v>
      </c>
      <c r="AB136" s="6">
        <f t="shared" si="38"/>
        <v>0</v>
      </c>
      <c r="AC136" s="6">
        <f t="shared" si="38"/>
        <v>0</v>
      </c>
      <c r="AD136" s="6">
        <f t="shared" si="38"/>
        <v>0</v>
      </c>
      <c r="AE136" s="13">
        <f t="shared" si="38"/>
        <v>0</v>
      </c>
      <c r="AF136" s="16">
        <f t="shared" si="39"/>
        <v>0</v>
      </c>
      <c r="AG136" s="16">
        <f t="shared" si="40"/>
        <v>0</v>
      </c>
    </row>
    <row r="137" spans="1:62" x14ac:dyDescent="0.25">
      <c r="A137" s="15">
        <v>1500</v>
      </c>
      <c r="B137" s="8">
        <f t="shared" si="34"/>
        <v>0</v>
      </c>
      <c r="C137" s="6">
        <f t="shared" si="34"/>
        <v>0</v>
      </c>
      <c r="D137" s="6">
        <f t="shared" si="34"/>
        <v>0</v>
      </c>
      <c r="E137" s="6">
        <f t="shared" si="34"/>
        <v>0</v>
      </c>
      <c r="F137" s="13">
        <f t="shared" si="34"/>
        <v>0</v>
      </c>
      <c r="G137" s="8">
        <f t="shared" si="35"/>
        <v>0</v>
      </c>
      <c r="H137" s="6">
        <f t="shared" si="35"/>
        <v>0</v>
      </c>
      <c r="I137" s="6">
        <f t="shared" si="35"/>
        <v>0</v>
      </c>
      <c r="J137" s="6">
        <f t="shared" si="35"/>
        <v>0</v>
      </c>
      <c r="K137" s="13">
        <f t="shared" si="35"/>
        <v>0</v>
      </c>
      <c r="L137" s="8">
        <f t="shared" si="36"/>
        <v>0</v>
      </c>
      <c r="M137" s="6">
        <f t="shared" si="36"/>
        <v>0</v>
      </c>
      <c r="N137" s="6">
        <f t="shared" si="36"/>
        <v>0</v>
      </c>
      <c r="O137" s="6">
        <f t="shared" si="36"/>
        <v>0</v>
      </c>
      <c r="P137" s="13">
        <f t="shared" si="36"/>
        <v>0</v>
      </c>
      <c r="Q137" s="8">
        <f t="shared" si="37"/>
        <v>0</v>
      </c>
      <c r="R137" s="6">
        <f t="shared" si="37"/>
        <v>0</v>
      </c>
      <c r="S137" s="6">
        <f t="shared" si="37"/>
        <v>0</v>
      </c>
      <c r="T137" s="6">
        <f t="shared" si="37"/>
        <v>0</v>
      </c>
      <c r="U137" s="13">
        <f t="shared" si="37"/>
        <v>0</v>
      </c>
      <c r="V137" s="8">
        <f t="shared" si="38"/>
        <v>0</v>
      </c>
      <c r="W137" s="6">
        <f t="shared" si="38"/>
        <v>0</v>
      </c>
      <c r="X137" s="6">
        <f t="shared" si="38"/>
        <v>0</v>
      </c>
      <c r="Y137" s="6">
        <f t="shared" si="38"/>
        <v>0</v>
      </c>
      <c r="Z137" s="13">
        <f t="shared" si="38"/>
        <v>0</v>
      </c>
      <c r="AA137" s="8">
        <f t="shared" si="38"/>
        <v>0</v>
      </c>
      <c r="AB137" s="6">
        <f t="shared" si="38"/>
        <v>0</v>
      </c>
      <c r="AC137" s="6">
        <f t="shared" si="38"/>
        <v>0</v>
      </c>
      <c r="AD137" s="6">
        <f t="shared" si="38"/>
        <v>0</v>
      </c>
      <c r="AE137" s="13">
        <f t="shared" si="38"/>
        <v>0</v>
      </c>
      <c r="AF137" s="16">
        <f t="shared" si="39"/>
        <v>0</v>
      </c>
      <c r="AG137" s="16">
        <f t="shared" si="40"/>
        <v>0</v>
      </c>
      <c r="AH137" s="118" t="s">
        <v>35</v>
      </c>
      <c r="AI137" s="118"/>
      <c r="AJ137" s="118">
        <f>F7</f>
        <v>0</v>
      </c>
      <c r="AK137" s="118"/>
      <c r="AL137" s="118"/>
      <c r="AN137" s="118" t="s">
        <v>35</v>
      </c>
      <c r="AO137" s="118"/>
      <c r="AP137" s="118">
        <f>F8</f>
        <v>0</v>
      </c>
      <c r="AQ137" s="118"/>
      <c r="AR137" s="118"/>
      <c r="AT137" s="118" t="s">
        <v>35</v>
      </c>
      <c r="AU137" s="118"/>
      <c r="AV137" s="118">
        <f>F9</f>
        <v>0</v>
      </c>
      <c r="AW137" s="118"/>
      <c r="AX137" s="118"/>
      <c r="AZ137" s="118" t="s">
        <v>35</v>
      </c>
      <c r="BA137" s="118"/>
      <c r="BB137" s="118">
        <f>F10</f>
        <v>0</v>
      </c>
      <c r="BC137" s="118"/>
      <c r="BD137" s="118"/>
      <c r="BF137" s="118" t="s">
        <v>35</v>
      </c>
      <c r="BG137" s="118"/>
      <c r="BH137" s="118">
        <f>F11</f>
        <v>0</v>
      </c>
      <c r="BI137" s="118"/>
      <c r="BJ137" s="118"/>
    </row>
    <row r="138" spans="1:62" x14ac:dyDescent="0.25">
      <c r="A138" s="15">
        <v>2000</v>
      </c>
      <c r="B138" s="8">
        <f t="shared" si="34"/>
        <v>0</v>
      </c>
      <c r="C138" s="6">
        <f t="shared" si="34"/>
        <v>0</v>
      </c>
      <c r="D138" s="6">
        <f t="shared" si="34"/>
        <v>0</v>
      </c>
      <c r="E138" s="6">
        <f t="shared" si="34"/>
        <v>0</v>
      </c>
      <c r="F138" s="13">
        <f t="shared" si="34"/>
        <v>0</v>
      </c>
      <c r="G138" s="8">
        <f t="shared" si="35"/>
        <v>0</v>
      </c>
      <c r="H138" s="6">
        <f t="shared" si="35"/>
        <v>0</v>
      </c>
      <c r="I138" s="6">
        <f t="shared" si="35"/>
        <v>0</v>
      </c>
      <c r="J138" s="6">
        <f t="shared" si="35"/>
        <v>0</v>
      </c>
      <c r="K138" s="13">
        <f t="shared" si="35"/>
        <v>0</v>
      </c>
      <c r="L138" s="8">
        <f t="shared" si="36"/>
        <v>0</v>
      </c>
      <c r="M138" s="6">
        <f t="shared" si="36"/>
        <v>0</v>
      </c>
      <c r="N138" s="6">
        <f t="shared" si="36"/>
        <v>0</v>
      </c>
      <c r="O138" s="6">
        <f t="shared" si="36"/>
        <v>0</v>
      </c>
      <c r="P138" s="13">
        <f t="shared" si="36"/>
        <v>0</v>
      </c>
      <c r="Q138" s="8">
        <f t="shared" si="37"/>
        <v>0</v>
      </c>
      <c r="R138" s="6">
        <f t="shared" si="37"/>
        <v>0</v>
      </c>
      <c r="S138" s="6">
        <f t="shared" si="37"/>
        <v>0</v>
      </c>
      <c r="T138" s="6">
        <f t="shared" si="37"/>
        <v>0</v>
      </c>
      <c r="U138" s="13">
        <f t="shared" si="37"/>
        <v>0</v>
      </c>
      <c r="V138" s="8">
        <f t="shared" si="38"/>
        <v>0</v>
      </c>
      <c r="W138" s="6">
        <f t="shared" si="38"/>
        <v>0</v>
      </c>
      <c r="X138" s="6">
        <f t="shared" si="38"/>
        <v>0</v>
      </c>
      <c r="Y138" s="6">
        <f t="shared" si="38"/>
        <v>0</v>
      </c>
      <c r="Z138" s="13">
        <f t="shared" si="38"/>
        <v>0</v>
      </c>
      <c r="AA138" s="8">
        <f t="shared" si="38"/>
        <v>0</v>
      </c>
      <c r="AB138" s="6">
        <f t="shared" si="38"/>
        <v>0</v>
      </c>
      <c r="AC138" s="6">
        <f t="shared" si="38"/>
        <v>0</v>
      </c>
      <c r="AD138" s="6">
        <f t="shared" si="38"/>
        <v>0</v>
      </c>
      <c r="AE138" s="13">
        <f t="shared" si="38"/>
        <v>0</v>
      </c>
      <c r="AF138" s="16">
        <f t="shared" si="39"/>
        <v>0</v>
      </c>
      <c r="AG138" s="16">
        <f t="shared" si="40"/>
        <v>0</v>
      </c>
      <c r="AH138" s="118">
        <f>G7</f>
        <v>0</v>
      </c>
      <c r="AI138" s="118"/>
      <c r="AJ138" s="118"/>
      <c r="AK138" s="118"/>
      <c r="AL138" s="118"/>
      <c r="AN138" s="118">
        <f>G8</f>
        <v>0</v>
      </c>
      <c r="AO138" s="118">
        <f>G8</f>
        <v>0</v>
      </c>
      <c r="AP138" s="118"/>
      <c r="AQ138" s="118"/>
      <c r="AR138" s="118"/>
      <c r="AT138" s="118">
        <f>G9</f>
        <v>0</v>
      </c>
      <c r="AU138" s="118"/>
      <c r="AV138" s="118"/>
      <c r="AW138" s="118"/>
      <c r="AX138" s="118"/>
      <c r="AZ138" s="118">
        <f>G10</f>
        <v>0</v>
      </c>
      <c r="BA138" s="118"/>
      <c r="BB138" s="118"/>
      <c r="BC138" s="118"/>
      <c r="BD138" s="118"/>
      <c r="BF138" s="118">
        <f>G11</f>
        <v>0</v>
      </c>
      <c r="BG138" s="118"/>
      <c r="BH138" s="118"/>
      <c r="BI138" s="118"/>
      <c r="BJ138" s="118"/>
    </row>
    <row r="139" spans="1:62" ht="15.75" thickBot="1" x14ac:dyDescent="0.3">
      <c r="A139" s="15">
        <v>3000</v>
      </c>
      <c r="B139" s="8">
        <f t="shared" si="34"/>
        <v>0</v>
      </c>
      <c r="C139" s="6">
        <f t="shared" si="34"/>
        <v>0</v>
      </c>
      <c r="D139" s="6">
        <f t="shared" si="34"/>
        <v>0</v>
      </c>
      <c r="E139" s="6">
        <f t="shared" si="34"/>
        <v>0</v>
      </c>
      <c r="F139" s="13">
        <f t="shared" si="34"/>
        <v>0</v>
      </c>
      <c r="G139" s="8">
        <f t="shared" si="35"/>
        <v>0</v>
      </c>
      <c r="H139" s="6">
        <f t="shared" si="35"/>
        <v>0</v>
      </c>
      <c r="I139" s="6">
        <f t="shared" si="35"/>
        <v>0</v>
      </c>
      <c r="J139" s="6">
        <f t="shared" si="35"/>
        <v>0</v>
      </c>
      <c r="K139" s="13">
        <f t="shared" si="35"/>
        <v>0</v>
      </c>
      <c r="L139" s="8">
        <f t="shared" si="36"/>
        <v>0</v>
      </c>
      <c r="M139" s="6">
        <f t="shared" si="36"/>
        <v>0</v>
      </c>
      <c r="N139" s="6">
        <f t="shared" si="36"/>
        <v>0</v>
      </c>
      <c r="O139" s="6">
        <f t="shared" si="36"/>
        <v>0</v>
      </c>
      <c r="P139" s="13">
        <f t="shared" si="36"/>
        <v>0</v>
      </c>
      <c r="Q139" s="8">
        <f t="shared" si="37"/>
        <v>0</v>
      </c>
      <c r="R139" s="6">
        <f t="shared" si="37"/>
        <v>0</v>
      </c>
      <c r="S139" s="6">
        <f t="shared" si="37"/>
        <v>0</v>
      </c>
      <c r="T139" s="6">
        <f t="shared" si="37"/>
        <v>0</v>
      </c>
      <c r="U139" s="13">
        <f t="shared" si="37"/>
        <v>0</v>
      </c>
      <c r="V139" s="8">
        <f t="shared" si="38"/>
        <v>0</v>
      </c>
      <c r="W139" s="6">
        <f t="shared" si="38"/>
        <v>0</v>
      </c>
      <c r="X139" s="6">
        <f t="shared" si="38"/>
        <v>0</v>
      </c>
      <c r="Y139" s="6">
        <f t="shared" si="38"/>
        <v>0</v>
      </c>
      <c r="Z139" s="13">
        <f t="shared" si="38"/>
        <v>0</v>
      </c>
      <c r="AA139" s="8">
        <f t="shared" si="38"/>
        <v>0</v>
      </c>
      <c r="AB139" s="6">
        <f t="shared" si="38"/>
        <v>0</v>
      </c>
      <c r="AC139" s="6">
        <f t="shared" si="38"/>
        <v>0</v>
      </c>
      <c r="AD139" s="6">
        <f t="shared" si="38"/>
        <v>0</v>
      </c>
      <c r="AE139" s="13">
        <f t="shared" si="38"/>
        <v>0</v>
      </c>
      <c r="AF139" s="16">
        <f t="shared" si="39"/>
        <v>0</v>
      </c>
      <c r="AG139" s="16">
        <f t="shared" si="40"/>
        <v>0</v>
      </c>
      <c r="AH139" s="118">
        <f>H7</f>
        <v>0</v>
      </c>
      <c r="AI139" s="118"/>
      <c r="AJ139" s="118"/>
      <c r="AK139" s="118"/>
      <c r="AL139" s="118"/>
      <c r="AN139" s="118">
        <f>H8</f>
        <v>0</v>
      </c>
      <c r="AO139" s="118">
        <f>H8</f>
        <v>0</v>
      </c>
      <c r="AP139" s="118"/>
      <c r="AQ139" s="118"/>
      <c r="AR139" s="118"/>
      <c r="AT139" s="118">
        <f>H9</f>
        <v>0</v>
      </c>
      <c r="AU139" s="118"/>
      <c r="AV139" s="118"/>
      <c r="AW139" s="118"/>
      <c r="AX139" s="118"/>
      <c r="AZ139" s="118">
        <f>H10</f>
        <v>0</v>
      </c>
      <c r="BA139" s="118"/>
      <c r="BB139" s="118"/>
      <c r="BC139" s="118"/>
      <c r="BD139" s="118"/>
      <c r="BF139" s="118">
        <f>H11</f>
        <v>0</v>
      </c>
      <c r="BG139" s="118"/>
      <c r="BH139" s="118"/>
      <c r="BI139" s="118"/>
      <c r="BJ139" s="118"/>
    </row>
    <row r="140" spans="1:62" ht="15.75" thickBot="1" x14ac:dyDescent="0.3">
      <c r="A140" s="15">
        <v>5000</v>
      </c>
      <c r="B140" s="8">
        <f t="shared" si="34"/>
        <v>0</v>
      </c>
      <c r="C140" s="6">
        <f t="shared" si="34"/>
        <v>0</v>
      </c>
      <c r="D140" s="6">
        <f t="shared" si="34"/>
        <v>0</v>
      </c>
      <c r="E140" s="6">
        <f t="shared" si="34"/>
        <v>0</v>
      </c>
      <c r="F140" s="13">
        <f t="shared" si="34"/>
        <v>0</v>
      </c>
      <c r="G140" s="8">
        <f t="shared" si="35"/>
        <v>0</v>
      </c>
      <c r="H140" s="6">
        <f t="shared" si="35"/>
        <v>0</v>
      </c>
      <c r="I140" s="6">
        <f t="shared" si="35"/>
        <v>0</v>
      </c>
      <c r="J140" s="6">
        <f t="shared" si="35"/>
        <v>0</v>
      </c>
      <c r="K140" s="13">
        <f t="shared" si="35"/>
        <v>0</v>
      </c>
      <c r="L140" s="8">
        <f t="shared" si="36"/>
        <v>0</v>
      </c>
      <c r="M140" s="6">
        <f t="shared" si="36"/>
        <v>0</v>
      </c>
      <c r="N140" s="6">
        <f t="shared" si="36"/>
        <v>0</v>
      </c>
      <c r="O140" s="6">
        <f t="shared" si="36"/>
        <v>0</v>
      </c>
      <c r="P140" s="13">
        <f t="shared" si="36"/>
        <v>0</v>
      </c>
      <c r="Q140" s="8">
        <f t="shared" si="37"/>
        <v>0</v>
      </c>
      <c r="R140" s="6">
        <f t="shared" si="37"/>
        <v>0</v>
      </c>
      <c r="S140" s="6">
        <f t="shared" si="37"/>
        <v>0</v>
      </c>
      <c r="T140" s="6">
        <f t="shared" si="37"/>
        <v>0</v>
      </c>
      <c r="U140" s="13">
        <f t="shared" si="37"/>
        <v>0</v>
      </c>
      <c r="V140" s="8">
        <f t="shared" si="38"/>
        <v>0</v>
      </c>
      <c r="W140" s="6">
        <f t="shared" si="38"/>
        <v>0</v>
      </c>
      <c r="X140" s="6">
        <f t="shared" si="38"/>
        <v>0</v>
      </c>
      <c r="Y140" s="6">
        <f t="shared" si="38"/>
        <v>0</v>
      </c>
      <c r="Z140" s="13">
        <f t="shared" si="38"/>
        <v>0</v>
      </c>
      <c r="AA140" s="8">
        <f t="shared" si="38"/>
        <v>0</v>
      </c>
      <c r="AB140" s="6">
        <f t="shared" si="38"/>
        <v>0</v>
      </c>
      <c r="AC140" s="6">
        <f t="shared" si="38"/>
        <v>0</v>
      </c>
      <c r="AD140" s="6">
        <f t="shared" si="38"/>
        <v>0</v>
      </c>
      <c r="AE140" s="13">
        <f t="shared" si="38"/>
        <v>0</v>
      </c>
      <c r="AF140" s="16">
        <f t="shared" si="39"/>
        <v>0</v>
      </c>
      <c r="AG140" s="16">
        <f t="shared" si="40"/>
        <v>0</v>
      </c>
      <c r="AH140" s="30" t="s">
        <v>136</v>
      </c>
      <c r="AI140" s="30" t="s">
        <v>27</v>
      </c>
      <c r="AJ140" s="30" t="s">
        <v>28</v>
      </c>
      <c r="AK140" s="30" t="s">
        <v>29</v>
      </c>
      <c r="AL140" s="30" t="s">
        <v>30</v>
      </c>
      <c r="AN140" s="30" t="s">
        <v>136</v>
      </c>
      <c r="AO140" s="30" t="s">
        <v>27</v>
      </c>
      <c r="AP140" s="30" t="s">
        <v>28</v>
      </c>
      <c r="AQ140" s="30" t="s">
        <v>29</v>
      </c>
      <c r="AR140" s="30" t="s">
        <v>30</v>
      </c>
      <c r="AT140" s="30" t="s">
        <v>136</v>
      </c>
      <c r="AU140" s="30" t="s">
        <v>27</v>
      </c>
      <c r="AV140" s="30" t="s">
        <v>28</v>
      </c>
      <c r="AW140" s="30" t="s">
        <v>29</v>
      </c>
      <c r="AX140" s="30" t="s">
        <v>30</v>
      </c>
      <c r="AZ140" s="30" t="s">
        <v>136</v>
      </c>
      <c r="BA140" s="30" t="s">
        <v>27</v>
      </c>
      <c r="BB140" s="30" t="s">
        <v>28</v>
      </c>
      <c r="BC140" s="30" t="s">
        <v>29</v>
      </c>
      <c r="BD140" s="30" t="s">
        <v>30</v>
      </c>
      <c r="BF140" s="30" t="s">
        <v>136</v>
      </c>
      <c r="BG140" s="30" t="s">
        <v>27</v>
      </c>
      <c r="BH140" s="30" t="s">
        <v>28</v>
      </c>
      <c r="BI140" s="30" t="s">
        <v>29</v>
      </c>
      <c r="BJ140" s="30" t="s">
        <v>30</v>
      </c>
    </row>
    <row r="141" spans="1:62" ht="15.75" thickBot="1" x14ac:dyDescent="0.3">
      <c r="A141" s="59">
        <v>10000</v>
      </c>
      <c r="B141" s="31">
        <f t="shared" si="34"/>
        <v>0</v>
      </c>
      <c r="C141" s="32">
        <f t="shared" si="34"/>
        <v>0</v>
      </c>
      <c r="D141" s="32">
        <f t="shared" si="34"/>
        <v>0</v>
      </c>
      <c r="E141" s="32">
        <f t="shared" si="34"/>
        <v>0</v>
      </c>
      <c r="F141" s="33">
        <f t="shared" si="34"/>
        <v>0</v>
      </c>
      <c r="G141" s="31">
        <f t="shared" si="35"/>
        <v>0</v>
      </c>
      <c r="H141" s="32">
        <f t="shared" si="35"/>
        <v>0</v>
      </c>
      <c r="I141" s="32">
        <f t="shared" si="35"/>
        <v>0</v>
      </c>
      <c r="J141" s="32">
        <f t="shared" si="35"/>
        <v>0</v>
      </c>
      <c r="K141" s="33">
        <f t="shared" si="35"/>
        <v>0</v>
      </c>
      <c r="L141" s="31">
        <f t="shared" si="36"/>
        <v>0</v>
      </c>
      <c r="M141" s="32">
        <f t="shared" si="36"/>
        <v>0</v>
      </c>
      <c r="N141" s="32">
        <f t="shared" si="36"/>
        <v>0</v>
      </c>
      <c r="O141" s="32">
        <f t="shared" si="36"/>
        <v>0</v>
      </c>
      <c r="P141" s="33">
        <f t="shared" si="36"/>
        <v>0</v>
      </c>
      <c r="Q141" s="31">
        <f t="shared" si="37"/>
        <v>0</v>
      </c>
      <c r="R141" s="32">
        <f t="shared" si="37"/>
        <v>0</v>
      </c>
      <c r="S141" s="32">
        <f t="shared" si="37"/>
        <v>0</v>
      </c>
      <c r="T141" s="32">
        <f t="shared" si="37"/>
        <v>0</v>
      </c>
      <c r="U141" s="33">
        <f t="shared" si="37"/>
        <v>0</v>
      </c>
      <c r="V141" s="31">
        <f t="shared" si="38"/>
        <v>0</v>
      </c>
      <c r="W141" s="32">
        <f t="shared" si="38"/>
        <v>0</v>
      </c>
      <c r="X141" s="32">
        <f t="shared" si="38"/>
        <v>0</v>
      </c>
      <c r="Y141" s="32">
        <f t="shared" si="38"/>
        <v>0</v>
      </c>
      <c r="Z141" s="33">
        <f t="shared" si="38"/>
        <v>0</v>
      </c>
      <c r="AA141" s="31">
        <f t="shared" si="38"/>
        <v>0</v>
      </c>
      <c r="AB141" s="32">
        <f t="shared" si="38"/>
        <v>0</v>
      </c>
      <c r="AC141" s="32">
        <f t="shared" si="38"/>
        <v>0</v>
      </c>
      <c r="AD141" s="32">
        <f t="shared" si="38"/>
        <v>0</v>
      </c>
      <c r="AE141" s="33">
        <f t="shared" si="38"/>
        <v>0</v>
      </c>
      <c r="AF141" s="16">
        <f t="shared" si="39"/>
        <v>0</v>
      </c>
      <c r="AG141" s="43">
        <f t="shared" si="40"/>
        <v>0</v>
      </c>
      <c r="AH141" s="16">
        <f>J7</f>
        <v>0</v>
      </c>
      <c r="AI141" s="10">
        <f>K7</f>
        <v>0</v>
      </c>
      <c r="AJ141" s="11">
        <f>L7</f>
        <v>0</v>
      </c>
      <c r="AK141" s="11">
        <f>M7</f>
        <v>0</v>
      </c>
      <c r="AL141" s="17">
        <f>N7</f>
        <v>0</v>
      </c>
      <c r="AN141" s="16">
        <f>J8</f>
        <v>0</v>
      </c>
      <c r="AO141" s="10">
        <f>K8</f>
        <v>0</v>
      </c>
      <c r="AP141" s="11">
        <f>L8</f>
        <v>0</v>
      </c>
      <c r="AQ141" s="11">
        <f>M8</f>
        <v>0</v>
      </c>
      <c r="AR141" s="17">
        <f>N8</f>
        <v>0</v>
      </c>
      <c r="AT141" s="16">
        <f>J9</f>
        <v>0</v>
      </c>
      <c r="AU141" s="10">
        <f>K9</f>
        <v>0</v>
      </c>
      <c r="AV141" s="11">
        <f>L9</f>
        <v>0</v>
      </c>
      <c r="AW141" s="11">
        <f>M9</f>
        <v>0</v>
      </c>
      <c r="AX141" s="17">
        <f>N9</f>
        <v>0</v>
      </c>
      <c r="AZ141" s="16">
        <f>J10</f>
        <v>0</v>
      </c>
      <c r="BA141" s="10">
        <f>K10</f>
        <v>0</v>
      </c>
      <c r="BB141" s="11">
        <f>L10</f>
        <v>0</v>
      </c>
      <c r="BC141" s="11">
        <f>M10</f>
        <v>0</v>
      </c>
      <c r="BD141" s="17">
        <f>N10</f>
        <v>0</v>
      </c>
      <c r="BF141" s="16">
        <f>J11</f>
        <v>0</v>
      </c>
      <c r="BG141" s="10">
        <f>K11</f>
        <v>0</v>
      </c>
      <c r="BH141" s="11">
        <f>L11</f>
        <v>0</v>
      </c>
      <c r="BI141" s="11">
        <f>M11</f>
        <v>0</v>
      </c>
      <c r="BJ141" s="17">
        <f>N11</f>
        <v>0</v>
      </c>
    </row>
    <row r="142" spans="1:62" ht="15.75" thickBot="1" x14ac:dyDescent="0.3">
      <c r="A142" s="35"/>
      <c r="B142" s="60">
        <f t="shared" ref="B142:AG142" si="41">SUM(B133:B141)</f>
        <v>0</v>
      </c>
      <c r="C142" s="61">
        <f t="shared" si="41"/>
        <v>0</v>
      </c>
      <c r="D142" s="61">
        <f t="shared" si="41"/>
        <v>0</v>
      </c>
      <c r="E142" s="61">
        <f t="shared" si="41"/>
        <v>0</v>
      </c>
      <c r="F142" s="62">
        <f t="shared" si="41"/>
        <v>0</v>
      </c>
      <c r="G142" s="60">
        <f t="shared" si="41"/>
        <v>0</v>
      </c>
      <c r="H142" s="61">
        <f t="shared" si="41"/>
        <v>0</v>
      </c>
      <c r="I142" s="61">
        <f t="shared" si="41"/>
        <v>0</v>
      </c>
      <c r="J142" s="61">
        <f t="shared" si="41"/>
        <v>0</v>
      </c>
      <c r="K142" s="62">
        <f t="shared" si="41"/>
        <v>0</v>
      </c>
      <c r="L142" s="60">
        <f t="shared" si="41"/>
        <v>0</v>
      </c>
      <c r="M142" s="61">
        <f t="shared" si="41"/>
        <v>0</v>
      </c>
      <c r="N142" s="61">
        <f t="shared" si="41"/>
        <v>0</v>
      </c>
      <c r="O142" s="61">
        <f t="shared" si="41"/>
        <v>0</v>
      </c>
      <c r="P142" s="62">
        <f t="shared" si="41"/>
        <v>0</v>
      </c>
      <c r="Q142" s="60">
        <f t="shared" si="41"/>
        <v>0</v>
      </c>
      <c r="R142" s="61">
        <f t="shared" si="41"/>
        <v>0</v>
      </c>
      <c r="S142" s="61">
        <f t="shared" si="41"/>
        <v>0</v>
      </c>
      <c r="T142" s="61">
        <f t="shared" si="41"/>
        <v>0</v>
      </c>
      <c r="U142" s="62">
        <f t="shared" si="41"/>
        <v>0</v>
      </c>
      <c r="V142" s="60">
        <f t="shared" si="41"/>
        <v>0</v>
      </c>
      <c r="W142" s="61">
        <f t="shared" si="41"/>
        <v>0</v>
      </c>
      <c r="X142" s="61">
        <f t="shared" si="41"/>
        <v>0</v>
      </c>
      <c r="Y142" s="61">
        <f t="shared" si="41"/>
        <v>0</v>
      </c>
      <c r="Z142" s="62">
        <f t="shared" si="41"/>
        <v>0</v>
      </c>
      <c r="AA142" s="60">
        <f t="shared" si="41"/>
        <v>0</v>
      </c>
      <c r="AB142" s="61">
        <f t="shared" si="41"/>
        <v>0</v>
      </c>
      <c r="AC142" s="61">
        <f t="shared" si="41"/>
        <v>0</v>
      </c>
      <c r="AD142" s="61">
        <f t="shared" si="41"/>
        <v>0</v>
      </c>
      <c r="AE142" s="62">
        <f t="shared" si="41"/>
        <v>0</v>
      </c>
      <c r="AF142" s="35">
        <f t="shared" si="41"/>
        <v>0</v>
      </c>
      <c r="AG142" s="35">
        <f t="shared" si="40"/>
        <v>0</v>
      </c>
      <c r="AH142" s="15">
        <f>P7</f>
        <v>0</v>
      </c>
      <c r="AI142" s="8">
        <f>Q7</f>
        <v>0</v>
      </c>
      <c r="AJ142" s="6">
        <f>R7</f>
        <v>0</v>
      </c>
      <c r="AK142" s="6">
        <f>S7</f>
        <v>0</v>
      </c>
      <c r="AL142" s="13">
        <f>T7</f>
        <v>0</v>
      </c>
      <c r="AN142" s="15">
        <f>P8</f>
        <v>0</v>
      </c>
      <c r="AO142" s="8">
        <f>Q8</f>
        <v>0</v>
      </c>
      <c r="AP142" s="6">
        <f>R8</f>
        <v>0</v>
      </c>
      <c r="AQ142" s="6">
        <f>S8</f>
        <v>0</v>
      </c>
      <c r="AR142" s="13">
        <f>T8</f>
        <v>0</v>
      </c>
      <c r="AT142" s="15">
        <f>P9</f>
        <v>0</v>
      </c>
      <c r="AU142" s="8">
        <f>Q9</f>
        <v>0</v>
      </c>
      <c r="AV142" s="6">
        <f>R9</f>
        <v>0</v>
      </c>
      <c r="AW142" s="6">
        <f>S9</f>
        <v>0</v>
      </c>
      <c r="AX142" s="13">
        <f>T9</f>
        <v>0</v>
      </c>
      <c r="AZ142" s="15">
        <f>P10</f>
        <v>0</v>
      </c>
      <c r="BA142" s="8">
        <f>Q10</f>
        <v>0</v>
      </c>
      <c r="BB142" s="6">
        <f>R10</f>
        <v>0</v>
      </c>
      <c r="BC142" s="6">
        <f>S10</f>
        <v>0</v>
      </c>
      <c r="BD142" s="13">
        <f>T10</f>
        <v>0</v>
      </c>
      <c r="BF142" s="15">
        <f>P11</f>
        <v>0</v>
      </c>
      <c r="BG142" s="8">
        <f>Q11</f>
        <v>0</v>
      </c>
      <c r="BH142" s="6">
        <f>R11</f>
        <v>0</v>
      </c>
      <c r="BI142" s="6">
        <f>S11</f>
        <v>0</v>
      </c>
      <c r="BJ142" s="13">
        <f>T11</f>
        <v>0</v>
      </c>
    </row>
    <row r="143" spans="1:62" ht="15.75" thickBot="1" x14ac:dyDescent="0.3">
      <c r="AH143" s="15">
        <f>V7</f>
        <v>0</v>
      </c>
      <c r="AI143" s="8">
        <f>W7</f>
        <v>0</v>
      </c>
      <c r="AJ143" s="6">
        <f>X7</f>
        <v>0</v>
      </c>
      <c r="AK143" s="6">
        <f>Y7</f>
        <v>0</v>
      </c>
      <c r="AL143" s="13">
        <f>Z7</f>
        <v>0</v>
      </c>
      <c r="AN143" s="15">
        <f>V8</f>
        <v>0</v>
      </c>
      <c r="AO143" s="8">
        <f>W8</f>
        <v>0</v>
      </c>
      <c r="AP143" s="6">
        <f>X8</f>
        <v>0</v>
      </c>
      <c r="AQ143" s="6">
        <f>Y8</f>
        <v>0</v>
      </c>
      <c r="AR143" s="13">
        <f>Z8</f>
        <v>0</v>
      </c>
      <c r="AT143" s="15">
        <f>V9</f>
        <v>0</v>
      </c>
      <c r="AU143" s="8">
        <f>W9</f>
        <v>0</v>
      </c>
      <c r="AV143" s="6">
        <f>X9</f>
        <v>0</v>
      </c>
      <c r="AW143" s="6">
        <f>Y9</f>
        <v>0</v>
      </c>
      <c r="AX143" s="13">
        <f>Z9</f>
        <v>0</v>
      </c>
      <c r="AZ143" s="15">
        <f>V10</f>
        <v>0</v>
      </c>
      <c r="BA143" s="8">
        <f>W10</f>
        <v>0</v>
      </c>
      <c r="BB143" s="6">
        <f>X10</f>
        <v>0</v>
      </c>
      <c r="BC143" s="6">
        <f>Y10</f>
        <v>0</v>
      </c>
      <c r="BD143" s="13">
        <f>Z10</f>
        <v>0</v>
      </c>
      <c r="BF143" s="15">
        <f>V11</f>
        <v>0</v>
      </c>
      <c r="BG143" s="8">
        <f>W11</f>
        <v>0</v>
      </c>
      <c r="BH143" s="6">
        <f>X11</f>
        <v>0</v>
      </c>
      <c r="BI143" s="6">
        <f>Y11</f>
        <v>0</v>
      </c>
      <c r="BJ143" s="13">
        <f>Z11</f>
        <v>0</v>
      </c>
    </row>
    <row r="144" spans="1:62" ht="15.75" customHeight="1" thickBot="1" x14ac:dyDescent="0.3">
      <c r="A144" s="111" t="s">
        <v>130</v>
      </c>
      <c r="B144" s="112"/>
      <c r="D144" s="111" t="s">
        <v>131</v>
      </c>
      <c r="E144" s="112"/>
      <c r="G144" s="111" t="s">
        <v>132</v>
      </c>
      <c r="H144" s="112"/>
      <c r="J144" s="161" t="s">
        <v>250</v>
      </c>
      <c r="K144" s="162"/>
      <c r="M144" s="161" t="s">
        <v>251</v>
      </c>
      <c r="N144" s="162"/>
      <c r="P144" s="161" t="s">
        <v>252</v>
      </c>
      <c r="Q144" s="162"/>
      <c r="S144" s="123" t="s">
        <v>31</v>
      </c>
      <c r="T144" s="113" t="s">
        <v>84</v>
      </c>
      <c r="U144" s="115"/>
      <c r="V144" s="116" t="s">
        <v>24</v>
      </c>
      <c r="W144" s="116" t="s">
        <v>86</v>
      </c>
      <c r="AH144" s="15">
        <f>AB7</f>
        <v>0</v>
      </c>
      <c r="AI144" s="8">
        <f>AC7</f>
        <v>0</v>
      </c>
      <c r="AJ144" s="6">
        <f>AD7</f>
        <v>0</v>
      </c>
      <c r="AK144" s="6">
        <f>AE7</f>
        <v>0</v>
      </c>
      <c r="AL144" s="13">
        <f>AF7</f>
        <v>0</v>
      </c>
      <c r="AN144" s="15">
        <f>AB8</f>
        <v>0</v>
      </c>
      <c r="AO144" s="8">
        <f>AC8</f>
        <v>0</v>
      </c>
      <c r="AP144" s="6">
        <f>AD8</f>
        <v>0</v>
      </c>
      <c r="AQ144" s="6">
        <f>AE8</f>
        <v>0</v>
      </c>
      <c r="AR144" s="13">
        <f>AF8</f>
        <v>0</v>
      </c>
      <c r="AT144" s="15">
        <f>AB9</f>
        <v>0</v>
      </c>
      <c r="AU144" s="8">
        <f>AC9</f>
        <v>0</v>
      </c>
      <c r="AV144" s="6">
        <f>AD9</f>
        <v>0</v>
      </c>
      <c r="AW144" s="6">
        <f>AE9</f>
        <v>0</v>
      </c>
      <c r="AX144" s="13">
        <f>AF9</f>
        <v>0</v>
      </c>
      <c r="AZ144" s="15">
        <f>AB10</f>
        <v>0</v>
      </c>
      <c r="BA144" s="8">
        <f>AC10</f>
        <v>0</v>
      </c>
      <c r="BB144" s="6">
        <f>AD10</f>
        <v>0</v>
      </c>
      <c r="BC144" s="6">
        <f>AE10</f>
        <v>0</v>
      </c>
      <c r="BD144" s="13">
        <f>AF10</f>
        <v>0</v>
      </c>
      <c r="BF144" s="15">
        <f>AB11</f>
        <v>0</v>
      </c>
      <c r="BG144" s="8">
        <f>AC11</f>
        <v>0</v>
      </c>
      <c r="BH144" s="6">
        <f>AD11</f>
        <v>0</v>
      </c>
      <c r="BI144" s="6">
        <f>AE11</f>
        <v>0</v>
      </c>
      <c r="BJ144" s="13">
        <f>AF11</f>
        <v>0</v>
      </c>
    </row>
    <row r="145" spans="1:62" ht="15.75" thickBot="1" x14ac:dyDescent="0.3">
      <c r="A145" s="60" t="s">
        <v>27</v>
      </c>
      <c r="B145" s="62" t="s">
        <v>102</v>
      </c>
      <c r="D145" s="34" t="s">
        <v>27</v>
      </c>
      <c r="E145" s="79" t="s">
        <v>102</v>
      </c>
      <c r="G145" s="34" t="s">
        <v>27</v>
      </c>
      <c r="H145" s="79" t="s">
        <v>102</v>
      </c>
      <c r="J145" s="163"/>
      <c r="K145" s="164"/>
      <c r="M145" s="163"/>
      <c r="N145" s="164"/>
      <c r="P145" s="163"/>
      <c r="Q145" s="164"/>
      <c r="S145" s="124"/>
      <c r="T145" s="12" t="s">
        <v>17</v>
      </c>
      <c r="U145" s="12" t="s">
        <v>19</v>
      </c>
      <c r="V145" s="117"/>
      <c r="W145" s="117"/>
      <c r="AH145" s="15">
        <f>AH7</f>
        <v>0</v>
      </c>
      <c r="AI145" s="8">
        <f>AI7</f>
        <v>0</v>
      </c>
      <c r="AJ145" s="6">
        <f>AJ7</f>
        <v>0</v>
      </c>
      <c r="AK145" s="6">
        <f>AK7</f>
        <v>0</v>
      </c>
      <c r="AL145" s="13">
        <f>AL7</f>
        <v>0</v>
      </c>
      <c r="AN145" s="15">
        <f>AH8</f>
        <v>0</v>
      </c>
      <c r="AO145" s="8">
        <f>AI8</f>
        <v>0</v>
      </c>
      <c r="AP145" s="6">
        <f>AJ8</f>
        <v>0</v>
      </c>
      <c r="AQ145" s="6">
        <f>AK8</f>
        <v>0</v>
      </c>
      <c r="AR145" s="13">
        <f>AL8</f>
        <v>0</v>
      </c>
      <c r="AT145" s="15">
        <f>AH9</f>
        <v>0</v>
      </c>
      <c r="AU145" s="8">
        <f>AI9</f>
        <v>0</v>
      </c>
      <c r="AV145" s="6">
        <f>AJ9</f>
        <v>0</v>
      </c>
      <c r="AW145" s="6">
        <f>AK9</f>
        <v>0</v>
      </c>
      <c r="AX145" s="13">
        <f>AL9</f>
        <v>0</v>
      </c>
      <c r="AZ145" s="15">
        <f>AH10</f>
        <v>0</v>
      </c>
      <c r="BA145" s="8">
        <f>AI10</f>
        <v>0</v>
      </c>
      <c r="BB145" s="6">
        <f>AJ10</f>
        <v>0</v>
      </c>
      <c r="BC145" s="6">
        <f>AK10</f>
        <v>0</v>
      </c>
      <c r="BD145" s="13">
        <f>AL10</f>
        <v>0</v>
      </c>
      <c r="BF145" s="15">
        <f>AH11</f>
        <v>0</v>
      </c>
      <c r="BG145" s="8">
        <f>AI11</f>
        <v>0</v>
      </c>
      <c r="BH145" s="6">
        <f>AJ11</f>
        <v>0</v>
      </c>
      <c r="BI145" s="6">
        <f>AK11</f>
        <v>0</v>
      </c>
      <c r="BJ145" s="13">
        <f>AL11</f>
        <v>0</v>
      </c>
    </row>
    <row r="146" spans="1:62" x14ac:dyDescent="0.25">
      <c r="A146" s="10">
        <v>225</v>
      </c>
      <c r="B146" s="17">
        <f t="shared" ref="B146:B151" si="42">SUMIFS($J$14:$J$113,$H$14:$H$113,$A$144,$I$14:$I$113,A146)</f>
        <v>0</v>
      </c>
      <c r="D146" s="10">
        <v>1000</v>
      </c>
      <c r="E146" s="17">
        <f>SUMIFS($J$14:$J$113,$H$14:$H$113,$D$144,$I$14:$I$113,D146)</f>
        <v>0</v>
      </c>
      <c r="G146" s="10">
        <v>1000</v>
      </c>
      <c r="H146" s="17">
        <f>SUMIFS($J$14:$J$113,$H$14:$H$113,$G$144,$I$14:$I$113,G146)</f>
        <v>0</v>
      </c>
      <c r="J146" s="163"/>
      <c r="K146" s="164"/>
      <c r="M146" s="163"/>
      <c r="N146" s="164"/>
      <c r="P146" s="163"/>
      <c r="Q146" s="164"/>
      <c r="S146" s="16">
        <v>300</v>
      </c>
      <c r="T146" s="11">
        <f>SUMIFS($J$14:$J$113,$I$14:$I$113,$S146,$K$14:$K$113,T$145,$H$14:$H$113,$T$144)</f>
        <v>0</v>
      </c>
      <c r="U146" s="11">
        <f>SUMIFS($J$14:$J$113,$I$14:$I$113,$S146,$K$14:$K$113,U$145,$H$14:$H$113,$T$144)</f>
        <v>0</v>
      </c>
      <c r="V146" s="16">
        <f>SUM(T146:U146)*S146</f>
        <v>0</v>
      </c>
      <c r="W146" s="16">
        <f>T146+U146</f>
        <v>0</v>
      </c>
      <c r="AH146" s="15">
        <f>AN7</f>
        <v>0</v>
      </c>
      <c r="AI146" s="8">
        <f>AO7</f>
        <v>0</v>
      </c>
      <c r="AJ146" s="6">
        <f>AP7</f>
        <v>0</v>
      </c>
      <c r="AK146" s="6">
        <f>AQ7</f>
        <v>0</v>
      </c>
      <c r="AL146" s="13">
        <f>AR7</f>
        <v>0</v>
      </c>
      <c r="AN146" s="15">
        <f>AN8</f>
        <v>0</v>
      </c>
      <c r="AO146" s="8">
        <f>AO8</f>
        <v>0</v>
      </c>
      <c r="AP146" s="6">
        <f>AP8</f>
        <v>0</v>
      </c>
      <c r="AQ146" s="6">
        <f>AQ8</f>
        <v>0</v>
      </c>
      <c r="AR146" s="13">
        <f>AR8</f>
        <v>0</v>
      </c>
      <c r="AT146" s="15">
        <f>AN9</f>
        <v>0</v>
      </c>
      <c r="AU146" s="8">
        <f>AO9</f>
        <v>0</v>
      </c>
      <c r="AV146" s="6">
        <f>AP9</f>
        <v>0</v>
      </c>
      <c r="AW146" s="6">
        <f>AQ9</f>
        <v>0</v>
      </c>
      <c r="AX146" s="13">
        <f>AR9</f>
        <v>0</v>
      </c>
      <c r="AZ146" s="15">
        <f>AN10</f>
        <v>0</v>
      </c>
      <c r="BA146" s="8">
        <f>AO10</f>
        <v>0</v>
      </c>
      <c r="BB146" s="6">
        <f>AP10</f>
        <v>0</v>
      </c>
      <c r="BC146" s="6">
        <f>AQ10</f>
        <v>0</v>
      </c>
      <c r="BD146" s="13">
        <f>AR10</f>
        <v>0</v>
      </c>
      <c r="BF146" s="15">
        <f>AN11</f>
        <v>0</v>
      </c>
      <c r="BG146" s="8">
        <f>AO11</f>
        <v>0</v>
      </c>
      <c r="BH146" s="6">
        <f>AP11</f>
        <v>0</v>
      </c>
      <c r="BI146" s="6">
        <f>AQ11</f>
        <v>0</v>
      </c>
      <c r="BJ146" s="13">
        <f>AR11</f>
        <v>0</v>
      </c>
    </row>
    <row r="147" spans="1:62" ht="15.75" thickBot="1" x14ac:dyDescent="0.3">
      <c r="A147" s="8">
        <v>325</v>
      </c>
      <c r="B147" s="17">
        <f t="shared" si="42"/>
        <v>0</v>
      </c>
      <c r="D147" s="9">
        <v>3000</v>
      </c>
      <c r="E147" s="17">
        <f>SUMIFS($J$14:$J$113,$H$14:$H$113,$D$144,$I$14:$I$113,D147)</f>
        <v>0</v>
      </c>
      <c r="G147" s="31">
        <v>2000</v>
      </c>
      <c r="H147" s="17">
        <f>SUMIFS($J$14:$J$113,$H$14:$H$113,$G$144,$I$14:$I$113,G147)</f>
        <v>0</v>
      </c>
      <c r="J147" s="165"/>
      <c r="K147" s="166"/>
      <c r="M147" s="165"/>
      <c r="N147" s="166"/>
      <c r="P147" s="165"/>
      <c r="Q147" s="166"/>
      <c r="S147" s="16">
        <v>500</v>
      </c>
      <c r="T147" s="11">
        <f t="shared" ref="T147:U154" si="43">SUMIFS($J$14:$J$113,$I$14:$I$113,$S147,$K$14:$K$113,T$145,$H$14:$H$113,$T$144)</f>
        <v>0</v>
      </c>
      <c r="U147" s="11">
        <f t="shared" si="43"/>
        <v>0</v>
      </c>
      <c r="V147" s="16">
        <f t="shared" ref="V147:V154" si="44">SUM(T147:U147)*S147</f>
        <v>0</v>
      </c>
      <c r="W147" s="16">
        <f t="shared" ref="W147:W154" si="45">T147+U147</f>
        <v>0</v>
      </c>
      <c r="AA147" s="167" t="s">
        <v>37</v>
      </c>
      <c r="AB147" s="167"/>
      <c r="AC147" s="167"/>
      <c r="AD147" s="167" t="s">
        <v>113</v>
      </c>
      <c r="AE147" s="167"/>
      <c r="AF147" s="167"/>
      <c r="AH147" s="15">
        <f>AT7</f>
        <v>0</v>
      </c>
      <c r="AI147" s="8">
        <f>AU7</f>
        <v>0</v>
      </c>
      <c r="AJ147" s="6">
        <f>AV7</f>
        <v>0</v>
      </c>
      <c r="AK147" s="6">
        <f>AW7</f>
        <v>0</v>
      </c>
      <c r="AL147" s="13">
        <f>AX7</f>
        <v>0</v>
      </c>
      <c r="AN147" s="15">
        <f>AT8</f>
        <v>0</v>
      </c>
      <c r="AO147" s="8">
        <f>AU8</f>
        <v>0</v>
      </c>
      <c r="AP147" s="6">
        <f>AV8</f>
        <v>0</v>
      </c>
      <c r="AQ147" s="6">
        <f>AW8</f>
        <v>0</v>
      </c>
      <c r="AR147" s="13">
        <f>AX8</f>
        <v>0</v>
      </c>
      <c r="AT147" s="15">
        <f>AT9</f>
        <v>0</v>
      </c>
      <c r="AU147" s="8">
        <f>AU9</f>
        <v>0</v>
      </c>
      <c r="AV147" s="6">
        <f>AV9</f>
        <v>0</v>
      </c>
      <c r="AW147" s="6">
        <f>AW9</f>
        <v>0</v>
      </c>
      <c r="AX147" s="13">
        <f>AX9</f>
        <v>0</v>
      </c>
      <c r="AZ147" s="15">
        <f>AT10</f>
        <v>0</v>
      </c>
      <c r="BA147" s="8">
        <f>AU10</f>
        <v>0</v>
      </c>
      <c r="BB147" s="6">
        <f>AV10</f>
        <v>0</v>
      </c>
      <c r="BC147" s="6">
        <f>AW10</f>
        <v>0</v>
      </c>
      <c r="BD147" s="13">
        <f>AX10</f>
        <v>0</v>
      </c>
      <c r="BF147" s="15">
        <f>AT11</f>
        <v>0</v>
      </c>
      <c r="BG147" s="8">
        <f>AU11</f>
        <v>0</v>
      </c>
      <c r="BH147" s="6">
        <f>AV11</f>
        <v>0</v>
      </c>
      <c r="BI147" s="6">
        <f>AW11</f>
        <v>0</v>
      </c>
      <c r="BJ147" s="13">
        <f>AX11</f>
        <v>0</v>
      </c>
    </row>
    <row r="148" spans="1:62" ht="15.75" thickBot="1" x14ac:dyDescent="0.3">
      <c r="A148" s="8">
        <v>400</v>
      </c>
      <c r="B148" s="17">
        <f t="shared" si="42"/>
        <v>0</v>
      </c>
      <c r="D148" s="60" t="s">
        <v>24</v>
      </c>
      <c r="E148" s="62">
        <f>SUMPRODUCT(D146:D147,E146:E147)</f>
        <v>0</v>
      </c>
      <c r="G148" s="60" t="s">
        <v>24</v>
      </c>
      <c r="H148" s="62">
        <f>SUMPRODUCT(G146:G147,H146:H147)</f>
        <v>0</v>
      </c>
      <c r="J148" s="60" t="s">
        <v>29</v>
      </c>
      <c r="K148" s="62" t="s">
        <v>102</v>
      </c>
      <c r="M148" s="60" t="s">
        <v>29</v>
      </c>
      <c r="N148" s="62" t="s">
        <v>102</v>
      </c>
      <c r="P148" s="60" t="s">
        <v>29</v>
      </c>
      <c r="Q148" s="62" t="s">
        <v>102</v>
      </c>
      <c r="S148" s="15">
        <v>750</v>
      </c>
      <c r="T148" s="11">
        <f t="shared" si="43"/>
        <v>0</v>
      </c>
      <c r="U148" s="11">
        <f t="shared" si="43"/>
        <v>0</v>
      </c>
      <c r="V148" s="16">
        <f t="shared" si="44"/>
        <v>0</v>
      </c>
      <c r="W148" s="16">
        <f t="shared" si="45"/>
        <v>0</v>
      </c>
      <c r="AA148" s="167" t="str">
        <f>"TANKS: " &amp; SUM(B128:AE128,B146:B151,E146:E147,H146:H147,B142:AE142,W155)</f>
        <v>TANKS: 48</v>
      </c>
      <c r="AB148" s="167"/>
      <c r="AC148" s="167"/>
      <c r="AD148" s="167" t="str">
        <f>"LTRS: " &amp;SUM(AF128,B152,E148,H148,AF142,V155)</f>
        <v>LTRS: 39500</v>
      </c>
      <c r="AE148" s="167"/>
      <c r="AF148" s="167"/>
      <c r="AH148" s="15">
        <f>AZ7</f>
        <v>0</v>
      </c>
      <c r="AI148" s="8">
        <f>BA7</f>
        <v>0</v>
      </c>
      <c r="AJ148" s="6">
        <f>BB7</f>
        <v>0</v>
      </c>
      <c r="AK148" s="6">
        <f>BC7</f>
        <v>0</v>
      </c>
      <c r="AL148" s="13">
        <f>BD7</f>
        <v>0</v>
      </c>
      <c r="AN148" s="15">
        <f>AZ8</f>
        <v>0</v>
      </c>
      <c r="AO148" s="8">
        <f>BA8</f>
        <v>0</v>
      </c>
      <c r="AP148" s="6">
        <f>BB8</f>
        <v>0</v>
      </c>
      <c r="AQ148" s="6">
        <f>BC8</f>
        <v>0</v>
      </c>
      <c r="AR148" s="13">
        <f>BD8</f>
        <v>0</v>
      </c>
      <c r="AT148" s="15">
        <f>AZ9</f>
        <v>0</v>
      </c>
      <c r="AU148" s="8">
        <f>BA9</f>
        <v>0</v>
      </c>
      <c r="AV148" s="6">
        <f>BB9</f>
        <v>0</v>
      </c>
      <c r="AW148" s="6">
        <f>BC9</f>
        <v>0</v>
      </c>
      <c r="AX148" s="13">
        <f>BD9</f>
        <v>0</v>
      </c>
      <c r="AZ148" s="15">
        <f>AZ10</f>
        <v>0</v>
      </c>
      <c r="BA148" s="8">
        <f>BA10</f>
        <v>0</v>
      </c>
      <c r="BB148" s="6">
        <f>BB10</f>
        <v>0</v>
      </c>
      <c r="BC148" s="6">
        <f>BC10</f>
        <v>0</v>
      </c>
      <c r="BD148" s="13">
        <f>BD10</f>
        <v>0</v>
      </c>
      <c r="BF148" s="15">
        <f>AZ11</f>
        <v>0</v>
      </c>
      <c r="BG148" s="8">
        <f>BA11</f>
        <v>0</v>
      </c>
      <c r="BH148" s="6">
        <f>BB11</f>
        <v>0</v>
      </c>
      <c r="BI148" s="6">
        <f>BC11</f>
        <v>0</v>
      </c>
      <c r="BJ148" s="13">
        <f>BD11</f>
        <v>0</v>
      </c>
    </row>
    <row r="149" spans="1:62" x14ac:dyDescent="0.25">
      <c r="A149" s="8">
        <v>500</v>
      </c>
      <c r="B149" s="17">
        <f t="shared" si="42"/>
        <v>0</v>
      </c>
      <c r="J149" s="10" t="s">
        <v>17</v>
      </c>
      <c r="K149" s="17">
        <f>SUMIFS($J$14:$J$113,$H$14:$H$113,"CAP16_1",$K$14:$K$113,J149)</f>
        <v>0</v>
      </c>
      <c r="M149" s="10" t="s">
        <v>17</v>
      </c>
      <c r="N149" s="17">
        <f>SUMIFS($J$14:$J$113,$H$14:$H$113,"CAP16_2",$K$14:$K$113,M149)</f>
        <v>0</v>
      </c>
      <c r="P149" s="10" t="s">
        <v>17</v>
      </c>
      <c r="Q149" s="17">
        <f>SUMIFS($J$14:$J$113,$H$14:$H$113,"CAP19",$K$14:$K$113,P149)</f>
        <v>0</v>
      </c>
      <c r="S149" s="15">
        <v>1000</v>
      </c>
      <c r="T149" s="11">
        <f t="shared" si="43"/>
        <v>0</v>
      </c>
      <c r="U149" s="11">
        <f t="shared" si="43"/>
        <v>0</v>
      </c>
      <c r="V149" s="16">
        <f t="shared" si="44"/>
        <v>0</v>
      </c>
      <c r="W149" s="16">
        <f t="shared" si="45"/>
        <v>0</v>
      </c>
      <c r="AA149" s="167" t="s">
        <v>76</v>
      </c>
      <c r="AB149" s="167"/>
      <c r="AC149" s="167"/>
      <c r="AD149" s="176">
        <f>D114</f>
        <v>46008</v>
      </c>
      <c r="AE149" s="176"/>
      <c r="AF149" s="176"/>
      <c r="AH149" s="15">
        <f>BF7</f>
        <v>0</v>
      </c>
      <c r="AI149" s="8">
        <f>BG7</f>
        <v>0</v>
      </c>
      <c r="AJ149" s="6">
        <f>BH7</f>
        <v>0</v>
      </c>
      <c r="AK149" s="6">
        <f>BI7</f>
        <v>0</v>
      </c>
      <c r="AL149" s="13">
        <f>BJ7</f>
        <v>0</v>
      </c>
      <c r="AN149" s="15">
        <f>BF8</f>
        <v>0</v>
      </c>
      <c r="AO149" s="8">
        <f>BG8</f>
        <v>0</v>
      </c>
      <c r="AP149" s="6">
        <f>BH8</f>
        <v>0</v>
      </c>
      <c r="AQ149" s="6">
        <f>BI8</f>
        <v>0</v>
      </c>
      <c r="AR149" s="13">
        <f>BJ8</f>
        <v>0</v>
      </c>
      <c r="AT149" s="15">
        <f>BF9</f>
        <v>0</v>
      </c>
      <c r="AU149" s="8">
        <f>BG9</f>
        <v>0</v>
      </c>
      <c r="AV149" s="6">
        <f>BH9</f>
        <v>0</v>
      </c>
      <c r="AW149" s="6">
        <f>BI9</f>
        <v>0</v>
      </c>
      <c r="AX149" s="13">
        <f>BJ9</f>
        <v>0</v>
      </c>
      <c r="AZ149" s="15">
        <f>BF10</f>
        <v>0</v>
      </c>
      <c r="BA149" s="8">
        <f>BG10</f>
        <v>0</v>
      </c>
      <c r="BB149" s="6">
        <f>BH10</f>
        <v>0</v>
      </c>
      <c r="BC149" s="6">
        <f>BI10</f>
        <v>0</v>
      </c>
      <c r="BD149" s="13">
        <f>BJ10</f>
        <v>0</v>
      </c>
      <c r="BF149" s="15">
        <f>BF11</f>
        <v>0</v>
      </c>
      <c r="BG149" s="8">
        <f>BG11</f>
        <v>0</v>
      </c>
      <c r="BH149" s="6">
        <f>BH11</f>
        <v>0</v>
      </c>
      <c r="BI149" s="6">
        <f>BI11</f>
        <v>0</v>
      </c>
      <c r="BJ149" s="13">
        <f>BJ11</f>
        <v>0</v>
      </c>
    </row>
    <row r="150" spans="1:62" ht="15.75" thickBot="1" x14ac:dyDescent="0.3">
      <c r="A150" s="8">
        <v>750</v>
      </c>
      <c r="B150" s="17">
        <f t="shared" si="42"/>
        <v>0</v>
      </c>
      <c r="J150" s="8" t="s">
        <v>19</v>
      </c>
      <c r="K150" s="17">
        <f t="shared" ref="K150:K153" si="46">SUMIFS($J$14:$J$113,$H$14:$H$113,"CAP16_1",$K$14:$K$113,J150)</f>
        <v>0</v>
      </c>
      <c r="M150" s="8" t="s">
        <v>19</v>
      </c>
      <c r="N150" s="17">
        <f t="shared" ref="N150:N153" si="47">SUMIFS($J$14:$J$113,$H$14:$H$113,"CAP16_2",$K$14:$K$113,M150)</f>
        <v>0</v>
      </c>
      <c r="P150" s="8" t="s">
        <v>19</v>
      </c>
      <c r="Q150" s="17">
        <f t="shared" ref="Q150:Q153" si="48">SUMIFS($J$14:$J$113,$H$14:$H$113,"CAP19",$K$14:$K$113,P150)</f>
        <v>0</v>
      </c>
      <c r="S150" s="15">
        <v>1500</v>
      </c>
      <c r="T150" s="11">
        <f t="shared" si="43"/>
        <v>0</v>
      </c>
      <c r="U150" s="11">
        <f t="shared" si="43"/>
        <v>0</v>
      </c>
      <c r="V150" s="16">
        <f t="shared" si="44"/>
        <v>0</v>
      </c>
      <c r="W150" s="16">
        <f t="shared" si="45"/>
        <v>0</v>
      </c>
      <c r="AH150" s="59">
        <f>BL7</f>
        <v>0</v>
      </c>
      <c r="AI150" s="31">
        <f>BM7</f>
        <v>0</v>
      </c>
      <c r="AJ150" s="32">
        <f>BN7</f>
        <v>0</v>
      </c>
      <c r="AK150" s="32">
        <f>BO7</f>
        <v>0</v>
      </c>
      <c r="AL150" s="33">
        <f>BP7</f>
        <v>0</v>
      </c>
      <c r="AN150" s="59">
        <f>BL8</f>
        <v>0</v>
      </c>
      <c r="AO150" s="31">
        <f>BM8</f>
        <v>0</v>
      </c>
      <c r="AP150" s="32">
        <f>BN8</f>
        <v>0</v>
      </c>
      <c r="AQ150" s="32">
        <f>BO8</f>
        <v>0</v>
      </c>
      <c r="AR150" s="33">
        <f>BP8</f>
        <v>0</v>
      </c>
      <c r="AT150" s="59">
        <f>BL9</f>
        <v>0</v>
      </c>
      <c r="AU150" s="31">
        <f>BM9</f>
        <v>0</v>
      </c>
      <c r="AV150" s="32">
        <f>BN9</f>
        <v>0</v>
      </c>
      <c r="AW150" s="32">
        <f>BO9</f>
        <v>0</v>
      </c>
      <c r="AX150" s="33">
        <f>BP9</f>
        <v>0</v>
      </c>
      <c r="AZ150" s="59">
        <f>BL10</f>
        <v>0</v>
      </c>
      <c r="BA150" s="31">
        <f>BM10</f>
        <v>0</v>
      </c>
      <c r="BB150" s="32">
        <f>BN10</f>
        <v>0</v>
      </c>
      <c r="BC150" s="32">
        <f>BO10</f>
        <v>0</v>
      </c>
      <c r="BD150" s="33">
        <f>BP10</f>
        <v>0</v>
      </c>
      <c r="BF150" s="59">
        <f>BL11</f>
        <v>0</v>
      </c>
      <c r="BG150" s="31">
        <f>BM11</f>
        <v>0</v>
      </c>
      <c r="BH150" s="32">
        <f>BN11</f>
        <v>0</v>
      </c>
      <c r="BI150" s="32">
        <f>BO11</f>
        <v>0</v>
      </c>
      <c r="BJ150" s="33">
        <f>BP11</f>
        <v>0</v>
      </c>
    </row>
    <row r="151" spans="1:62" ht="15.75" thickBot="1" x14ac:dyDescent="0.3">
      <c r="A151" s="9">
        <v>1000</v>
      </c>
      <c r="B151" s="17">
        <f t="shared" si="42"/>
        <v>0</v>
      </c>
      <c r="J151" s="8" t="s">
        <v>32</v>
      </c>
      <c r="K151" s="17">
        <f t="shared" si="46"/>
        <v>0</v>
      </c>
      <c r="M151" s="8" t="s">
        <v>32</v>
      </c>
      <c r="N151" s="17">
        <f t="shared" si="47"/>
        <v>0</v>
      </c>
      <c r="P151" s="8" t="s">
        <v>32</v>
      </c>
      <c r="Q151" s="17">
        <f t="shared" si="48"/>
        <v>0</v>
      </c>
      <c r="S151" s="15">
        <v>2000</v>
      </c>
      <c r="T151" s="11">
        <f t="shared" si="43"/>
        <v>0</v>
      </c>
      <c r="U151" s="11">
        <f t="shared" si="43"/>
        <v>0</v>
      </c>
      <c r="V151" s="16">
        <f t="shared" si="44"/>
        <v>0</v>
      </c>
      <c r="W151" s="16">
        <f t="shared" si="45"/>
        <v>0</v>
      </c>
      <c r="AH151" s="35">
        <f>C7</f>
        <v>0</v>
      </c>
      <c r="AI151" s="158">
        <f>SUM(AI141:AI150)</f>
        <v>0</v>
      </c>
      <c r="AJ151" s="159"/>
      <c r="AK151" s="158">
        <f>BT7</f>
        <v>0</v>
      </c>
      <c r="AL151" s="159"/>
      <c r="AN151" s="35">
        <f>C8</f>
        <v>0</v>
      </c>
      <c r="AO151" s="158">
        <f>SUM(AO141:AO150)</f>
        <v>0</v>
      </c>
      <c r="AP151" s="159"/>
      <c r="AQ151" s="158">
        <f>BT8</f>
        <v>0</v>
      </c>
      <c r="AR151" s="159"/>
      <c r="AT151" s="35">
        <f>C9</f>
        <v>0</v>
      </c>
      <c r="AU151" s="158">
        <f>SUM(AU141:AU150)</f>
        <v>0</v>
      </c>
      <c r="AV151" s="159"/>
      <c r="AW151" s="158">
        <f>BT9</f>
        <v>0</v>
      </c>
      <c r="AX151" s="159"/>
      <c r="AZ151" s="35">
        <f>C10</f>
        <v>0</v>
      </c>
      <c r="BA151" s="158">
        <f>SUM(BA141:BA150)</f>
        <v>0</v>
      </c>
      <c r="BB151" s="159"/>
      <c r="BC151" s="158">
        <f>BT10</f>
        <v>0</v>
      </c>
      <c r="BD151" s="159"/>
      <c r="BF151" s="35">
        <f>C11</f>
        <v>0</v>
      </c>
      <c r="BG151" s="158">
        <f>SUM(BG141:BG150)</f>
        <v>0</v>
      </c>
      <c r="BH151" s="159"/>
      <c r="BI151" s="158">
        <f>BT11</f>
        <v>0</v>
      </c>
      <c r="BJ151" s="159"/>
    </row>
    <row r="152" spans="1:62" ht="15.75" thickBot="1" x14ac:dyDescent="0.3">
      <c r="A152" s="60" t="s">
        <v>24</v>
      </c>
      <c r="B152" s="62">
        <f>SUMPRODUCT(A146:A151,B146:B151)</f>
        <v>0</v>
      </c>
      <c r="J152" s="8" t="s">
        <v>33</v>
      </c>
      <c r="K152" s="17">
        <f t="shared" si="46"/>
        <v>0</v>
      </c>
      <c r="M152" s="8" t="s">
        <v>33</v>
      </c>
      <c r="N152" s="17">
        <f t="shared" si="47"/>
        <v>0</v>
      </c>
      <c r="P152" s="8" t="s">
        <v>33</v>
      </c>
      <c r="Q152" s="17">
        <f t="shared" si="48"/>
        <v>0</v>
      </c>
      <c r="S152" s="15">
        <v>3000</v>
      </c>
      <c r="T152" s="11">
        <f t="shared" si="43"/>
        <v>0</v>
      </c>
      <c r="U152" s="11">
        <f t="shared" si="43"/>
        <v>0</v>
      </c>
      <c r="V152" s="16">
        <f t="shared" si="44"/>
        <v>0</v>
      </c>
      <c r="W152" s="16">
        <f t="shared" si="45"/>
        <v>0</v>
      </c>
      <c r="AH152" s="35" t="s">
        <v>25</v>
      </c>
      <c r="AI152" s="158">
        <f>A7</f>
        <v>0</v>
      </c>
      <c r="AJ152" s="160"/>
      <c r="AK152" s="158">
        <f>BR7</f>
        <v>0</v>
      </c>
      <c r="AL152" s="159"/>
      <c r="AN152" s="35" t="s">
        <v>25</v>
      </c>
      <c r="AO152" s="158">
        <f>A8</f>
        <v>0</v>
      </c>
      <c r="AP152" s="160"/>
      <c r="AQ152" s="158">
        <f>BR8</f>
        <v>0</v>
      </c>
      <c r="AR152" s="159"/>
      <c r="AT152" s="35" t="s">
        <v>25</v>
      </c>
      <c r="AU152" s="158">
        <f>A9</f>
        <v>0</v>
      </c>
      <c r="AV152" s="160"/>
      <c r="AW152" s="158">
        <f>BR9</f>
        <v>0</v>
      </c>
      <c r="AX152" s="159"/>
      <c r="AZ152" s="35" t="s">
        <v>25</v>
      </c>
      <c r="BA152" s="158">
        <f>A10</f>
        <v>0</v>
      </c>
      <c r="BB152" s="160"/>
      <c r="BC152" s="158">
        <f>BR10</f>
        <v>0</v>
      </c>
      <c r="BD152" s="159"/>
      <c r="BF152" s="35" t="s">
        <v>25</v>
      </c>
      <c r="BG152" s="158">
        <f>A11</f>
        <v>0</v>
      </c>
      <c r="BH152" s="160"/>
      <c r="BI152" s="158">
        <f>BR11</f>
        <v>0</v>
      </c>
      <c r="BJ152" s="159"/>
    </row>
    <row r="153" spans="1:62" ht="15.75" thickBot="1" x14ac:dyDescent="0.3">
      <c r="J153" s="9" t="s">
        <v>80</v>
      </c>
      <c r="K153" s="17">
        <f t="shared" si="46"/>
        <v>0</v>
      </c>
      <c r="M153" s="9" t="s">
        <v>80</v>
      </c>
      <c r="N153" s="17">
        <f t="shared" si="47"/>
        <v>0</v>
      </c>
      <c r="P153" s="9" t="s">
        <v>80</v>
      </c>
      <c r="Q153" s="17">
        <f t="shared" si="48"/>
        <v>0</v>
      </c>
      <c r="S153" s="15">
        <v>5000</v>
      </c>
      <c r="T153" s="11">
        <f t="shared" si="43"/>
        <v>0</v>
      </c>
      <c r="U153" s="11">
        <f t="shared" si="43"/>
        <v>0</v>
      </c>
      <c r="V153" s="16">
        <f t="shared" si="44"/>
        <v>0</v>
      </c>
      <c r="W153" s="16">
        <f t="shared" si="45"/>
        <v>0</v>
      </c>
      <c r="AH153" s="58" t="s">
        <v>130</v>
      </c>
      <c r="AI153" s="58" t="s">
        <v>131</v>
      </c>
      <c r="AJ153" s="58" t="s">
        <v>132</v>
      </c>
      <c r="AK153" s="58" t="s">
        <v>166</v>
      </c>
      <c r="AL153" s="58" t="s">
        <v>33</v>
      </c>
      <c r="AN153" s="58" t="s">
        <v>130</v>
      </c>
      <c r="AO153" s="58" t="s">
        <v>131</v>
      </c>
      <c r="AP153" s="58" t="s">
        <v>132</v>
      </c>
      <c r="AQ153" s="58" t="s">
        <v>166</v>
      </c>
      <c r="AR153" s="58" t="s">
        <v>33</v>
      </c>
      <c r="AT153" s="58" t="s">
        <v>130</v>
      </c>
      <c r="AU153" s="58" t="s">
        <v>131</v>
      </c>
      <c r="AV153" s="58" t="s">
        <v>132</v>
      </c>
      <c r="AW153" s="58" t="s">
        <v>166</v>
      </c>
      <c r="AX153" s="58" t="s">
        <v>33</v>
      </c>
      <c r="AZ153" s="58" t="s">
        <v>130</v>
      </c>
      <c r="BA153" s="58" t="s">
        <v>131</v>
      </c>
      <c r="BB153" s="58" t="s">
        <v>132</v>
      </c>
      <c r="BC153" s="58" t="s">
        <v>166</v>
      </c>
      <c r="BD153" s="58" t="s">
        <v>33</v>
      </c>
      <c r="BF153" s="58" t="s">
        <v>130</v>
      </c>
      <c r="BG153" s="58" t="s">
        <v>131</v>
      </c>
      <c r="BH153" s="58" t="s">
        <v>132</v>
      </c>
      <c r="BI153" s="58" t="s">
        <v>166</v>
      </c>
      <c r="BJ153" s="58" t="s">
        <v>33</v>
      </c>
    </row>
    <row r="154" spans="1:62" ht="15.75" thickBot="1" x14ac:dyDescent="0.3">
      <c r="J154" s="60" t="s">
        <v>24</v>
      </c>
      <c r="K154" s="62">
        <f>SUM(K149:K153)</f>
        <v>0</v>
      </c>
      <c r="M154" s="60" t="s">
        <v>24</v>
      </c>
      <c r="N154" s="62">
        <f>SUM(N149:N153)</f>
        <v>0</v>
      </c>
      <c r="P154" s="60" t="s">
        <v>24</v>
      </c>
      <c r="Q154" s="62">
        <f>SUM(Q149:Q153)</f>
        <v>0</v>
      </c>
      <c r="S154" s="59">
        <v>10000</v>
      </c>
      <c r="T154" s="11">
        <f t="shared" si="43"/>
        <v>0</v>
      </c>
      <c r="U154" s="11">
        <f t="shared" si="43"/>
        <v>0</v>
      </c>
      <c r="V154" s="16">
        <f t="shared" si="44"/>
        <v>0</v>
      </c>
      <c r="W154" s="16">
        <f t="shared" si="45"/>
        <v>0</v>
      </c>
      <c r="AH154" s="34" t="str">
        <f>AZ19</f>
        <v/>
      </c>
      <c r="AI154" s="34" t="str">
        <f>BA19</f>
        <v/>
      </c>
      <c r="AJ154" s="34" t="str">
        <f>BB19</f>
        <v/>
      </c>
      <c r="AK154" s="35" t="str">
        <f>BC19</f>
        <v/>
      </c>
      <c r="AL154" s="35" t="str">
        <f>BD19</f>
        <v/>
      </c>
      <c r="AN154" s="34" t="str">
        <f>AZ20</f>
        <v/>
      </c>
      <c r="AO154" s="34" t="str">
        <f>BA20</f>
        <v/>
      </c>
      <c r="AP154" s="34" t="str">
        <f>BB20</f>
        <v/>
      </c>
      <c r="AQ154" s="35" t="str">
        <f>BC20</f>
        <v/>
      </c>
      <c r="AR154" s="35" t="str">
        <f>BD20</f>
        <v/>
      </c>
      <c r="AT154" s="34" t="str">
        <f>AZ21</f>
        <v/>
      </c>
      <c r="AU154" s="34" t="str">
        <f>BA21</f>
        <v/>
      </c>
      <c r="AV154" s="34" t="str">
        <f>BB21</f>
        <v/>
      </c>
      <c r="AW154" s="35" t="str">
        <f>BC21</f>
        <v/>
      </c>
      <c r="AX154" s="35" t="str">
        <f>BD21</f>
        <v/>
      </c>
      <c r="AZ154" s="34" t="str">
        <f>AZ22</f>
        <v/>
      </c>
      <c r="BA154" s="34" t="str">
        <f>BA22</f>
        <v/>
      </c>
      <c r="BB154" s="34" t="str">
        <f>BB22</f>
        <v/>
      </c>
      <c r="BC154" s="35" t="str">
        <f>BC22</f>
        <v/>
      </c>
      <c r="BD154" s="35" t="str">
        <f>BD22</f>
        <v/>
      </c>
      <c r="BF154" s="34" t="str">
        <f>AZ23</f>
        <v/>
      </c>
      <c r="BG154" s="34" t="str">
        <f>BA23</f>
        <v/>
      </c>
      <c r="BH154" s="34" t="str">
        <f>BB23</f>
        <v/>
      </c>
      <c r="BI154" s="35" t="str">
        <f>BC23</f>
        <v/>
      </c>
      <c r="BJ154" s="35" t="str">
        <f>BD23</f>
        <v/>
      </c>
    </row>
    <row r="155" spans="1:62" ht="15.75" thickBot="1" x14ac:dyDescent="0.3">
      <c r="S155" s="35"/>
      <c r="T155" s="61">
        <f>SUM(T146:T154)</f>
        <v>0</v>
      </c>
      <c r="U155" s="61">
        <f t="shared" ref="U155:W155" si="49">SUM(U146:U154)</f>
        <v>0</v>
      </c>
      <c r="V155" s="35">
        <f t="shared" si="49"/>
        <v>0</v>
      </c>
      <c r="W155" s="35">
        <f t="shared" si="49"/>
        <v>0</v>
      </c>
      <c r="AH155" s="58" t="s">
        <v>22</v>
      </c>
      <c r="AI155" s="58" t="s">
        <v>20</v>
      </c>
      <c r="AJ155" s="58" t="s">
        <v>34</v>
      </c>
      <c r="AK155" s="58" t="s">
        <v>127</v>
      </c>
      <c r="AL155" s="58" t="s">
        <v>129</v>
      </c>
      <c r="AN155" s="58" t="s">
        <v>22</v>
      </c>
      <c r="AO155" s="58" t="s">
        <v>20</v>
      </c>
      <c r="AP155" s="58" t="s">
        <v>34</v>
      </c>
      <c r="AQ155" s="58" t="s">
        <v>127</v>
      </c>
      <c r="AR155" s="58" t="s">
        <v>129</v>
      </c>
      <c r="AT155" s="58" t="s">
        <v>22</v>
      </c>
      <c r="AU155" s="58" t="s">
        <v>20</v>
      </c>
      <c r="AV155" s="58" t="s">
        <v>34</v>
      </c>
      <c r="AW155" s="58" t="s">
        <v>127</v>
      </c>
      <c r="AX155" s="58" t="s">
        <v>129</v>
      </c>
      <c r="AZ155" s="58" t="s">
        <v>22</v>
      </c>
      <c r="BA155" s="58" t="s">
        <v>20</v>
      </c>
      <c r="BB155" s="58" t="s">
        <v>34</v>
      </c>
      <c r="BC155" s="58" t="s">
        <v>127</v>
      </c>
      <c r="BD155" s="58" t="s">
        <v>129</v>
      </c>
      <c r="BF155" s="58" t="s">
        <v>22</v>
      </c>
      <c r="BG155" s="58" t="s">
        <v>20</v>
      </c>
      <c r="BH155" s="58" t="s">
        <v>34</v>
      </c>
      <c r="BI155" s="58" t="s">
        <v>127</v>
      </c>
      <c r="BJ155" s="58" t="s">
        <v>129</v>
      </c>
    </row>
    <row r="156" spans="1:62" ht="15.75" thickBot="1" x14ac:dyDescent="0.3">
      <c r="AH156" s="34" t="str">
        <f>AU19</f>
        <v/>
      </c>
      <c r="AI156" s="34" t="str">
        <f>AV19</f>
        <v/>
      </c>
      <c r="AJ156" s="34" t="str">
        <f>AW19</f>
        <v/>
      </c>
      <c r="AK156" s="35" t="str">
        <f>AX19</f>
        <v/>
      </c>
      <c r="AL156" s="35" t="str">
        <f>AY19</f>
        <v/>
      </c>
      <c r="AN156" s="34" t="str">
        <f>AU20</f>
        <v/>
      </c>
      <c r="AO156" s="34" t="str">
        <f>AV20</f>
        <v/>
      </c>
      <c r="AP156" s="34" t="str">
        <f>AW20</f>
        <v/>
      </c>
      <c r="AQ156" s="35" t="str">
        <f>AX20</f>
        <v/>
      </c>
      <c r="AR156" s="35" t="str">
        <f>AY20</f>
        <v/>
      </c>
      <c r="AT156" s="34" t="str">
        <f>AU21</f>
        <v/>
      </c>
      <c r="AU156" s="34" t="str">
        <f>AV21</f>
        <v/>
      </c>
      <c r="AV156" s="34" t="str">
        <f>AW21</f>
        <v/>
      </c>
      <c r="AW156" s="35" t="str">
        <f>AX21</f>
        <v/>
      </c>
      <c r="AX156" s="35" t="str">
        <f>AY21</f>
        <v/>
      </c>
      <c r="AZ156" s="34" t="str">
        <f>AU22</f>
        <v/>
      </c>
      <c r="BA156" s="34" t="str">
        <f>AV22</f>
        <v/>
      </c>
      <c r="BB156" s="34" t="str">
        <f>AW22</f>
        <v/>
      </c>
      <c r="BC156" s="35" t="str">
        <f>AX22</f>
        <v/>
      </c>
      <c r="BD156" s="35" t="str">
        <f>AY22</f>
        <v/>
      </c>
      <c r="BF156" s="34" t="str">
        <f>AU23</f>
        <v/>
      </c>
      <c r="BG156" s="34" t="str">
        <f>AV23</f>
        <v/>
      </c>
      <c r="BH156" s="34" t="str">
        <f>AW23</f>
        <v/>
      </c>
      <c r="BI156" s="35" t="str">
        <f>AX23</f>
        <v/>
      </c>
      <c r="BJ156" s="35" t="str">
        <f>AY23</f>
        <v/>
      </c>
    </row>
    <row r="157" spans="1:62" ht="13.7" customHeight="1" thickBot="1" x14ac:dyDescent="0.3"/>
    <row r="158" spans="1:62" ht="15.75" thickBot="1" x14ac:dyDescent="0.3">
      <c r="AH158" s="149" t="s">
        <v>37</v>
      </c>
      <c r="AI158" s="150"/>
      <c r="AJ158" s="150"/>
      <c r="AK158" s="151" t="str">
        <f>AD147</f>
        <v>KA41C4059</v>
      </c>
      <c r="AL158" s="151"/>
      <c r="AM158" s="152"/>
      <c r="AN158" s="157" t="str">
        <f>AA148</f>
        <v>TANKS: 48</v>
      </c>
      <c r="AO158" s="153"/>
      <c r="AP158" s="153" t="str">
        <f>AD148</f>
        <v>LTRS: 39500</v>
      </c>
      <c r="AQ158" s="153"/>
      <c r="AR158" s="154"/>
      <c r="AS158" s="150" t="s">
        <v>76</v>
      </c>
      <c r="AT158" s="150"/>
      <c r="AU158" s="155">
        <f>AD149</f>
        <v>46008</v>
      </c>
      <c r="AV158" s="155"/>
      <c r="AW158" s="156"/>
    </row>
    <row r="159" spans="1:62" ht="13.7" customHeight="1" x14ac:dyDescent="0.25"/>
    <row r="160" spans="1:62" ht="13.7" customHeight="1" thickBot="1" x14ac:dyDescent="0.3"/>
    <row r="161" spans="1:52" ht="13.7" customHeight="1" x14ac:dyDescent="0.25">
      <c r="A161" s="123" t="s">
        <v>31</v>
      </c>
      <c r="B161" s="113" t="s">
        <v>84</v>
      </c>
      <c r="C161" s="115"/>
      <c r="D161" s="113" t="s">
        <v>22</v>
      </c>
      <c r="E161" s="114"/>
      <c r="F161" s="114"/>
      <c r="G161" s="114"/>
      <c r="H161" s="115"/>
      <c r="I161" s="113" t="s">
        <v>20</v>
      </c>
      <c r="J161" s="114"/>
      <c r="K161" s="114"/>
      <c r="L161" s="114"/>
      <c r="M161" s="115"/>
      <c r="N161" s="113" t="s">
        <v>34</v>
      </c>
      <c r="O161" s="114"/>
      <c r="P161" s="114"/>
      <c r="Q161" s="114"/>
      <c r="R161" s="115"/>
      <c r="S161" s="113" t="s">
        <v>127</v>
      </c>
      <c r="T161" s="114"/>
      <c r="U161" s="114"/>
      <c r="V161" s="114"/>
      <c r="W161" s="115"/>
      <c r="X161" s="113" t="s">
        <v>129</v>
      </c>
      <c r="Y161" s="114"/>
      <c r="Z161" s="114"/>
      <c r="AA161" s="114"/>
      <c r="AB161" s="115"/>
      <c r="AC161" s="113" t="s">
        <v>26</v>
      </c>
      <c r="AD161" s="114"/>
      <c r="AE161" s="114"/>
      <c r="AF161" s="114"/>
      <c r="AG161" s="115"/>
      <c r="AH161" s="116" t="s">
        <v>24</v>
      </c>
      <c r="AI161" s="116" t="s">
        <v>86</v>
      </c>
      <c r="AJ161" s="81"/>
    </row>
    <row r="162" spans="1:52" ht="13.7" customHeight="1" thickBot="1" x14ac:dyDescent="0.3">
      <c r="A162" s="124"/>
      <c r="B162" s="12" t="s">
        <v>17</v>
      </c>
      <c r="C162" s="12" t="s">
        <v>19</v>
      </c>
      <c r="D162" s="9" t="s">
        <v>32</v>
      </c>
      <c r="E162" s="12" t="s">
        <v>17</v>
      </c>
      <c r="F162" s="12" t="s">
        <v>19</v>
      </c>
      <c r="G162" s="12" t="s">
        <v>33</v>
      </c>
      <c r="H162" s="14" t="s">
        <v>80</v>
      </c>
      <c r="I162" s="9" t="s">
        <v>32</v>
      </c>
      <c r="J162" s="12" t="s">
        <v>17</v>
      </c>
      <c r="K162" s="12" t="s">
        <v>19</v>
      </c>
      <c r="L162" s="12" t="s">
        <v>33</v>
      </c>
      <c r="M162" s="14" t="s">
        <v>80</v>
      </c>
      <c r="N162" s="9" t="s">
        <v>32</v>
      </c>
      <c r="O162" s="12" t="s">
        <v>17</v>
      </c>
      <c r="P162" s="12" t="s">
        <v>19</v>
      </c>
      <c r="Q162" s="12" t="s">
        <v>33</v>
      </c>
      <c r="R162" s="14" t="s">
        <v>80</v>
      </c>
      <c r="S162" s="9" t="s">
        <v>32</v>
      </c>
      <c r="T162" s="12" t="s">
        <v>17</v>
      </c>
      <c r="U162" s="12" t="s">
        <v>19</v>
      </c>
      <c r="V162" s="12" t="s">
        <v>33</v>
      </c>
      <c r="W162" s="14" t="s">
        <v>80</v>
      </c>
      <c r="X162" s="9" t="s">
        <v>32</v>
      </c>
      <c r="Y162" s="12" t="s">
        <v>17</v>
      </c>
      <c r="Z162" s="12" t="s">
        <v>19</v>
      </c>
      <c r="AA162" s="12" t="s">
        <v>33</v>
      </c>
      <c r="AB162" s="14" t="s">
        <v>80</v>
      </c>
      <c r="AC162" s="9" t="s">
        <v>32</v>
      </c>
      <c r="AD162" s="12" t="s">
        <v>17</v>
      </c>
      <c r="AE162" s="12" t="s">
        <v>19</v>
      </c>
      <c r="AF162" s="12" t="s">
        <v>33</v>
      </c>
      <c r="AG162" s="14" t="s">
        <v>80</v>
      </c>
      <c r="AH162" s="117"/>
      <c r="AI162" s="117"/>
      <c r="AJ162" s="81"/>
    </row>
    <row r="163" spans="1:52" ht="13.7" customHeight="1" x14ac:dyDescent="0.25">
      <c r="A163" s="16">
        <v>300</v>
      </c>
      <c r="B163" s="11">
        <f>T146</f>
        <v>0</v>
      </c>
      <c r="C163" s="11">
        <f>U146</f>
        <v>0</v>
      </c>
      <c r="D163" s="10">
        <f>B119+B133</f>
        <v>0</v>
      </c>
      <c r="E163" s="11">
        <f t="shared" ref="E163:AG171" si="50">C119+C133</f>
        <v>0</v>
      </c>
      <c r="F163" s="11">
        <f t="shared" si="50"/>
        <v>0</v>
      </c>
      <c r="G163" s="11">
        <f t="shared" si="50"/>
        <v>0</v>
      </c>
      <c r="H163" s="17">
        <f t="shared" si="50"/>
        <v>0</v>
      </c>
      <c r="I163" s="10">
        <f t="shared" si="50"/>
        <v>0</v>
      </c>
      <c r="J163" s="11">
        <f t="shared" si="50"/>
        <v>0</v>
      </c>
      <c r="K163" s="11">
        <f t="shared" si="50"/>
        <v>0</v>
      </c>
      <c r="L163" s="11">
        <f t="shared" si="50"/>
        <v>0</v>
      </c>
      <c r="M163" s="17">
        <f t="shared" si="50"/>
        <v>0</v>
      </c>
      <c r="N163" s="10">
        <f t="shared" si="50"/>
        <v>0</v>
      </c>
      <c r="O163" s="11">
        <f t="shared" si="50"/>
        <v>0</v>
      </c>
      <c r="P163" s="11">
        <f t="shared" si="50"/>
        <v>0</v>
      </c>
      <c r="Q163" s="11">
        <f t="shared" si="50"/>
        <v>0</v>
      </c>
      <c r="R163" s="17">
        <f t="shared" si="50"/>
        <v>0</v>
      </c>
      <c r="S163" s="10">
        <f t="shared" si="50"/>
        <v>0</v>
      </c>
      <c r="T163" s="11">
        <f t="shared" si="50"/>
        <v>0</v>
      </c>
      <c r="U163" s="11">
        <f t="shared" si="50"/>
        <v>0</v>
      </c>
      <c r="V163" s="11">
        <f t="shared" si="50"/>
        <v>0</v>
      </c>
      <c r="W163" s="17">
        <f t="shared" si="50"/>
        <v>0</v>
      </c>
      <c r="X163" s="10">
        <f t="shared" si="50"/>
        <v>0</v>
      </c>
      <c r="Y163" s="11">
        <f t="shared" si="50"/>
        <v>0</v>
      </c>
      <c r="Z163" s="11">
        <f t="shared" si="50"/>
        <v>0</v>
      </c>
      <c r="AA163" s="11">
        <f t="shared" si="50"/>
        <v>0</v>
      </c>
      <c r="AB163" s="17">
        <f t="shared" si="50"/>
        <v>0</v>
      </c>
      <c r="AC163" s="10">
        <f t="shared" si="50"/>
        <v>0</v>
      </c>
      <c r="AD163" s="11">
        <f t="shared" si="50"/>
        <v>0</v>
      </c>
      <c r="AE163" s="11">
        <f t="shared" si="50"/>
        <v>0</v>
      </c>
      <c r="AF163" s="11">
        <f t="shared" si="50"/>
        <v>0</v>
      </c>
      <c r="AG163" s="17">
        <f t="shared" si="50"/>
        <v>0</v>
      </c>
      <c r="AH163" s="16">
        <f>SUM(D163:AG163)*A163</f>
        <v>0</v>
      </c>
      <c r="AI163" s="16">
        <f>SUM(D163:AG163)</f>
        <v>0</v>
      </c>
      <c r="AJ163" s="82"/>
    </row>
    <row r="164" spans="1:52" ht="13.7" customHeight="1" x14ac:dyDescent="0.25">
      <c r="A164" s="16">
        <v>500</v>
      </c>
      <c r="B164" s="11">
        <f t="shared" ref="B164:C171" si="51">T147</f>
        <v>0</v>
      </c>
      <c r="C164" s="11">
        <f t="shared" si="51"/>
        <v>0</v>
      </c>
      <c r="D164" s="10">
        <f t="shared" ref="D164:D171" si="52">B120+B134</f>
        <v>0</v>
      </c>
      <c r="E164" s="11">
        <f t="shared" si="50"/>
        <v>20</v>
      </c>
      <c r="F164" s="11">
        <f t="shared" si="50"/>
        <v>0</v>
      </c>
      <c r="G164" s="11">
        <f t="shared" si="50"/>
        <v>0</v>
      </c>
      <c r="H164" s="17">
        <f t="shared" si="50"/>
        <v>0</v>
      </c>
      <c r="I164" s="10">
        <f t="shared" si="50"/>
        <v>0</v>
      </c>
      <c r="J164" s="11">
        <f t="shared" si="50"/>
        <v>0</v>
      </c>
      <c r="K164" s="11">
        <f t="shared" si="50"/>
        <v>0</v>
      </c>
      <c r="L164" s="11">
        <f t="shared" si="50"/>
        <v>0</v>
      </c>
      <c r="M164" s="17">
        <f t="shared" si="50"/>
        <v>0</v>
      </c>
      <c r="N164" s="10">
        <f t="shared" si="50"/>
        <v>0</v>
      </c>
      <c r="O164" s="11">
        <f t="shared" si="50"/>
        <v>0</v>
      </c>
      <c r="P164" s="11">
        <f t="shared" si="50"/>
        <v>0</v>
      </c>
      <c r="Q164" s="11">
        <f t="shared" si="50"/>
        <v>0</v>
      </c>
      <c r="R164" s="17">
        <f t="shared" si="50"/>
        <v>0</v>
      </c>
      <c r="S164" s="10">
        <f t="shared" si="50"/>
        <v>0</v>
      </c>
      <c r="T164" s="11">
        <f t="shared" si="50"/>
        <v>0</v>
      </c>
      <c r="U164" s="11">
        <f t="shared" si="50"/>
        <v>0</v>
      </c>
      <c r="V164" s="11">
        <f t="shared" si="50"/>
        <v>0</v>
      </c>
      <c r="W164" s="17">
        <f t="shared" si="50"/>
        <v>0</v>
      </c>
      <c r="X164" s="10">
        <f t="shared" si="50"/>
        <v>0</v>
      </c>
      <c r="Y164" s="11">
        <f t="shared" si="50"/>
        <v>0</v>
      </c>
      <c r="Z164" s="11">
        <f t="shared" si="50"/>
        <v>0</v>
      </c>
      <c r="AA164" s="11">
        <f t="shared" si="50"/>
        <v>0</v>
      </c>
      <c r="AB164" s="17">
        <f t="shared" si="50"/>
        <v>0</v>
      </c>
      <c r="AC164" s="10">
        <f t="shared" si="50"/>
        <v>0</v>
      </c>
      <c r="AD164" s="11">
        <f t="shared" si="50"/>
        <v>0</v>
      </c>
      <c r="AE164" s="11">
        <f t="shared" si="50"/>
        <v>0</v>
      </c>
      <c r="AF164" s="11">
        <f t="shared" si="50"/>
        <v>0</v>
      </c>
      <c r="AG164" s="17">
        <f t="shared" si="50"/>
        <v>0</v>
      </c>
      <c r="AH164" s="16">
        <f>SUM(D164:AG164)*A164</f>
        <v>10000</v>
      </c>
      <c r="AI164" s="16">
        <f t="shared" ref="AI164:AI172" si="53">SUM(D164:AG164)</f>
        <v>20</v>
      </c>
    </row>
    <row r="165" spans="1:52" ht="13.7" customHeight="1" x14ac:dyDescent="0.25">
      <c r="A165" s="15">
        <v>750</v>
      </c>
      <c r="B165" s="11">
        <f t="shared" si="51"/>
        <v>0</v>
      </c>
      <c r="C165" s="11">
        <f t="shared" si="51"/>
        <v>0</v>
      </c>
      <c r="D165" s="8">
        <f t="shared" si="52"/>
        <v>0</v>
      </c>
      <c r="E165" s="6">
        <f t="shared" si="50"/>
        <v>10</v>
      </c>
      <c r="F165" s="6">
        <f t="shared" si="50"/>
        <v>0</v>
      </c>
      <c r="G165" s="6">
        <f t="shared" si="50"/>
        <v>0</v>
      </c>
      <c r="H165" s="13">
        <f t="shared" si="50"/>
        <v>0</v>
      </c>
      <c r="I165" s="8">
        <f t="shared" si="50"/>
        <v>0</v>
      </c>
      <c r="J165" s="6">
        <f t="shared" si="50"/>
        <v>0</v>
      </c>
      <c r="K165" s="6">
        <f t="shared" si="50"/>
        <v>0</v>
      </c>
      <c r="L165" s="6">
        <f t="shared" si="50"/>
        <v>0</v>
      </c>
      <c r="M165" s="13">
        <f t="shared" si="50"/>
        <v>0</v>
      </c>
      <c r="N165" s="8">
        <f t="shared" si="50"/>
        <v>0</v>
      </c>
      <c r="O165" s="6">
        <f t="shared" si="50"/>
        <v>0</v>
      </c>
      <c r="P165" s="6">
        <f t="shared" si="50"/>
        <v>0</v>
      </c>
      <c r="Q165" s="6">
        <f t="shared" si="50"/>
        <v>0</v>
      </c>
      <c r="R165" s="13">
        <f t="shared" si="50"/>
        <v>0</v>
      </c>
      <c r="S165" s="8">
        <f t="shared" si="50"/>
        <v>0</v>
      </c>
      <c r="T165" s="6">
        <f t="shared" si="50"/>
        <v>0</v>
      </c>
      <c r="U165" s="6">
        <f t="shared" si="50"/>
        <v>0</v>
      </c>
      <c r="V165" s="6">
        <f t="shared" si="50"/>
        <v>0</v>
      </c>
      <c r="W165" s="13">
        <f t="shared" si="50"/>
        <v>0</v>
      </c>
      <c r="X165" s="8">
        <f t="shared" si="50"/>
        <v>0</v>
      </c>
      <c r="Y165" s="6">
        <f t="shared" si="50"/>
        <v>0</v>
      </c>
      <c r="Z165" s="6">
        <f t="shared" si="50"/>
        <v>0</v>
      </c>
      <c r="AA165" s="6">
        <f t="shared" si="50"/>
        <v>0</v>
      </c>
      <c r="AB165" s="13">
        <f t="shared" si="50"/>
        <v>0</v>
      </c>
      <c r="AC165" s="8">
        <f t="shared" si="50"/>
        <v>0</v>
      </c>
      <c r="AD165" s="6">
        <f t="shared" si="50"/>
        <v>0</v>
      </c>
      <c r="AE165" s="6">
        <f t="shared" si="50"/>
        <v>0</v>
      </c>
      <c r="AF165" s="6">
        <f t="shared" si="50"/>
        <v>0</v>
      </c>
      <c r="AG165" s="13">
        <f t="shared" si="50"/>
        <v>0</v>
      </c>
      <c r="AH165" s="16">
        <f>SUM(D165:AG165)*A165</f>
        <v>7500</v>
      </c>
      <c r="AI165" s="16">
        <f t="shared" si="53"/>
        <v>10</v>
      </c>
    </row>
    <row r="166" spans="1:52" ht="13.7" customHeight="1" x14ac:dyDescent="0.25">
      <c r="A166" s="15">
        <v>1000</v>
      </c>
      <c r="B166" s="11">
        <f t="shared" si="51"/>
        <v>0</v>
      </c>
      <c r="C166" s="11">
        <f t="shared" si="51"/>
        <v>0</v>
      </c>
      <c r="D166" s="8">
        <f t="shared" si="52"/>
        <v>0</v>
      </c>
      <c r="E166" s="6">
        <f t="shared" si="50"/>
        <v>10</v>
      </c>
      <c r="F166" s="6">
        <f t="shared" si="50"/>
        <v>0</v>
      </c>
      <c r="G166" s="6">
        <f t="shared" si="50"/>
        <v>0</v>
      </c>
      <c r="H166" s="13">
        <f t="shared" si="50"/>
        <v>0</v>
      </c>
      <c r="I166" s="8">
        <f t="shared" si="50"/>
        <v>0</v>
      </c>
      <c r="J166" s="6">
        <f t="shared" si="50"/>
        <v>0</v>
      </c>
      <c r="K166" s="6">
        <f t="shared" si="50"/>
        <v>0</v>
      </c>
      <c r="L166" s="6">
        <f t="shared" si="50"/>
        <v>0</v>
      </c>
      <c r="M166" s="13">
        <f t="shared" si="50"/>
        <v>0</v>
      </c>
      <c r="N166" s="8">
        <f t="shared" si="50"/>
        <v>0</v>
      </c>
      <c r="O166" s="6">
        <f t="shared" si="50"/>
        <v>0</v>
      </c>
      <c r="P166" s="6">
        <f t="shared" si="50"/>
        <v>0</v>
      </c>
      <c r="Q166" s="6">
        <f t="shared" si="50"/>
        <v>0</v>
      </c>
      <c r="R166" s="13">
        <f t="shared" si="50"/>
        <v>0</v>
      </c>
      <c r="S166" s="8">
        <f t="shared" si="50"/>
        <v>0</v>
      </c>
      <c r="T166" s="6">
        <f t="shared" si="50"/>
        <v>0</v>
      </c>
      <c r="U166" s="6">
        <f t="shared" si="50"/>
        <v>0</v>
      </c>
      <c r="V166" s="6">
        <f t="shared" si="50"/>
        <v>0</v>
      </c>
      <c r="W166" s="13">
        <f t="shared" si="50"/>
        <v>0</v>
      </c>
      <c r="X166" s="8">
        <f t="shared" si="50"/>
        <v>0</v>
      </c>
      <c r="Y166" s="6">
        <f t="shared" si="50"/>
        <v>0</v>
      </c>
      <c r="Z166" s="6">
        <f t="shared" si="50"/>
        <v>0</v>
      </c>
      <c r="AA166" s="6">
        <f t="shared" si="50"/>
        <v>0</v>
      </c>
      <c r="AB166" s="13">
        <f t="shared" si="50"/>
        <v>0</v>
      </c>
      <c r="AC166" s="8">
        <f t="shared" si="50"/>
        <v>0</v>
      </c>
      <c r="AD166" s="6">
        <f t="shared" si="50"/>
        <v>0</v>
      </c>
      <c r="AE166" s="6">
        <f t="shared" si="50"/>
        <v>0</v>
      </c>
      <c r="AF166" s="6">
        <f t="shared" si="50"/>
        <v>0</v>
      </c>
      <c r="AG166" s="13">
        <f t="shared" si="50"/>
        <v>0</v>
      </c>
      <c r="AH166" s="16">
        <f>SUM(D166:AG166)*A166</f>
        <v>10000</v>
      </c>
      <c r="AI166" s="16">
        <f t="shared" si="53"/>
        <v>10</v>
      </c>
    </row>
    <row r="167" spans="1:52" ht="13.7" customHeight="1" x14ac:dyDescent="0.25">
      <c r="A167" s="15">
        <v>1500</v>
      </c>
      <c r="B167" s="11">
        <f t="shared" si="51"/>
        <v>0</v>
      </c>
      <c r="C167" s="11">
        <f t="shared" si="51"/>
        <v>0</v>
      </c>
      <c r="D167" s="8">
        <f t="shared" si="52"/>
        <v>0</v>
      </c>
      <c r="E167" s="6">
        <f t="shared" si="50"/>
        <v>8</v>
      </c>
      <c r="F167" s="6">
        <f t="shared" si="50"/>
        <v>0</v>
      </c>
      <c r="G167" s="6">
        <f t="shared" si="50"/>
        <v>0</v>
      </c>
      <c r="H167" s="13">
        <f t="shared" si="50"/>
        <v>0</v>
      </c>
      <c r="I167" s="8">
        <f t="shared" si="50"/>
        <v>0</v>
      </c>
      <c r="J167" s="6">
        <f t="shared" si="50"/>
        <v>0</v>
      </c>
      <c r="K167" s="6">
        <f t="shared" si="50"/>
        <v>0</v>
      </c>
      <c r="L167" s="6">
        <f t="shared" si="50"/>
        <v>0</v>
      </c>
      <c r="M167" s="13">
        <f t="shared" si="50"/>
        <v>0</v>
      </c>
      <c r="N167" s="8">
        <f t="shared" si="50"/>
        <v>0</v>
      </c>
      <c r="O167" s="6">
        <f t="shared" si="50"/>
        <v>0</v>
      </c>
      <c r="P167" s="6">
        <f t="shared" si="50"/>
        <v>0</v>
      </c>
      <c r="Q167" s="6">
        <f t="shared" si="50"/>
        <v>0</v>
      </c>
      <c r="R167" s="13">
        <f t="shared" si="50"/>
        <v>0</v>
      </c>
      <c r="S167" s="8">
        <f t="shared" si="50"/>
        <v>0</v>
      </c>
      <c r="T167" s="6">
        <f t="shared" si="50"/>
        <v>0</v>
      </c>
      <c r="U167" s="6">
        <f t="shared" si="50"/>
        <v>0</v>
      </c>
      <c r="V167" s="6">
        <f t="shared" si="50"/>
        <v>0</v>
      </c>
      <c r="W167" s="13">
        <f t="shared" si="50"/>
        <v>0</v>
      </c>
      <c r="X167" s="8">
        <f t="shared" si="50"/>
        <v>0</v>
      </c>
      <c r="Y167" s="6">
        <f t="shared" si="50"/>
        <v>0</v>
      </c>
      <c r="Z167" s="6">
        <f t="shared" si="50"/>
        <v>0</v>
      </c>
      <c r="AA167" s="6">
        <f t="shared" si="50"/>
        <v>0</v>
      </c>
      <c r="AB167" s="13">
        <f t="shared" si="50"/>
        <v>0</v>
      </c>
      <c r="AC167" s="8">
        <f t="shared" si="50"/>
        <v>0</v>
      </c>
      <c r="AD167" s="6">
        <f t="shared" si="50"/>
        <v>0</v>
      </c>
      <c r="AE167" s="6">
        <f t="shared" si="50"/>
        <v>0</v>
      </c>
      <c r="AF167" s="6">
        <f t="shared" si="50"/>
        <v>0</v>
      </c>
      <c r="AG167" s="13">
        <f t="shared" si="50"/>
        <v>0</v>
      </c>
      <c r="AH167" s="16">
        <f>SUM(D167:AG167)*A167</f>
        <v>12000</v>
      </c>
      <c r="AI167" s="16">
        <f t="shared" si="53"/>
        <v>8</v>
      </c>
    </row>
    <row r="168" spans="1:52" ht="13.7" customHeight="1" x14ac:dyDescent="0.25">
      <c r="A168" s="15">
        <v>2000</v>
      </c>
      <c r="B168" s="11">
        <f t="shared" si="51"/>
        <v>0</v>
      </c>
      <c r="C168" s="11">
        <f t="shared" si="51"/>
        <v>0</v>
      </c>
      <c r="D168" s="8">
        <f t="shared" si="52"/>
        <v>0</v>
      </c>
      <c r="E168" s="6">
        <f t="shared" si="50"/>
        <v>0</v>
      </c>
      <c r="F168" s="6">
        <f t="shared" si="50"/>
        <v>0</v>
      </c>
      <c r="G168" s="6">
        <f t="shared" si="50"/>
        <v>0</v>
      </c>
      <c r="H168" s="13">
        <f t="shared" si="50"/>
        <v>0</v>
      </c>
      <c r="I168" s="8">
        <f t="shared" si="50"/>
        <v>0</v>
      </c>
      <c r="J168" s="6">
        <f t="shared" si="50"/>
        <v>0</v>
      </c>
      <c r="K168" s="6">
        <f t="shared" si="50"/>
        <v>0</v>
      </c>
      <c r="L168" s="6">
        <f t="shared" si="50"/>
        <v>0</v>
      </c>
      <c r="M168" s="13">
        <f t="shared" si="50"/>
        <v>0</v>
      </c>
      <c r="N168" s="8">
        <f t="shared" si="50"/>
        <v>0</v>
      </c>
      <c r="O168" s="6">
        <f t="shared" si="50"/>
        <v>0</v>
      </c>
      <c r="P168" s="6">
        <f t="shared" si="50"/>
        <v>0</v>
      </c>
      <c r="Q168" s="6">
        <f t="shared" si="50"/>
        <v>0</v>
      </c>
      <c r="R168" s="13">
        <f t="shared" si="50"/>
        <v>0</v>
      </c>
      <c r="S168" s="8">
        <f t="shared" si="50"/>
        <v>0</v>
      </c>
      <c r="T168" s="6">
        <f t="shared" si="50"/>
        <v>0</v>
      </c>
      <c r="U168" s="6">
        <f t="shared" si="50"/>
        <v>0</v>
      </c>
      <c r="V168" s="6">
        <f t="shared" si="50"/>
        <v>0</v>
      </c>
      <c r="W168" s="13">
        <f t="shared" si="50"/>
        <v>0</v>
      </c>
      <c r="X168" s="8">
        <f t="shared" si="50"/>
        <v>0</v>
      </c>
      <c r="Y168" s="6">
        <f t="shared" si="50"/>
        <v>0</v>
      </c>
      <c r="Z168" s="6">
        <f t="shared" si="50"/>
        <v>0</v>
      </c>
      <c r="AA168" s="6">
        <f t="shared" si="50"/>
        <v>0</v>
      </c>
      <c r="AB168" s="13">
        <f t="shared" si="50"/>
        <v>0</v>
      </c>
      <c r="AC168" s="8">
        <f t="shared" si="50"/>
        <v>0</v>
      </c>
      <c r="AD168" s="6">
        <f t="shared" si="50"/>
        <v>0</v>
      </c>
      <c r="AE168" s="6">
        <f t="shared" si="50"/>
        <v>0</v>
      </c>
      <c r="AF168" s="6">
        <f t="shared" si="50"/>
        <v>0</v>
      </c>
      <c r="AG168" s="13">
        <f t="shared" si="50"/>
        <v>0</v>
      </c>
      <c r="AH168" s="16">
        <f>SUM(D168:AG168)*A168</f>
        <v>0</v>
      </c>
      <c r="AI168" s="16">
        <f t="shared" si="53"/>
        <v>0</v>
      </c>
    </row>
    <row r="169" spans="1:52" ht="13.7" customHeight="1" x14ac:dyDescent="0.25">
      <c r="A169" s="15">
        <v>3000</v>
      </c>
      <c r="B169" s="11">
        <f t="shared" si="51"/>
        <v>0</v>
      </c>
      <c r="C169" s="11">
        <f t="shared" si="51"/>
        <v>0</v>
      </c>
      <c r="D169" s="8">
        <f t="shared" si="52"/>
        <v>0</v>
      </c>
      <c r="E169" s="6">
        <f t="shared" si="50"/>
        <v>0</v>
      </c>
      <c r="F169" s="6">
        <f t="shared" si="50"/>
        <v>0</v>
      </c>
      <c r="G169" s="6">
        <f t="shared" si="50"/>
        <v>0</v>
      </c>
      <c r="H169" s="13">
        <f t="shared" si="50"/>
        <v>0</v>
      </c>
      <c r="I169" s="8">
        <f t="shared" si="50"/>
        <v>0</v>
      </c>
      <c r="J169" s="6">
        <f t="shared" si="50"/>
        <v>0</v>
      </c>
      <c r="K169" s="6">
        <f t="shared" si="50"/>
        <v>0</v>
      </c>
      <c r="L169" s="6">
        <f t="shared" si="50"/>
        <v>0</v>
      </c>
      <c r="M169" s="13">
        <f t="shared" si="50"/>
        <v>0</v>
      </c>
      <c r="N169" s="8">
        <f t="shared" si="50"/>
        <v>0</v>
      </c>
      <c r="O169" s="6">
        <f t="shared" si="50"/>
        <v>0</v>
      </c>
      <c r="P169" s="6">
        <f t="shared" si="50"/>
        <v>0</v>
      </c>
      <c r="Q169" s="6">
        <f t="shared" si="50"/>
        <v>0</v>
      </c>
      <c r="R169" s="13">
        <f t="shared" si="50"/>
        <v>0</v>
      </c>
      <c r="S169" s="8">
        <f t="shared" si="50"/>
        <v>0</v>
      </c>
      <c r="T169" s="6">
        <f t="shared" si="50"/>
        <v>0</v>
      </c>
      <c r="U169" s="6">
        <f t="shared" si="50"/>
        <v>0</v>
      </c>
      <c r="V169" s="6">
        <f t="shared" si="50"/>
        <v>0</v>
      </c>
      <c r="W169" s="13">
        <f t="shared" si="50"/>
        <v>0</v>
      </c>
      <c r="X169" s="8">
        <f t="shared" si="50"/>
        <v>0</v>
      </c>
      <c r="Y169" s="6">
        <f t="shared" si="50"/>
        <v>0</v>
      </c>
      <c r="Z169" s="6">
        <f t="shared" si="50"/>
        <v>0</v>
      </c>
      <c r="AA169" s="6">
        <f t="shared" si="50"/>
        <v>0</v>
      </c>
      <c r="AB169" s="13">
        <f t="shared" si="50"/>
        <v>0</v>
      </c>
      <c r="AC169" s="8">
        <f t="shared" si="50"/>
        <v>0</v>
      </c>
      <c r="AD169" s="6">
        <f t="shared" si="50"/>
        <v>0</v>
      </c>
      <c r="AE169" s="6">
        <f t="shared" si="50"/>
        <v>0</v>
      </c>
      <c r="AF169" s="6">
        <f t="shared" si="50"/>
        <v>0</v>
      </c>
      <c r="AG169" s="13">
        <f t="shared" si="50"/>
        <v>0</v>
      </c>
      <c r="AH169" s="16">
        <f>SUM(D169:AG169)*A169</f>
        <v>0</v>
      </c>
      <c r="AI169" s="16">
        <f t="shared" si="53"/>
        <v>0</v>
      </c>
    </row>
    <row r="170" spans="1:52" ht="13.7" customHeight="1" x14ac:dyDescent="0.25">
      <c r="A170" s="15">
        <v>5000</v>
      </c>
      <c r="B170" s="11">
        <f t="shared" si="51"/>
        <v>0</v>
      </c>
      <c r="C170" s="11">
        <f t="shared" si="51"/>
        <v>0</v>
      </c>
      <c r="D170" s="8">
        <f t="shared" si="52"/>
        <v>0</v>
      </c>
      <c r="E170" s="6">
        <f t="shared" si="50"/>
        <v>0</v>
      </c>
      <c r="F170" s="6">
        <f t="shared" si="50"/>
        <v>0</v>
      </c>
      <c r="G170" s="6">
        <f t="shared" si="50"/>
        <v>0</v>
      </c>
      <c r="H170" s="13">
        <f t="shared" si="50"/>
        <v>0</v>
      </c>
      <c r="I170" s="8">
        <f t="shared" si="50"/>
        <v>0</v>
      </c>
      <c r="J170" s="6">
        <f t="shared" si="50"/>
        <v>0</v>
      </c>
      <c r="K170" s="6">
        <f t="shared" si="50"/>
        <v>0</v>
      </c>
      <c r="L170" s="6">
        <f t="shared" si="50"/>
        <v>0</v>
      </c>
      <c r="M170" s="13">
        <f t="shared" si="50"/>
        <v>0</v>
      </c>
      <c r="N170" s="8">
        <f t="shared" si="50"/>
        <v>0</v>
      </c>
      <c r="O170" s="6">
        <f t="shared" si="50"/>
        <v>0</v>
      </c>
      <c r="P170" s="6">
        <f t="shared" si="50"/>
        <v>0</v>
      </c>
      <c r="Q170" s="6">
        <f t="shared" si="50"/>
        <v>0</v>
      </c>
      <c r="R170" s="13">
        <f t="shared" si="50"/>
        <v>0</v>
      </c>
      <c r="S170" s="8">
        <f t="shared" si="50"/>
        <v>0</v>
      </c>
      <c r="T170" s="6">
        <f t="shared" si="50"/>
        <v>0</v>
      </c>
      <c r="U170" s="6">
        <f t="shared" si="50"/>
        <v>0</v>
      </c>
      <c r="V170" s="6">
        <f t="shared" si="50"/>
        <v>0</v>
      </c>
      <c r="W170" s="13">
        <f t="shared" si="50"/>
        <v>0</v>
      </c>
      <c r="X170" s="8">
        <f t="shared" si="50"/>
        <v>0</v>
      </c>
      <c r="Y170" s="6">
        <f t="shared" si="50"/>
        <v>0</v>
      </c>
      <c r="Z170" s="6">
        <f t="shared" si="50"/>
        <v>0</v>
      </c>
      <c r="AA170" s="6">
        <f t="shared" si="50"/>
        <v>0</v>
      </c>
      <c r="AB170" s="13">
        <f t="shared" si="50"/>
        <v>0</v>
      </c>
      <c r="AC170" s="8">
        <f t="shared" si="50"/>
        <v>0</v>
      </c>
      <c r="AD170" s="6">
        <f t="shared" si="50"/>
        <v>0</v>
      </c>
      <c r="AE170" s="6">
        <f t="shared" si="50"/>
        <v>0</v>
      </c>
      <c r="AF170" s="6">
        <f t="shared" si="50"/>
        <v>0</v>
      </c>
      <c r="AG170" s="13">
        <f t="shared" si="50"/>
        <v>0</v>
      </c>
      <c r="AH170" s="16">
        <f>SUM(D170:AG170)*A170</f>
        <v>0</v>
      </c>
      <c r="AI170" s="16">
        <f t="shared" si="53"/>
        <v>0</v>
      </c>
    </row>
    <row r="171" spans="1:52" ht="15" customHeight="1" thickBot="1" x14ac:dyDescent="0.3">
      <c r="A171" s="59">
        <v>10000</v>
      </c>
      <c r="B171" s="11">
        <f t="shared" si="51"/>
        <v>0</v>
      </c>
      <c r="C171" s="11">
        <f t="shared" si="51"/>
        <v>0</v>
      </c>
      <c r="D171" s="31">
        <f t="shared" si="52"/>
        <v>0</v>
      </c>
      <c r="E171" s="32">
        <f t="shared" si="50"/>
        <v>0</v>
      </c>
      <c r="F171" s="32">
        <f t="shared" si="50"/>
        <v>0</v>
      </c>
      <c r="G171" s="32">
        <f t="shared" si="50"/>
        <v>0</v>
      </c>
      <c r="H171" s="33">
        <f t="shared" si="50"/>
        <v>0</v>
      </c>
      <c r="I171" s="31">
        <f t="shared" si="50"/>
        <v>0</v>
      </c>
      <c r="J171" s="32">
        <f t="shared" si="50"/>
        <v>0</v>
      </c>
      <c r="K171" s="32">
        <f t="shared" si="50"/>
        <v>0</v>
      </c>
      <c r="L171" s="32">
        <f t="shared" si="50"/>
        <v>0</v>
      </c>
      <c r="M171" s="33">
        <f t="shared" si="50"/>
        <v>0</v>
      </c>
      <c r="N171" s="31">
        <f t="shared" si="50"/>
        <v>0</v>
      </c>
      <c r="O171" s="32">
        <f t="shared" si="50"/>
        <v>0</v>
      </c>
      <c r="P171" s="32">
        <f t="shared" si="50"/>
        <v>0</v>
      </c>
      <c r="Q171" s="32">
        <f t="shared" si="50"/>
        <v>0</v>
      </c>
      <c r="R171" s="33">
        <f t="shared" si="50"/>
        <v>0</v>
      </c>
      <c r="S171" s="31">
        <f t="shared" si="50"/>
        <v>0</v>
      </c>
      <c r="T171" s="32">
        <f t="shared" si="50"/>
        <v>0</v>
      </c>
      <c r="U171" s="32">
        <f t="shared" si="50"/>
        <v>0</v>
      </c>
      <c r="V171" s="32">
        <f t="shared" si="50"/>
        <v>0</v>
      </c>
      <c r="W171" s="33">
        <f t="shared" si="50"/>
        <v>0</v>
      </c>
      <c r="X171" s="31">
        <f t="shared" si="50"/>
        <v>0</v>
      </c>
      <c r="Y171" s="32">
        <f t="shared" si="50"/>
        <v>0</v>
      </c>
      <c r="Z171" s="32">
        <f t="shared" si="50"/>
        <v>0</v>
      </c>
      <c r="AA171" s="32">
        <f t="shared" si="50"/>
        <v>0</v>
      </c>
      <c r="AB171" s="33">
        <f t="shared" ref="AB171:AG171" si="54">Z127+Z141</f>
        <v>0</v>
      </c>
      <c r="AC171" s="31">
        <f t="shared" si="54"/>
        <v>0</v>
      </c>
      <c r="AD171" s="32">
        <f t="shared" si="54"/>
        <v>0</v>
      </c>
      <c r="AE171" s="32">
        <f t="shared" si="54"/>
        <v>0</v>
      </c>
      <c r="AF171" s="32">
        <f t="shared" si="54"/>
        <v>0</v>
      </c>
      <c r="AG171" s="33">
        <f t="shared" si="54"/>
        <v>0</v>
      </c>
      <c r="AH171" s="16">
        <f>SUM(D171:AG171)*A171</f>
        <v>0</v>
      </c>
      <c r="AI171" s="43">
        <f t="shared" si="53"/>
        <v>0</v>
      </c>
    </row>
    <row r="172" spans="1:52" ht="15" customHeight="1" thickBot="1" x14ac:dyDescent="0.3">
      <c r="A172" s="35"/>
      <c r="B172" s="61">
        <f>SUM(B163:B171)</f>
        <v>0</v>
      </c>
      <c r="C172" s="61">
        <f t="shared" ref="C172" si="55">SUM(C163:C171)</f>
        <v>0</v>
      </c>
      <c r="D172" s="60">
        <f t="shared" ref="D172:AI172" si="56">SUM(D163:D171)</f>
        <v>0</v>
      </c>
      <c r="E172" s="61">
        <f t="shared" si="56"/>
        <v>48</v>
      </c>
      <c r="F172" s="61">
        <f t="shared" si="56"/>
        <v>0</v>
      </c>
      <c r="G172" s="61">
        <f t="shared" si="56"/>
        <v>0</v>
      </c>
      <c r="H172" s="62">
        <f t="shared" si="56"/>
        <v>0</v>
      </c>
      <c r="I172" s="60">
        <f t="shared" si="56"/>
        <v>0</v>
      </c>
      <c r="J172" s="61">
        <f t="shared" si="56"/>
        <v>0</v>
      </c>
      <c r="K172" s="61">
        <f t="shared" si="56"/>
        <v>0</v>
      </c>
      <c r="L172" s="61">
        <f t="shared" si="56"/>
        <v>0</v>
      </c>
      <c r="M172" s="62">
        <f t="shared" si="56"/>
        <v>0</v>
      </c>
      <c r="N172" s="60">
        <f t="shared" si="56"/>
        <v>0</v>
      </c>
      <c r="O172" s="61">
        <f t="shared" si="56"/>
        <v>0</v>
      </c>
      <c r="P172" s="61">
        <f t="shared" si="56"/>
        <v>0</v>
      </c>
      <c r="Q172" s="61">
        <f t="shared" si="56"/>
        <v>0</v>
      </c>
      <c r="R172" s="62">
        <f t="shared" si="56"/>
        <v>0</v>
      </c>
      <c r="S172" s="60">
        <f t="shared" si="56"/>
        <v>0</v>
      </c>
      <c r="T172" s="61">
        <f t="shared" si="56"/>
        <v>0</v>
      </c>
      <c r="U172" s="61">
        <f t="shared" si="56"/>
        <v>0</v>
      </c>
      <c r="V172" s="61">
        <f t="shared" si="56"/>
        <v>0</v>
      </c>
      <c r="W172" s="62">
        <f t="shared" si="56"/>
        <v>0</v>
      </c>
      <c r="X172" s="60">
        <f t="shared" si="56"/>
        <v>0</v>
      </c>
      <c r="Y172" s="61">
        <f t="shared" si="56"/>
        <v>0</v>
      </c>
      <c r="Z172" s="61">
        <f t="shared" si="56"/>
        <v>0</v>
      </c>
      <c r="AA172" s="61">
        <f t="shared" si="56"/>
        <v>0</v>
      </c>
      <c r="AB172" s="62">
        <f t="shared" si="56"/>
        <v>0</v>
      </c>
      <c r="AC172" s="60">
        <f t="shared" si="56"/>
        <v>0</v>
      </c>
      <c r="AD172" s="61">
        <f t="shared" si="56"/>
        <v>0</v>
      </c>
      <c r="AE172" s="61">
        <f t="shared" si="56"/>
        <v>0</v>
      </c>
      <c r="AF172" s="61">
        <f t="shared" si="56"/>
        <v>0</v>
      </c>
      <c r="AG172" s="62">
        <f t="shared" si="56"/>
        <v>0</v>
      </c>
      <c r="AH172" s="35">
        <f>SUM(AH163:AH171)</f>
        <v>39500</v>
      </c>
      <c r="AI172" s="35">
        <f t="shared" si="53"/>
        <v>48</v>
      </c>
    </row>
    <row r="173" spans="1:52" ht="15.75" customHeight="1" x14ac:dyDescent="0.25"/>
    <row r="174" spans="1:52" ht="15.75" customHeight="1" x14ac:dyDescent="0.25"/>
    <row r="175" spans="1:52" ht="15" customHeight="1" x14ac:dyDescent="0.25">
      <c r="AX175" s="44"/>
      <c r="AY175" s="44"/>
      <c r="AZ175" s="44"/>
    </row>
    <row r="176" spans="1:52" ht="15" customHeight="1" x14ac:dyDescent="0.25">
      <c r="AX176" s="44"/>
      <c r="AY176" s="44"/>
      <c r="AZ176" s="44"/>
    </row>
    <row r="177" spans="50:54" ht="15" customHeight="1" x14ac:dyDescent="0.25">
      <c r="AX177" s="44"/>
      <c r="AY177" s="44"/>
      <c r="AZ177" s="44"/>
    </row>
    <row r="178" spans="50:54" ht="15" customHeight="1" x14ac:dyDescent="0.25">
      <c r="AX178" s="44"/>
      <c r="AY178" s="44"/>
      <c r="AZ178" s="44"/>
    </row>
    <row r="179" spans="50:54" ht="15" customHeight="1" x14ac:dyDescent="0.25">
      <c r="AX179" s="44"/>
      <c r="AY179" s="44"/>
      <c r="AZ179" s="44"/>
    </row>
    <row r="180" spans="50:54" ht="15" customHeight="1" x14ac:dyDescent="0.25">
      <c r="AX180" s="44"/>
      <c r="AY180" s="44"/>
      <c r="AZ180" s="44"/>
    </row>
    <row r="181" spans="50:54" ht="15" customHeight="1" x14ac:dyDescent="0.25">
      <c r="AX181" s="44"/>
    </row>
    <row r="182" spans="50:54" ht="15" customHeight="1" x14ac:dyDescent="0.25">
      <c r="AX182" s="44"/>
    </row>
    <row r="183" spans="50:54" ht="15" customHeight="1" x14ac:dyDescent="0.25">
      <c r="AX183" s="44"/>
    </row>
    <row r="184" spans="50:54" ht="15.75" customHeight="1" x14ac:dyDescent="0.25"/>
    <row r="186" spans="50:54" x14ac:dyDescent="0.25">
      <c r="BB186" s="44"/>
    </row>
    <row r="187" spans="50:54" ht="15" customHeight="1" x14ac:dyDescent="0.25"/>
    <row r="188" spans="50:54" ht="15" customHeight="1" x14ac:dyDescent="0.25"/>
    <row r="189" spans="50:54" ht="15" customHeight="1" x14ac:dyDescent="0.25"/>
  </sheetData>
  <mergeCells count="134">
    <mergeCell ref="AN158:AO158"/>
    <mergeCell ref="AP158:AR158"/>
    <mergeCell ref="AS158:AT158"/>
    <mergeCell ref="AU158:AW158"/>
    <mergeCell ref="A161:A162"/>
    <mergeCell ref="B161:C161"/>
    <mergeCell ref="D161:H161"/>
    <mergeCell ref="I161:M161"/>
    <mergeCell ref="N161:R161"/>
    <mergeCell ref="S161:W161"/>
    <mergeCell ref="X161:AB161"/>
    <mergeCell ref="AC161:AG161"/>
    <mergeCell ref="AH161:AH162"/>
    <mergeCell ref="AI161:AI162"/>
    <mergeCell ref="AO151:AP151"/>
    <mergeCell ref="AQ151:AR151"/>
    <mergeCell ref="AU151:AV151"/>
    <mergeCell ref="AW151:AX151"/>
    <mergeCell ref="BA151:BB151"/>
    <mergeCell ref="BC151:BD151"/>
    <mergeCell ref="BG151:BH151"/>
    <mergeCell ref="BI151:BJ151"/>
    <mergeCell ref="AI152:AJ152"/>
    <mergeCell ref="AK152:AL152"/>
    <mergeCell ref="AO152:AP152"/>
    <mergeCell ref="AQ152:AR152"/>
    <mergeCell ref="AU152:AV152"/>
    <mergeCell ref="AW152:AX152"/>
    <mergeCell ref="BA152:BB152"/>
    <mergeCell ref="BC152:BD152"/>
    <mergeCell ref="BG152:BH152"/>
    <mergeCell ref="BI152:BJ152"/>
    <mergeCell ref="AN139:AR139"/>
    <mergeCell ref="AT139:AX139"/>
    <mergeCell ref="AZ139:BD139"/>
    <mergeCell ref="BF139:BJ139"/>
    <mergeCell ref="A144:B144"/>
    <mergeCell ref="G144:H144"/>
    <mergeCell ref="J144:K147"/>
    <mergeCell ref="M144:N147"/>
    <mergeCell ref="P144:Q147"/>
    <mergeCell ref="S144:S145"/>
    <mergeCell ref="V144:V145"/>
    <mergeCell ref="W144:W145"/>
    <mergeCell ref="AA147:AC147"/>
    <mergeCell ref="AD147:AF147"/>
    <mergeCell ref="AN137:AO137"/>
    <mergeCell ref="AP137:AR137"/>
    <mergeCell ref="AT137:AU137"/>
    <mergeCell ref="AV137:AX137"/>
    <mergeCell ref="AZ137:BA137"/>
    <mergeCell ref="BB137:BD137"/>
    <mergeCell ref="BF137:BG137"/>
    <mergeCell ref="BH137:BJ137"/>
    <mergeCell ref="AH138:AL138"/>
    <mergeCell ref="AN138:AR138"/>
    <mergeCell ref="AT138:AX138"/>
    <mergeCell ref="AZ138:BD138"/>
    <mergeCell ref="BF138:BJ138"/>
    <mergeCell ref="AK131:AL131"/>
    <mergeCell ref="AO131:AP131"/>
    <mergeCell ref="AQ131:AR131"/>
    <mergeCell ref="AU131:AV131"/>
    <mergeCell ref="AW131:AX131"/>
    <mergeCell ref="BA131:BB131"/>
    <mergeCell ref="BC131:BD131"/>
    <mergeCell ref="BG131:BH131"/>
    <mergeCell ref="BI131:BJ131"/>
    <mergeCell ref="AK130:AL130"/>
    <mergeCell ref="AO130:AP130"/>
    <mergeCell ref="AQ130:AR130"/>
    <mergeCell ref="AU130:AV130"/>
    <mergeCell ref="AW130:AX130"/>
    <mergeCell ref="BA130:BB130"/>
    <mergeCell ref="BC130:BD130"/>
    <mergeCell ref="BG130:BH130"/>
    <mergeCell ref="BI130:BJ130"/>
    <mergeCell ref="AN117:AR117"/>
    <mergeCell ref="AT117:AX117"/>
    <mergeCell ref="AZ117:BD117"/>
    <mergeCell ref="BF117:BJ117"/>
    <mergeCell ref="AH118:AL118"/>
    <mergeCell ref="AN118:AR118"/>
    <mergeCell ref="AT118:AX118"/>
    <mergeCell ref="AZ118:BD118"/>
    <mergeCell ref="BF118:BJ118"/>
    <mergeCell ref="AJ116:AL116"/>
    <mergeCell ref="AN116:AO116"/>
    <mergeCell ref="AP116:AR116"/>
    <mergeCell ref="AT116:AU116"/>
    <mergeCell ref="AV116:AX116"/>
    <mergeCell ref="AZ116:BA116"/>
    <mergeCell ref="BB116:BD116"/>
    <mergeCell ref="BF116:BG116"/>
    <mergeCell ref="BH116:BJ116"/>
    <mergeCell ref="T144:U144"/>
    <mergeCell ref="A116:AG116"/>
    <mergeCell ref="AH116:AI116"/>
    <mergeCell ref="A117:A118"/>
    <mergeCell ref="B117:F117"/>
    <mergeCell ref="G117:K117"/>
    <mergeCell ref="L117:P117"/>
    <mergeCell ref="Q117:U117"/>
    <mergeCell ref="V117:Z117"/>
    <mergeCell ref="AA117:AE117"/>
    <mergeCell ref="AF117:AF118"/>
    <mergeCell ref="AG117:AG118"/>
    <mergeCell ref="AH117:AL117"/>
    <mergeCell ref="A130:AG130"/>
    <mergeCell ref="AI130:AJ130"/>
    <mergeCell ref="A114:C114"/>
    <mergeCell ref="D114:G114"/>
    <mergeCell ref="L131:P131"/>
    <mergeCell ref="Q131:U131"/>
    <mergeCell ref="V131:Z131"/>
    <mergeCell ref="AA131:AE131"/>
    <mergeCell ref="AF131:AF132"/>
    <mergeCell ref="AG131:AG132"/>
    <mergeCell ref="AA148:AC148"/>
    <mergeCell ref="AD148:AF148"/>
    <mergeCell ref="AA149:AC149"/>
    <mergeCell ref="AD149:AF149"/>
    <mergeCell ref="AI131:AJ131"/>
    <mergeCell ref="AH137:AI137"/>
    <mergeCell ref="AJ137:AL137"/>
    <mergeCell ref="AH139:AL139"/>
    <mergeCell ref="AI151:AJ151"/>
    <mergeCell ref="AK151:AL151"/>
    <mergeCell ref="AH158:AJ158"/>
    <mergeCell ref="AK158:AM158"/>
    <mergeCell ref="D144:E144"/>
    <mergeCell ref="B131:F131"/>
    <mergeCell ref="G131:K131"/>
    <mergeCell ref="A131:A132"/>
  </mergeCells>
  <pageMargins left="0" right="0" top="0" bottom="0" header="0.31496062992125984" footer="0.31496062992125984"/>
  <pageSetup paperSize="9" scale="85" orientation="landscape" verticalDpi="300" r:id="rId1"/>
  <headerFooter>
    <oddFooter>&amp;LPRINTED ON &amp;D AT &amp;T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Y189"/>
  <sheetViews>
    <sheetView showZeros="0" zoomScaleNormal="100" workbookViewId="0">
      <selection sqref="A1:XFD1048576"/>
    </sheetView>
  </sheetViews>
  <sheetFormatPr defaultColWidth="9.140625" defaultRowHeight="15" x14ac:dyDescent="0.25"/>
  <cols>
    <col min="1" max="1" width="6.28515625" style="28" customWidth="1"/>
    <col min="2" max="2" width="5.85546875" style="28" customWidth="1"/>
    <col min="3" max="3" width="4.42578125" style="28" customWidth="1"/>
    <col min="4" max="4" width="6.28515625" style="28" customWidth="1"/>
    <col min="5" max="5" width="5.85546875" style="28" customWidth="1"/>
    <col min="6" max="6" width="4.42578125" style="28" customWidth="1"/>
    <col min="7" max="7" width="6.28515625" style="28" customWidth="1"/>
    <col min="8" max="8" width="5.85546875" style="28" customWidth="1"/>
    <col min="9" max="9" width="4.42578125" style="28" customWidth="1"/>
    <col min="10" max="10" width="6.28515625" style="28" customWidth="1"/>
    <col min="11" max="12" width="4.42578125" style="28" customWidth="1"/>
    <col min="13" max="13" width="6.28515625" style="28" customWidth="1"/>
    <col min="14" max="15" width="4.42578125" style="28" customWidth="1"/>
    <col min="16" max="16" width="6.28515625" style="28" customWidth="1"/>
    <col min="17" max="18" width="4.42578125" style="28" customWidth="1"/>
    <col min="19" max="19" width="6.28515625" style="28" customWidth="1"/>
    <col min="20" max="21" width="4.7109375" style="28" customWidth="1"/>
    <col min="22" max="22" width="6.28515625" style="28" customWidth="1"/>
    <col min="23" max="23" width="5.42578125" style="28" customWidth="1"/>
    <col min="24" max="31" width="4.42578125" style="28" customWidth="1"/>
    <col min="32" max="33" width="6.28515625" style="28" customWidth="1"/>
    <col min="34" max="62" width="5.85546875" style="28" customWidth="1"/>
    <col min="63" max="63" width="5.140625" style="28" bestFit="1" customWidth="1"/>
    <col min="64" max="64" width="5.7109375" style="28" bestFit="1" customWidth="1"/>
    <col min="65" max="65" width="5" style="28" bestFit="1" customWidth="1"/>
    <col min="66" max="67" width="4.140625" style="28" bestFit="1" customWidth="1"/>
    <col min="68" max="68" width="4.28515625" style="28" bestFit="1" customWidth="1"/>
    <col min="69" max="69" width="5.140625" style="28" bestFit="1" customWidth="1"/>
    <col min="70" max="70" width="7.42578125" style="28" bestFit="1" customWidth="1"/>
    <col min="71" max="71" width="12.5703125" style="28" bestFit="1" customWidth="1"/>
    <col min="72" max="72" width="6.140625" style="28" bestFit="1" customWidth="1"/>
    <col min="73" max="16384" width="9.140625" style="28"/>
  </cols>
  <sheetData>
    <row r="1" spans="1:77" ht="16.5" customHeight="1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15</v>
      </c>
      <c r="J1" s="24" t="s">
        <v>133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133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133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12</v>
      </c>
      <c r="AB1" s="24" t="s">
        <v>133</v>
      </c>
      <c r="AC1" s="24" t="s">
        <v>8</v>
      </c>
      <c r="AD1" s="24" t="s">
        <v>9</v>
      </c>
      <c r="AE1" s="24" t="s">
        <v>10</v>
      </c>
      <c r="AF1" s="24" t="s">
        <v>11</v>
      </c>
      <c r="AG1" s="24" t="s">
        <v>12</v>
      </c>
      <c r="AH1" s="24" t="s">
        <v>133</v>
      </c>
      <c r="AI1" s="24" t="s">
        <v>8</v>
      </c>
      <c r="AJ1" s="24" t="s">
        <v>9</v>
      </c>
      <c r="AK1" s="24" t="s">
        <v>10</v>
      </c>
      <c r="AL1" s="24" t="s">
        <v>11</v>
      </c>
      <c r="AM1" s="24" t="s">
        <v>12</v>
      </c>
      <c r="AN1" s="24" t="s">
        <v>133</v>
      </c>
      <c r="AO1" s="24" t="s">
        <v>8</v>
      </c>
      <c r="AP1" s="24" t="s">
        <v>9</v>
      </c>
      <c r="AQ1" s="24" t="s">
        <v>10</v>
      </c>
      <c r="AR1" s="24" t="s">
        <v>11</v>
      </c>
      <c r="AS1" s="24" t="s">
        <v>12</v>
      </c>
      <c r="AT1" s="24" t="s">
        <v>133</v>
      </c>
      <c r="AU1" s="24" t="s">
        <v>8</v>
      </c>
      <c r="AV1" s="24" t="s">
        <v>9</v>
      </c>
      <c r="AW1" s="24" t="s">
        <v>10</v>
      </c>
      <c r="AX1" s="24" t="s">
        <v>11</v>
      </c>
      <c r="AY1" s="24" t="s">
        <v>12</v>
      </c>
      <c r="AZ1" s="24" t="s">
        <v>133</v>
      </c>
      <c r="BA1" s="24" t="s">
        <v>8</v>
      </c>
      <c r="BB1" s="24" t="s">
        <v>9</v>
      </c>
      <c r="BC1" s="24" t="s">
        <v>10</v>
      </c>
      <c r="BD1" s="24" t="s">
        <v>11</v>
      </c>
      <c r="BE1" s="24" t="s">
        <v>12</v>
      </c>
      <c r="BF1" s="24" t="s">
        <v>133</v>
      </c>
      <c r="BG1" s="24" t="s">
        <v>8</v>
      </c>
      <c r="BH1" s="24" t="s">
        <v>9</v>
      </c>
      <c r="BI1" s="24" t="s">
        <v>10</v>
      </c>
      <c r="BJ1" s="24" t="s">
        <v>11</v>
      </c>
      <c r="BK1" s="24" t="s">
        <v>12</v>
      </c>
      <c r="BL1" s="24" t="s">
        <v>133</v>
      </c>
      <c r="BM1" s="24" t="s">
        <v>8</v>
      </c>
      <c r="BN1" s="24" t="s">
        <v>9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36</v>
      </c>
      <c r="BU1" s="26"/>
      <c r="BV1" s="27"/>
      <c r="BW1" s="27"/>
      <c r="BX1" s="27"/>
      <c r="BY1" s="27"/>
    </row>
    <row r="2" spans="1:77" s="56" customFormat="1" ht="78" thickBot="1" x14ac:dyDescent="0.3">
      <c r="A2" s="188">
        <v>21420</v>
      </c>
      <c r="B2" s="189">
        <v>46031</v>
      </c>
      <c r="C2" s="41" t="s">
        <v>239</v>
      </c>
      <c r="D2" s="41" t="s">
        <v>90</v>
      </c>
      <c r="E2" s="41" t="s">
        <v>42</v>
      </c>
      <c r="F2" s="41" t="s">
        <v>121</v>
      </c>
      <c r="G2" s="41" t="s">
        <v>122</v>
      </c>
      <c r="H2" s="41" t="s">
        <v>123</v>
      </c>
      <c r="I2" s="41"/>
      <c r="J2" s="41" t="s">
        <v>134</v>
      </c>
      <c r="K2" s="188">
        <v>1500</v>
      </c>
      <c r="L2" s="188">
        <v>8</v>
      </c>
      <c r="M2" s="41" t="s">
        <v>17</v>
      </c>
      <c r="N2" s="41" t="s">
        <v>22</v>
      </c>
      <c r="O2" s="188">
        <v>3.5</v>
      </c>
      <c r="P2" s="41" t="s">
        <v>134</v>
      </c>
      <c r="Q2" s="188">
        <v>1000</v>
      </c>
      <c r="R2" s="188">
        <v>10</v>
      </c>
      <c r="S2" s="41" t="s">
        <v>17</v>
      </c>
      <c r="T2" s="41" t="s">
        <v>22</v>
      </c>
      <c r="U2" s="188">
        <v>3.5</v>
      </c>
      <c r="V2" s="41" t="s">
        <v>134</v>
      </c>
      <c r="W2" s="188">
        <v>750</v>
      </c>
      <c r="X2" s="188">
        <v>10</v>
      </c>
      <c r="Y2" s="41" t="s">
        <v>17</v>
      </c>
      <c r="Z2" s="41" t="s">
        <v>22</v>
      </c>
      <c r="AA2" s="188">
        <v>3.5</v>
      </c>
      <c r="AB2" s="41" t="s">
        <v>134</v>
      </c>
      <c r="AC2" s="188">
        <v>500</v>
      </c>
      <c r="AD2" s="188">
        <v>20</v>
      </c>
      <c r="AE2" s="41" t="s">
        <v>17</v>
      </c>
      <c r="AF2" s="41" t="s">
        <v>22</v>
      </c>
      <c r="AG2" s="188">
        <v>3.5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 t="s">
        <v>91</v>
      </c>
      <c r="BS2" s="41" t="s">
        <v>253</v>
      </c>
      <c r="BT2" s="108">
        <f t="shared" ref="BT2" si="0">K2*L2+Q2*R2+W2*X2+AC2*AD2+AI2*AJ2+AO2*AP2+AU2*AV2+BA2*BB2+BG2*BH2+BM2*BN2</f>
        <v>39500</v>
      </c>
    </row>
    <row r="3" spans="1:77" s="56" customFormat="1" ht="15.75" thickBot="1" x14ac:dyDescent="0.3">
      <c r="A3" s="80"/>
      <c r="B3" s="49"/>
      <c r="C3" s="20"/>
      <c r="D3" s="20"/>
      <c r="E3" s="20"/>
      <c r="F3" s="20"/>
      <c r="G3" s="20"/>
      <c r="H3" s="20"/>
      <c r="I3" s="20"/>
      <c r="J3" s="48"/>
      <c r="K3" s="48"/>
      <c r="L3" s="48"/>
      <c r="M3" s="20"/>
      <c r="N3" s="20"/>
      <c r="O3" s="48"/>
      <c r="P3" s="48"/>
      <c r="Q3" s="48"/>
      <c r="R3" s="48"/>
      <c r="S3" s="20"/>
      <c r="T3" s="20"/>
      <c r="U3" s="48"/>
      <c r="V3" s="48"/>
      <c r="W3" s="48"/>
      <c r="X3" s="48"/>
      <c r="Y3" s="48"/>
      <c r="Z3" s="20"/>
      <c r="AA3" s="48"/>
      <c r="AB3" s="48"/>
      <c r="AC3" s="48"/>
      <c r="AD3" s="48"/>
      <c r="AE3" s="20"/>
      <c r="AF3" s="20"/>
      <c r="AG3" s="48"/>
      <c r="AH3" s="48"/>
      <c r="AI3" s="48"/>
      <c r="AJ3" s="48"/>
      <c r="AK3" s="20"/>
      <c r="AL3" s="20"/>
      <c r="AM3" s="48"/>
      <c r="AN3" s="48"/>
      <c r="AO3" s="48"/>
      <c r="AP3" s="48"/>
      <c r="AQ3" s="20"/>
      <c r="AR3" s="20"/>
      <c r="AS3" s="48"/>
      <c r="AT3" s="48"/>
      <c r="AU3" s="48"/>
      <c r="AV3" s="48"/>
      <c r="AW3" s="20"/>
      <c r="AX3" s="20"/>
      <c r="AY3" s="48"/>
      <c r="AZ3" s="48"/>
      <c r="BA3" s="48"/>
      <c r="BB3" s="48"/>
      <c r="BC3" s="20"/>
      <c r="BD3" s="20"/>
      <c r="BE3" s="48"/>
      <c r="BF3" s="48"/>
      <c r="BG3" s="48"/>
      <c r="BH3" s="48"/>
      <c r="BI3" s="20"/>
      <c r="BJ3" s="20"/>
      <c r="BK3" s="48"/>
      <c r="BL3" s="48"/>
      <c r="BM3" s="48"/>
      <c r="BN3" s="48"/>
      <c r="BO3" s="20"/>
      <c r="BP3" s="20"/>
      <c r="BQ3" s="48"/>
      <c r="BR3" s="20"/>
      <c r="BS3" s="20"/>
      <c r="BT3" s="55"/>
      <c r="BU3" s="20"/>
      <c r="BV3" s="20"/>
      <c r="BW3" s="20"/>
      <c r="BX3" s="20"/>
      <c r="BY3" s="20"/>
    </row>
    <row r="4" spans="1:77" s="56" customFormat="1" ht="15.75" thickBot="1" x14ac:dyDescent="0.3">
      <c r="A4" s="80"/>
      <c r="B4" s="49"/>
      <c r="C4" s="20"/>
      <c r="D4" s="20"/>
      <c r="E4" s="20"/>
      <c r="F4" s="20"/>
      <c r="G4" s="20"/>
      <c r="H4" s="20"/>
      <c r="I4" s="20"/>
      <c r="J4" s="48"/>
      <c r="K4" s="48"/>
      <c r="L4" s="48"/>
      <c r="M4" s="20"/>
      <c r="N4" s="20"/>
      <c r="O4" s="48"/>
      <c r="P4" s="48"/>
      <c r="Q4" s="48"/>
      <c r="R4" s="48"/>
      <c r="S4" s="20"/>
      <c r="T4" s="20"/>
      <c r="U4" s="48"/>
      <c r="V4" s="48"/>
      <c r="W4" s="48"/>
      <c r="X4" s="48"/>
      <c r="Y4" s="48"/>
      <c r="Z4" s="20"/>
      <c r="AA4" s="48"/>
      <c r="AB4" s="48"/>
      <c r="AC4" s="48"/>
      <c r="AD4" s="48"/>
      <c r="AE4" s="20"/>
      <c r="AF4" s="20"/>
      <c r="AG4" s="48"/>
      <c r="AH4" s="48"/>
      <c r="AI4" s="48"/>
      <c r="AJ4" s="48"/>
      <c r="AK4" s="20"/>
      <c r="AL4" s="20"/>
      <c r="AM4" s="48"/>
      <c r="AN4" s="48"/>
      <c r="AO4" s="48"/>
      <c r="AP4" s="48"/>
      <c r="AQ4" s="20"/>
      <c r="AR4" s="20"/>
      <c r="AS4" s="48"/>
      <c r="AT4" s="48"/>
      <c r="AU4" s="48"/>
      <c r="AV4" s="48"/>
      <c r="AW4" s="20"/>
      <c r="AX4" s="20"/>
      <c r="AY4" s="48"/>
      <c r="AZ4" s="48"/>
      <c r="BA4" s="48"/>
      <c r="BB4" s="48"/>
      <c r="BC4" s="20"/>
      <c r="BD4" s="20"/>
      <c r="BE4" s="48"/>
      <c r="BF4" s="48"/>
      <c r="BG4" s="48"/>
      <c r="BH4" s="48"/>
      <c r="BI4" s="20"/>
      <c r="BJ4" s="20"/>
      <c r="BK4" s="48"/>
      <c r="BL4" s="48"/>
      <c r="BM4" s="48"/>
      <c r="BN4" s="48"/>
      <c r="BO4" s="20"/>
      <c r="BP4" s="20"/>
      <c r="BQ4" s="48"/>
      <c r="BR4" s="20"/>
      <c r="BS4" s="20"/>
      <c r="BT4" s="55"/>
      <c r="BU4" s="20"/>
      <c r="BV4" s="20"/>
      <c r="BW4" s="20"/>
      <c r="BX4" s="20"/>
      <c r="BY4" s="20"/>
    </row>
    <row r="5" spans="1:77" s="56" customFormat="1" ht="15.75" thickBot="1" x14ac:dyDescent="0.3">
      <c r="A5" s="80"/>
      <c r="B5" s="49"/>
      <c r="C5" s="20"/>
      <c r="D5" s="20"/>
      <c r="E5" s="20"/>
      <c r="F5" s="20"/>
      <c r="G5" s="20"/>
      <c r="H5" s="20"/>
      <c r="I5" s="20"/>
      <c r="J5" s="48"/>
      <c r="K5" s="48"/>
      <c r="L5" s="48"/>
      <c r="M5" s="20"/>
      <c r="N5" s="20"/>
      <c r="O5" s="48"/>
      <c r="P5" s="48"/>
      <c r="Q5" s="48"/>
      <c r="R5" s="48"/>
      <c r="S5" s="20"/>
      <c r="T5" s="20"/>
      <c r="U5" s="48"/>
      <c r="V5" s="48"/>
      <c r="W5" s="48"/>
      <c r="X5" s="48"/>
      <c r="Y5" s="48"/>
      <c r="Z5" s="20"/>
      <c r="AA5" s="48"/>
      <c r="AB5" s="48"/>
      <c r="AC5" s="48"/>
      <c r="AD5" s="48"/>
      <c r="AE5" s="20"/>
      <c r="AF5" s="20"/>
      <c r="AG5" s="48"/>
      <c r="AH5" s="48"/>
      <c r="AI5" s="48"/>
      <c r="AJ5" s="48"/>
      <c r="AK5" s="20"/>
      <c r="AL5" s="20"/>
      <c r="AM5" s="48"/>
      <c r="AN5" s="48"/>
      <c r="AO5" s="48"/>
      <c r="AP5" s="48"/>
      <c r="AQ5" s="20"/>
      <c r="AR5" s="20"/>
      <c r="AS5" s="48"/>
      <c r="AT5" s="48"/>
      <c r="AU5" s="48"/>
      <c r="AV5" s="48"/>
      <c r="AW5" s="20"/>
      <c r="AX5" s="20"/>
      <c r="AY5" s="48"/>
      <c r="AZ5" s="48"/>
      <c r="BA5" s="48"/>
      <c r="BB5" s="48"/>
      <c r="BC5" s="20"/>
      <c r="BD5" s="20"/>
      <c r="BE5" s="48"/>
      <c r="BF5" s="48"/>
      <c r="BG5" s="48"/>
      <c r="BH5" s="48"/>
      <c r="BI5" s="20"/>
      <c r="BJ5" s="20"/>
      <c r="BK5" s="48"/>
      <c r="BL5" s="48"/>
      <c r="BM5" s="48"/>
      <c r="BN5" s="48"/>
      <c r="BO5" s="20"/>
      <c r="BP5" s="20"/>
      <c r="BQ5" s="48"/>
      <c r="BR5" s="20"/>
      <c r="BS5" s="20"/>
      <c r="BT5" s="55"/>
      <c r="BU5" s="20"/>
      <c r="BV5" s="20"/>
      <c r="BW5" s="20"/>
      <c r="BX5" s="20"/>
      <c r="BY5" s="20"/>
    </row>
    <row r="6" spans="1:77" s="56" customFormat="1" ht="15.75" thickBot="1" x14ac:dyDescent="0.3">
      <c r="A6" s="80"/>
      <c r="B6" s="49"/>
      <c r="C6" s="20"/>
      <c r="D6" s="20"/>
      <c r="E6" s="20"/>
      <c r="F6" s="20"/>
      <c r="G6" s="20"/>
      <c r="H6" s="20"/>
      <c r="I6" s="20"/>
      <c r="J6" s="48"/>
      <c r="K6" s="48"/>
      <c r="L6" s="48"/>
      <c r="M6" s="20"/>
      <c r="N6" s="20"/>
      <c r="O6" s="48"/>
      <c r="P6" s="48"/>
      <c r="Q6" s="48"/>
      <c r="R6" s="48"/>
      <c r="S6" s="20"/>
      <c r="T6" s="20"/>
      <c r="U6" s="48"/>
      <c r="V6" s="48"/>
      <c r="W6" s="48"/>
      <c r="X6" s="48"/>
      <c r="Y6" s="48"/>
      <c r="Z6" s="20"/>
      <c r="AA6" s="48"/>
      <c r="AB6" s="48"/>
      <c r="AC6" s="48"/>
      <c r="AD6" s="48"/>
      <c r="AE6" s="20"/>
      <c r="AF6" s="20"/>
      <c r="AG6" s="48"/>
      <c r="AH6" s="48"/>
      <c r="AI6" s="48"/>
      <c r="AJ6" s="48"/>
      <c r="AK6" s="20"/>
      <c r="AL6" s="20"/>
      <c r="AM6" s="48"/>
      <c r="AN6" s="48"/>
      <c r="AO6" s="48"/>
      <c r="AP6" s="48"/>
      <c r="AQ6" s="20"/>
      <c r="AR6" s="20"/>
      <c r="AS6" s="48"/>
      <c r="AT6" s="48"/>
      <c r="AU6" s="48"/>
      <c r="AV6" s="48"/>
      <c r="AW6" s="20"/>
      <c r="AX6" s="20"/>
      <c r="AY6" s="48"/>
      <c r="AZ6" s="48"/>
      <c r="BA6" s="48"/>
      <c r="BB6" s="48"/>
      <c r="BC6" s="20"/>
      <c r="BD6" s="20"/>
      <c r="BE6" s="48"/>
      <c r="BF6" s="48"/>
      <c r="BG6" s="48"/>
      <c r="BH6" s="48"/>
      <c r="BI6" s="20"/>
      <c r="BJ6" s="20"/>
      <c r="BK6" s="48"/>
      <c r="BL6" s="48"/>
      <c r="BM6" s="48"/>
      <c r="BN6" s="48"/>
      <c r="BO6" s="20"/>
      <c r="BP6" s="20"/>
      <c r="BQ6" s="48"/>
      <c r="BR6" s="20"/>
      <c r="BS6" s="20"/>
      <c r="BT6" s="55"/>
      <c r="BU6" s="20"/>
      <c r="BV6" s="20"/>
      <c r="BW6" s="20"/>
      <c r="BX6" s="20"/>
      <c r="BY6" s="20"/>
    </row>
    <row r="7" spans="1:77" s="56" customFormat="1" ht="15.75" thickBot="1" x14ac:dyDescent="0.3">
      <c r="A7" s="80"/>
      <c r="B7" s="49"/>
      <c r="C7" s="20"/>
      <c r="D7" s="20"/>
      <c r="E7" s="20"/>
      <c r="F7" s="20"/>
      <c r="G7" s="20"/>
      <c r="H7" s="20"/>
      <c r="I7" s="20"/>
      <c r="J7" s="48"/>
      <c r="K7" s="48"/>
      <c r="L7" s="48"/>
      <c r="M7" s="20"/>
      <c r="N7" s="20"/>
      <c r="O7" s="48"/>
      <c r="P7" s="48"/>
      <c r="Q7" s="48"/>
      <c r="R7" s="48"/>
      <c r="S7" s="20"/>
      <c r="T7" s="20"/>
      <c r="U7" s="48"/>
      <c r="V7" s="48"/>
      <c r="W7" s="48"/>
      <c r="X7" s="48"/>
      <c r="Y7" s="48"/>
      <c r="Z7" s="20"/>
      <c r="AA7" s="48"/>
      <c r="AB7" s="48"/>
      <c r="AC7" s="48"/>
      <c r="AD7" s="48"/>
      <c r="AE7" s="20"/>
      <c r="AF7" s="20"/>
      <c r="AG7" s="48"/>
      <c r="AH7" s="48"/>
      <c r="AI7" s="48"/>
      <c r="AJ7" s="48"/>
      <c r="AK7" s="20"/>
      <c r="AL7" s="20"/>
      <c r="AM7" s="48"/>
      <c r="AN7" s="48"/>
      <c r="AO7" s="48"/>
      <c r="AP7" s="48"/>
      <c r="AQ7" s="20"/>
      <c r="AR7" s="20"/>
      <c r="AS7" s="48"/>
      <c r="AT7" s="48"/>
      <c r="AU7" s="48"/>
      <c r="AV7" s="48"/>
      <c r="AW7" s="20"/>
      <c r="AX7" s="20"/>
      <c r="AY7" s="48"/>
      <c r="AZ7" s="48"/>
      <c r="BA7" s="48"/>
      <c r="BB7" s="48"/>
      <c r="BC7" s="20"/>
      <c r="BD7" s="20"/>
      <c r="BE7" s="48"/>
      <c r="BF7" s="48"/>
      <c r="BG7" s="48"/>
      <c r="BH7" s="48"/>
      <c r="BI7" s="20"/>
      <c r="BJ7" s="20"/>
      <c r="BK7" s="48"/>
      <c r="BL7" s="48"/>
      <c r="BM7" s="48"/>
      <c r="BN7" s="48"/>
      <c r="BO7" s="20"/>
      <c r="BP7" s="20"/>
      <c r="BQ7" s="48"/>
      <c r="BR7" s="20"/>
      <c r="BS7" s="20"/>
      <c r="BT7" s="55"/>
      <c r="BU7" s="20"/>
      <c r="BV7" s="20"/>
      <c r="BW7" s="20"/>
      <c r="BX7" s="20"/>
      <c r="BY7" s="20"/>
    </row>
    <row r="8" spans="1:77" s="56" customFormat="1" ht="15.75" thickBot="1" x14ac:dyDescent="0.3">
      <c r="A8" s="80"/>
      <c r="B8" s="49"/>
      <c r="C8" s="20"/>
      <c r="D8" s="20"/>
      <c r="E8" s="20"/>
      <c r="F8" s="20"/>
      <c r="G8" s="20"/>
      <c r="H8" s="20"/>
      <c r="I8" s="20"/>
      <c r="J8" s="48"/>
      <c r="K8" s="48"/>
      <c r="L8" s="48"/>
      <c r="M8" s="20"/>
      <c r="N8" s="20"/>
      <c r="O8" s="48"/>
      <c r="P8" s="48"/>
      <c r="Q8" s="48"/>
      <c r="R8" s="48"/>
      <c r="S8" s="20"/>
      <c r="T8" s="20"/>
      <c r="U8" s="48"/>
      <c r="V8" s="48"/>
      <c r="W8" s="48"/>
      <c r="X8" s="48"/>
      <c r="Y8" s="48"/>
      <c r="Z8" s="20"/>
      <c r="AA8" s="48"/>
      <c r="AB8" s="48"/>
      <c r="AC8" s="48"/>
      <c r="AD8" s="48"/>
      <c r="AE8" s="20"/>
      <c r="AF8" s="20"/>
      <c r="AG8" s="48"/>
      <c r="AH8" s="48"/>
      <c r="AI8" s="48"/>
      <c r="AJ8" s="48"/>
      <c r="AK8" s="20"/>
      <c r="AL8" s="20"/>
      <c r="AM8" s="48"/>
      <c r="AN8" s="48"/>
      <c r="AO8" s="48"/>
      <c r="AP8" s="48"/>
      <c r="AQ8" s="20"/>
      <c r="AR8" s="20"/>
      <c r="AS8" s="48"/>
      <c r="AT8" s="48"/>
      <c r="AU8" s="48"/>
      <c r="AV8" s="48"/>
      <c r="AW8" s="20"/>
      <c r="AX8" s="20"/>
      <c r="AY8" s="48"/>
      <c r="AZ8" s="48"/>
      <c r="BA8" s="48"/>
      <c r="BB8" s="48"/>
      <c r="BC8" s="20"/>
      <c r="BD8" s="20"/>
      <c r="BE8" s="48"/>
      <c r="BF8" s="48"/>
      <c r="BG8" s="48"/>
      <c r="BH8" s="48"/>
      <c r="BI8" s="20"/>
      <c r="BJ8" s="20"/>
      <c r="BK8" s="48"/>
      <c r="BL8" s="48"/>
      <c r="BM8" s="48"/>
      <c r="BN8" s="48"/>
      <c r="BO8" s="20"/>
      <c r="BP8" s="20"/>
      <c r="BQ8" s="48"/>
      <c r="BR8" s="20"/>
      <c r="BS8" s="20"/>
      <c r="BT8" s="55"/>
      <c r="BU8" s="20"/>
      <c r="BV8" s="20"/>
      <c r="BW8" s="20"/>
      <c r="BX8" s="20"/>
      <c r="BY8" s="20"/>
    </row>
    <row r="9" spans="1:77" s="56" customFormat="1" ht="15.75" thickBot="1" x14ac:dyDescent="0.3">
      <c r="A9" s="80"/>
      <c r="B9" s="49"/>
      <c r="C9" s="20"/>
      <c r="D9" s="20"/>
      <c r="E9" s="20"/>
      <c r="F9" s="20"/>
      <c r="G9" s="20"/>
      <c r="H9" s="20"/>
      <c r="I9" s="20"/>
      <c r="J9" s="48"/>
      <c r="K9" s="48"/>
      <c r="L9" s="48"/>
      <c r="M9" s="20"/>
      <c r="N9" s="20"/>
      <c r="O9" s="48"/>
      <c r="P9" s="48"/>
      <c r="Q9" s="48"/>
      <c r="R9" s="48"/>
      <c r="S9" s="20"/>
      <c r="T9" s="20"/>
      <c r="U9" s="48"/>
      <c r="V9" s="48"/>
      <c r="W9" s="48"/>
      <c r="X9" s="48"/>
      <c r="Y9" s="48"/>
      <c r="Z9" s="20"/>
      <c r="AA9" s="48"/>
      <c r="AB9" s="48"/>
      <c r="AC9" s="48"/>
      <c r="AD9" s="48"/>
      <c r="AE9" s="20"/>
      <c r="AF9" s="20"/>
      <c r="AG9" s="48"/>
      <c r="AH9" s="48"/>
      <c r="AI9" s="48"/>
      <c r="AJ9" s="48"/>
      <c r="AK9" s="20"/>
      <c r="AL9" s="20"/>
      <c r="AM9" s="48"/>
      <c r="AN9" s="48"/>
      <c r="AO9" s="48"/>
      <c r="AP9" s="48"/>
      <c r="AQ9" s="20"/>
      <c r="AR9" s="20"/>
      <c r="AS9" s="48"/>
      <c r="AT9" s="48"/>
      <c r="AU9" s="48"/>
      <c r="AV9" s="48"/>
      <c r="AW9" s="20"/>
      <c r="AX9" s="20"/>
      <c r="AY9" s="48"/>
      <c r="AZ9" s="48"/>
      <c r="BA9" s="48"/>
      <c r="BB9" s="48"/>
      <c r="BC9" s="20"/>
      <c r="BD9" s="20"/>
      <c r="BE9" s="48"/>
      <c r="BF9" s="48"/>
      <c r="BG9" s="48"/>
      <c r="BH9" s="48"/>
      <c r="BI9" s="20"/>
      <c r="BJ9" s="20"/>
      <c r="BK9" s="48"/>
      <c r="BL9" s="48"/>
      <c r="BM9" s="48"/>
      <c r="BN9" s="48"/>
      <c r="BO9" s="20"/>
      <c r="BP9" s="20"/>
      <c r="BQ9" s="48"/>
      <c r="BR9" s="20"/>
      <c r="BS9" s="20"/>
      <c r="BT9" s="55"/>
      <c r="BU9" s="20"/>
      <c r="BV9" s="20"/>
      <c r="BW9" s="20"/>
      <c r="BX9" s="20"/>
      <c r="BY9" s="20"/>
    </row>
    <row r="10" spans="1:77" s="56" customFormat="1" ht="15.75" thickBot="1" x14ac:dyDescent="0.3">
      <c r="A10" s="80"/>
      <c r="B10" s="49"/>
      <c r="C10" s="20"/>
      <c r="D10" s="20"/>
      <c r="E10" s="20"/>
      <c r="F10" s="20"/>
      <c r="G10" s="20"/>
      <c r="H10" s="20"/>
      <c r="I10" s="20"/>
      <c r="J10" s="48"/>
      <c r="K10" s="48"/>
      <c r="L10" s="48"/>
      <c r="M10" s="20"/>
      <c r="N10" s="20"/>
      <c r="O10" s="48"/>
      <c r="P10" s="48"/>
      <c r="Q10" s="48"/>
      <c r="R10" s="48"/>
      <c r="S10" s="20"/>
      <c r="T10" s="20"/>
      <c r="U10" s="48"/>
      <c r="V10" s="48"/>
      <c r="W10" s="48"/>
      <c r="X10" s="48"/>
      <c r="Y10" s="48"/>
      <c r="Z10" s="20"/>
      <c r="AA10" s="48"/>
      <c r="AB10" s="48"/>
      <c r="AC10" s="48"/>
      <c r="AD10" s="48"/>
      <c r="AE10" s="20"/>
      <c r="AF10" s="20"/>
      <c r="AG10" s="48"/>
      <c r="AH10" s="48"/>
      <c r="AI10" s="48"/>
      <c r="AJ10" s="48"/>
      <c r="AK10" s="20"/>
      <c r="AL10" s="20"/>
      <c r="AM10" s="48"/>
      <c r="AN10" s="48"/>
      <c r="AO10" s="48"/>
      <c r="AP10" s="48"/>
      <c r="AQ10" s="20"/>
      <c r="AR10" s="20"/>
      <c r="AS10" s="48"/>
      <c r="AT10" s="48"/>
      <c r="AU10" s="48"/>
      <c r="AV10" s="48"/>
      <c r="AW10" s="20"/>
      <c r="AX10" s="20"/>
      <c r="AY10" s="48"/>
      <c r="AZ10" s="48"/>
      <c r="BA10" s="48"/>
      <c r="BB10" s="48"/>
      <c r="BC10" s="20"/>
      <c r="BD10" s="20"/>
      <c r="BE10" s="48"/>
      <c r="BF10" s="48"/>
      <c r="BG10" s="48"/>
      <c r="BH10" s="48"/>
      <c r="BI10" s="20"/>
      <c r="BJ10" s="20"/>
      <c r="BK10" s="48"/>
      <c r="BL10" s="48"/>
      <c r="BM10" s="48"/>
      <c r="BN10" s="48"/>
      <c r="BO10" s="20"/>
      <c r="BP10" s="20"/>
      <c r="BQ10" s="48"/>
      <c r="BR10" s="20"/>
      <c r="BS10" s="20"/>
      <c r="BT10" s="55"/>
      <c r="BU10" s="20"/>
      <c r="BV10" s="20"/>
      <c r="BW10" s="20"/>
      <c r="BX10" s="20"/>
      <c r="BY10" s="20"/>
    </row>
    <row r="11" spans="1:77" s="56" customFormat="1" ht="15.75" thickBot="1" x14ac:dyDescent="0.3">
      <c r="A11" s="80"/>
      <c r="B11" s="49"/>
      <c r="C11" s="20"/>
      <c r="D11" s="20"/>
      <c r="E11" s="20"/>
      <c r="F11" s="20"/>
      <c r="G11" s="20"/>
      <c r="H11" s="20"/>
      <c r="I11" s="20"/>
      <c r="J11" s="48"/>
      <c r="K11" s="48"/>
      <c r="L11" s="48"/>
      <c r="M11" s="20"/>
      <c r="N11" s="20"/>
      <c r="O11" s="48"/>
      <c r="P11" s="48"/>
      <c r="Q11" s="48"/>
      <c r="R11" s="48"/>
      <c r="S11" s="20"/>
      <c r="T11" s="20"/>
      <c r="U11" s="48"/>
      <c r="V11" s="48"/>
      <c r="W11" s="48"/>
      <c r="X11" s="48"/>
      <c r="Y11" s="48"/>
      <c r="Z11" s="20"/>
      <c r="AA11" s="48"/>
      <c r="AB11" s="48"/>
      <c r="AC11" s="48"/>
      <c r="AD11" s="48"/>
      <c r="AE11" s="20"/>
      <c r="AF11" s="20"/>
      <c r="AG11" s="48"/>
      <c r="AH11" s="48"/>
      <c r="AI11" s="48"/>
      <c r="AJ11" s="48"/>
      <c r="AK11" s="20"/>
      <c r="AL11" s="20"/>
      <c r="AM11" s="48"/>
      <c r="AN11" s="48"/>
      <c r="AO11" s="48"/>
      <c r="AP11" s="48"/>
      <c r="AQ11" s="20"/>
      <c r="AR11" s="20"/>
      <c r="AS11" s="48"/>
      <c r="AT11" s="48"/>
      <c r="AU11" s="48"/>
      <c r="AV11" s="48"/>
      <c r="AW11" s="20"/>
      <c r="AX11" s="20"/>
      <c r="AY11" s="48"/>
      <c r="AZ11" s="48"/>
      <c r="BA11" s="48"/>
      <c r="BB11" s="48"/>
      <c r="BC11" s="20"/>
      <c r="BD11" s="20"/>
      <c r="BE11" s="48"/>
      <c r="BF11" s="48"/>
      <c r="BG11" s="48"/>
      <c r="BH11" s="48"/>
      <c r="BI11" s="20"/>
      <c r="BJ11" s="20"/>
      <c r="BK11" s="48"/>
      <c r="BL11" s="48"/>
      <c r="BM11" s="48"/>
      <c r="BN11" s="48"/>
      <c r="BO11" s="20"/>
      <c r="BP11" s="20"/>
      <c r="BQ11" s="48"/>
      <c r="BR11" s="20"/>
      <c r="BS11" s="20"/>
      <c r="BT11" s="55"/>
      <c r="BU11" s="20"/>
      <c r="BV11" s="20"/>
      <c r="BW11" s="20"/>
      <c r="BX11" s="20"/>
      <c r="BY11" s="20"/>
    </row>
    <row r="12" spans="1:77" s="40" customFormat="1" ht="15.75" thickBot="1" x14ac:dyDescent="0.3">
      <c r="A12" s="75"/>
      <c r="B12" s="2"/>
      <c r="C12" s="1"/>
      <c r="D12" s="1"/>
      <c r="E12" s="1"/>
      <c r="F12" s="25"/>
      <c r="G12" s="1"/>
      <c r="H12" s="1"/>
      <c r="I12" s="1"/>
      <c r="J12" s="3"/>
      <c r="K12" s="3"/>
      <c r="L12" s="3"/>
      <c r="M12" s="1"/>
      <c r="N12" s="1"/>
      <c r="O12" s="3"/>
      <c r="P12" s="3"/>
      <c r="Q12" s="3"/>
      <c r="R12" s="3"/>
      <c r="S12" s="1"/>
      <c r="T12" s="1"/>
      <c r="U12" s="3"/>
      <c r="V12" s="3"/>
      <c r="W12" s="1"/>
      <c r="X12" s="1"/>
      <c r="Y12" s="1"/>
      <c r="Z12" s="1"/>
      <c r="AA12" s="1"/>
      <c r="AB12" s="3"/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3"/>
      <c r="AO12" s="1"/>
      <c r="AP12" s="1"/>
      <c r="AQ12" s="1"/>
      <c r="AR12" s="1"/>
      <c r="AS12" s="1"/>
      <c r="AT12" s="3"/>
      <c r="AU12" s="1"/>
      <c r="AV12" s="1"/>
      <c r="AW12" s="1"/>
      <c r="AX12" s="1"/>
      <c r="AY12" s="1"/>
      <c r="AZ12" s="3"/>
      <c r="BA12" s="1"/>
      <c r="BB12" s="1"/>
      <c r="BC12" s="1"/>
      <c r="BD12" s="1"/>
      <c r="BE12" s="1"/>
      <c r="BF12" s="3"/>
      <c r="BG12" s="1"/>
      <c r="BH12" s="1"/>
      <c r="BI12" s="1"/>
      <c r="BJ12" s="1"/>
      <c r="BK12" s="1"/>
      <c r="BL12" s="3"/>
      <c r="BM12" s="1"/>
      <c r="BN12" s="1"/>
      <c r="BO12" s="1"/>
      <c r="BP12" s="1"/>
      <c r="BQ12" s="1"/>
      <c r="BR12" s="19"/>
      <c r="BS12" s="1"/>
      <c r="BT12" s="37"/>
      <c r="BU12" s="1"/>
      <c r="BV12" s="1"/>
      <c r="BW12" s="1"/>
      <c r="BX12" s="1"/>
      <c r="BY12" s="39"/>
    </row>
    <row r="13" spans="1:77" s="40" customFormat="1" ht="15.75" thickBot="1" x14ac:dyDescent="0.3">
      <c r="A13" s="48"/>
      <c r="B13" s="49"/>
      <c r="C13" s="20"/>
      <c r="D13" s="20"/>
      <c r="E13" s="20"/>
      <c r="F13" s="20"/>
      <c r="G13" s="20"/>
      <c r="H13" s="20"/>
      <c r="I13" s="20"/>
      <c r="J13" s="48"/>
      <c r="K13" s="48"/>
      <c r="L13" s="48"/>
      <c r="M13" s="20"/>
      <c r="N13" s="20"/>
      <c r="O13" s="48"/>
      <c r="P13" s="48"/>
      <c r="Q13" s="20"/>
      <c r="R13" s="20"/>
      <c r="S13" s="20"/>
      <c r="T13" s="20"/>
      <c r="U13" s="20"/>
      <c r="V13" s="48"/>
      <c r="W13" s="20"/>
      <c r="X13" s="20"/>
      <c r="Y13" s="20"/>
      <c r="Z13" s="20"/>
      <c r="AA13" s="20"/>
      <c r="AB13" s="48"/>
      <c r="AC13" s="20"/>
      <c r="AD13" s="20"/>
      <c r="AE13" s="20"/>
      <c r="AF13" s="20"/>
      <c r="AG13" s="20"/>
      <c r="AH13" s="48"/>
      <c r="AI13" s="20"/>
      <c r="AJ13" s="20"/>
      <c r="AK13" s="20"/>
      <c r="AL13" s="20"/>
      <c r="AM13" s="20"/>
      <c r="AN13" s="48"/>
      <c r="AO13" s="20"/>
      <c r="AP13" s="20"/>
      <c r="AQ13" s="20"/>
      <c r="AR13" s="20"/>
      <c r="AS13" s="20"/>
      <c r="AT13" s="48"/>
      <c r="AU13" s="20"/>
      <c r="AV13" s="20"/>
      <c r="AW13" s="20"/>
      <c r="AX13" s="20"/>
      <c r="AY13" s="20"/>
      <c r="AZ13" s="48"/>
      <c r="BA13" s="20"/>
      <c r="BB13" s="20"/>
      <c r="BC13" s="20"/>
      <c r="BD13" s="20"/>
      <c r="BE13" s="20"/>
      <c r="BF13" s="48"/>
      <c r="BG13" s="20"/>
      <c r="BH13" s="20"/>
      <c r="BI13" s="20"/>
      <c r="BJ13" s="20"/>
      <c r="BK13" s="20"/>
      <c r="BL13" s="48"/>
      <c r="BM13" s="20"/>
      <c r="BN13" s="20"/>
      <c r="BO13" s="20"/>
      <c r="BP13" s="20"/>
      <c r="BQ13" s="20"/>
      <c r="BR13" s="20"/>
      <c r="BS13" s="20"/>
      <c r="BT13" s="50"/>
      <c r="BU13" s="20"/>
      <c r="BV13" s="20"/>
      <c r="BW13" s="20"/>
      <c r="BX13" s="20"/>
      <c r="BY13" s="39"/>
    </row>
    <row r="14" spans="1:77" hidden="1" x14ac:dyDescent="0.25">
      <c r="H14" s="4" t="str">
        <f t="shared" ref="H14:L23" si="1">J2</f>
        <v>AG</v>
      </c>
      <c r="I14" s="4">
        <f t="shared" si="1"/>
        <v>1500</v>
      </c>
      <c r="J14" s="4">
        <f t="shared" si="1"/>
        <v>8</v>
      </c>
      <c r="K14" s="4" t="str">
        <f t="shared" si="1"/>
        <v>Y</v>
      </c>
      <c r="L14" s="4" t="str">
        <f t="shared" si="1"/>
        <v>3L</v>
      </c>
      <c r="O14" s="28" t="str">
        <f>J2</f>
        <v>AG</v>
      </c>
      <c r="P14" s="4" t="str">
        <f t="shared" ref="P14:R23" si="2">N2</f>
        <v>3L</v>
      </c>
      <c r="Q14" s="4">
        <f t="shared" si="2"/>
        <v>3.5</v>
      </c>
      <c r="R14" s="4" t="str">
        <f t="shared" si="2"/>
        <v>AG</v>
      </c>
      <c r="S14" s="4" t="str">
        <f t="shared" ref="S14:U23" si="3">T2</f>
        <v>3L</v>
      </c>
      <c r="T14" s="4">
        <f t="shared" si="3"/>
        <v>3.5</v>
      </c>
      <c r="U14" s="4" t="str">
        <f t="shared" si="3"/>
        <v>AG</v>
      </c>
      <c r="V14" s="4" t="str">
        <f t="shared" ref="V14:X23" si="4">Z2</f>
        <v>3L</v>
      </c>
      <c r="W14" s="4">
        <f t="shared" si="4"/>
        <v>3.5</v>
      </c>
      <c r="X14" s="4" t="str">
        <f t="shared" si="4"/>
        <v>AG</v>
      </c>
      <c r="Y14" s="4" t="str">
        <f t="shared" ref="Y14:AA23" si="5">AF2</f>
        <v>3L</v>
      </c>
      <c r="Z14" s="4">
        <f t="shared" si="5"/>
        <v>3.5</v>
      </c>
      <c r="AA14" s="4">
        <f t="shared" si="5"/>
        <v>0</v>
      </c>
      <c r="AB14" s="4">
        <f t="shared" ref="AB14:AD23" si="6">AL2</f>
        <v>0</v>
      </c>
      <c r="AC14" s="4">
        <f t="shared" si="6"/>
        <v>0</v>
      </c>
      <c r="AD14" s="4">
        <f t="shared" si="6"/>
        <v>0</v>
      </c>
      <c r="AE14" s="4">
        <f t="shared" ref="AE14:AG23" si="7">AR2</f>
        <v>0</v>
      </c>
      <c r="AF14" s="4">
        <f t="shared" si="7"/>
        <v>0</v>
      </c>
      <c r="AG14" s="4">
        <f t="shared" si="7"/>
        <v>0</v>
      </c>
      <c r="AH14" s="4">
        <f t="shared" ref="AH14:AJ23" si="8">AX2</f>
        <v>0</v>
      </c>
      <c r="AI14" s="4">
        <f t="shared" si="8"/>
        <v>0</v>
      </c>
      <c r="AJ14" s="4">
        <f t="shared" si="8"/>
        <v>0</v>
      </c>
      <c r="AK14" s="4">
        <f t="shared" ref="AK14:AM23" si="9">BD2</f>
        <v>0</v>
      </c>
      <c r="AL14" s="4">
        <f t="shared" si="9"/>
        <v>0</v>
      </c>
      <c r="AM14" s="4">
        <f t="shared" si="9"/>
        <v>0</v>
      </c>
      <c r="AN14" s="4">
        <f t="shared" ref="AN14:AP23" si="10">BJ2</f>
        <v>0</v>
      </c>
      <c r="AO14" s="4">
        <f t="shared" si="10"/>
        <v>0</v>
      </c>
      <c r="AP14" s="4">
        <f t="shared" si="10"/>
        <v>0</v>
      </c>
      <c r="AQ14" s="4">
        <f t="shared" ref="AQ14:AR23" si="11">BP2</f>
        <v>0</v>
      </c>
      <c r="AR14" s="4">
        <f t="shared" si="11"/>
        <v>0</v>
      </c>
      <c r="AT14" s="28">
        <v>1</v>
      </c>
      <c r="AU14" s="29">
        <f>IF($P$14="3L",$Q$14,IF($S$14="3L",$T$14,IF($V$14="3L",$W$14,IF($Y$14="3L",$Z$14,IF($AB$14="3L",$AC$14,IF($AE$14="3L",$AF$14,IF($AH$14="3L",$AI$14,IF($AK$14="3L",$AL$14,IF($AN$14="3L",$AO$14,IF($AQ$14="3L",$AR$14,""))))))))))</f>
        <v>3.5</v>
      </c>
      <c r="AV14" s="29" t="str">
        <f>IF($P$14="4L",$Q$14,IF($S$14="4L",$T$14,IF($V$14="4L",$W$14,IF($Y$14="4L",$Z$14,IF($AB$14="4L",$AC$14,IF($AE$14="4L",$AF$14,IF($AH$14="4L",$AI$14,IF($AK$14="4L",$AL$14,IF($AN$14="4L",$AO$14,IF($AQ$14="4L",$AR$14,""))))))))))</f>
        <v/>
      </c>
      <c r="AW14" s="29" t="str">
        <f>IF($P$14="5L",$Q$14,IF($S$14="5L",$T$14,IF($V$14="5L",$W$14,IF($Y$14="5L",$Z$14,IF($AB$14="5L",$AC$14,IF($AE$14="5L",$AF$14,IF($AH$14="5L",$AI$14,IF($AK$14="5L",$AL$14,IF($AN$14="5L",$AO$14,IF($AQ$14="5L",$AR$14,""))))))))))</f>
        <v/>
      </c>
      <c r="AX14" s="29" t="str">
        <f>IF($P$14="6L",$Q$14,IF($S$14="6L",$T$14,IF($V$14="6L",$W$14,IF($Y$14="6L",$Z$14,IF($AB$14="6L",$AC$14,IF($AE$14="6L",$AF$14,IF($AH$14="6L",$AI$14,IF($AK$14="6L",$AL$14,IF($AN$14="6L",$AO$14,IF($AQ$14="6L",$AR$14,""))))))))))</f>
        <v/>
      </c>
      <c r="AY14" s="29" t="str">
        <f>IF($P$14="7L",$Q$14,IF($S$14="7L",$T$14,IF($V$14="7L",$W$14,IF($Y$14="7L",$Z$14,IF($AB$14="7L",$AC$14,IF($AE$14="7L",$AF$14,IF($AH$14="7L",$AI$14,IF($AK$14="7L",$AL$14,IF($AN$14="7L",$AO$14,IF($AQ$14="7L",$AR$14,""))))))))))</f>
        <v/>
      </c>
      <c r="AZ14" s="29" t="str">
        <f t="shared" ref="AZ14:AZ23" si="12">IF($O$14="LOFT",$Q$14,IF($R$14="LOFT",$T$14,IF($U$14="LOFT",$W$14,IF($X$14="LOFT",$Z$14,IF($AA$14="LOFT",$AC$14,IF($AD$14="LOFT",$AF$14,IF($AG$14="LOFT",$AI$14,IF($AJ$14="LOFT",$AL$14,IF($AM$14="LOFT",$AO$14,IF($AP$14="LOFT",$AR$14,""))))))))))</f>
        <v/>
      </c>
      <c r="BA14" s="29" t="str">
        <f t="shared" ref="BA14:BA23" si="13">IF($O$14="UT",$Q$14,IF($R$14="UT",$T$14,IF($U$14="UT",$W$14,IF($X$14="UT",$Z$14,IF($AA$14="UT",$AC$14,IF($AD$14="UT",$AF$14,IF($AG$14="UT",$AI$14,IF($AJ$14="UT",$AL$14,IF($AM$14="UT",$AO$14,IF($AP$14="UT",$AR$14,""))))))))))</f>
        <v/>
      </c>
      <c r="BB14" s="29" t="str">
        <f t="shared" ref="BB14:BB23" si="14">IF($O$14="HT",$Q$14,IF($R$14="HT",$T$14,IF($U$14="HT",$W$14,IF($X$14="HT",$Z$14,IF($AA$14="HT",$AC$14,IF($AD$14="HT",$AF$14,IF($AG$14="HT",$AI$14,IF($AJ$14="HT",$AL$14,IF($AM$14="HT",$AO$14,IF($AP$14="HT",$AR$14,""))))))))))</f>
        <v/>
      </c>
      <c r="BC14" s="29" t="str">
        <f t="shared" ref="BC14:BC23" si="15">IF($O$14="PURE",$Q$14,IF($R$14="PURE",$T$14,IF($U$14="PURE",$W$14,IF($X$14="PURE",$Z$14,IF($AA$14="PURE",$AC$14,IF($AD$14="PURE",$AF$14,IF($AG$14="PURE",$AI$14,IF($AJ$14="PURE",$AL$14,IF($AM$14="PURE",$AO$14,IF($AP$14="PURE",$AR$14,""))))))))))</f>
        <v/>
      </c>
      <c r="BD14" s="29" t="str">
        <f>IF($P$14="FUM",$Q$14,IF($S$14="FUM",$T$14,IF($V$14="FUM",$W$14,IF($Y$14="FUM",$Z$14,IF($AB$14="FUM",$AC$14,IF($AE$14="FUM",$AF$14,IF($AH$14="FUM",$AI$14,IF($AK$14="FUM",$AL$14,IF($AN$14="FUM",$AO$14,IF($AQ$14="FUM",$AR$14,""))))))))))</f>
        <v/>
      </c>
    </row>
    <row r="15" spans="1:77" hidden="1" x14ac:dyDescent="0.25">
      <c r="H15" s="4">
        <f t="shared" si="1"/>
        <v>0</v>
      </c>
      <c r="I15" s="4">
        <f t="shared" si="1"/>
        <v>0</v>
      </c>
      <c r="J15" s="4">
        <f t="shared" si="1"/>
        <v>0</v>
      </c>
      <c r="K15" s="4">
        <f t="shared" si="1"/>
        <v>0</v>
      </c>
      <c r="L15" s="4">
        <f t="shared" si="1"/>
        <v>0</v>
      </c>
      <c r="O15" s="28">
        <f t="shared" ref="O15:O23" si="16">J3</f>
        <v>0</v>
      </c>
      <c r="P15" s="4">
        <f t="shared" si="2"/>
        <v>0</v>
      </c>
      <c r="Q15" s="4">
        <f t="shared" si="2"/>
        <v>0</v>
      </c>
      <c r="R15" s="4">
        <f t="shared" si="2"/>
        <v>0</v>
      </c>
      <c r="S15" s="4">
        <f t="shared" si="3"/>
        <v>0</v>
      </c>
      <c r="T15" s="4">
        <f t="shared" si="3"/>
        <v>0</v>
      </c>
      <c r="U15" s="4">
        <f t="shared" si="3"/>
        <v>0</v>
      </c>
      <c r="V15" s="4">
        <f t="shared" si="4"/>
        <v>0</v>
      </c>
      <c r="W15" s="4">
        <f t="shared" si="4"/>
        <v>0</v>
      </c>
      <c r="X15" s="4">
        <f t="shared" si="4"/>
        <v>0</v>
      </c>
      <c r="Y15" s="4">
        <f t="shared" si="5"/>
        <v>0</v>
      </c>
      <c r="Z15" s="4">
        <f t="shared" si="5"/>
        <v>0</v>
      </c>
      <c r="AA15" s="4">
        <f t="shared" si="5"/>
        <v>0</v>
      </c>
      <c r="AB15" s="4">
        <f t="shared" si="6"/>
        <v>0</v>
      </c>
      <c r="AC15" s="4">
        <f t="shared" si="6"/>
        <v>0</v>
      </c>
      <c r="AD15" s="4">
        <f t="shared" si="6"/>
        <v>0</v>
      </c>
      <c r="AE15" s="4">
        <f t="shared" si="7"/>
        <v>0</v>
      </c>
      <c r="AF15" s="4">
        <f t="shared" si="7"/>
        <v>0</v>
      </c>
      <c r="AG15" s="4">
        <f t="shared" si="7"/>
        <v>0</v>
      </c>
      <c r="AH15" s="4">
        <f t="shared" si="8"/>
        <v>0</v>
      </c>
      <c r="AI15" s="4">
        <f t="shared" si="8"/>
        <v>0</v>
      </c>
      <c r="AJ15" s="4">
        <f t="shared" si="8"/>
        <v>0</v>
      </c>
      <c r="AK15" s="4">
        <f t="shared" si="9"/>
        <v>0</v>
      </c>
      <c r="AL15" s="4">
        <f t="shared" si="9"/>
        <v>0</v>
      </c>
      <c r="AM15" s="4">
        <f t="shared" si="9"/>
        <v>0</v>
      </c>
      <c r="AN15" s="4">
        <f t="shared" si="10"/>
        <v>0</v>
      </c>
      <c r="AO15" s="4">
        <f t="shared" si="10"/>
        <v>0</v>
      </c>
      <c r="AP15" s="4">
        <f t="shared" si="10"/>
        <v>0</v>
      </c>
      <c r="AQ15" s="4">
        <f t="shared" si="11"/>
        <v>0</v>
      </c>
      <c r="AR15" s="4">
        <f t="shared" si="11"/>
        <v>0</v>
      </c>
      <c r="AT15" s="28">
        <v>2</v>
      </c>
      <c r="AU15" s="29" t="str">
        <f>IF($P$15="3L",$Q$15,IF($S$15="3L",$T$15,IF($V$15="3L",$W$15,IF($Y$15="3L",$Z$15,IF($AB$15="3L",$AC$15,IF($AE$15="3L",$AF$15,IF($AH$15="3L",$AI$15,IF($AK$15="3L",$AL$15,IF($AN$15="3L",$AO$15,IF($AQ$15="3L",$AR$15,""))))))))))</f>
        <v/>
      </c>
      <c r="AV15" s="29" t="str">
        <f>IF($P$15="4L",$Q$15,IF($S$15="4L",$T$15,IF($V$15="4L",$W$15,IF($Y$15="4L",$Z$15,IF($AB$15="4L",$AC$15,IF($AE$15="4L",$AF$15,IF($AH$15="4L",$AI$15,IF($AK$15="4L",$AL$15,IF($AN$15="4L",$AO$15,IF($AQ$15="4L",$AR$15,""))))))))))</f>
        <v/>
      </c>
      <c r="AW15" s="29" t="str">
        <f>IF($P$15="5L",$Q$15,IF($S$15="5L",$T$15,IF($V$15="5L",$W$15,IF($Y$15="5L",$Z$15,IF($AB$15="5L",$AC$15,IF($AE$15="5L",$AF$15,IF($AH$15="5L",$AI$15,IF($AK$15="5L",$AL$15,IF($AN$15="5L",$AO$15,IF($AQ$15="5L",$AR$15,""))))))))))</f>
        <v/>
      </c>
      <c r="AX15" s="29" t="str">
        <f>IF($P$15="6L",$Q$15,IF($S$15="6L",$T$15,IF($V$15="6L",$W$15,IF($Y$15="6L",$Z$15,IF($AB$15="6L",$AC$15,IF($AE$15="6L",$AF$15,IF($AH$15="6L",$AI$15,IF($AK$15="6L",$AL$15,IF($AN$15="6L",$AO$15,IF($AQ$15="6L",$AR$15,""))))))))))</f>
        <v/>
      </c>
      <c r="AY15" s="29" t="str">
        <f>IF($P$15="7L",$Q$15,IF($S$15="7L",$T$15,IF($V$15="7L",$W$15,IF($Y$15="7L",$Z$15,IF($AB$15="7L",$AC$15,IF($AE$15="7L",$AF$15,IF($AH$15="7L",$AI$15,IF($AK$15="7L",$AL$15,IF($AN$15="7L",$AO$15,IF($AQ$15="7L",$AR$15,""))))))))))</f>
        <v/>
      </c>
      <c r="AZ15" s="29" t="str">
        <f t="shared" si="12"/>
        <v/>
      </c>
      <c r="BA15" s="29" t="str">
        <f t="shared" si="13"/>
        <v/>
      </c>
      <c r="BB15" s="29" t="str">
        <f t="shared" si="14"/>
        <v/>
      </c>
      <c r="BC15" s="29" t="str">
        <f t="shared" si="15"/>
        <v/>
      </c>
      <c r="BD15" s="29" t="str">
        <f>IF($P$15="FUM",$Q$15,IF($S$15="FUM",$T$15,IF($V$15="FUM",$W$15,IF($Y$15="FUM",$Z$15,IF($AB$15="FUM",$AC$15,IF($AE$15="FUM",$AF$15,IF($AH$15="FUM",$AI$15,IF($AK$15="FUM",$AL$15,IF($AN$15="FUM",$AO$15,IF($AQ$15="FUM",$AR$15,""))))))))))</f>
        <v/>
      </c>
    </row>
    <row r="16" spans="1:77" hidden="1" x14ac:dyDescent="0.25">
      <c r="H16" s="4">
        <f t="shared" si="1"/>
        <v>0</v>
      </c>
      <c r="I16" s="4">
        <f t="shared" si="1"/>
        <v>0</v>
      </c>
      <c r="J16" s="4">
        <f t="shared" si="1"/>
        <v>0</v>
      </c>
      <c r="K16" s="4">
        <f t="shared" si="1"/>
        <v>0</v>
      </c>
      <c r="L16" s="4">
        <f t="shared" si="1"/>
        <v>0</v>
      </c>
      <c r="O16" s="28">
        <f t="shared" si="16"/>
        <v>0</v>
      </c>
      <c r="P16" s="4">
        <f t="shared" si="2"/>
        <v>0</v>
      </c>
      <c r="Q16" s="4">
        <f t="shared" si="2"/>
        <v>0</v>
      </c>
      <c r="R16" s="4">
        <f t="shared" si="2"/>
        <v>0</v>
      </c>
      <c r="S16" s="4">
        <f t="shared" si="3"/>
        <v>0</v>
      </c>
      <c r="T16" s="4">
        <f t="shared" si="3"/>
        <v>0</v>
      </c>
      <c r="U16" s="4">
        <f t="shared" si="3"/>
        <v>0</v>
      </c>
      <c r="V16" s="4">
        <f t="shared" si="4"/>
        <v>0</v>
      </c>
      <c r="W16" s="4">
        <f t="shared" si="4"/>
        <v>0</v>
      </c>
      <c r="X16" s="4">
        <f t="shared" si="4"/>
        <v>0</v>
      </c>
      <c r="Y16" s="4">
        <f t="shared" si="5"/>
        <v>0</v>
      </c>
      <c r="Z16" s="4">
        <f t="shared" si="5"/>
        <v>0</v>
      </c>
      <c r="AA16" s="4">
        <f t="shared" si="5"/>
        <v>0</v>
      </c>
      <c r="AB16" s="4">
        <f t="shared" si="6"/>
        <v>0</v>
      </c>
      <c r="AC16" s="4">
        <f t="shared" si="6"/>
        <v>0</v>
      </c>
      <c r="AD16" s="4">
        <f t="shared" si="6"/>
        <v>0</v>
      </c>
      <c r="AE16" s="4">
        <f t="shared" si="7"/>
        <v>0</v>
      </c>
      <c r="AF16" s="4">
        <f t="shared" si="7"/>
        <v>0</v>
      </c>
      <c r="AG16" s="4">
        <f t="shared" si="7"/>
        <v>0</v>
      </c>
      <c r="AH16" s="4">
        <f t="shared" si="8"/>
        <v>0</v>
      </c>
      <c r="AI16" s="4">
        <f t="shared" si="8"/>
        <v>0</v>
      </c>
      <c r="AJ16" s="4">
        <f t="shared" si="8"/>
        <v>0</v>
      </c>
      <c r="AK16" s="4">
        <f t="shared" si="9"/>
        <v>0</v>
      </c>
      <c r="AL16" s="4">
        <f t="shared" si="9"/>
        <v>0</v>
      </c>
      <c r="AM16" s="4">
        <f t="shared" si="9"/>
        <v>0</v>
      </c>
      <c r="AN16" s="4">
        <f t="shared" si="10"/>
        <v>0</v>
      </c>
      <c r="AO16" s="4">
        <f t="shared" si="10"/>
        <v>0</v>
      </c>
      <c r="AP16" s="4">
        <f t="shared" si="10"/>
        <v>0</v>
      </c>
      <c r="AQ16" s="4">
        <f t="shared" si="11"/>
        <v>0</v>
      </c>
      <c r="AR16" s="4">
        <f t="shared" si="11"/>
        <v>0</v>
      </c>
      <c r="AT16" s="28">
        <v>3</v>
      </c>
      <c r="AU16" s="29" t="str">
        <f>IF($P$16="3L",$Q$16,IF($S$16="3L",$T$16,IF($V$16="3L",$W$16,IF($Y$16="3L",$Z$16,IF($AB$16="3L",$AC$16,IF($AE$16="3L",$AF$16,IF($AH$16="3L",$AI$16,IF($AK$16="3L",$AL$16,IF($AN$16="3L",$AO$16,IF($AQ$16="3L",$AR$16,""))))))))))</f>
        <v/>
      </c>
      <c r="AV16" s="29" t="str">
        <f>IF($P$16="4L",$Q$16,IF($S$16="4L",$T$16,IF($V$16="4L",$W$16,IF($Y$16="4L",$Z$16,IF($AB$16="4L",$AC$16,IF($AE$16="4L",$AF$16,IF($AH$16="4L",$AI$16,IF($AK$16="4L",$AL$16,IF($AN$16="4L",$AO$16,IF($AQ$16="4L",$AR$16,""))))))))))</f>
        <v/>
      </c>
      <c r="AW16" s="29" t="str">
        <f>IF($P$16="5L",$Q$16,IF($S$16="5L",$T$16,IF($V$16="5L",$W$16,IF($Y$16="5L",$Z$16,IF($AB$16="5L",$AC$16,IF($AE$16="5L",$AF$16,IF($AH$16="5L",$AI$16,IF($AK$16="5L",$AL$16,IF($AN$16="5L",$AO$16,IF($AQ$16="5L",$AR$16,""))))))))))</f>
        <v/>
      </c>
      <c r="AX16" s="29" t="str">
        <f>IF($P$16="6L",$Q$16,IF($S$16="6L",$T$16,IF($V$16="6L",$W$16,IF($Y$16="6L",$Z$16,IF($AB$16="6L",$AC$16,IF($AE$16="6L",$AF$16,IF($AH$16="6L",$AI$16,IF($AK$16="6L",$AL$16,IF($AN$16="6L",$AO$16,IF($AQ$16="6L",$AR$16,""))))))))))</f>
        <v/>
      </c>
      <c r="AY16" s="29" t="str">
        <f>IF($P$16="7L",$Q$16,IF($S$16="7L",$T$16,IF($V$16="7L",$W$16,IF($Y$16="7L",$Z$16,IF($AB$16="7L",$AC$16,IF($AE$16="7L",$AF$16,IF($AH$16="7L",$AI$16,IF($AK$16="7L",$AL$16,IF($AN$16="7L",$AO$16,IF($AQ$16="7L",$AR$16,""))))))))))</f>
        <v/>
      </c>
      <c r="AZ16" s="29" t="str">
        <f t="shared" si="12"/>
        <v/>
      </c>
      <c r="BA16" s="29" t="str">
        <f t="shared" si="13"/>
        <v/>
      </c>
      <c r="BB16" s="29" t="str">
        <f t="shared" si="14"/>
        <v/>
      </c>
      <c r="BC16" s="29" t="str">
        <f t="shared" si="15"/>
        <v/>
      </c>
      <c r="BD16" s="29" t="str">
        <f>IF($P$16="FUM",$Q$16,IF($S$16="FUM",$T$16,IF($V$16="FUM",$W$16,IF($Y$16="FUM",$Z$16,IF($AB$16="FUM",$AC$16,IF($AE$16="FUM",$AF$16,IF($AH$16="FUM",$AI$16,IF($AK$16="FUM",$AL$16,IF($AN$16="FUM",$AO$16,IF($AQ$16="FUM",$AR$16,""))))))))))</f>
        <v/>
      </c>
    </row>
    <row r="17" spans="8:56" hidden="1" x14ac:dyDescent="0.25">
      <c r="H17" s="4">
        <f t="shared" si="1"/>
        <v>0</v>
      </c>
      <c r="I17" s="4">
        <f t="shared" si="1"/>
        <v>0</v>
      </c>
      <c r="J17" s="4">
        <f t="shared" si="1"/>
        <v>0</v>
      </c>
      <c r="K17" s="4">
        <f t="shared" si="1"/>
        <v>0</v>
      </c>
      <c r="L17" s="4">
        <f t="shared" si="1"/>
        <v>0</v>
      </c>
      <c r="O17" s="28">
        <f t="shared" si="16"/>
        <v>0</v>
      </c>
      <c r="P17" s="4">
        <f t="shared" si="2"/>
        <v>0</v>
      </c>
      <c r="Q17" s="4">
        <f t="shared" si="2"/>
        <v>0</v>
      </c>
      <c r="R17" s="4">
        <f t="shared" si="2"/>
        <v>0</v>
      </c>
      <c r="S17" s="4">
        <f t="shared" si="3"/>
        <v>0</v>
      </c>
      <c r="T17" s="4">
        <f t="shared" si="3"/>
        <v>0</v>
      </c>
      <c r="U17" s="4">
        <f t="shared" si="3"/>
        <v>0</v>
      </c>
      <c r="V17" s="4">
        <f t="shared" si="4"/>
        <v>0</v>
      </c>
      <c r="W17" s="4">
        <f t="shared" si="4"/>
        <v>0</v>
      </c>
      <c r="X17" s="4">
        <f t="shared" si="4"/>
        <v>0</v>
      </c>
      <c r="Y17" s="4">
        <f t="shared" si="5"/>
        <v>0</v>
      </c>
      <c r="Z17" s="4">
        <f t="shared" si="5"/>
        <v>0</v>
      </c>
      <c r="AA17" s="4">
        <f t="shared" si="5"/>
        <v>0</v>
      </c>
      <c r="AB17" s="4">
        <f t="shared" si="6"/>
        <v>0</v>
      </c>
      <c r="AC17" s="4">
        <f t="shared" si="6"/>
        <v>0</v>
      </c>
      <c r="AD17" s="4">
        <f t="shared" si="6"/>
        <v>0</v>
      </c>
      <c r="AE17" s="4">
        <f t="shared" si="7"/>
        <v>0</v>
      </c>
      <c r="AF17" s="4">
        <f t="shared" si="7"/>
        <v>0</v>
      </c>
      <c r="AG17" s="4">
        <f t="shared" si="7"/>
        <v>0</v>
      </c>
      <c r="AH17" s="4">
        <f t="shared" si="8"/>
        <v>0</v>
      </c>
      <c r="AI17" s="4">
        <f t="shared" si="8"/>
        <v>0</v>
      </c>
      <c r="AJ17" s="4">
        <f t="shared" si="8"/>
        <v>0</v>
      </c>
      <c r="AK17" s="4">
        <f t="shared" si="9"/>
        <v>0</v>
      </c>
      <c r="AL17" s="4">
        <f t="shared" si="9"/>
        <v>0</v>
      </c>
      <c r="AM17" s="4">
        <f t="shared" si="9"/>
        <v>0</v>
      </c>
      <c r="AN17" s="4">
        <f t="shared" si="10"/>
        <v>0</v>
      </c>
      <c r="AO17" s="4">
        <f t="shared" si="10"/>
        <v>0</v>
      </c>
      <c r="AP17" s="4">
        <f t="shared" si="10"/>
        <v>0</v>
      </c>
      <c r="AQ17" s="4">
        <f t="shared" si="11"/>
        <v>0</v>
      </c>
      <c r="AR17" s="4">
        <f t="shared" si="11"/>
        <v>0</v>
      </c>
      <c r="AT17" s="28">
        <v>4</v>
      </c>
      <c r="AU17" s="29" t="str">
        <f>IF($P$17="3L",$Q$17,IF($S$17="3L",$T$17,IF($V$17="3L",$W$17,IF($Y$17="3L",$Z$17,IF($AB$17="3L",$AC$17,IF($AE$17="3L",$AF$17,IF($AH$17="3L",$AI$17,IF($AK$17="3L",$AL$17,IF($AN$17="3L",$AO$17,IF($AQ$17="3L",$AR$17,""))))))))))</f>
        <v/>
      </c>
      <c r="AV17" s="29" t="str">
        <f>IF($P$17="4L",$Q$17,IF($S$17="4L",$T$17,IF($V$17="4L",$W$17,IF($Y$17="4L",$Z$17,IF($AB$17="4L",$AC$17,IF($AE$17="4L",$AF$17,IF($AH$17="4L",$AI$17,IF($AK$17="4L",$AL$17,IF($AN$17="4L",$AO$17,IF($AQ$17="4L",$AR$17,""))))))))))</f>
        <v/>
      </c>
      <c r="AW17" s="29" t="str">
        <f>IF($P$17="5L",$Q$17,IF($S$17="5L",$T$17,IF($V$17="5L",$W$17,IF($Y$17="5L",$Z$17,IF($AB$17="5L",$AC$17,IF($AE$17="5L",$AF$17,IF($AH$17="5L",$AI$17,IF($AK$17="5L",$AL$17,IF($AN$17="5L",$AO$17,IF($AQ$17="5L",$AR$17,""))))))))))</f>
        <v/>
      </c>
      <c r="AX17" s="29" t="str">
        <f>IF($P$17="6L",$Q$17,IF($S$17="6L",$T$17,IF($V$17="6L",$W$17,IF($Y$17="6L",$Z$17,IF($AB$17="6L",$AC$17,IF($AE$17="6L",$AF$17,IF($AH$17="6L",$AI$17,IF($AK$17="6L",$AL$17,IF($AN$17="6L",$AO$17,IF($AQ$17="6L",$AR$17,""))))))))))</f>
        <v/>
      </c>
      <c r="AY17" s="29" t="str">
        <f>IF($P$17="7L",$Q$17,IF($S$17="7L",$T$17,IF($V$17="7L",$W$17,IF($Y$17="7L",$Z$17,IF($AB$17="7L",$AC$17,IF($AE$17="7L",$AF$17,IF($AH$17="7L",$AI$17,IF($AK$17="7L",$AL$17,IF($AN$17="7L",$AO$17,IF($AQ$17="7L",$AR$17,""))))))))))</f>
        <v/>
      </c>
      <c r="AZ17" s="29" t="str">
        <f t="shared" si="12"/>
        <v/>
      </c>
      <c r="BA17" s="29" t="str">
        <f t="shared" si="13"/>
        <v/>
      </c>
      <c r="BB17" s="29" t="str">
        <f t="shared" si="14"/>
        <v/>
      </c>
      <c r="BC17" s="29" t="str">
        <f t="shared" si="15"/>
        <v/>
      </c>
      <c r="BD17" s="29" t="str">
        <f>IF($P$17="FUM",$Q$17,IF($S$17="FUM",$T$17,IF($V$17="FUM",$W$17,IF($Y$17="FUM",$Z$17,IF($AB$17="FUM",$AC$17,IF($AE$17="FUM",$AF$17,IF($AH$17="FUM",$AI$17,IF($AK$17="FUM",$AL$17,IF($AN$17="FUM",$AO$17,IF($AQ$17="FUM",$AR$17,""))))))))))</f>
        <v/>
      </c>
    </row>
    <row r="18" spans="8:56" hidden="1" x14ac:dyDescent="0.25">
      <c r="H18" s="4">
        <f t="shared" si="1"/>
        <v>0</v>
      </c>
      <c r="I18" s="4">
        <f t="shared" si="1"/>
        <v>0</v>
      </c>
      <c r="J18" s="4">
        <f t="shared" si="1"/>
        <v>0</v>
      </c>
      <c r="K18" s="4">
        <f t="shared" si="1"/>
        <v>0</v>
      </c>
      <c r="L18" s="4">
        <f t="shared" si="1"/>
        <v>0</v>
      </c>
      <c r="O18" s="28">
        <f t="shared" si="16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3"/>
        <v>0</v>
      </c>
      <c r="T18" s="4">
        <f t="shared" si="3"/>
        <v>0</v>
      </c>
      <c r="U18" s="4">
        <f t="shared" si="3"/>
        <v>0</v>
      </c>
      <c r="V18" s="4">
        <f t="shared" si="4"/>
        <v>0</v>
      </c>
      <c r="W18" s="4">
        <f t="shared" si="4"/>
        <v>0</v>
      </c>
      <c r="X18" s="4">
        <f t="shared" si="4"/>
        <v>0</v>
      </c>
      <c r="Y18" s="4">
        <f t="shared" si="5"/>
        <v>0</v>
      </c>
      <c r="Z18" s="4">
        <f t="shared" si="5"/>
        <v>0</v>
      </c>
      <c r="AA18" s="4">
        <f t="shared" si="5"/>
        <v>0</v>
      </c>
      <c r="AB18" s="4">
        <f t="shared" si="6"/>
        <v>0</v>
      </c>
      <c r="AC18" s="4">
        <f t="shared" si="6"/>
        <v>0</v>
      </c>
      <c r="AD18" s="4">
        <f t="shared" si="6"/>
        <v>0</v>
      </c>
      <c r="AE18" s="4">
        <f t="shared" si="7"/>
        <v>0</v>
      </c>
      <c r="AF18" s="4">
        <f t="shared" si="7"/>
        <v>0</v>
      </c>
      <c r="AG18" s="4">
        <f t="shared" si="7"/>
        <v>0</v>
      </c>
      <c r="AH18" s="4">
        <f t="shared" si="8"/>
        <v>0</v>
      </c>
      <c r="AI18" s="4">
        <f t="shared" si="8"/>
        <v>0</v>
      </c>
      <c r="AJ18" s="4">
        <f t="shared" si="8"/>
        <v>0</v>
      </c>
      <c r="AK18" s="4">
        <f t="shared" si="9"/>
        <v>0</v>
      </c>
      <c r="AL18" s="4">
        <f t="shared" si="9"/>
        <v>0</v>
      </c>
      <c r="AM18" s="4">
        <f t="shared" si="9"/>
        <v>0</v>
      </c>
      <c r="AN18" s="4">
        <f t="shared" si="10"/>
        <v>0</v>
      </c>
      <c r="AO18" s="4">
        <f t="shared" si="10"/>
        <v>0</v>
      </c>
      <c r="AP18" s="4">
        <f t="shared" si="10"/>
        <v>0</v>
      </c>
      <c r="AQ18" s="4">
        <f t="shared" si="11"/>
        <v>0</v>
      </c>
      <c r="AR18" s="4">
        <f t="shared" si="11"/>
        <v>0</v>
      </c>
      <c r="AT18" s="28">
        <v>5</v>
      </c>
      <c r="AU18" s="29" t="str">
        <f>IF($P$18="3L",$Q$18,IF($S$18="3L",$T$18,IF($V$18="3L",$W$18,IF($Y$18="3L",$Z$18,IF($AB$18="3L",$AC$18,IF($AE$18="3L",$AF$18,IF($AH$18="3L",$AI$18,IF($AK$18="3L",$AL$18,IF($AN$18="3L",$AO$18,IF($AQ$18="3L",$AR$18,""))))))))))</f>
        <v/>
      </c>
      <c r="AV18" s="29" t="str">
        <f>IF($P$18="4L",$Q$18,IF($S$18="4L",$T$18,IF($V$18="4L",$W$18,IF($Y$18="4L",$Z$18,IF($AB$18="4L",$AC$18,IF($AE$18="4L",$AF$18,IF($AH$18="4L",$AI$18,IF($AK$18="4L",$AL$18,IF($AN$18="4L",$AO$18,IF($AQ$18="4L",$AR$18,""))))))))))</f>
        <v/>
      </c>
      <c r="AW18" s="29" t="str">
        <f>IF($P$18="5L",$Q$18,IF($S$18="5L",$T$18,IF($V$18="5L",$W$18,IF($Y$18="5L",$Z$18,IF($AB$18="5L",$AC$18,IF($AE$18="5L",$AF$18,IF($AH$18="5L",$AI$18,IF($AK$18="5L",$AL$18,IF($AN$18="5L",$AO$18,IF($AQ$18="5L",$AR$18,""))))))))))</f>
        <v/>
      </c>
      <c r="AX18" s="29" t="str">
        <f>IF($P$18="6L",$Q$18,IF($S$18="6L",$T$18,IF($V$18="6L",$W$18,IF($Y$18="6L",$Z$18,IF($AB$18="6L",$AC$18,IF($AE$18="6L",$AF$18,IF($AH$18="6L",$AI$18,IF($AK$18="6L",$AL$18,IF($AN$18="6L",$AO$18,IF($AQ$18="6L",$AR$18,""))))))))))</f>
        <v/>
      </c>
      <c r="AY18" s="29" t="str">
        <f>IF($P$18="7L",$Q$18,IF($S$18="7L",$T$18,IF($V$18="7L",$W$18,IF($Y$18="7L",$Z$18,IF($AB$18="7L",$AC$18,IF($AE$18="7L",$AF$18,IF($AH$18="7L",$AI$18,IF($AK$18="7L",$AL$18,IF($AN$18="7L",$AO$18,IF($AQ$18="7L",$AR$18,""))))))))))</f>
        <v/>
      </c>
      <c r="AZ18" s="29" t="str">
        <f t="shared" si="12"/>
        <v/>
      </c>
      <c r="BA18" s="29" t="str">
        <f t="shared" si="13"/>
        <v/>
      </c>
      <c r="BB18" s="29" t="str">
        <f t="shared" si="14"/>
        <v/>
      </c>
      <c r="BC18" s="29" t="str">
        <f t="shared" si="15"/>
        <v/>
      </c>
      <c r="BD18" s="29" t="str">
        <f>IF($P$18="FUM",$Q$18,IF($S$18="FUM",$T$18,IF($V$18="FUM",$W$18,IF($Y$18="FUM",$Z$18,IF($AB$18="FUM",$AC$18,IF($AE$18="FUM",$AF$18,IF($AH$18="FUM",$AI$18,IF($AK$18="FUM",$AL$18,IF($AN$18="FUM",$AO$18,IF($AQ$18="FUM",$AR$18,""))))))))))</f>
        <v/>
      </c>
    </row>
    <row r="19" spans="8:56" hidden="1" x14ac:dyDescent="0.25"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0</v>
      </c>
      <c r="L19" s="4">
        <f t="shared" si="1"/>
        <v>0</v>
      </c>
      <c r="O19" s="28">
        <f t="shared" si="16"/>
        <v>0</v>
      </c>
      <c r="P19" s="4">
        <f t="shared" si="2"/>
        <v>0</v>
      </c>
      <c r="Q19" s="4">
        <f t="shared" si="2"/>
        <v>0</v>
      </c>
      <c r="R19" s="4">
        <f t="shared" si="2"/>
        <v>0</v>
      </c>
      <c r="S19" s="4">
        <f t="shared" si="3"/>
        <v>0</v>
      </c>
      <c r="T19" s="4">
        <f t="shared" si="3"/>
        <v>0</v>
      </c>
      <c r="U19" s="4">
        <f t="shared" si="3"/>
        <v>0</v>
      </c>
      <c r="V19" s="4">
        <f t="shared" si="4"/>
        <v>0</v>
      </c>
      <c r="W19" s="4">
        <f t="shared" si="4"/>
        <v>0</v>
      </c>
      <c r="X19" s="4">
        <f t="shared" si="4"/>
        <v>0</v>
      </c>
      <c r="Y19" s="4">
        <f t="shared" si="5"/>
        <v>0</v>
      </c>
      <c r="Z19" s="4">
        <f t="shared" si="5"/>
        <v>0</v>
      </c>
      <c r="AA19" s="4">
        <f t="shared" si="5"/>
        <v>0</v>
      </c>
      <c r="AB19" s="4">
        <f t="shared" si="6"/>
        <v>0</v>
      </c>
      <c r="AC19" s="4">
        <f t="shared" si="6"/>
        <v>0</v>
      </c>
      <c r="AD19" s="4">
        <f t="shared" si="6"/>
        <v>0</v>
      </c>
      <c r="AE19" s="4">
        <f t="shared" si="7"/>
        <v>0</v>
      </c>
      <c r="AF19" s="4">
        <f t="shared" si="7"/>
        <v>0</v>
      </c>
      <c r="AG19" s="4">
        <f t="shared" si="7"/>
        <v>0</v>
      </c>
      <c r="AH19" s="4">
        <f t="shared" si="8"/>
        <v>0</v>
      </c>
      <c r="AI19" s="4">
        <f t="shared" si="8"/>
        <v>0</v>
      </c>
      <c r="AJ19" s="4">
        <f t="shared" si="8"/>
        <v>0</v>
      </c>
      <c r="AK19" s="4">
        <f t="shared" si="9"/>
        <v>0</v>
      </c>
      <c r="AL19" s="4">
        <f t="shared" si="9"/>
        <v>0</v>
      </c>
      <c r="AM19" s="4">
        <f t="shared" si="9"/>
        <v>0</v>
      </c>
      <c r="AN19" s="4">
        <f t="shared" si="10"/>
        <v>0</v>
      </c>
      <c r="AO19" s="4">
        <f t="shared" si="10"/>
        <v>0</v>
      </c>
      <c r="AP19" s="4">
        <f t="shared" si="10"/>
        <v>0</v>
      </c>
      <c r="AQ19" s="4">
        <f t="shared" si="11"/>
        <v>0</v>
      </c>
      <c r="AR19" s="4">
        <f t="shared" si="11"/>
        <v>0</v>
      </c>
      <c r="AT19" s="28">
        <v>6</v>
      </c>
      <c r="AU19" s="29" t="str">
        <f>IF($P$19="3L",$Q$19,IF($S$19="3L",$T$19,IF($V$19="3L",$W$19,IF($Y$19="3L",$Z$19,IF($AB$19="3L",$AC$19,IF($AE$19="3L",$AF$19,IF($AH$19="3L",$AI$19,IF($AK$19="3L",$AL$19,IF($AN$19="3L",$AO$19,IF($AQ$19="3L",$AR$19,""))))))))))</f>
        <v/>
      </c>
      <c r="AV19" s="29" t="str">
        <f>IF($P$19="4L",$Q$19,IF($S$19="4L",$T$19,IF($V$19="4L",$W$19,IF($Y$19="4L",$Z$19,IF($AB$19="4L",$AC$19,IF($AE$19="4L",$AF$19,IF($AH$19="4L",$AI$19,IF($AK$19="4L",$AL$19,IF($AN$19="4L",$AO$19,IF($AQ$19="4L",$AR$19,""))))))))))</f>
        <v/>
      </c>
      <c r="AW19" s="29" t="str">
        <f>IF($P$19="5L",$Q$19,IF($S$19="5L",$T$19,IF($V$19="5L",$W$19,IF($Y$19="5L",$Z$19,IF($AB$19="5L",$AC$19,IF($AE$19="5L",$AF$19,IF($AH$19="5L",$AI$19,IF($AK$19="5L",$AL$19,IF($AN$19="5L",$AO$19,IF($AQ$19="5L",$AR$19,""))))))))))</f>
        <v/>
      </c>
      <c r="AX19" s="29" t="str">
        <f>IF($P$19="6L",$Q$19,IF($S$19="6L",$T$19,IF($V$19="6L",$W$19,IF($Y$19="6L",$Z$19,IF($AB$19="6L",$AC$19,IF($AE$19="6L",$AF$19,IF($AH$19="6L",$AI$19,IF($AK$19="6L",$AL$19,IF($AN$19="6L",$AO$19,IF($AQ$19="6L",$AR$19,""))))))))))</f>
        <v/>
      </c>
      <c r="AY19" s="29" t="str">
        <f>IF($P$19="7L",$Q$19,IF($S$19="7L",$T$19,IF($V$19="7L",$W$19,IF($Y$19="7L",$Z$19,IF($AB$19="7L",$AC$19,IF($AE$19="7L",$AF$19,IF($AH$19="7L",$AI$19,IF($AK$19="7L",$AL$19,IF($AN$19="7L",$AO$19,IF($AQ$19="7L",$AR$19,""))))))))))</f>
        <v/>
      </c>
      <c r="AZ19" s="29" t="str">
        <f t="shared" si="12"/>
        <v/>
      </c>
      <c r="BA19" s="29" t="str">
        <f t="shared" si="13"/>
        <v/>
      </c>
      <c r="BB19" s="29" t="str">
        <f t="shared" si="14"/>
        <v/>
      </c>
      <c r="BC19" s="29" t="str">
        <f t="shared" si="15"/>
        <v/>
      </c>
      <c r="BD19" s="29" t="str">
        <f>IF($P$19="FUM",$Q$19,IF($S$19="FUM",$T$19,IF($V$19="FUM",$W$19,IF($Y$19="FUM",$Z$19,IF($AB$19="FUM",$AC$19,IF($AE$19="FUM",$AF$19,IF($AH$19="FUM",$AI$19,IF($AK$19="FUM",$AL$19,IF($AN$19="FUM",$AO$19,IF($AQ$19="FUM",$AR$19,""))))))))))</f>
        <v/>
      </c>
    </row>
    <row r="20" spans="8:56" hidden="1" x14ac:dyDescent="0.25"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0</v>
      </c>
      <c r="O20" s="28">
        <f t="shared" si="16"/>
        <v>0</v>
      </c>
      <c r="P20" s="4">
        <f t="shared" si="2"/>
        <v>0</v>
      </c>
      <c r="Q20" s="4">
        <f t="shared" si="2"/>
        <v>0</v>
      </c>
      <c r="R20" s="4">
        <f t="shared" si="2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4"/>
        <v>0</v>
      </c>
      <c r="W20" s="4">
        <f t="shared" si="4"/>
        <v>0</v>
      </c>
      <c r="X20" s="4">
        <f t="shared" si="4"/>
        <v>0</v>
      </c>
      <c r="Y20" s="4">
        <f t="shared" si="5"/>
        <v>0</v>
      </c>
      <c r="Z20" s="4">
        <f t="shared" si="5"/>
        <v>0</v>
      </c>
      <c r="AA20" s="4">
        <f t="shared" si="5"/>
        <v>0</v>
      </c>
      <c r="AB20" s="4">
        <f t="shared" si="6"/>
        <v>0</v>
      </c>
      <c r="AC20" s="4">
        <f t="shared" si="6"/>
        <v>0</v>
      </c>
      <c r="AD20" s="4">
        <f t="shared" si="6"/>
        <v>0</v>
      </c>
      <c r="AE20" s="4">
        <f t="shared" si="7"/>
        <v>0</v>
      </c>
      <c r="AF20" s="4">
        <f t="shared" si="7"/>
        <v>0</v>
      </c>
      <c r="AG20" s="4">
        <f t="shared" si="7"/>
        <v>0</v>
      </c>
      <c r="AH20" s="4">
        <f t="shared" si="8"/>
        <v>0</v>
      </c>
      <c r="AI20" s="4">
        <f t="shared" si="8"/>
        <v>0</v>
      </c>
      <c r="AJ20" s="4">
        <f t="shared" si="8"/>
        <v>0</v>
      </c>
      <c r="AK20" s="4">
        <f t="shared" si="9"/>
        <v>0</v>
      </c>
      <c r="AL20" s="4">
        <f t="shared" si="9"/>
        <v>0</v>
      </c>
      <c r="AM20" s="4">
        <f t="shared" si="9"/>
        <v>0</v>
      </c>
      <c r="AN20" s="4">
        <f t="shared" si="10"/>
        <v>0</v>
      </c>
      <c r="AO20" s="4">
        <f t="shared" si="10"/>
        <v>0</v>
      </c>
      <c r="AP20" s="4">
        <f t="shared" si="10"/>
        <v>0</v>
      </c>
      <c r="AQ20" s="4">
        <f t="shared" si="11"/>
        <v>0</v>
      </c>
      <c r="AR20" s="4">
        <f t="shared" si="11"/>
        <v>0</v>
      </c>
      <c r="AT20" s="28">
        <v>7</v>
      </c>
      <c r="AU20" s="29" t="str">
        <f>IF($P$20="3L",$Q$20,IF($S$20="3L",$T$20,IF($V$20="3L",$W$20,IF($Y$20="3L",$Z$20,IF($AB$20="3L",$AC$20,IF($AE$20="3L",$AF$20,IF($AH$20="3L",$AI$20,IF($AK$20="3L",$AL$20,IF($AN$20="3L",$AO$20,IF($AQ$20="3L",$AR$20,""))))))))))</f>
        <v/>
      </c>
      <c r="AV20" s="29" t="str">
        <f>IF($P$20="4L",$Q$20,IF($S$20="4L",$T$20,IF($V$20="4L",$W$20,IF($Y$20="4L",$Z$20,IF($AB$20="4L",$AC$20,IF($AE$20="4L",$AF$20,IF($AH$20="4L",$AI$20,IF($AK$20="4L",$AL$20,IF($AN$20="4L",$AO$20,IF($AQ$20="4L",$AR$20,""))))))))))</f>
        <v/>
      </c>
      <c r="AW20" s="29" t="str">
        <f>IF($P$20="5L",$Q$20,IF($S$20="5L",$T$20,IF($V$20="5L",$W$20,IF($Y$20="5L",$Z$20,IF($AB$20="5L",$AC$20,IF($AE$20="5L",$AF$20,IF($AH$20="5L",$AI$20,IF($AK$20="5L",$AL$20,IF($AN$20="5L",$AO$20,IF($AQ$20="5L",$AR$20,""))))))))))</f>
        <v/>
      </c>
      <c r="AX20" s="29" t="str">
        <f>IF($P$20="6L",$Q$20,IF($S$20="6L",$T$20,IF($V$20="6L",$W$20,IF($Y$20="6L",$Z$20,IF($AB$20="6L",$AC$20,IF($AE$20="6L",$AF$20,IF($AH$20="6L",$AI$20,IF($AK$20="6L",$AL$20,IF($AN$20="6L",$AO$20,IF($AQ$20="6L",$AR$20,""))))))))))</f>
        <v/>
      </c>
      <c r="AY20" s="29" t="str">
        <f>IF($P$20="7L",$Q$20,IF($S$20="7L",$T$20,IF($V$20="7L",$W$20,IF($Y$20="7L",$Z$20,IF($AB$20="7L",$AC$20,IF($AE$20="7L",$AF$20,IF($AH$20="7L",$AI$20,IF($AK$20="7L",$AL$20,IF($AN$20="7L",$AO$20,IF($AQ$20="7L",$AR$20,""))))))))))</f>
        <v/>
      </c>
      <c r="AZ20" s="29" t="str">
        <f t="shared" si="12"/>
        <v/>
      </c>
      <c r="BA20" s="29" t="str">
        <f t="shared" si="13"/>
        <v/>
      </c>
      <c r="BB20" s="29" t="str">
        <f t="shared" si="14"/>
        <v/>
      </c>
      <c r="BC20" s="29" t="str">
        <f t="shared" si="15"/>
        <v/>
      </c>
      <c r="BD20" s="29" t="str">
        <f>IF($P$20="FUM",$Q$20,IF($S$20="FUM",$T$20,IF($V$20="FUM",$W$20,IF($Y$20="FUM",$Z$20,IF($AB$20="FUM",$AC$20,IF($AE$20="FUM",$AF$20,IF($AH$20="FUM",$AI$20,IF($AK$20="FUM",$AL$20,IF($AN$20="FUM",$AO$20,IF($AQ$20="FUM",$AR$20,""))))))))))</f>
        <v/>
      </c>
    </row>
    <row r="21" spans="8:56" hidden="1" x14ac:dyDescent="0.25">
      <c r="H21" s="4">
        <f t="shared" si="1"/>
        <v>0</v>
      </c>
      <c r="I21" s="4">
        <f t="shared" si="1"/>
        <v>0</v>
      </c>
      <c r="J21" s="4">
        <f t="shared" si="1"/>
        <v>0</v>
      </c>
      <c r="K21" s="4">
        <f t="shared" si="1"/>
        <v>0</v>
      </c>
      <c r="L21" s="4">
        <f t="shared" si="1"/>
        <v>0</v>
      </c>
      <c r="O21" s="28">
        <f t="shared" si="16"/>
        <v>0</v>
      </c>
      <c r="P21" s="4">
        <f t="shared" si="2"/>
        <v>0</v>
      </c>
      <c r="Q21" s="4">
        <f t="shared" si="2"/>
        <v>0</v>
      </c>
      <c r="R21" s="4">
        <f t="shared" si="2"/>
        <v>0</v>
      </c>
      <c r="S21" s="4">
        <f t="shared" si="3"/>
        <v>0</v>
      </c>
      <c r="T21" s="4">
        <f t="shared" si="3"/>
        <v>0</v>
      </c>
      <c r="U21" s="4">
        <f t="shared" si="3"/>
        <v>0</v>
      </c>
      <c r="V21" s="4">
        <f t="shared" si="4"/>
        <v>0</v>
      </c>
      <c r="W21" s="4">
        <f t="shared" si="4"/>
        <v>0</v>
      </c>
      <c r="X21" s="4">
        <f t="shared" si="4"/>
        <v>0</v>
      </c>
      <c r="Y21" s="4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6"/>
        <v>0</v>
      </c>
      <c r="AC21" s="4">
        <f t="shared" si="6"/>
        <v>0</v>
      </c>
      <c r="AD21" s="4">
        <f t="shared" si="6"/>
        <v>0</v>
      </c>
      <c r="AE21" s="4">
        <f t="shared" si="7"/>
        <v>0</v>
      </c>
      <c r="AF21" s="4">
        <f t="shared" si="7"/>
        <v>0</v>
      </c>
      <c r="AG21" s="4">
        <f t="shared" si="7"/>
        <v>0</v>
      </c>
      <c r="AH21" s="4">
        <f t="shared" si="8"/>
        <v>0</v>
      </c>
      <c r="AI21" s="4">
        <f t="shared" si="8"/>
        <v>0</v>
      </c>
      <c r="AJ21" s="4">
        <f t="shared" si="8"/>
        <v>0</v>
      </c>
      <c r="AK21" s="4">
        <f t="shared" si="9"/>
        <v>0</v>
      </c>
      <c r="AL21" s="4">
        <f t="shared" si="9"/>
        <v>0</v>
      </c>
      <c r="AM21" s="4">
        <f t="shared" si="9"/>
        <v>0</v>
      </c>
      <c r="AN21" s="4">
        <f t="shared" si="10"/>
        <v>0</v>
      </c>
      <c r="AO21" s="4">
        <f t="shared" si="10"/>
        <v>0</v>
      </c>
      <c r="AP21" s="4">
        <f t="shared" si="10"/>
        <v>0</v>
      </c>
      <c r="AQ21" s="4">
        <f t="shared" si="11"/>
        <v>0</v>
      </c>
      <c r="AR21" s="4">
        <f t="shared" si="11"/>
        <v>0</v>
      </c>
      <c r="AT21" s="28">
        <v>8</v>
      </c>
      <c r="AU21" s="29" t="str">
        <f>IF($P$21="3L",$Q$21,IF($S$21="3L",$T$21,IF($V$21="3L",$W$21,IF($Y$21="3L",$Z$21,IF($AB$21="3L",$AC$21,IF($AE$21="3L",$AF$21,IF($AH$21="3L",$AI$21,IF($AK$21="3L",$AL$21,IF($AN$21="3L",$AO$21,IF($AQ$21="3L",$AR$21,""))))))))))</f>
        <v/>
      </c>
      <c r="AV21" s="29" t="str">
        <f>IF($P$21="4L",$Q$21,IF($S$21="4L",$T$21,IF($V$21="4L",$W$21,IF($Y$21="4L",$Z$21,IF($AB$21="4L",$AC$21,IF($AE$21="4L",$AF$21,IF($AH$21="4L",$AI$21,IF($AK$21="4L",$AL$21,IF($AN$21="4L",$AO$21,IF($AQ$21="4L",$AR$21,""))))))))))</f>
        <v/>
      </c>
      <c r="AW21" s="29" t="str">
        <f>IF($P$21="5L",$Q$21,IF($S$21="5L",$T$21,IF($V$21="5L",$W$21,IF($Y$21="5L",$Z$21,IF($AB$21="5L",$AC$21,IF($AE$21="5L",$AF$21,IF($AH$21="5L",$AI$21,IF($AK$21="5L",$AL$21,IF($AN$21="5L",$AO$21,IF($AQ$21="5L",$AR$21,""))))))))))</f>
        <v/>
      </c>
      <c r="AX21" s="29" t="str">
        <f>IF($P$21="6L",$Q$21,IF($S$21="6L",$T$21,IF($V$21="6L",$W$21,IF($Y$21="6L",$Z$21,IF($AB$21="6L",$AC$21,IF($AE$21="6L",$AF$21,IF($AH$21="6L",$AI$21,IF($AK$21="6L",$AL$21,IF($AN$21="6L",$AO$21,IF($AQ$21="6L",$AR$21,""))))))))))</f>
        <v/>
      </c>
      <c r="AY21" s="29" t="str">
        <f>IF($P$21="7L",$Q$21,IF($S$21="7L",$T$21,IF($V$21="7L",$W$21,IF($Y$21="7L",$Z$21,IF($AB$21="7L",$AC$21,IF($AE$21="7L",$AF$21,IF($AH$21="7L",$AI$21,IF($AK$21="7L",$AL$21,IF($AN$21="7L",$AO$21,IF($AQ$21="7L",$AR$21,""))))))))))</f>
        <v/>
      </c>
      <c r="AZ21" s="29" t="str">
        <f t="shared" si="12"/>
        <v/>
      </c>
      <c r="BA21" s="29" t="str">
        <f t="shared" si="13"/>
        <v/>
      </c>
      <c r="BB21" s="29" t="str">
        <f t="shared" si="14"/>
        <v/>
      </c>
      <c r="BC21" s="29" t="str">
        <f t="shared" si="15"/>
        <v/>
      </c>
      <c r="BD21" s="29" t="str">
        <f>IF($P$21="FUM",$Q$21,IF($S$21="FUM",$T$21,IF($V$21="FUM",$W$21,IF($Y$21="FUM",$Z$21,IF($AB$21="FUM",$AC$21,IF($AE$21="FUM",$AF$21,IF($AH$21="FUM",$AI$21,IF($AK$21="FUM",$AL$21,IF($AN$21="FUM",$AO$21,IF($AQ$21="FUM",$AR$21,""))))))))))</f>
        <v/>
      </c>
    </row>
    <row r="22" spans="8:56" hidden="1" x14ac:dyDescent="0.25">
      <c r="H22" s="4">
        <f t="shared" si="1"/>
        <v>0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O22" s="28">
        <f t="shared" si="16"/>
        <v>0</v>
      </c>
      <c r="P22" s="4">
        <f t="shared" si="2"/>
        <v>0</v>
      </c>
      <c r="Q22" s="4">
        <f t="shared" si="2"/>
        <v>0</v>
      </c>
      <c r="R22" s="4">
        <f t="shared" si="2"/>
        <v>0</v>
      </c>
      <c r="S22" s="4">
        <f t="shared" si="3"/>
        <v>0</v>
      </c>
      <c r="T22" s="4">
        <f t="shared" si="3"/>
        <v>0</v>
      </c>
      <c r="U22" s="4">
        <f t="shared" si="3"/>
        <v>0</v>
      </c>
      <c r="V22" s="4">
        <f t="shared" si="4"/>
        <v>0</v>
      </c>
      <c r="W22" s="4">
        <f t="shared" si="4"/>
        <v>0</v>
      </c>
      <c r="X22" s="4">
        <f t="shared" si="4"/>
        <v>0</v>
      </c>
      <c r="Y22" s="4">
        <f t="shared" si="5"/>
        <v>0</v>
      </c>
      <c r="Z22" s="4">
        <f t="shared" si="5"/>
        <v>0</v>
      </c>
      <c r="AA22" s="4">
        <f t="shared" si="5"/>
        <v>0</v>
      </c>
      <c r="AB22" s="4">
        <f t="shared" si="6"/>
        <v>0</v>
      </c>
      <c r="AC22" s="4">
        <f t="shared" si="6"/>
        <v>0</v>
      </c>
      <c r="AD22" s="4">
        <f t="shared" si="6"/>
        <v>0</v>
      </c>
      <c r="AE22" s="4">
        <f t="shared" si="7"/>
        <v>0</v>
      </c>
      <c r="AF22" s="4">
        <f t="shared" si="7"/>
        <v>0</v>
      </c>
      <c r="AG22" s="4">
        <f t="shared" si="7"/>
        <v>0</v>
      </c>
      <c r="AH22" s="4">
        <f t="shared" si="8"/>
        <v>0</v>
      </c>
      <c r="AI22" s="4">
        <f t="shared" si="8"/>
        <v>0</v>
      </c>
      <c r="AJ22" s="4">
        <f t="shared" si="8"/>
        <v>0</v>
      </c>
      <c r="AK22" s="4">
        <f t="shared" si="9"/>
        <v>0</v>
      </c>
      <c r="AL22" s="4">
        <f t="shared" si="9"/>
        <v>0</v>
      </c>
      <c r="AM22" s="4">
        <f t="shared" si="9"/>
        <v>0</v>
      </c>
      <c r="AN22" s="4">
        <f t="shared" si="10"/>
        <v>0</v>
      </c>
      <c r="AO22" s="4">
        <f t="shared" si="10"/>
        <v>0</v>
      </c>
      <c r="AP22" s="4">
        <f t="shared" si="10"/>
        <v>0</v>
      </c>
      <c r="AQ22" s="4">
        <f t="shared" si="11"/>
        <v>0</v>
      </c>
      <c r="AR22" s="4">
        <f t="shared" si="11"/>
        <v>0</v>
      </c>
      <c r="AT22" s="28">
        <v>9</v>
      </c>
      <c r="AU22" s="29" t="str">
        <f>IF($P$22="3L",$Q$22,IF($S$22="3L",$T$22,IF($V$22="3L",$W$22,IF($Y$22="3L",$Z$22,IF($AB$22="3L",$AC$22,IF($AE$22="3L",$AF$22,IF($AH$22="3L",$AI$22,IF($AK$22="3L",$AL$22,IF($AN$22="3L",$AO$22,IF($AQ$22="3L",$AR$22,""))))))))))</f>
        <v/>
      </c>
      <c r="AV22" s="29" t="str">
        <f>IF($P$22="4L",$Q$22,IF($S$22="4L",$T$22,IF($V$22="4L",$W$22,IF($Y$22="4L",$Z$22,IF($AB$22="4L",$AC$22,IF($AE$22="4L",$AF$22,IF($AH$22="4L",$AI$22,IF($AK$22="4L",$AL$22,IF($AN$22="4L",$AO$22,IF($AQ$22="4L",$AR$22,""))))))))))</f>
        <v/>
      </c>
      <c r="AW22" s="29" t="str">
        <f>IF($P$22="5L",$Q$22,IF($S$22="5L",$T$22,IF($V$22="5L",$W$22,IF($Y$22="5L",$Z$22,IF($AB$22="5L",$AC$22,IF($AE$22="5L",$AF$22,IF($AH$22="5L",$AI$22,IF($AK$22="5L",$AL$22,IF($AN$22="5L",$AO$22,IF($AQ$22="5L",$AR$22,""))))))))))</f>
        <v/>
      </c>
      <c r="AX22" s="29" t="str">
        <f>IF($P$22="6L",$Q$22,IF($S$22="6L",$T$22,IF($V$22="6L",$W$22,IF($Y$22="6L",$Z$22,IF($AB$22="6L",$AC$22,IF($AE$22="6L",$AF$22,IF($AH$22="6L",$AI$22,IF($AK$22="6L",$AL$22,IF($AN$22="6L",$AO$22,IF($AQ$22="6L",$AR$22,""))))))))))</f>
        <v/>
      </c>
      <c r="AY22" s="29" t="str">
        <f>IF($P$22="7L",$Q$22,IF($S$22="7L",$T$22,IF($V$22="7L",$W$22,IF($Y$22="7L",$Z$22,IF($AB$22="7L",$AC$22,IF($AE$22="7L",$AF$22,IF($AH$22="7L",$AI$22,IF($AK$22="7L",$AL$22,IF($AN$22="7L",$AO$22,IF($AQ$22="7L",$AR$22,""))))))))))</f>
        <v/>
      </c>
      <c r="AZ22" s="29" t="str">
        <f t="shared" si="12"/>
        <v/>
      </c>
      <c r="BA22" s="29" t="str">
        <f t="shared" si="13"/>
        <v/>
      </c>
      <c r="BB22" s="29" t="str">
        <f t="shared" si="14"/>
        <v/>
      </c>
      <c r="BC22" s="29" t="str">
        <f t="shared" si="15"/>
        <v/>
      </c>
      <c r="BD22" s="29" t="str">
        <f>IF($P$22="FUM",$Q$22,IF($S$22="FUM",$T$22,IF($V$22="FUM",$W$22,IF($Y$22="FUM",$Z$22,IF($AB$22="FUM",$AC$22,IF($AE$22="FUM",$AF$22,IF($AH$22="FUM",$AI$22,IF($AK$22="FUM",$AL$22,IF($AN$22="FUM",$AO$22,IF($AQ$22="FUM",$AR$22,""))))))))))</f>
        <v/>
      </c>
    </row>
    <row r="23" spans="8:56" hidden="1" x14ac:dyDescent="0.25">
      <c r="H23" s="4">
        <f t="shared" si="1"/>
        <v>0</v>
      </c>
      <c r="I23" s="4">
        <f t="shared" si="1"/>
        <v>0</v>
      </c>
      <c r="J23" s="4">
        <f t="shared" si="1"/>
        <v>0</v>
      </c>
      <c r="K23" s="4">
        <f t="shared" si="1"/>
        <v>0</v>
      </c>
      <c r="L23" s="4">
        <f t="shared" si="1"/>
        <v>0</v>
      </c>
      <c r="O23" s="28">
        <f t="shared" si="16"/>
        <v>0</v>
      </c>
      <c r="P23" s="4">
        <f t="shared" si="2"/>
        <v>0</v>
      </c>
      <c r="Q23" s="4">
        <f t="shared" si="2"/>
        <v>0</v>
      </c>
      <c r="R23" s="4">
        <f t="shared" si="2"/>
        <v>0</v>
      </c>
      <c r="S23" s="4">
        <f t="shared" si="3"/>
        <v>0</v>
      </c>
      <c r="T23" s="4">
        <f t="shared" si="3"/>
        <v>0</v>
      </c>
      <c r="U23" s="4">
        <f t="shared" si="3"/>
        <v>0</v>
      </c>
      <c r="V23" s="4">
        <f t="shared" si="4"/>
        <v>0</v>
      </c>
      <c r="W23" s="4">
        <f t="shared" si="4"/>
        <v>0</v>
      </c>
      <c r="X23" s="4">
        <f t="shared" si="4"/>
        <v>0</v>
      </c>
      <c r="Y23" s="4">
        <f t="shared" si="5"/>
        <v>0</v>
      </c>
      <c r="Z23" s="4">
        <f t="shared" si="5"/>
        <v>0</v>
      </c>
      <c r="AA23" s="4">
        <f t="shared" si="5"/>
        <v>0</v>
      </c>
      <c r="AB23" s="4">
        <f t="shared" si="6"/>
        <v>0</v>
      </c>
      <c r="AC23" s="4">
        <f t="shared" si="6"/>
        <v>0</v>
      </c>
      <c r="AD23" s="4">
        <f t="shared" si="6"/>
        <v>0</v>
      </c>
      <c r="AE23" s="4">
        <f t="shared" si="7"/>
        <v>0</v>
      </c>
      <c r="AF23" s="4">
        <f t="shared" si="7"/>
        <v>0</v>
      </c>
      <c r="AG23" s="4">
        <f t="shared" si="7"/>
        <v>0</v>
      </c>
      <c r="AH23" s="4">
        <f t="shared" si="8"/>
        <v>0</v>
      </c>
      <c r="AI23" s="4">
        <f t="shared" si="8"/>
        <v>0</v>
      </c>
      <c r="AJ23" s="4">
        <f t="shared" si="8"/>
        <v>0</v>
      </c>
      <c r="AK23" s="4">
        <f t="shared" si="9"/>
        <v>0</v>
      </c>
      <c r="AL23" s="4">
        <f t="shared" si="9"/>
        <v>0</v>
      </c>
      <c r="AM23" s="4">
        <f t="shared" si="9"/>
        <v>0</v>
      </c>
      <c r="AN23" s="4">
        <f t="shared" si="10"/>
        <v>0</v>
      </c>
      <c r="AO23" s="4">
        <f t="shared" si="10"/>
        <v>0</v>
      </c>
      <c r="AP23" s="4">
        <f t="shared" si="10"/>
        <v>0</v>
      </c>
      <c r="AQ23" s="4">
        <f t="shared" si="11"/>
        <v>0</v>
      </c>
      <c r="AR23" s="4">
        <f t="shared" si="11"/>
        <v>0</v>
      </c>
      <c r="AT23" s="28">
        <v>10</v>
      </c>
      <c r="AU23" s="29" t="str">
        <f>IF($P$23="3L",$Q$23,IF($S$23="3L",$T$23,IF($V$23="3L",$W$23,IF($Y$23="3L",$Z$23,IF($AB$23="3L",$AC$23,IF($AE$23="3L",$AF$23,IF($AH$23="3L",$AI$23,IF($AK$23="3L",$AL$23,IF($AN$23="3L",$AO$23,IF($AQ$23="3L",$AR$23,""))))))))))</f>
        <v/>
      </c>
      <c r="AV23" s="29" t="str">
        <f>IF($P$23="4L",$Q$23,IF($S$23="4L",$T$23,IF($V$23="4L",$W$23,IF($Y$23="4L",$Z$23,IF($AB$23="4L",$AC$23,IF($AE$23="4L",$AF$23,IF($AH$23="4L",$AI$23,IF($AK$23="4L",$AL$23,IF($AN$23="4L",$AO$23,IF($AQ$23="4L",$AR$23,""))))))))))</f>
        <v/>
      </c>
      <c r="AW23" s="29" t="str">
        <f>IF($P$23="5L",$Q$23,IF($S$23="5L",$T$23,IF($V$23="5L",$W$23,IF($Y$23="5L",$Z$23,IF($AB$23="5L",$AC$23,IF($AE$23="5L",$AF$23,IF($AH$23="5L",$AI$23,IF($AK$23="5L",$AL$23,IF($AN$23="5L",$AO$23,IF($AQ$23="5L",$AR$23,""))))))))))</f>
        <v/>
      </c>
      <c r="AX23" s="29" t="str">
        <f>IF($P$23="6L",$Q$23,IF($S$23="6L",$T$23,IF($V$23="6L",$W$23,IF($Y$23="6L",$Z$23,IF($AB$23="6L",$AC$23,IF($AE$23="6L",$AF$23,IF($AH$23="6L",$AI$23,IF($AK$23="6L",$AL$23,IF($AN$23="6L",$AO$23,IF($AQ$23="6L",$AR$23,""))))))))))</f>
        <v/>
      </c>
      <c r="AY23" s="29" t="str">
        <f>IF($P$23="7L",$Q$23,IF($S$23="7L",$T$23,IF($V$23="7L",$W$23,IF($Y$23="7L",$Z$23,IF($AB$23="7L",$AC$23,IF($AE$23="7L",$AF$23,IF($AH$23="7L",$AI$23,IF($AK$23="7L",$AL$23,IF($AN$23="7L",$AO$23,IF($AQ$23="7L",$AR$23,""))))))))))</f>
        <v/>
      </c>
      <c r="AZ23" s="29" t="str">
        <f t="shared" si="12"/>
        <v/>
      </c>
      <c r="BA23" s="29" t="str">
        <f t="shared" si="13"/>
        <v/>
      </c>
      <c r="BB23" s="29" t="str">
        <f t="shared" si="14"/>
        <v/>
      </c>
      <c r="BC23" s="29" t="str">
        <f t="shared" si="15"/>
        <v/>
      </c>
      <c r="BD23" s="29" t="str">
        <f>IF($P$23="FUM",$Q$23,IF($S$23="FUM",$T$23,IF($V$23="FUM",$W$23,IF($Y$23="FUM",$Z$23,IF($AB$23="FUM",$AC$23,IF($AE$23="FUM",$AF$23,IF($AH$23="FUM",$AI$23,IF($AK$23="FUM",$AL$23,IF($AN$23="FUM",$AO$23,IF($AQ$23="FUM",$AR$23,""))))))))))</f>
        <v/>
      </c>
    </row>
    <row r="24" spans="8:56" hidden="1" x14ac:dyDescent="0.25">
      <c r="H24" s="4" t="str">
        <f t="shared" ref="H24:L33" si="17">P2</f>
        <v>AG</v>
      </c>
      <c r="I24" s="4">
        <f t="shared" si="17"/>
        <v>1000</v>
      </c>
      <c r="J24" s="4">
        <f t="shared" si="17"/>
        <v>10</v>
      </c>
      <c r="K24" s="4" t="str">
        <f t="shared" si="17"/>
        <v>Y</v>
      </c>
      <c r="L24" s="4" t="str">
        <f t="shared" si="17"/>
        <v>3L</v>
      </c>
    </row>
    <row r="25" spans="8:56" hidden="1" x14ac:dyDescent="0.25">
      <c r="H25" s="4">
        <f t="shared" si="17"/>
        <v>0</v>
      </c>
      <c r="I25" s="4">
        <f t="shared" si="17"/>
        <v>0</v>
      </c>
      <c r="J25" s="4">
        <f t="shared" si="17"/>
        <v>0</v>
      </c>
      <c r="K25" s="4">
        <f t="shared" si="17"/>
        <v>0</v>
      </c>
      <c r="L25" s="4">
        <f t="shared" si="17"/>
        <v>0</v>
      </c>
    </row>
    <row r="26" spans="8:56" hidden="1" x14ac:dyDescent="0.25">
      <c r="H26" s="4">
        <f t="shared" si="17"/>
        <v>0</v>
      </c>
      <c r="I26" s="4">
        <f t="shared" si="17"/>
        <v>0</v>
      </c>
      <c r="J26" s="4">
        <f t="shared" si="17"/>
        <v>0</v>
      </c>
      <c r="K26" s="4">
        <f t="shared" si="17"/>
        <v>0</v>
      </c>
      <c r="L26" s="4">
        <f t="shared" si="17"/>
        <v>0</v>
      </c>
    </row>
    <row r="27" spans="8:56" hidden="1" x14ac:dyDescent="0.25">
      <c r="H27" s="4">
        <f t="shared" si="17"/>
        <v>0</v>
      </c>
      <c r="I27" s="4">
        <f t="shared" si="17"/>
        <v>0</v>
      </c>
      <c r="J27" s="4">
        <f t="shared" si="17"/>
        <v>0</v>
      </c>
      <c r="K27" s="4">
        <f t="shared" si="17"/>
        <v>0</v>
      </c>
      <c r="L27" s="4">
        <f t="shared" si="17"/>
        <v>0</v>
      </c>
    </row>
    <row r="28" spans="8:56" hidden="1" x14ac:dyDescent="0.25">
      <c r="H28" s="4">
        <f t="shared" si="17"/>
        <v>0</v>
      </c>
      <c r="I28" s="4">
        <f t="shared" si="17"/>
        <v>0</v>
      </c>
      <c r="J28" s="4">
        <f t="shared" si="17"/>
        <v>0</v>
      </c>
      <c r="K28" s="4">
        <f t="shared" si="17"/>
        <v>0</v>
      </c>
      <c r="L28" s="4">
        <f t="shared" si="17"/>
        <v>0</v>
      </c>
    </row>
    <row r="29" spans="8:56" hidden="1" x14ac:dyDescent="0.25"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</row>
    <row r="30" spans="8:56" hidden="1" x14ac:dyDescent="0.25">
      <c r="H30" s="4">
        <f t="shared" si="17"/>
        <v>0</v>
      </c>
      <c r="I30" s="4">
        <f t="shared" si="17"/>
        <v>0</v>
      </c>
      <c r="J30" s="4">
        <f t="shared" si="17"/>
        <v>0</v>
      </c>
      <c r="K30" s="4">
        <f t="shared" si="17"/>
        <v>0</v>
      </c>
      <c r="L30" s="4">
        <f t="shared" si="17"/>
        <v>0</v>
      </c>
    </row>
    <row r="31" spans="8:56" hidden="1" x14ac:dyDescent="0.25">
      <c r="H31" s="4">
        <f t="shared" si="17"/>
        <v>0</v>
      </c>
      <c r="I31" s="4">
        <f t="shared" si="17"/>
        <v>0</v>
      </c>
      <c r="J31" s="4">
        <f t="shared" si="17"/>
        <v>0</v>
      </c>
      <c r="K31" s="4">
        <f t="shared" si="17"/>
        <v>0</v>
      </c>
      <c r="L31" s="4">
        <f t="shared" si="17"/>
        <v>0</v>
      </c>
    </row>
    <row r="32" spans="8:56" hidden="1" x14ac:dyDescent="0.25">
      <c r="H32" s="4">
        <f t="shared" si="17"/>
        <v>0</v>
      </c>
      <c r="I32" s="4">
        <f t="shared" si="17"/>
        <v>0</v>
      </c>
      <c r="J32" s="4">
        <f t="shared" si="17"/>
        <v>0</v>
      </c>
      <c r="K32" s="4">
        <f t="shared" si="17"/>
        <v>0</v>
      </c>
      <c r="L32" s="4">
        <f t="shared" si="17"/>
        <v>0</v>
      </c>
    </row>
    <row r="33" spans="8:12" hidden="1" x14ac:dyDescent="0.25">
      <c r="H33" s="4">
        <f t="shared" si="17"/>
        <v>0</v>
      </c>
      <c r="I33" s="4">
        <f t="shared" si="17"/>
        <v>0</v>
      </c>
      <c r="J33" s="4">
        <f t="shared" si="17"/>
        <v>0</v>
      </c>
      <c r="K33" s="4">
        <f t="shared" si="17"/>
        <v>0</v>
      </c>
      <c r="L33" s="4">
        <f t="shared" si="17"/>
        <v>0</v>
      </c>
    </row>
    <row r="34" spans="8:12" hidden="1" x14ac:dyDescent="0.25">
      <c r="H34" s="4" t="str">
        <f t="shared" ref="H34:L43" si="18">V2</f>
        <v>AG</v>
      </c>
      <c r="I34" s="4">
        <f t="shared" si="18"/>
        <v>750</v>
      </c>
      <c r="J34" s="4">
        <f t="shared" si="18"/>
        <v>10</v>
      </c>
      <c r="K34" s="4" t="str">
        <f t="shared" si="18"/>
        <v>Y</v>
      </c>
      <c r="L34" s="4" t="str">
        <f t="shared" si="18"/>
        <v>3L</v>
      </c>
    </row>
    <row r="35" spans="8:12" hidden="1" x14ac:dyDescent="0.25">
      <c r="H35" s="4">
        <f t="shared" si="18"/>
        <v>0</v>
      </c>
      <c r="I35" s="4">
        <f t="shared" si="18"/>
        <v>0</v>
      </c>
      <c r="J35" s="4">
        <f t="shared" si="18"/>
        <v>0</v>
      </c>
      <c r="K35" s="4">
        <f t="shared" si="18"/>
        <v>0</v>
      </c>
      <c r="L35" s="4">
        <f t="shared" si="18"/>
        <v>0</v>
      </c>
    </row>
    <row r="36" spans="8:12" hidden="1" x14ac:dyDescent="0.25">
      <c r="H36" s="4">
        <f t="shared" si="18"/>
        <v>0</v>
      </c>
      <c r="I36" s="4">
        <f t="shared" si="18"/>
        <v>0</v>
      </c>
      <c r="J36" s="4">
        <f t="shared" si="18"/>
        <v>0</v>
      </c>
      <c r="K36" s="4">
        <f t="shared" si="18"/>
        <v>0</v>
      </c>
      <c r="L36" s="4">
        <f t="shared" si="18"/>
        <v>0</v>
      </c>
    </row>
    <row r="37" spans="8:12" hidden="1" x14ac:dyDescent="0.25">
      <c r="H37" s="4">
        <f t="shared" si="18"/>
        <v>0</v>
      </c>
      <c r="I37" s="4">
        <f t="shared" si="18"/>
        <v>0</v>
      </c>
      <c r="J37" s="4">
        <f t="shared" si="18"/>
        <v>0</v>
      </c>
      <c r="K37" s="4">
        <f t="shared" si="18"/>
        <v>0</v>
      </c>
      <c r="L37" s="4">
        <f t="shared" si="18"/>
        <v>0</v>
      </c>
    </row>
    <row r="38" spans="8:12" hidden="1" x14ac:dyDescent="0.25">
      <c r="H38" s="4">
        <f t="shared" si="18"/>
        <v>0</v>
      </c>
      <c r="I38" s="4">
        <f t="shared" si="18"/>
        <v>0</v>
      </c>
      <c r="J38" s="4">
        <f t="shared" si="18"/>
        <v>0</v>
      </c>
      <c r="K38" s="4">
        <f t="shared" si="18"/>
        <v>0</v>
      </c>
      <c r="L38" s="4">
        <f t="shared" si="18"/>
        <v>0</v>
      </c>
    </row>
    <row r="39" spans="8:12" hidden="1" x14ac:dyDescent="0.25">
      <c r="H39" s="4">
        <f t="shared" si="18"/>
        <v>0</v>
      </c>
      <c r="I39" s="4">
        <f t="shared" si="18"/>
        <v>0</v>
      </c>
      <c r="J39" s="4">
        <f t="shared" si="18"/>
        <v>0</v>
      </c>
      <c r="K39" s="4">
        <f t="shared" si="18"/>
        <v>0</v>
      </c>
      <c r="L39" s="4">
        <f t="shared" si="18"/>
        <v>0</v>
      </c>
    </row>
    <row r="40" spans="8:12" hidden="1" x14ac:dyDescent="0.25">
      <c r="H40" s="4">
        <f t="shared" si="18"/>
        <v>0</v>
      </c>
      <c r="I40" s="4">
        <f t="shared" si="18"/>
        <v>0</v>
      </c>
      <c r="J40" s="4">
        <f t="shared" si="18"/>
        <v>0</v>
      </c>
      <c r="K40" s="4">
        <f t="shared" si="18"/>
        <v>0</v>
      </c>
      <c r="L40" s="4">
        <f t="shared" si="18"/>
        <v>0</v>
      </c>
    </row>
    <row r="41" spans="8:12" hidden="1" x14ac:dyDescent="0.25">
      <c r="H41" s="4">
        <f t="shared" si="18"/>
        <v>0</v>
      </c>
      <c r="I41" s="4">
        <f t="shared" si="18"/>
        <v>0</v>
      </c>
      <c r="J41" s="4">
        <f t="shared" si="18"/>
        <v>0</v>
      </c>
      <c r="K41" s="4">
        <f t="shared" si="18"/>
        <v>0</v>
      </c>
      <c r="L41" s="4">
        <f t="shared" si="18"/>
        <v>0</v>
      </c>
    </row>
    <row r="42" spans="8:12" hidden="1" x14ac:dyDescent="0.25">
      <c r="H42" s="4">
        <f t="shared" si="18"/>
        <v>0</v>
      </c>
      <c r="I42" s="4">
        <f t="shared" si="18"/>
        <v>0</v>
      </c>
      <c r="J42" s="4">
        <f t="shared" si="18"/>
        <v>0</v>
      </c>
      <c r="K42" s="4">
        <f t="shared" si="18"/>
        <v>0</v>
      </c>
      <c r="L42" s="4">
        <f t="shared" si="18"/>
        <v>0</v>
      </c>
    </row>
    <row r="43" spans="8:12" hidden="1" x14ac:dyDescent="0.25">
      <c r="H43" s="4">
        <f t="shared" si="18"/>
        <v>0</v>
      </c>
      <c r="I43" s="4">
        <f t="shared" si="18"/>
        <v>0</v>
      </c>
      <c r="J43" s="4">
        <f t="shared" si="18"/>
        <v>0</v>
      </c>
      <c r="K43" s="4">
        <f t="shared" si="18"/>
        <v>0</v>
      </c>
      <c r="L43" s="4">
        <f t="shared" si="18"/>
        <v>0</v>
      </c>
    </row>
    <row r="44" spans="8:12" hidden="1" x14ac:dyDescent="0.25">
      <c r="H44" s="4" t="str">
        <f t="shared" ref="H44:L53" si="19">AB2</f>
        <v>AG</v>
      </c>
      <c r="I44" s="4">
        <f t="shared" si="19"/>
        <v>500</v>
      </c>
      <c r="J44" s="4">
        <f t="shared" si="19"/>
        <v>20</v>
      </c>
      <c r="K44" s="4" t="str">
        <f t="shared" si="19"/>
        <v>Y</v>
      </c>
      <c r="L44" s="4" t="str">
        <f t="shared" si="19"/>
        <v>3L</v>
      </c>
    </row>
    <row r="45" spans="8:12" hidden="1" x14ac:dyDescent="0.25">
      <c r="H45" s="4">
        <f t="shared" si="19"/>
        <v>0</v>
      </c>
      <c r="I45" s="4">
        <f t="shared" si="19"/>
        <v>0</v>
      </c>
      <c r="J45" s="4">
        <f t="shared" si="19"/>
        <v>0</v>
      </c>
      <c r="K45" s="4">
        <f t="shared" si="19"/>
        <v>0</v>
      </c>
      <c r="L45" s="4">
        <f t="shared" si="19"/>
        <v>0</v>
      </c>
    </row>
    <row r="46" spans="8:12" hidden="1" x14ac:dyDescent="0.25">
      <c r="H46" s="4">
        <f t="shared" si="19"/>
        <v>0</v>
      </c>
      <c r="I46" s="4">
        <f t="shared" si="19"/>
        <v>0</v>
      </c>
      <c r="J46" s="4">
        <f t="shared" si="19"/>
        <v>0</v>
      </c>
      <c r="K46" s="4">
        <f t="shared" si="19"/>
        <v>0</v>
      </c>
      <c r="L46" s="4">
        <f t="shared" si="19"/>
        <v>0</v>
      </c>
    </row>
    <row r="47" spans="8:12" hidden="1" x14ac:dyDescent="0.25">
      <c r="H47" s="4">
        <f t="shared" si="19"/>
        <v>0</v>
      </c>
      <c r="I47" s="4">
        <f t="shared" si="19"/>
        <v>0</v>
      </c>
      <c r="J47" s="4">
        <f t="shared" si="19"/>
        <v>0</v>
      </c>
      <c r="K47" s="4">
        <f t="shared" si="19"/>
        <v>0</v>
      </c>
      <c r="L47" s="4">
        <f t="shared" si="19"/>
        <v>0</v>
      </c>
    </row>
    <row r="48" spans="8:12" hidden="1" x14ac:dyDescent="0.25">
      <c r="H48" s="4">
        <f t="shared" si="19"/>
        <v>0</v>
      </c>
      <c r="I48" s="4">
        <f t="shared" si="19"/>
        <v>0</v>
      </c>
      <c r="J48" s="4">
        <f t="shared" si="19"/>
        <v>0</v>
      </c>
      <c r="K48" s="4">
        <f t="shared" si="19"/>
        <v>0</v>
      </c>
      <c r="L48" s="4">
        <f t="shared" si="19"/>
        <v>0</v>
      </c>
    </row>
    <row r="49" spans="8:12" hidden="1" x14ac:dyDescent="0.25">
      <c r="H49" s="4">
        <f t="shared" si="19"/>
        <v>0</v>
      </c>
      <c r="I49" s="4">
        <f t="shared" si="19"/>
        <v>0</v>
      </c>
      <c r="J49" s="4">
        <f t="shared" si="19"/>
        <v>0</v>
      </c>
      <c r="K49" s="4">
        <f t="shared" si="19"/>
        <v>0</v>
      </c>
      <c r="L49" s="4">
        <f t="shared" si="19"/>
        <v>0</v>
      </c>
    </row>
    <row r="50" spans="8:12" hidden="1" x14ac:dyDescent="0.25">
      <c r="H50" s="4">
        <f t="shared" si="19"/>
        <v>0</v>
      </c>
      <c r="I50" s="4">
        <f t="shared" si="19"/>
        <v>0</v>
      </c>
      <c r="J50" s="4">
        <f t="shared" si="19"/>
        <v>0</v>
      </c>
      <c r="K50" s="4">
        <f t="shared" si="19"/>
        <v>0</v>
      </c>
      <c r="L50" s="4">
        <f t="shared" si="19"/>
        <v>0</v>
      </c>
    </row>
    <row r="51" spans="8:12" hidden="1" x14ac:dyDescent="0.25">
      <c r="H51" s="4">
        <f t="shared" si="19"/>
        <v>0</v>
      </c>
      <c r="I51" s="4">
        <f t="shared" si="19"/>
        <v>0</v>
      </c>
      <c r="J51" s="4">
        <f t="shared" si="19"/>
        <v>0</v>
      </c>
      <c r="K51" s="4">
        <f t="shared" si="19"/>
        <v>0</v>
      </c>
      <c r="L51" s="4">
        <f t="shared" si="19"/>
        <v>0</v>
      </c>
    </row>
    <row r="52" spans="8:12" hidden="1" x14ac:dyDescent="0.25">
      <c r="H52" s="4">
        <f t="shared" si="19"/>
        <v>0</v>
      </c>
      <c r="I52" s="4">
        <f t="shared" si="19"/>
        <v>0</v>
      </c>
      <c r="J52" s="4">
        <f t="shared" si="19"/>
        <v>0</v>
      </c>
      <c r="K52" s="4">
        <f t="shared" si="19"/>
        <v>0</v>
      </c>
      <c r="L52" s="4">
        <f t="shared" si="19"/>
        <v>0</v>
      </c>
    </row>
    <row r="53" spans="8:12" hidden="1" x14ac:dyDescent="0.25">
      <c r="H53" s="4">
        <f t="shared" si="19"/>
        <v>0</v>
      </c>
      <c r="I53" s="4">
        <f t="shared" si="19"/>
        <v>0</v>
      </c>
      <c r="J53" s="4">
        <f t="shared" si="19"/>
        <v>0</v>
      </c>
      <c r="K53" s="4">
        <f t="shared" si="19"/>
        <v>0</v>
      </c>
      <c r="L53" s="4">
        <f t="shared" si="19"/>
        <v>0</v>
      </c>
    </row>
    <row r="54" spans="8:12" hidden="1" x14ac:dyDescent="0.25">
      <c r="H54" s="4">
        <f t="shared" ref="H54:L63" si="20">AH2</f>
        <v>0</v>
      </c>
      <c r="I54" s="4">
        <f t="shared" si="20"/>
        <v>0</v>
      </c>
      <c r="J54" s="4">
        <f t="shared" si="20"/>
        <v>0</v>
      </c>
      <c r="K54" s="4">
        <f t="shared" si="20"/>
        <v>0</v>
      </c>
      <c r="L54" s="4">
        <f t="shared" si="20"/>
        <v>0</v>
      </c>
    </row>
    <row r="55" spans="8:12" hidden="1" x14ac:dyDescent="0.25">
      <c r="H55" s="4">
        <f t="shared" si="20"/>
        <v>0</v>
      </c>
      <c r="I55" s="4">
        <f t="shared" si="20"/>
        <v>0</v>
      </c>
      <c r="J55" s="4">
        <f t="shared" si="20"/>
        <v>0</v>
      </c>
      <c r="K55" s="4">
        <f t="shared" si="20"/>
        <v>0</v>
      </c>
      <c r="L55" s="4">
        <f t="shared" si="20"/>
        <v>0</v>
      </c>
    </row>
    <row r="56" spans="8:12" hidden="1" x14ac:dyDescent="0.25">
      <c r="H56" s="4">
        <f t="shared" si="20"/>
        <v>0</v>
      </c>
      <c r="I56" s="4">
        <f t="shared" si="20"/>
        <v>0</v>
      </c>
      <c r="J56" s="4">
        <f t="shared" si="20"/>
        <v>0</v>
      </c>
      <c r="K56" s="4">
        <f t="shared" si="20"/>
        <v>0</v>
      </c>
      <c r="L56" s="4">
        <f t="shared" si="20"/>
        <v>0</v>
      </c>
    </row>
    <row r="57" spans="8:12" hidden="1" x14ac:dyDescent="0.25">
      <c r="H57" s="4">
        <f t="shared" si="20"/>
        <v>0</v>
      </c>
      <c r="I57" s="4">
        <f t="shared" si="20"/>
        <v>0</v>
      </c>
      <c r="J57" s="4">
        <f t="shared" si="20"/>
        <v>0</v>
      </c>
      <c r="K57" s="4">
        <f t="shared" si="20"/>
        <v>0</v>
      </c>
      <c r="L57" s="4">
        <f t="shared" si="20"/>
        <v>0</v>
      </c>
    </row>
    <row r="58" spans="8:12" hidden="1" x14ac:dyDescent="0.25">
      <c r="H58" s="4">
        <f t="shared" si="20"/>
        <v>0</v>
      </c>
      <c r="I58" s="4">
        <f t="shared" si="20"/>
        <v>0</v>
      </c>
      <c r="J58" s="4">
        <f t="shared" si="20"/>
        <v>0</v>
      </c>
      <c r="K58" s="4">
        <f t="shared" si="20"/>
        <v>0</v>
      </c>
      <c r="L58" s="4">
        <f t="shared" si="20"/>
        <v>0</v>
      </c>
    </row>
    <row r="59" spans="8:12" hidden="1" x14ac:dyDescent="0.25">
      <c r="H59" s="4">
        <f t="shared" si="20"/>
        <v>0</v>
      </c>
      <c r="I59" s="4">
        <f t="shared" si="20"/>
        <v>0</v>
      </c>
      <c r="J59" s="4">
        <f t="shared" si="20"/>
        <v>0</v>
      </c>
      <c r="K59" s="4">
        <f t="shared" si="20"/>
        <v>0</v>
      </c>
      <c r="L59" s="4">
        <f t="shared" si="20"/>
        <v>0</v>
      </c>
    </row>
    <row r="60" spans="8:12" hidden="1" x14ac:dyDescent="0.25">
      <c r="H60" s="4">
        <f t="shared" si="20"/>
        <v>0</v>
      </c>
      <c r="I60" s="4">
        <f t="shared" si="20"/>
        <v>0</v>
      </c>
      <c r="J60" s="4">
        <f t="shared" si="20"/>
        <v>0</v>
      </c>
      <c r="K60" s="4">
        <f t="shared" si="20"/>
        <v>0</v>
      </c>
      <c r="L60" s="4">
        <f t="shared" si="20"/>
        <v>0</v>
      </c>
    </row>
    <row r="61" spans="8:12" hidden="1" x14ac:dyDescent="0.25">
      <c r="H61" s="4">
        <f t="shared" si="20"/>
        <v>0</v>
      </c>
      <c r="I61" s="4">
        <f t="shared" si="20"/>
        <v>0</v>
      </c>
      <c r="J61" s="4">
        <f t="shared" si="20"/>
        <v>0</v>
      </c>
      <c r="K61" s="4">
        <f t="shared" si="20"/>
        <v>0</v>
      </c>
      <c r="L61" s="4">
        <f t="shared" si="20"/>
        <v>0</v>
      </c>
    </row>
    <row r="62" spans="8:12" hidden="1" x14ac:dyDescent="0.25">
      <c r="H62" s="4">
        <f t="shared" si="20"/>
        <v>0</v>
      </c>
      <c r="I62" s="4">
        <f t="shared" si="20"/>
        <v>0</v>
      </c>
      <c r="J62" s="4">
        <f t="shared" si="20"/>
        <v>0</v>
      </c>
      <c r="K62" s="4">
        <f t="shared" si="20"/>
        <v>0</v>
      </c>
      <c r="L62" s="4">
        <f t="shared" si="20"/>
        <v>0</v>
      </c>
    </row>
    <row r="63" spans="8:12" hidden="1" x14ac:dyDescent="0.25">
      <c r="H63" s="4">
        <f t="shared" si="20"/>
        <v>0</v>
      </c>
      <c r="I63" s="4">
        <f t="shared" si="20"/>
        <v>0</v>
      </c>
      <c r="J63" s="4">
        <f t="shared" si="20"/>
        <v>0</v>
      </c>
      <c r="K63" s="4">
        <f t="shared" si="20"/>
        <v>0</v>
      </c>
      <c r="L63" s="4">
        <f t="shared" si="20"/>
        <v>0</v>
      </c>
    </row>
    <row r="64" spans="8:12" hidden="1" x14ac:dyDescent="0.25">
      <c r="H64" s="4">
        <f t="shared" ref="H64:L73" si="21">AN2</f>
        <v>0</v>
      </c>
      <c r="I64" s="4">
        <f t="shared" si="21"/>
        <v>0</v>
      </c>
      <c r="J64" s="4">
        <f t="shared" si="21"/>
        <v>0</v>
      </c>
      <c r="K64" s="4">
        <f t="shared" si="21"/>
        <v>0</v>
      </c>
      <c r="L64" s="4">
        <f t="shared" si="21"/>
        <v>0</v>
      </c>
    </row>
    <row r="65" spans="8:12" hidden="1" x14ac:dyDescent="0.25">
      <c r="H65" s="4">
        <f t="shared" si="21"/>
        <v>0</v>
      </c>
      <c r="I65" s="4">
        <f t="shared" si="21"/>
        <v>0</v>
      </c>
      <c r="J65" s="4">
        <f t="shared" si="21"/>
        <v>0</v>
      </c>
      <c r="K65" s="4">
        <f t="shared" si="21"/>
        <v>0</v>
      </c>
      <c r="L65" s="4">
        <f t="shared" si="21"/>
        <v>0</v>
      </c>
    </row>
    <row r="66" spans="8:12" hidden="1" x14ac:dyDescent="0.25">
      <c r="H66" s="4">
        <f t="shared" si="21"/>
        <v>0</v>
      </c>
      <c r="I66" s="4">
        <f t="shared" si="21"/>
        <v>0</v>
      </c>
      <c r="J66" s="4">
        <f t="shared" si="21"/>
        <v>0</v>
      </c>
      <c r="K66" s="4">
        <f t="shared" si="21"/>
        <v>0</v>
      </c>
      <c r="L66" s="4">
        <f t="shared" si="21"/>
        <v>0</v>
      </c>
    </row>
    <row r="67" spans="8:12" hidden="1" x14ac:dyDescent="0.25">
      <c r="H67" s="4">
        <f t="shared" si="21"/>
        <v>0</v>
      </c>
      <c r="I67" s="4">
        <f t="shared" si="21"/>
        <v>0</v>
      </c>
      <c r="J67" s="4">
        <f t="shared" si="21"/>
        <v>0</v>
      </c>
      <c r="K67" s="4">
        <f t="shared" si="21"/>
        <v>0</v>
      </c>
      <c r="L67" s="4">
        <f t="shared" si="21"/>
        <v>0</v>
      </c>
    </row>
    <row r="68" spans="8:12" hidden="1" x14ac:dyDescent="0.25">
      <c r="H68" s="4">
        <f t="shared" si="21"/>
        <v>0</v>
      </c>
      <c r="I68" s="4">
        <f t="shared" si="21"/>
        <v>0</v>
      </c>
      <c r="J68" s="4">
        <f t="shared" si="21"/>
        <v>0</v>
      </c>
      <c r="K68" s="4">
        <f t="shared" si="21"/>
        <v>0</v>
      </c>
      <c r="L68" s="4">
        <f t="shared" si="21"/>
        <v>0</v>
      </c>
    </row>
    <row r="69" spans="8:12" hidden="1" x14ac:dyDescent="0.25">
      <c r="H69" s="4">
        <f t="shared" si="21"/>
        <v>0</v>
      </c>
      <c r="I69" s="4">
        <f t="shared" si="21"/>
        <v>0</v>
      </c>
      <c r="J69" s="4">
        <f t="shared" si="21"/>
        <v>0</v>
      </c>
      <c r="K69" s="4">
        <f t="shared" si="21"/>
        <v>0</v>
      </c>
      <c r="L69" s="4">
        <f t="shared" si="21"/>
        <v>0</v>
      </c>
    </row>
    <row r="70" spans="8:12" hidden="1" x14ac:dyDescent="0.25">
      <c r="H70" s="4">
        <f t="shared" si="21"/>
        <v>0</v>
      </c>
      <c r="I70" s="4">
        <f t="shared" si="21"/>
        <v>0</v>
      </c>
      <c r="J70" s="4">
        <f t="shared" si="21"/>
        <v>0</v>
      </c>
      <c r="K70" s="4">
        <f t="shared" si="21"/>
        <v>0</v>
      </c>
      <c r="L70" s="4">
        <f t="shared" si="21"/>
        <v>0</v>
      </c>
    </row>
    <row r="71" spans="8:12" hidden="1" x14ac:dyDescent="0.25">
      <c r="H71" s="4">
        <f t="shared" si="21"/>
        <v>0</v>
      </c>
      <c r="I71" s="4">
        <f t="shared" si="21"/>
        <v>0</v>
      </c>
      <c r="J71" s="4">
        <f t="shared" si="21"/>
        <v>0</v>
      </c>
      <c r="K71" s="4">
        <f t="shared" si="21"/>
        <v>0</v>
      </c>
      <c r="L71" s="4">
        <f t="shared" si="21"/>
        <v>0</v>
      </c>
    </row>
    <row r="72" spans="8:12" hidden="1" x14ac:dyDescent="0.25">
      <c r="H72" s="4">
        <f t="shared" si="21"/>
        <v>0</v>
      </c>
      <c r="I72" s="4">
        <f t="shared" si="21"/>
        <v>0</v>
      </c>
      <c r="J72" s="4">
        <f t="shared" si="21"/>
        <v>0</v>
      </c>
      <c r="K72" s="4">
        <f t="shared" si="21"/>
        <v>0</v>
      </c>
      <c r="L72" s="4">
        <f t="shared" si="21"/>
        <v>0</v>
      </c>
    </row>
    <row r="73" spans="8:12" hidden="1" x14ac:dyDescent="0.25">
      <c r="H73" s="4">
        <f t="shared" si="21"/>
        <v>0</v>
      </c>
      <c r="I73" s="4">
        <f t="shared" si="21"/>
        <v>0</v>
      </c>
      <c r="J73" s="4">
        <f t="shared" si="21"/>
        <v>0</v>
      </c>
      <c r="K73" s="4">
        <f t="shared" si="21"/>
        <v>0</v>
      </c>
      <c r="L73" s="4">
        <f t="shared" si="21"/>
        <v>0</v>
      </c>
    </row>
    <row r="74" spans="8:12" hidden="1" x14ac:dyDescent="0.25">
      <c r="H74" s="4">
        <f t="shared" ref="H74:L83" si="22">AT2</f>
        <v>0</v>
      </c>
      <c r="I74" s="4">
        <f t="shared" si="22"/>
        <v>0</v>
      </c>
      <c r="J74" s="4">
        <f t="shared" si="22"/>
        <v>0</v>
      </c>
      <c r="K74" s="4">
        <f t="shared" si="22"/>
        <v>0</v>
      </c>
      <c r="L74" s="4">
        <f t="shared" si="22"/>
        <v>0</v>
      </c>
    </row>
    <row r="75" spans="8:12" hidden="1" x14ac:dyDescent="0.25">
      <c r="H75" s="4">
        <f t="shared" si="22"/>
        <v>0</v>
      </c>
      <c r="I75" s="4">
        <f t="shared" si="22"/>
        <v>0</v>
      </c>
      <c r="J75" s="4">
        <f t="shared" si="22"/>
        <v>0</v>
      </c>
      <c r="K75" s="4">
        <f t="shared" si="22"/>
        <v>0</v>
      </c>
      <c r="L75" s="4">
        <f t="shared" si="22"/>
        <v>0</v>
      </c>
    </row>
    <row r="76" spans="8:12" hidden="1" x14ac:dyDescent="0.25"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0</v>
      </c>
    </row>
    <row r="77" spans="8:12" hidden="1" x14ac:dyDescent="0.25">
      <c r="H77" s="4">
        <f t="shared" si="22"/>
        <v>0</v>
      </c>
      <c r="I77" s="4">
        <f t="shared" si="22"/>
        <v>0</v>
      </c>
      <c r="J77" s="4">
        <f t="shared" si="22"/>
        <v>0</v>
      </c>
      <c r="K77" s="4">
        <f t="shared" si="22"/>
        <v>0</v>
      </c>
      <c r="L77" s="4">
        <f t="shared" si="22"/>
        <v>0</v>
      </c>
    </row>
    <row r="78" spans="8:12" hidden="1" x14ac:dyDescent="0.25">
      <c r="H78" s="4">
        <f t="shared" si="22"/>
        <v>0</v>
      </c>
      <c r="I78" s="4">
        <f t="shared" si="22"/>
        <v>0</v>
      </c>
      <c r="J78" s="4">
        <f t="shared" si="22"/>
        <v>0</v>
      </c>
      <c r="K78" s="4">
        <f t="shared" si="22"/>
        <v>0</v>
      </c>
      <c r="L78" s="4">
        <f t="shared" si="22"/>
        <v>0</v>
      </c>
    </row>
    <row r="79" spans="8:12" hidden="1" x14ac:dyDescent="0.25">
      <c r="H79" s="4">
        <f t="shared" si="22"/>
        <v>0</v>
      </c>
      <c r="I79" s="4">
        <f t="shared" si="22"/>
        <v>0</v>
      </c>
      <c r="J79" s="4">
        <f t="shared" si="22"/>
        <v>0</v>
      </c>
      <c r="K79" s="4">
        <f t="shared" si="22"/>
        <v>0</v>
      </c>
      <c r="L79" s="4">
        <f t="shared" si="22"/>
        <v>0</v>
      </c>
    </row>
    <row r="80" spans="8:12" hidden="1" x14ac:dyDescent="0.25">
      <c r="H80" s="4">
        <f t="shared" si="22"/>
        <v>0</v>
      </c>
      <c r="I80" s="4">
        <f t="shared" si="22"/>
        <v>0</v>
      </c>
      <c r="J80" s="4">
        <f t="shared" si="22"/>
        <v>0</v>
      </c>
      <c r="K80" s="4">
        <f t="shared" si="22"/>
        <v>0</v>
      </c>
      <c r="L80" s="4">
        <f t="shared" si="22"/>
        <v>0</v>
      </c>
    </row>
    <row r="81" spans="8:12" hidden="1" x14ac:dyDescent="0.25">
      <c r="H81" s="4">
        <f t="shared" si="22"/>
        <v>0</v>
      </c>
      <c r="I81" s="4">
        <f t="shared" si="22"/>
        <v>0</v>
      </c>
      <c r="J81" s="4">
        <f t="shared" si="22"/>
        <v>0</v>
      </c>
      <c r="K81" s="4">
        <f t="shared" si="22"/>
        <v>0</v>
      </c>
      <c r="L81" s="4">
        <f t="shared" si="22"/>
        <v>0</v>
      </c>
    </row>
    <row r="82" spans="8:12" hidden="1" x14ac:dyDescent="0.25"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</row>
    <row r="83" spans="8:12" hidden="1" x14ac:dyDescent="0.25">
      <c r="H83" s="4">
        <f t="shared" si="22"/>
        <v>0</v>
      </c>
      <c r="I83" s="4">
        <f t="shared" si="22"/>
        <v>0</v>
      </c>
      <c r="J83" s="4">
        <f t="shared" si="22"/>
        <v>0</v>
      </c>
      <c r="K83" s="4">
        <f t="shared" si="22"/>
        <v>0</v>
      </c>
      <c r="L83" s="4">
        <f t="shared" si="22"/>
        <v>0</v>
      </c>
    </row>
    <row r="84" spans="8:12" hidden="1" x14ac:dyDescent="0.25">
      <c r="H84" s="4">
        <f t="shared" ref="H84:L93" si="23">AZ2</f>
        <v>0</v>
      </c>
      <c r="I84" s="4">
        <f t="shared" si="23"/>
        <v>0</v>
      </c>
      <c r="J84" s="4">
        <f t="shared" si="23"/>
        <v>0</v>
      </c>
      <c r="K84" s="4">
        <f t="shared" si="23"/>
        <v>0</v>
      </c>
      <c r="L84" s="4">
        <f t="shared" si="23"/>
        <v>0</v>
      </c>
    </row>
    <row r="85" spans="8:12" hidden="1" x14ac:dyDescent="0.25">
      <c r="H85" s="4">
        <f t="shared" si="23"/>
        <v>0</v>
      </c>
      <c r="I85" s="4">
        <f t="shared" si="23"/>
        <v>0</v>
      </c>
      <c r="J85" s="4">
        <f t="shared" si="23"/>
        <v>0</v>
      </c>
      <c r="K85" s="4">
        <f t="shared" si="23"/>
        <v>0</v>
      </c>
      <c r="L85" s="4">
        <f t="shared" si="23"/>
        <v>0</v>
      </c>
    </row>
    <row r="86" spans="8:12" hidden="1" x14ac:dyDescent="0.25">
      <c r="H86" s="4">
        <f t="shared" si="23"/>
        <v>0</v>
      </c>
      <c r="I86" s="4">
        <f t="shared" si="23"/>
        <v>0</v>
      </c>
      <c r="J86" s="4">
        <f t="shared" si="23"/>
        <v>0</v>
      </c>
      <c r="K86" s="4">
        <f t="shared" si="23"/>
        <v>0</v>
      </c>
      <c r="L86" s="4">
        <f t="shared" si="23"/>
        <v>0</v>
      </c>
    </row>
    <row r="87" spans="8:12" hidden="1" x14ac:dyDescent="0.25">
      <c r="H87" s="4">
        <f t="shared" si="23"/>
        <v>0</v>
      </c>
      <c r="I87" s="4">
        <f t="shared" si="23"/>
        <v>0</v>
      </c>
      <c r="J87" s="4">
        <f t="shared" si="23"/>
        <v>0</v>
      </c>
      <c r="K87" s="4">
        <f t="shared" si="23"/>
        <v>0</v>
      </c>
      <c r="L87" s="4">
        <f t="shared" si="23"/>
        <v>0</v>
      </c>
    </row>
    <row r="88" spans="8:12" hidden="1" x14ac:dyDescent="0.25">
      <c r="H88" s="4">
        <f t="shared" si="23"/>
        <v>0</v>
      </c>
      <c r="I88" s="4">
        <f t="shared" si="23"/>
        <v>0</v>
      </c>
      <c r="J88" s="4">
        <f t="shared" si="23"/>
        <v>0</v>
      </c>
      <c r="K88" s="4">
        <f t="shared" si="23"/>
        <v>0</v>
      </c>
      <c r="L88" s="4">
        <f t="shared" si="23"/>
        <v>0</v>
      </c>
    </row>
    <row r="89" spans="8:12" hidden="1" x14ac:dyDescent="0.25">
      <c r="H89" s="4">
        <f t="shared" si="23"/>
        <v>0</v>
      </c>
      <c r="I89" s="4">
        <f t="shared" si="23"/>
        <v>0</v>
      </c>
      <c r="J89" s="4">
        <f t="shared" si="23"/>
        <v>0</v>
      </c>
      <c r="K89" s="4">
        <f t="shared" si="23"/>
        <v>0</v>
      </c>
      <c r="L89" s="4">
        <f t="shared" si="23"/>
        <v>0</v>
      </c>
    </row>
    <row r="90" spans="8:12" hidden="1" x14ac:dyDescent="0.25">
      <c r="H90" s="4">
        <f t="shared" si="23"/>
        <v>0</v>
      </c>
      <c r="I90" s="4">
        <f t="shared" si="23"/>
        <v>0</v>
      </c>
      <c r="J90" s="4">
        <f t="shared" si="23"/>
        <v>0</v>
      </c>
      <c r="K90" s="4">
        <f t="shared" si="23"/>
        <v>0</v>
      </c>
      <c r="L90" s="4">
        <f t="shared" si="23"/>
        <v>0</v>
      </c>
    </row>
    <row r="91" spans="8:12" hidden="1" x14ac:dyDescent="0.25">
      <c r="H91" s="4">
        <f t="shared" si="23"/>
        <v>0</v>
      </c>
      <c r="I91" s="4">
        <f t="shared" si="23"/>
        <v>0</v>
      </c>
      <c r="J91" s="4">
        <f t="shared" si="23"/>
        <v>0</v>
      </c>
      <c r="K91" s="4">
        <f t="shared" si="23"/>
        <v>0</v>
      </c>
      <c r="L91" s="4">
        <f t="shared" si="23"/>
        <v>0</v>
      </c>
    </row>
    <row r="92" spans="8:12" hidden="1" x14ac:dyDescent="0.25">
      <c r="H92" s="4">
        <f t="shared" si="23"/>
        <v>0</v>
      </c>
      <c r="I92" s="4">
        <f t="shared" si="23"/>
        <v>0</v>
      </c>
      <c r="J92" s="4">
        <f t="shared" si="23"/>
        <v>0</v>
      </c>
      <c r="K92" s="4">
        <f t="shared" si="23"/>
        <v>0</v>
      </c>
      <c r="L92" s="4">
        <f t="shared" si="23"/>
        <v>0</v>
      </c>
    </row>
    <row r="93" spans="8:12" hidden="1" x14ac:dyDescent="0.25">
      <c r="H93" s="4">
        <f t="shared" si="23"/>
        <v>0</v>
      </c>
      <c r="I93" s="4">
        <f t="shared" si="23"/>
        <v>0</v>
      </c>
      <c r="J93" s="4">
        <f t="shared" si="23"/>
        <v>0</v>
      </c>
      <c r="K93" s="4">
        <f t="shared" si="23"/>
        <v>0</v>
      </c>
      <c r="L93" s="4">
        <f t="shared" si="23"/>
        <v>0</v>
      </c>
    </row>
    <row r="94" spans="8:12" hidden="1" x14ac:dyDescent="0.25">
      <c r="H94" s="4">
        <f t="shared" ref="H94:L103" si="24">BF2</f>
        <v>0</v>
      </c>
      <c r="I94" s="4">
        <f t="shared" si="24"/>
        <v>0</v>
      </c>
      <c r="J94" s="4">
        <f t="shared" si="24"/>
        <v>0</v>
      </c>
      <c r="K94" s="4">
        <f t="shared" si="24"/>
        <v>0</v>
      </c>
      <c r="L94" s="4">
        <f t="shared" si="24"/>
        <v>0</v>
      </c>
    </row>
    <row r="95" spans="8:12" hidden="1" x14ac:dyDescent="0.25">
      <c r="H95" s="4">
        <f t="shared" si="24"/>
        <v>0</v>
      </c>
      <c r="I95" s="4">
        <f t="shared" si="24"/>
        <v>0</v>
      </c>
      <c r="J95" s="4">
        <f t="shared" si="24"/>
        <v>0</v>
      </c>
      <c r="K95" s="4">
        <f t="shared" si="24"/>
        <v>0</v>
      </c>
      <c r="L95" s="4">
        <f t="shared" si="24"/>
        <v>0</v>
      </c>
    </row>
    <row r="96" spans="8:12" hidden="1" x14ac:dyDescent="0.25">
      <c r="H96" s="4">
        <f t="shared" si="24"/>
        <v>0</v>
      </c>
      <c r="I96" s="4">
        <f t="shared" si="24"/>
        <v>0</v>
      </c>
      <c r="J96" s="4">
        <f t="shared" si="24"/>
        <v>0</v>
      </c>
      <c r="K96" s="4">
        <f t="shared" si="24"/>
        <v>0</v>
      </c>
      <c r="L96" s="4">
        <f t="shared" si="24"/>
        <v>0</v>
      </c>
    </row>
    <row r="97" spans="8:12" hidden="1" x14ac:dyDescent="0.25">
      <c r="H97" s="4">
        <f t="shared" si="24"/>
        <v>0</v>
      </c>
      <c r="I97" s="4">
        <f t="shared" si="24"/>
        <v>0</v>
      </c>
      <c r="J97" s="4">
        <f t="shared" si="24"/>
        <v>0</v>
      </c>
      <c r="K97" s="4">
        <f t="shared" si="24"/>
        <v>0</v>
      </c>
      <c r="L97" s="4">
        <f t="shared" si="24"/>
        <v>0</v>
      </c>
    </row>
    <row r="98" spans="8:12" hidden="1" x14ac:dyDescent="0.25">
      <c r="H98" s="4">
        <f t="shared" si="24"/>
        <v>0</v>
      </c>
      <c r="I98" s="4">
        <f t="shared" si="24"/>
        <v>0</v>
      </c>
      <c r="J98" s="4">
        <f t="shared" si="24"/>
        <v>0</v>
      </c>
      <c r="K98" s="4">
        <f t="shared" si="24"/>
        <v>0</v>
      </c>
      <c r="L98" s="4">
        <f t="shared" si="24"/>
        <v>0</v>
      </c>
    </row>
    <row r="99" spans="8:12" hidden="1" x14ac:dyDescent="0.25">
      <c r="H99" s="4">
        <f t="shared" si="24"/>
        <v>0</v>
      </c>
      <c r="I99" s="4">
        <f t="shared" si="24"/>
        <v>0</v>
      </c>
      <c r="J99" s="4">
        <f t="shared" si="24"/>
        <v>0</v>
      </c>
      <c r="K99" s="4">
        <f t="shared" si="24"/>
        <v>0</v>
      </c>
      <c r="L99" s="4">
        <f t="shared" si="24"/>
        <v>0</v>
      </c>
    </row>
    <row r="100" spans="8:12" hidden="1" x14ac:dyDescent="0.25">
      <c r="H100" s="4">
        <f t="shared" si="24"/>
        <v>0</v>
      </c>
      <c r="I100" s="4">
        <f t="shared" si="24"/>
        <v>0</v>
      </c>
      <c r="J100" s="4">
        <f t="shared" si="24"/>
        <v>0</v>
      </c>
      <c r="K100" s="4">
        <f t="shared" si="24"/>
        <v>0</v>
      </c>
      <c r="L100" s="4">
        <f t="shared" si="24"/>
        <v>0</v>
      </c>
    </row>
    <row r="101" spans="8:12" hidden="1" x14ac:dyDescent="0.25">
      <c r="H101" s="4">
        <f t="shared" si="24"/>
        <v>0</v>
      </c>
      <c r="I101" s="4">
        <f t="shared" si="24"/>
        <v>0</v>
      </c>
      <c r="J101" s="4">
        <f t="shared" si="24"/>
        <v>0</v>
      </c>
      <c r="K101" s="4">
        <f t="shared" si="24"/>
        <v>0</v>
      </c>
      <c r="L101" s="4">
        <f t="shared" si="24"/>
        <v>0</v>
      </c>
    </row>
    <row r="102" spans="8:12" hidden="1" x14ac:dyDescent="0.25">
      <c r="H102" s="4">
        <f t="shared" si="24"/>
        <v>0</v>
      </c>
      <c r="I102" s="4">
        <f t="shared" si="24"/>
        <v>0</v>
      </c>
      <c r="J102" s="4">
        <f t="shared" si="24"/>
        <v>0</v>
      </c>
      <c r="K102" s="4">
        <f t="shared" si="24"/>
        <v>0</v>
      </c>
      <c r="L102" s="4">
        <f t="shared" si="24"/>
        <v>0</v>
      </c>
    </row>
    <row r="103" spans="8:12" hidden="1" x14ac:dyDescent="0.25">
      <c r="H103" s="4">
        <f t="shared" si="24"/>
        <v>0</v>
      </c>
      <c r="I103" s="4">
        <f t="shared" si="24"/>
        <v>0</v>
      </c>
      <c r="J103" s="4">
        <f t="shared" si="24"/>
        <v>0</v>
      </c>
      <c r="K103" s="4">
        <f t="shared" si="24"/>
        <v>0</v>
      </c>
      <c r="L103" s="4">
        <f t="shared" si="24"/>
        <v>0</v>
      </c>
    </row>
    <row r="104" spans="8:12" hidden="1" x14ac:dyDescent="0.25">
      <c r="H104" s="4">
        <f t="shared" ref="H104:L113" si="25">BL2</f>
        <v>0</v>
      </c>
      <c r="I104" s="4">
        <f t="shared" si="25"/>
        <v>0</v>
      </c>
      <c r="J104" s="4">
        <f t="shared" si="25"/>
        <v>0</v>
      </c>
      <c r="K104" s="4">
        <f t="shared" si="25"/>
        <v>0</v>
      </c>
      <c r="L104" s="4">
        <f t="shared" si="25"/>
        <v>0</v>
      </c>
    </row>
    <row r="105" spans="8:12" hidden="1" x14ac:dyDescent="0.25">
      <c r="H105" s="4">
        <f t="shared" si="25"/>
        <v>0</v>
      </c>
      <c r="I105" s="4">
        <f t="shared" si="25"/>
        <v>0</v>
      </c>
      <c r="J105" s="4">
        <f t="shared" si="25"/>
        <v>0</v>
      </c>
      <c r="K105" s="4">
        <f t="shared" si="25"/>
        <v>0</v>
      </c>
      <c r="L105" s="4">
        <f t="shared" si="25"/>
        <v>0</v>
      </c>
    </row>
    <row r="106" spans="8:12" hidden="1" x14ac:dyDescent="0.25">
      <c r="H106" s="4">
        <f t="shared" si="25"/>
        <v>0</v>
      </c>
      <c r="I106" s="4">
        <f t="shared" si="25"/>
        <v>0</v>
      </c>
      <c r="J106" s="4">
        <f t="shared" si="25"/>
        <v>0</v>
      </c>
      <c r="K106" s="4">
        <f t="shared" si="25"/>
        <v>0</v>
      </c>
      <c r="L106" s="4">
        <f t="shared" si="25"/>
        <v>0</v>
      </c>
    </row>
    <row r="107" spans="8:12" hidden="1" x14ac:dyDescent="0.25">
      <c r="H107" s="4">
        <f t="shared" si="25"/>
        <v>0</v>
      </c>
      <c r="I107" s="4">
        <f t="shared" si="25"/>
        <v>0</v>
      </c>
      <c r="J107" s="4">
        <f t="shared" si="25"/>
        <v>0</v>
      </c>
      <c r="K107" s="4">
        <f t="shared" si="25"/>
        <v>0</v>
      </c>
      <c r="L107" s="4">
        <f t="shared" si="25"/>
        <v>0</v>
      </c>
    </row>
    <row r="108" spans="8:12" hidden="1" x14ac:dyDescent="0.25">
      <c r="H108" s="4">
        <f t="shared" si="25"/>
        <v>0</v>
      </c>
      <c r="I108" s="4">
        <f t="shared" si="25"/>
        <v>0</v>
      </c>
      <c r="J108" s="4">
        <f t="shared" si="25"/>
        <v>0</v>
      </c>
      <c r="K108" s="4">
        <f t="shared" si="25"/>
        <v>0</v>
      </c>
      <c r="L108" s="4">
        <f t="shared" si="25"/>
        <v>0</v>
      </c>
    </row>
    <row r="109" spans="8:12" hidden="1" x14ac:dyDescent="0.25">
      <c r="H109" s="4">
        <f t="shared" si="25"/>
        <v>0</v>
      </c>
      <c r="I109" s="4">
        <f t="shared" si="25"/>
        <v>0</v>
      </c>
      <c r="J109" s="4">
        <f t="shared" si="25"/>
        <v>0</v>
      </c>
      <c r="K109" s="4">
        <f t="shared" si="25"/>
        <v>0</v>
      </c>
      <c r="L109" s="4">
        <f t="shared" si="25"/>
        <v>0</v>
      </c>
    </row>
    <row r="110" spans="8:12" hidden="1" x14ac:dyDescent="0.25">
      <c r="H110" s="4">
        <f t="shared" si="25"/>
        <v>0</v>
      </c>
      <c r="I110" s="4">
        <f t="shared" si="25"/>
        <v>0</v>
      </c>
      <c r="J110" s="4">
        <f t="shared" si="25"/>
        <v>0</v>
      </c>
      <c r="K110" s="4">
        <f t="shared" si="25"/>
        <v>0</v>
      </c>
      <c r="L110" s="4">
        <f t="shared" si="25"/>
        <v>0</v>
      </c>
    </row>
    <row r="111" spans="8:12" hidden="1" x14ac:dyDescent="0.25">
      <c r="H111" s="4">
        <f t="shared" si="25"/>
        <v>0</v>
      </c>
      <c r="I111" s="4">
        <f t="shared" si="25"/>
        <v>0</v>
      </c>
      <c r="J111" s="4">
        <f t="shared" si="25"/>
        <v>0</v>
      </c>
      <c r="K111" s="4">
        <f t="shared" si="25"/>
        <v>0</v>
      </c>
      <c r="L111" s="4">
        <f t="shared" si="25"/>
        <v>0</v>
      </c>
    </row>
    <row r="112" spans="8:12" hidden="1" x14ac:dyDescent="0.25">
      <c r="H112" s="4">
        <f t="shared" si="25"/>
        <v>0</v>
      </c>
      <c r="I112" s="4">
        <f t="shared" si="25"/>
        <v>0</v>
      </c>
      <c r="J112" s="4">
        <f t="shared" si="25"/>
        <v>0</v>
      </c>
      <c r="K112" s="4">
        <f t="shared" si="25"/>
        <v>0</v>
      </c>
      <c r="L112" s="4">
        <f t="shared" si="25"/>
        <v>0</v>
      </c>
    </row>
    <row r="113" spans="1:62" hidden="1" x14ac:dyDescent="0.25">
      <c r="H113" s="45">
        <f t="shared" si="25"/>
        <v>0</v>
      </c>
      <c r="I113" s="45">
        <f t="shared" si="25"/>
        <v>0</v>
      </c>
      <c r="J113" s="4">
        <f t="shared" si="25"/>
        <v>0</v>
      </c>
      <c r="K113" s="4">
        <f t="shared" si="25"/>
        <v>0</v>
      </c>
      <c r="L113" s="4">
        <f t="shared" si="25"/>
        <v>0</v>
      </c>
    </row>
    <row r="114" spans="1:62" x14ac:dyDescent="0.25">
      <c r="A114" s="168" t="s">
        <v>85</v>
      </c>
      <c r="B114" s="169"/>
      <c r="C114" s="170"/>
      <c r="D114" s="171">
        <v>46008</v>
      </c>
      <c r="E114" s="172"/>
      <c r="F114" s="172"/>
      <c r="G114" s="172"/>
      <c r="H114" s="46"/>
      <c r="I114" s="54"/>
    </row>
    <row r="115" spans="1:62" ht="15.75" thickBot="1" x14ac:dyDescent="0.3">
      <c r="A115" s="110"/>
      <c r="B115" s="110"/>
      <c r="C115" s="110"/>
      <c r="D115" s="110"/>
      <c r="E115" s="110"/>
      <c r="F115" s="110"/>
      <c r="G115" s="110"/>
      <c r="H115" s="54"/>
      <c r="I115" s="54"/>
    </row>
    <row r="116" spans="1:62" ht="16.5" thickBot="1" x14ac:dyDescent="0.3">
      <c r="A116" s="173" t="s">
        <v>248</v>
      </c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5"/>
      <c r="AH116" s="118" t="s">
        <v>35</v>
      </c>
      <c r="AI116" s="118"/>
      <c r="AJ116" s="118" t="str">
        <f>F2</f>
        <v>AP08</v>
      </c>
      <c r="AK116" s="118"/>
      <c r="AL116" s="118"/>
      <c r="AN116" s="118" t="s">
        <v>35</v>
      </c>
      <c r="AO116" s="118"/>
      <c r="AP116" s="118">
        <f>F3</f>
        <v>0</v>
      </c>
      <c r="AQ116" s="118"/>
      <c r="AR116" s="118"/>
      <c r="AT116" s="118" t="s">
        <v>35</v>
      </c>
      <c r="AU116" s="118"/>
      <c r="AV116" s="118">
        <f>F4</f>
        <v>0</v>
      </c>
      <c r="AW116" s="118"/>
      <c r="AX116" s="118"/>
      <c r="AZ116" s="118" t="s">
        <v>35</v>
      </c>
      <c r="BA116" s="118"/>
      <c r="BB116" s="118">
        <f>F5</f>
        <v>0</v>
      </c>
      <c r="BC116" s="118"/>
      <c r="BD116" s="118"/>
      <c r="BF116" s="118" t="s">
        <v>35</v>
      </c>
      <c r="BG116" s="118"/>
      <c r="BH116" s="118">
        <f>F6</f>
        <v>0</v>
      </c>
      <c r="BI116" s="118"/>
      <c r="BJ116" s="118"/>
    </row>
    <row r="117" spans="1:62" x14ac:dyDescent="0.25">
      <c r="A117" s="123" t="s">
        <v>31</v>
      </c>
      <c r="B117" s="113" t="s">
        <v>22</v>
      </c>
      <c r="C117" s="114"/>
      <c r="D117" s="114"/>
      <c r="E117" s="114"/>
      <c r="F117" s="115"/>
      <c r="G117" s="113" t="s">
        <v>20</v>
      </c>
      <c r="H117" s="114"/>
      <c r="I117" s="114"/>
      <c r="J117" s="114"/>
      <c r="K117" s="115"/>
      <c r="L117" s="113" t="s">
        <v>34</v>
      </c>
      <c r="M117" s="114"/>
      <c r="N117" s="114"/>
      <c r="O117" s="114"/>
      <c r="P117" s="115"/>
      <c r="Q117" s="113" t="s">
        <v>127</v>
      </c>
      <c r="R117" s="114"/>
      <c r="S117" s="114"/>
      <c r="T117" s="114"/>
      <c r="U117" s="115"/>
      <c r="V117" s="113" t="s">
        <v>129</v>
      </c>
      <c r="W117" s="114"/>
      <c r="X117" s="114"/>
      <c r="Y117" s="114"/>
      <c r="Z117" s="115"/>
      <c r="AA117" s="113" t="s">
        <v>26</v>
      </c>
      <c r="AB117" s="114"/>
      <c r="AC117" s="114"/>
      <c r="AD117" s="114"/>
      <c r="AE117" s="115"/>
      <c r="AF117" s="116" t="s">
        <v>24</v>
      </c>
      <c r="AG117" s="116" t="s">
        <v>86</v>
      </c>
      <c r="AH117" s="118" t="str">
        <f>G2</f>
        <v>PAWAN PUTRA AGENCY</v>
      </c>
      <c r="AI117" s="118"/>
      <c r="AJ117" s="118"/>
      <c r="AK117" s="118"/>
      <c r="AL117" s="118"/>
      <c r="AN117" s="118">
        <f>G3</f>
        <v>0</v>
      </c>
      <c r="AO117" s="118"/>
      <c r="AP117" s="118"/>
      <c r="AQ117" s="118"/>
      <c r="AR117" s="118"/>
      <c r="AT117" s="118">
        <f>G4</f>
        <v>0</v>
      </c>
      <c r="AU117" s="118"/>
      <c r="AV117" s="118"/>
      <c r="AW117" s="118"/>
      <c r="AX117" s="118"/>
      <c r="AZ117" s="118">
        <f>G5</f>
        <v>0</v>
      </c>
      <c r="BA117" s="118"/>
      <c r="BB117" s="118"/>
      <c r="BC117" s="118"/>
      <c r="BD117" s="118"/>
      <c r="BF117" s="118">
        <f>G6</f>
        <v>0</v>
      </c>
      <c r="BG117" s="118"/>
      <c r="BH117" s="118"/>
      <c r="BI117" s="118"/>
      <c r="BJ117" s="118"/>
    </row>
    <row r="118" spans="1:62" ht="15.75" thickBot="1" x14ac:dyDescent="0.3">
      <c r="A118" s="124"/>
      <c r="B118" s="9" t="s">
        <v>32</v>
      </c>
      <c r="C118" s="12" t="s">
        <v>17</v>
      </c>
      <c r="D118" s="12" t="s">
        <v>19</v>
      </c>
      <c r="E118" s="12" t="s">
        <v>33</v>
      </c>
      <c r="F118" s="14" t="s">
        <v>80</v>
      </c>
      <c r="G118" s="9" t="s">
        <v>32</v>
      </c>
      <c r="H118" s="12" t="s">
        <v>17</v>
      </c>
      <c r="I118" s="12" t="s">
        <v>19</v>
      </c>
      <c r="J118" s="12" t="s">
        <v>33</v>
      </c>
      <c r="K118" s="14" t="s">
        <v>80</v>
      </c>
      <c r="L118" s="9" t="s">
        <v>32</v>
      </c>
      <c r="M118" s="12" t="s">
        <v>17</v>
      </c>
      <c r="N118" s="12" t="s">
        <v>19</v>
      </c>
      <c r="O118" s="12" t="s">
        <v>33</v>
      </c>
      <c r="P118" s="14" t="s">
        <v>80</v>
      </c>
      <c r="Q118" s="9" t="s">
        <v>32</v>
      </c>
      <c r="R118" s="12" t="s">
        <v>17</v>
      </c>
      <c r="S118" s="12" t="s">
        <v>19</v>
      </c>
      <c r="T118" s="12" t="s">
        <v>33</v>
      </c>
      <c r="U118" s="14" t="s">
        <v>80</v>
      </c>
      <c r="V118" s="9" t="s">
        <v>32</v>
      </c>
      <c r="W118" s="12" t="s">
        <v>17</v>
      </c>
      <c r="X118" s="12" t="s">
        <v>19</v>
      </c>
      <c r="Y118" s="12" t="s">
        <v>33</v>
      </c>
      <c r="Z118" s="14" t="s">
        <v>80</v>
      </c>
      <c r="AA118" s="9" t="s">
        <v>32</v>
      </c>
      <c r="AB118" s="12" t="s">
        <v>17</v>
      </c>
      <c r="AC118" s="12" t="s">
        <v>19</v>
      </c>
      <c r="AD118" s="12" t="s">
        <v>33</v>
      </c>
      <c r="AE118" s="14" t="s">
        <v>80</v>
      </c>
      <c r="AF118" s="117"/>
      <c r="AG118" s="117"/>
      <c r="AH118" s="118" t="str">
        <f>H2</f>
        <v>TIRUPATHI</v>
      </c>
      <c r="AI118" s="118"/>
      <c r="AJ118" s="118"/>
      <c r="AK118" s="118"/>
      <c r="AL118" s="118"/>
      <c r="AN118" s="118">
        <f>H3</f>
        <v>0</v>
      </c>
      <c r="AO118" s="118"/>
      <c r="AP118" s="118"/>
      <c r="AQ118" s="118"/>
      <c r="AR118" s="118"/>
      <c r="AT118" s="118">
        <f>H4</f>
        <v>0</v>
      </c>
      <c r="AU118" s="118"/>
      <c r="AV118" s="118"/>
      <c r="AW118" s="118"/>
      <c r="AX118" s="118"/>
      <c r="AZ118" s="118">
        <f>H5</f>
        <v>0</v>
      </c>
      <c r="BA118" s="118"/>
      <c r="BB118" s="118"/>
      <c r="BC118" s="118"/>
      <c r="BD118" s="118"/>
      <c r="BF118" s="118">
        <f>H6</f>
        <v>0</v>
      </c>
      <c r="BG118" s="118"/>
      <c r="BH118" s="118"/>
      <c r="BI118" s="118"/>
      <c r="BJ118" s="118"/>
    </row>
    <row r="119" spans="1:62" ht="15.75" thickBot="1" x14ac:dyDescent="0.3">
      <c r="A119" s="16">
        <v>300</v>
      </c>
      <c r="B119" s="10">
        <f t="shared" ref="B119:F127" si="26">SUMIFS($J$14:$J$113,$I$14:$I$113,$A119,$K$14:$K$113,B$118,$L$14:$L$113,$B$117,$H$14:$H$113,"AG")</f>
        <v>0</v>
      </c>
      <c r="C119" s="11">
        <f t="shared" si="26"/>
        <v>0</v>
      </c>
      <c r="D119" s="11">
        <f t="shared" si="26"/>
        <v>0</v>
      </c>
      <c r="E119" s="11">
        <f t="shared" si="26"/>
        <v>0</v>
      </c>
      <c r="F119" s="17">
        <f t="shared" si="26"/>
        <v>0</v>
      </c>
      <c r="G119" s="10">
        <f t="shared" ref="G119:K127" si="27">SUMIFS($J$14:$J$113,$I$14:$I$113,$A119,$K$14:$K$113,G$118,$L$14:$L$113,$G$117,$H$14:$H$113,"AG")</f>
        <v>0</v>
      </c>
      <c r="H119" s="11">
        <f t="shared" si="27"/>
        <v>0</v>
      </c>
      <c r="I119" s="11">
        <f t="shared" si="27"/>
        <v>0</v>
      </c>
      <c r="J119" s="11">
        <f t="shared" si="27"/>
        <v>0</v>
      </c>
      <c r="K119" s="17">
        <f t="shared" si="27"/>
        <v>0</v>
      </c>
      <c r="L119" s="10">
        <f t="shared" ref="L119:P127" si="28">SUMIFS($J$14:$J$113,$I$14:$I$113,$A119,$K$14:$K$113,L$118,$L$14:$L$113,$L$117,$H$14:$H$113,"AG")</f>
        <v>0</v>
      </c>
      <c r="M119" s="11">
        <f t="shared" si="28"/>
        <v>0</v>
      </c>
      <c r="N119" s="11">
        <f t="shared" si="28"/>
        <v>0</v>
      </c>
      <c r="O119" s="11">
        <f t="shared" si="28"/>
        <v>0</v>
      </c>
      <c r="P119" s="17">
        <f t="shared" si="28"/>
        <v>0</v>
      </c>
      <c r="Q119" s="10">
        <f t="shared" ref="Q119:U127" si="29">SUMIFS($J$14:$J$113,$I$14:$I$113,$A119,$K$14:$K$113,Q$118,$L$14:$L$113,$Q$117,$H$14:$H$113,"AG")</f>
        <v>0</v>
      </c>
      <c r="R119" s="11">
        <f t="shared" si="29"/>
        <v>0</v>
      </c>
      <c r="S119" s="11">
        <f t="shared" si="29"/>
        <v>0</v>
      </c>
      <c r="T119" s="11">
        <f t="shared" si="29"/>
        <v>0</v>
      </c>
      <c r="U119" s="17">
        <f t="shared" si="29"/>
        <v>0</v>
      </c>
      <c r="V119" s="10">
        <f t="shared" ref="V119:AE127" si="30">SUMIFS($J$14:$J$113,$I$14:$I$113,$A119,$K$14:$K$113,V$118,$L$14:$L$113,$L$117,$H$14:$H$113,"AG")</f>
        <v>0</v>
      </c>
      <c r="W119" s="11">
        <f t="shared" si="30"/>
        <v>0</v>
      </c>
      <c r="X119" s="11">
        <f t="shared" si="30"/>
        <v>0</v>
      </c>
      <c r="Y119" s="11">
        <f t="shared" si="30"/>
        <v>0</v>
      </c>
      <c r="Z119" s="17">
        <f t="shared" si="30"/>
        <v>0</v>
      </c>
      <c r="AA119" s="10">
        <f t="shared" si="30"/>
        <v>0</v>
      </c>
      <c r="AB119" s="11">
        <f t="shared" si="30"/>
        <v>0</v>
      </c>
      <c r="AC119" s="11">
        <f t="shared" si="30"/>
        <v>0</v>
      </c>
      <c r="AD119" s="11">
        <f t="shared" si="30"/>
        <v>0</v>
      </c>
      <c r="AE119" s="17">
        <f t="shared" si="30"/>
        <v>0</v>
      </c>
      <c r="AF119" s="16">
        <f>SUM(B119:AE119)*A119</f>
        <v>0</v>
      </c>
      <c r="AG119" s="16">
        <f>SUM(B119:AE119)</f>
        <v>0</v>
      </c>
      <c r="AH119" s="30" t="s">
        <v>136</v>
      </c>
      <c r="AI119" s="30" t="s">
        <v>27</v>
      </c>
      <c r="AJ119" s="30" t="s">
        <v>28</v>
      </c>
      <c r="AK119" s="30" t="s">
        <v>29</v>
      </c>
      <c r="AL119" s="30" t="s">
        <v>30</v>
      </c>
      <c r="AN119" s="30" t="s">
        <v>136</v>
      </c>
      <c r="AO119" s="30" t="s">
        <v>27</v>
      </c>
      <c r="AP119" s="30" t="s">
        <v>28</v>
      </c>
      <c r="AQ119" s="30" t="s">
        <v>29</v>
      </c>
      <c r="AR119" s="30" t="s">
        <v>30</v>
      </c>
      <c r="AT119" s="30" t="s">
        <v>136</v>
      </c>
      <c r="AU119" s="30" t="s">
        <v>27</v>
      </c>
      <c r="AV119" s="30" t="s">
        <v>28</v>
      </c>
      <c r="AW119" s="30" t="s">
        <v>29</v>
      </c>
      <c r="AX119" s="30" t="s">
        <v>30</v>
      </c>
      <c r="AZ119" s="30" t="s">
        <v>136</v>
      </c>
      <c r="BA119" s="30" t="s">
        <v>27</v>
      </c>
      <c r="BB119" s="30" t="s">
        <v>28</v>
      </c>
      <c r="BC119" s="30" t="s">
        <v>29</v>
      </c>
      <c r="BD119" s="30" t="s">
        <v>30</v>
      </c>
      <c r="BF119" s="30" t="s">
        <v>136</v>
      </c>
      <c r="BG119" s="30" t="s">
        <v>27</v>
      </c>
      <c r="BH119" s="30" t="s">
        <v>28</v>
      </c>
      <c r="BI119" s="30" t="s">
        <v>29</v>
      </c>
      <c r="BJ119" s="30" t="s">
        <v>30</v>
      </c>
    </row>
    <row r="120" spans="1:62" x14ac:dyDescent="0.25">
      <c r="A120" s="16">
        <v>500</v>
      </c>
      <c r="B120" s="10">
        <f t="shared" si="26"/>
        <v>0</v>
      </c>
      <c r="C120" s="11">
        <f t="shared" si="26"/>
        <v>20</v>
      </c>
      <c r="D120" s="11">
        <f t="shared" si="26"/>
        <v>0</v>
      </c>
      <c r="E120" s="11">
        <f t="shared" si="26"/>
        <v>0</v>
      </c>
      <c r="F120" s="17">
        <f t="shared" si="26"/>
        <v>0</v>
      </c>
      <c r="G120" s="10">
        <f t="shared" si="27"/>
        <v>0</v>
      </c>
      <c r="H120" s="11">
        <f t="shared" si="27"/>
        <v>0</v>
      </c>
      <c r="I120" s="11">
        <f t="shared" si="27"/>
        <v>0</v>
      </c>
      <c r="J120" s="11">
        <f t="shared" si="27"/>
        <v>0</v>
      </c>
      <c r="K120" s="17">
        <f t="shared" si="27"/>
        <v>0</v>
      </c>
      <c r="L120" s="10">
        <f t="shared" si="28"/>
        <v>0</v>
      </c>
      <c r="M120" s="11">
        <f t="shared" si="28"/>
        <v>0</v>
      </c>
      <c r="N120" s="11">
        <f t="shared" si="28"/>
        <v>0</v>
      </c>
      <c r="O120" s="11">
        <f t="shared" si="28"/>
        <v>0</v>
      </c>
      <c r="P120" s="17">
        <f t="shared" si="28"/>
        <v>0</v>
      </c>
      <c r="Q120" s="10">
        <f t="shared" si="29"/>
        <v>0</v>
      </c>
      <c r="R120" s="11">
        <f t="shared" si="29"/>
        <v>0</v>
      </c>
      <c r="S120" s="11">
        <f t="shared" si="29"/>
        <v>0</v>
      </c>
      <c r="T120" s="11">
        <f t="shared" si="29"/>
        <v>0</v>
      </c>
      <c r="U120" s="17">
        <f t="shared" si="29"/>
        <v>0</v>
      </c>
      <c r="V120" s="10">
        <f t="shared" si="30"/>
        <v>0</v>
      </c>
      <c r="W120" s="11">
        <f t="shared" si="30"/>
        <v>0</v>
      </c>
      <c r="X120" s="11">
        <f t="shared" si="30"/>
        <v>0</v>
      </c>
      <c r="Y120" s="11">
        <f t="shared" si="30"/>
        <v>0</v>
      </c>
      <c r="Z120" s="17">
        <f t="shared" si="30"/>
        <v>0</v>
      </c>
      <c r="AA120" s="10">
        <f t="shared" si="30"/>
        <v>0</v>
      </c>
      <c r="AB120" s="11">
        <f t="shared" si="30"/>
        <v>0</v>
      </c>
      <c r="AC120" s="11">
        <f t="shared" si="30"/>
        <v>0</v>
      </c>
      <c r="AD120" s="11">
        <f t="shared" si="30"/>
        <v>0</v>
      </c>
      <c r="AE120" s="17">
        <f t="shared" si="30"/>
        <v>0</v>
      </c>
      <c r="AF120" s="16">
        <f t="shared" ref="AF120:AF127" si="31">SUM(B120:AE120)*A120</f>
        <v>10000</v>
      </c>
      <c r="AG120" s="16">
        <f t="shared" ref="AG120:AG128" si="32">SUM(B120:AE120)</f>
        <v>20</v>
      </c>
      <c r="AH120" s="16" t="str">
        <f>J2</f>
        <v>AG</v>
      </c>
      <c r="AI120" s="10">
        <f>K2</f>
        <v>1500</v>
      </c>
      <c r="AJ120" s="11">
        <f>L2</f>
        <v>8</v>
      </c>
      <c r="AK120" s="11" t="str">
        <f>M2</f>
        <v>Y</v>
      </c>
      <c r="AL120" s="17" t="str">
        <f>N2</f>
        <v>3L</v>
      </c>
      <c r="AN120" s="16">
        <f>J3</f>
        <v>0</v>
      </c>
      <c r="AO120" s="10">
        <f>K3</f>
        <v>0</v>
      </c>
      <c r="AP120" s="11">
        <f>L3</f>
        <v>0</v>
      </c>
      <c r="AQ120" s="11">
        <f>M3</f>
        <v>0</v>
      </c>
      <c r="AR120" s="17">
        <f>N3</f>
        <v>0</v>
      </c>
      <c r="AT120" s="16">
        <f>J4</f>
        <v>0</v>
      </c>
      <c r="AU120" s="10">
        <f>K4</f>
        <v>0</v>
      </c>
      <c r="AV120" s="11">
        <f>L4</f>
        <v>0</v>
      </c>
      <c r="AW120" s="11">
        <f>M4</f>
        <v>0</v>
      </c>
      <c r="AX120" s="17">
        <f>N4</f>
        <v>0</v>
      </c>
      <c r="AZ120" s="16">
        <f>J5</f>
        <v>0</v>
      </c>
      <c r="BA120" s="10">
        <f>K5</f>
        <v>0</v>
      </c>
      <c r="BB120" s="11">
        <f>L5</f>
        <v>0</v>
      </c>
      <c r="BC120" s="11">
        <f>M5</f>
        <v>0</v>
      </c>
      <c r="BD120" s="17">
        <f>N5</f>
        <v>0</v>
      </c>
      <c r="BF120" s="16">
        <f>J6</f>
        <v>0</v>
      </c>
      <c r="BG120" s="10">
        <f>K6</f>
        <v>0</v>
      </c>
      <c r="BH120" s="11">
        <f>L6</f>
        <v>0</v>
      </c>
      <c r="BI120" s="11">
        <f>M6</f>
        <v>0</v>
      </c>
      <c r="BJ120" s="17">
        <f>N6</f>
        <v>0</v>
      </c>
    </row>
    <row r="121" spans="1:62" x14ac:dyDescent="0.25">
      <c r="A121" s="15">
        <v>750</v>
      </c>
      <c r="B121" s="8">
        <f t="shared" si="26"/>
        <v>0</v>
      </c>
      <c r="C121" s="6">
        <f t="shared" si="26"/>
        <v>10</v>
      </c>
      <c r="D121" s="6">
        <f t="shared" si="26"/>
        <v>0</v>
      </c>
      <c r="E121" s="6">
        <f t="shared" si="26"/>
        <v>0</v>
      </c>
      <c r="F121" s="13">
        <f t="shared" si="26"/>
        <v>0</v>
      </c>
      <c r="G121" s="8">
        <f t="shared" si="27"/>
        <v>0</v>
      </c>
      <c r="H121" s="6">
        <f t="shared" si="27"/>
        <v>0</v>
      </c>
      <c r="I121" s="6">
        <f t="shared" si="27"/>
        <v>0</v>
      </c>
      <c r="J121" s="6">
        <f t="shared" si="27"/>
        <v>0</v>
      </c>
      <c r="K121" s="13">
        <f t="shared" si="27"/>
        <v>0</v>
      </c>
      <c r="L121" s="8">
        <f t="shared" si="28"/>
        <v>0</v>
      </c>
      <c r="M121" s="6">
        <f t="shared" si="28"/>
        <v>0</v>
      </c>
      <c r="N121" s="6">
        <f t="shared" si="28"/>
        <v>0</v>
      </c>
      <c r="O121" s="6">
        <f t="shared" si="28"/>
        <v>0</v>
      </c>
      <c r="P121" s="13">
        <f t="shared" si="28"/>
        <v>0</v>
      </c>
      <c r="Q121" s="8">
        <f t="shared" si="29"/>
        <v>0</v>
      </c>
      <c r="R121" s="6">
        <f t="shared" si="29"/>
        <v>0</v>
      </c>
      <c r="S121" s="6">
        <f t="shared" si="29"/>
        <v>0</v>
      </c>
      <c r="T121" s="6">
        <f t="shared" si="29"/>
        <v>0</v>
      </c>
      <c r="U121" s="13">
        <f t="shared" si="29"/>
        <v>0</v>
      </c>
      <c r="V121" s="8">
        <f t="shared" si="30"/>
        <v>0</v>
      </c>
      <c r="W121" s="6">
        <f t="shared" si="30"/>
        <v>0</v>
      </c>
      <c r="X121" s="6">
        <f t="shared" si="30"/>
        <v>0</v>
      </c>
      <c r="Y121" s="6">
        <f t="shared" si="30"/>
        <v>0</v>
      </c>
      <c r="Z121" s="13">
        <f t="shared" si="30"/>
        <v>0</v>
      </c>
      <c r="AA121" s="8">
        <f t="shared" si="30"/>
        <v>0</v>
      </c>
      <c r="AB121" s="6">
        <f t="shared" si="30"/>
        <v>0</v>
      </c>
      <c r="AC121" s="6">
        <f t="shared" si="30"/>
        <v>0</v>
      </c>
      <c r="AD121" s="6">
        <f t="shared" si="30"/>
        <v>0</v>
      </c>
      <c r="AE121" s="13">
        <f t="shared" si="30"/>
        <v>0</v>
      </c>
      <c r="AF121" s="16">
        <f t="shared" si="31"/>
        <v>7500</v>
      </c>
      <c r="AG121" s="16">
        <f t="shared" si="32"/>
        <v>10</v>
      </c>
      <c r="AH121" s="15" t="str">
        <f>P2</f>
        <v>AG</v>
      </c>
      <c r="AI121" s="8">
        <f>Q2</f>
        <v>1000</v>
      </c>
      <c r="AJ121" s="6">
        <f>R2</f>
        <v>10</v>
      </c>
      <c r="AK121" s="6" t="str">
        <f>S2</f>
        <v>Y</v>
      </c>
      <c r="AL121" s="13" t="str">
        <f>T2</f>
        <v>3L</v>
      </c>
      <c r="AN121" s="15">
        <f>P3</f>
        <v>0</v>
      </c>
      <c r="AO121" s="8">
        <f>Q3</f>
        <v>0</v>
      </c>
      <c r="AP121" s="6">
        <f>R3</f>
        <v>0</v>
      </c>
      <c r="AQ121" s="6">
        <f>S3</f>
        <v>0</v>
      </c>
      <c r="AR121" s="13">
        <f>T3</f>
        <v>0</v>
      </c>
      <c r="AT121" s="15">
        <f>P4</f>
        <v>0</v>
      </c>
      <c r="AU121" s="8">
        <f>Q4</f>
        <v>0</v>
      </c>
      <c r="AV121" s="6">
        <f>R4</f>
        <v>0</v>
      </c>
      <c r="AW121" s="6">
        <f>S4</f>
        <v>0</v>
      </c>
      <c r="AX121" s="13">
        <f>T4</f>
        <v>0</v>
      </c>
      <c r="AZ121" s="15">
        <f>P5</f>
        <v>0</v>
      </c>
      <c r="BA121" s="8">
        <f>Q5</f>
        <v>0</v>
      </c>
      <c r="BB121" s="6">
        <f>R5</f>
        <v>0</v>
      </c>
      <c r="BC121" s="6">
        <f>S5</f>
        <v>0</v>
      </c>
      <c r="BD121" s="13">
        <f>T5</f>
        <v>0</v>
      </c>
      <c r="BF121" s="15">
        <f>P6</f>
        <v>0</v>
      </c>
      <c r="BG121" s="8">
        <f>Q6</f>
        <v>0</v>
      </c>
      <c r="BH121" s="6">
        <f>R6</f>
        <v>0</v>
      </c>
      <c r="BI121" s="6">
        <f>S6</f>
        <v>0</v>
      </c>
      <c r="BJ121" s="13">
        <f>T6</f>
        <v>0</v>
      </c>
    </row>
    <row r="122" spans="1:62" x14ac:dyDescent="0.25">
      <c r="A122" s="15">
        <v>1000</v>
      </c>
      <c r="B122" s="8">
        <f t="shared" si="26"/>
        <v>0</v>
      </c>
      <c r="C122" s="6">
        <f t="shared" si="26"/>
        <v>10</v>
      </c>
      <c r="D122" s="6">
        <f t="shared" si="26"/>
        <v>0</v>
      </c>
      <c r="E122" s="6">
        <f t="shared" si="26"/>
        <v>0</v>
      </c>
      <c r="F122" s="13">
        <f t="shared" si="26"/>
        <v>0</v>
      </c>
      <c r="G122" s="8">
        <f t="shared" si="27"/>
        <v>0</v>
      </c>
      <c r="H122" s="6">
        <f t="shared" si="27"/>
        <v>0</v>
      </c>
      <c r="I122" s="6">
        <f t="shared" si="27"/>
        <v>0</v>
      </c>
      <c r="J122" s="6">
        <f t="shared" si="27"/>
        <v>0</v>
      </c>
      <c r="K122" s="13">
        <f t="shared" si="27"/>
        <v>0</v>
      </c>
      <c r="L122" s="8">
        <f t="shared" si="28"/>
        <v>0</v>
      </c>
      <c r="M122" s="6">
        <f t="shared" si="28"/>
        <v>0</v>
      </c>
      <c r="N122" s="6">
        <f t="shared" si="28"/>
        <v>0</v>
      </c>
      <c r="O122" s="6">
        <f t="shared" si="28"/>
        <v>0</v>
      </c>
      <c r="P122" s="13">
        <f t="shared" si="28"/>
        <v>0</v>
      </c>
      <c r="Q122" s="8">
        <f t="shared" si="29"/>
        <v>0</v>
      </c>
      <c r="R122" s="6">
        <f t="shared" si="29"/>
        <v>0</v>
      </c>
      <c r="S122" s="6">
        <f t="shared" si="29"/>
        <v>0</v>
      </c>
      <c r="T122" s="6">
        <f t="shared" si="29"/>
        <v>0</v>
      </c>
      <c r="U122" s="13">
        <f t="shared" si="29"/>
        <v>0</v>
      </c>
      <c r="V122" s="8">
        <f t="shared" si="30"/>
        <v>0</v>
      </c>
      <c r="W122" s="6">
        <f t="shared" si="30"/>
        <v>0</v>
      </c>
      <c r="X122" s="6">
        <f t="shared" si="30"/>
        <v>0</v>
      </c>
      <c r="Y122" s="6">
        <f t="shared" si="30"/>
        <v>0</v>
      </c>
      <c r="Z122" s="13">
        <f t="shared" si="30"/>
        <v>0</v>
      </c>
      <c r="AA122" s="8">
        <f t="shared" si="30"/>
        <v>0</v>
      </c>
      <c r="AB122" s="6">
        <f t="shared" si="30"/>
        <v>0</v>
      </c>
      <c r="AC122" s="6">
        <f t="shared" si="30"/>
        <v>0</v>
      </c>
      <c r="AD122" s="6">
        <f t="shared" si="30"/>
        <v>0</v>
      </c>
      <c r="AE122" s="13">
        <f t="shared" si="30"/>
        <v>0</v>
      </c>
      <c r="AF122" s="16">
        <f t="shared" si="31"/>
        <v>10000</v>
      </c>
      <c r="AG122" s="16">
        <f t="shared" si="32"/>
        <v>10</v>
      </c>
      <c r="AH122" s="15" t="str">
        <f>V2</f>
        <v>AG</v>
      </c>
      <c r="AI122" s="8">
        <f>W2</f>
        <v>750</v>
      </c>
      <c r="AJ122" s="6">
        <f>X2</f>
        <v>10</v>
      </c>
      <c r="AK122" s="6" t="str">
        <f>Y2</f>
        <v>Y</v>
      </c>
      <c r="AL122" s="13" t="str">
        <f>Z2</f>
        <v>3L</v>
      </c>
      <c r="AN122" s="15">
        <f>V3</f>
        <v>0</v>
      </c>
      <c r="AO122" s="8">
        <f>W3</f>
        <v>0</v>
      </c>
      <c r="AP122" s="6">
        <f>X3</f>
        <v>0</v>
      </c>
      <c r="AQ122" s="6">
        <f>Y3</f>
        <v>0</v>
      </c>
      <c r="AR122" s="13">
        <f>Z3</f>
        <v>0</v>
      </c>
      <c r="AT122" s="15">
        <f>V4</f>
        <v>0</v>
      </c>
      <c r="AU122" s="8">
        <f>W4</f>
        <v>0</v>
      </c>
      <c r="AV122" s="6">
        <f>X4</f>
        <v>0</v>
      </c>
      <c r="AW122" s="6">
        <f>Y4</f>
        <v>0</v>
      </c>
      <c r="AX122" s="13">
        <f>Z4</f>
        <v>0</v>
      </c>
      <c r="AZ122" s="15">
        <f>V5</f>
        <v>0</v>
      </c>
      <c r="BA122" s="8">
        <f>W5</f>
        <v>0</v>
      </c>
      <c r="BB122" s="6">
        <f>X5</f>
        <v>0</v>
      </c>
      <c r="BC122" s="6">
        <f>Y5</f>
        <v>0</v>
      </c>
      <c r="BD122" s="13">
        <f>Z5</f>
        <v>0</v>
      </c>
      <c r="BF122" s="15">
        <f>V6</f>
        <v>0</v>
      </c>
      <c r="BG122" s="8">
        <f>W6</f>
        <v>0</v>
      </c>
      <c r="BH122" s="6">
        <f>X6</f>
        <v>0</v>
      </c>
      <c r="BI122" s="6">
        <f>Y6</f>
        <v>0</v>
      </c>
      <c r="BJ122" s="13">
        <f>Z6</f>
        <v>0</v>
      </c>
    </row>
    <row r="123" spans="1:62" x14ac:dyDescent="0.25">
      <c r="A123" s="15">
        <v>1500</v>
      </c>
      <c r="B123" s="8">
        <f t="shared" si="26"/>
        <v>0</v>
      </c>
      <c r="C123" s="6">
        <f t="shared" si="26"/>
        <v>8</v>
      </c>
      <c r="D123" s="6">
        <f t="shared" si="26"/>
        <v>0</v>
      </c>
      <c r="E123" s="6">
        <f t="shared" si="26"/>
        <v>0</v>
      </c>
      <c r="F123" s="13">
        <f t="shared" si="26"/>
        <v>0</v>
      </c>
      <c r="G123" s="8">
        <f t="shared" si="27"/>
        <v>0</v>
      </c>
      <c r="H123" s="6">
        <f t="shared" si="27"/>
        <v>0</v>
      </c>
      <c r="I123" s="6">
        <f t="shared" si="27"/>
        <v>0</v>
      </c>
      <c r="J123" s="6">
        <f t="shared" si="27"/>
        <v>0</v>
      </c>
      <c r="K123" s="13">
        <f t="shared" si="27"/>
        <v>0</v>
      </c>
      <c r="L123" s="8">
        <f t="shared" si="28"/>
        <v>0</v>
      </c>
      <c r="M123" s="6">
        <f t="shared" si="28"/>
        <v>0</v>
      </c>
      <c r="N123" s="6">
        <f t="shared" si="28"/>
        <v>0</v>
      </c>
      <c r="O123" s="6">
        <f t="shared" si="28"/>
        <v>0</v>
      </c>
      <c r="P123" s="13">
        <f t="shared" si="28"/>
        <v>0</v>
      </c>
      <c r="Q123" s="8">
        <f t="shared" si="29"/>
        <v>0</v>
      </c>
      <c r="R123" s="6">
        <f t="shared" si="29"/>
        <v>0</v>
      </c>
      <c r="S123" s="6">
        <f t="shared" si="29"/>
        <v>0</v>
      </c>
      <c r="T123" s="6">
        <f t="shared" si="29"/>
        <v>0</v>
      </c>
      <c r="U123" s="13">
        <f t="shared" si="29"/>
        <v>0</v>
      </c>
      <c r="V123" s="8">
        <f t="shared" si="30"/>
        <v>0</v>
      </c>
      <c r="W123" s="6">
        <f t="shared" si="30"/>
        <v>0</v>
      </c>
      <c r="X123" s="6">
        <f t="shared" si="30"/>
        <v>0</v>
      </c>
      <c r="Y123" s="6">
        <f t="shared" si="30"/>
        <v>0</v>
      </c>
      <c r="Z123" s="13">
        <f t="shared" si="30"/>
        <v>0</v>
      </c>
      <c r="AA123" s="8">
        <f t="shared" si="30"/>
        <v>0</v>
      </c>
      <c r="AB123" s="6">
        <f t="shared" si="30"/>
        <v>0</v>
      </c>
      <c r="AC123" s="6">
        <f t="shared" si="30"/>
        <v>0</v>
      </c>
      <c r="AD123" s="6">
        <f t="shared" si="30"/>
        <v>0</v>
      </c>
      <c r="AE123" s="13">
        <f t="shared" si="30"/>
        <v>0</v>
      </c>
      <c r="AF123" s="16">
        <f t="shared" si="31"/>
        <v>12000</v>
      </c>
      <c r="AG123" s="16">
        <f t="shared" si="32"/>
        <v>8</v>
      </c>
      <c r="AH123" s="15" t="str">
        <f>AB2</f>
        <v>AG</v>
      </c>
      <c r="AI123" s="8">
        <f>AC2</f>
        <v>500</v>
      </c>
      <c r="AJ123" s="6">
        <f>AD2</f>
        <v>20</v>
      </c>
      <c r="AK123" s="6" t="str">
        <f>AE2</f>
        <v>Y</v>
      </c>
      <c r="AL123" s="13" t="str">
        <f>AF2</f>
        <v>3L</v>
      </c>
      <c r="AN123" s="15">
        <f>AB3</f>
        <v>0</v>
      </c>
      <c r="AO123" s="8">
        <f>AC3</f>
        <v>0</v>
      </c>
      <c r="AP123" s="6">
        <f>AD3</f>
        <v>0</v>
      </c>
      <c r="AQ123" s="6">
        <f>AE3</f>
        <v>0</v>
      </c>
      <c r="AR123" s="13">
        <f>AF3</f>
        <v>0</v>
      </c>
      <c r="AT123" s="15">
        <f>AB4</f>
        <v>0</v>
      </c>
      <c r="AU123" s="8">
        <f>AC4</f>
        <v>0</v>
      </c>
      <c r="AV123" s="6">
        <f>AD4</f>
        <v>0</v>
      </c>
      <c r="AW123" s="6">
        <f>AE4</f>
        <v>0</v>
      </c>
      <c r="AX123" s="13">
        <f>AF4</f>
        <v>0</v>
      </c>
      <c r="AZ123" s="15">
        <f>AB5</f>
        <v>0</v>
      </c>
      <c r="BA123" s="8">
        <f>AC5</f>
        <v>0</v>
      </c>
      <c r="BB123" s="6">
        <f>AD5</f>
        <v>0</v>
      </c>
      <c r="BC123" s="6">
        <f>AE5</f>
        <v>0</v>
      </c>
      <c r="BD123" s="13">
        <f>AF5</f>
        <v>0</v>
      </c>
      <c r="BF123" s="15">
        <f>AB6</f>
        <v>0</v>
      </c>
      <c r="BG123" s="8">
        <f>AC6</f>
        <v>0</v>
      </c>
      <c r="BH123" s="6">
        <f>AD6</f>
        <v>0</v>
      </c>
      <c r="BI123" s="6">
        <f>AE6</f>
        <v>0</v>
      </c>
      <c r="BJ123" s="13">
        <f>AF6</f>
        <v>0</v>
      </c>
    </row>
    <row r="124" spans="1:62" x14ac:dyDescent="0.25">
      <c r="A124" s="15">
        <v>2000</v>
      </c>
      <c r="B124" s="8">
        <f t="shared" si="26"/>
        <v>0</v>
      </c>
      <c r="C124" s="6">
        <f t="shared" si="26"/>
        <v>0</v>
      </c>
      <c r="D124" s="6">
        <f t="shared" si="26"/>
        <v>0</v>
      </c>
      <c r="E124" s="6">
        <f t="shared" si="26"/>
        <v>0</v>
      </c>
      <c r="F124" s="13">
        <f t="shared" si="26"/>
        <v>0</v>
      </c>
      <c r="G124" s="8">
        <f t="shared" si="27"/>
        <v>0</v>
      </c>
      <c r="H124" s="6">
        <f t="shared" si="27"/>
        <v>0</v>
      </c>
      <c r="I124" s="6">
        <f t="shared" si="27"/>
        <v>0</v>
      </c>
      <c r="J124" s="6">
        <f t="shared" si="27"/>
        <v>0</v>
      </c>
      <c r="K124" s="13">
        <f t="shared" si="27"/>
        <v>0</v>
      </c>
      <c r="L124" s="8">
        <f t="shared" si="28"/>
        <v>0</v>
      </c>
      <c r="M124" s="6">
        <f t="shared" si="28"/>
        <v>0</v>
      </c>
      <c r="N124" s="6">
        <f t="shared" si="28"/>
        <v>0</v>
      </c>
      <c r="O124" s="6">
        <f t="shared" si="28"/>
        <v>0</v>
      </c>
      <c r="P124" s="13">
        <f t="shared" si="28"/>
        <v>0</v>
      </c>
      <c r="Q124" s="8">
        <f t="shared" si="29"/>
        <v>0</v>
      </c>
      <c r="R124" s="6">
        <f t="shared" si="29"/>
        <v>0</v>
      </c>
      <c r="S124" s="6">
        <f t="shared" si="29"/>
        <v>0</v>
      </c>
      <c r="T124" s="6">
        <f t="shared" si="29"/>
        <v>0</v>
      </c>
      <c r="U124" s="13">
        <f t="shared" si="29"/>
        <v>0</v>
      </c>
      <c r="V124" s="8">
        <f t="shared" si="30"/>
        <v>0</v>
      </c>
      <c r="W124" s="6">
        <f t="shared" si="30"/>
        <v>0</v>
      </c>
      <c r="X124" s="6">
        <f t="shared" si="30"/>
        <v>0</v>
      </c>
      <c r="Y124" s="6">
        <f t="shared" si="30"/>
        <v>0</v>
      </c>
      <c r="Z124" s="13">
        <f t="shared" si="30"/>
        <v>0</v>
      </c>
      <c r="AA124" s="8">
        <f t="shared" si="30"/>
        <v>0</v>
      </c>
      <c r="AB124" s="6">
        <f t="shared" si="30"/>
        <v>0</v>
      </c>
      <c r="AC124" s="6">
        <f t="shared" si="30"/>
        <v>0</v>
      </c>
      <c r="AD124" s="6">
        <f t="shared" si="30"/>
        <v>0</v>
      </c>
      <c r="AE124" s="13">
        <f t="shared" si="30"/>
        <v>0</v>
      </c>
      <c r="AF124" s="16">
        <f t="shared" si="31"/>
        <v>0</v>
      </c>
      <c r="AG124" s="16">
        <f t="shared" si="32"/>
        <v>0</v>
      </c>
      <c r="AH124" s="15">
        <f>AH2</f>
        <v>0</v>
      </c>
      <c r="AI124" s="8">
        <f>AI2</f>
        <v>0</v>
      </c>
      <c r="AJ124" s="6">
        <f>AJ2</f>
        <v>0</v>
      </c>
      <c r="AK124" s="6">
        <f>AK2</f>
        <v>0</v>
      </c>
      <c r="AL124" s="13">
        <f>AL2</f>
        <v>0</v>
      </c>
      <c r="AN124" s="15">
        <f>AH3</f>
        <v>0</v>
      </c>
      <c r="AO124" s="8">
        <f>AI3</f>
        <v>0</v>
      </c>
      <c r="AP124" s="6">
        <f>AJ3</f>
        <v>0</v>
      </c>
      <c r="AQ124" s="6">
        <f>AK3</f>
        <v>0</v>
      </c>
      <c r="AR124" s="13">
        <f>AL3</f>
        <v>0</v>
      </c>
      <c r="AT124" s="15">
        <f>AH4</f>
        <v>0</v>
      </c>
      <c r="AU124" s="8">
        <f>AI4</f>
        <v>0</v>
      </c>
      <c r="AV124" s="6">
        <f>AJ4</f>
        <v>0</v>
      </c>
      <c r="AW124" s="6">
        <f>AK4</f>
        <v>0</v>
      </c>
      <c r="AX124" s="13">
        <f>AL4</f>
        <v>0</v>
      </c>
      <c r="AZ124" s="15">
        <f>AH5</f>
        <v>0</v>
      </c>
      <c r="BA124" s="8">
        <f>AI5</f>
        <v>0</v>
      </c>
      <c r="BB124" s="6">
        <f>AJ5</f>
        <v>0</v>
      </c>
      <c r="BC124" s="6">
        <f>AK5</f>
        <v>0</v>
      </c>
      <c r="BD124" s="13">
        <f>AL5</f>
        <v>0</v>
      </c>
      <c r="BF124" s="15">
        <f>AH6</f>
        <v>0</v>
      </c>
      <c r="BG124" s="8">
        <f>AI6</f>
        <v>0</v>
      </c>
      <c r="BH124" s="6">
        <f>AJ6</f>
        <v>0</v>
      </c>
      <c r="BI124" s="6">
        <f>AK6</f>
        <v>0</v>
      </c>
      <c r="BJ124" s="13">
        <f>AL6</f>
        <v>0</v>
      </c>
    </row>
    <row r="125" spans="1:62" x14ac:dyDescent="0.25">
      <c r="A125" s="15">
        <v>3000</v>
      </c>
      <c r="B125" s="8">
        <f t="shared" si="26"/>
        <v>0</v>
      </c>
      <c r="C125" s="6">
        <f t="shared" si="26"/>
        <v>0</v>
      </c>
      <c r="D125" s="6">
        <f t="shared" si="26"/>
        <v>0</v>
      </c>
      <c r="E125" s="6">
        <f t="shared" si="26"/>
        <v>0</v>
      </c>
      <c r="F125" s="13">
        <f t="shared" si="26"/>
        <v>0</v>
      </c>
      <c r="G125" s="8">
        <f t="shared" si="27"/>
        <v>0</v>
      </c>
      <c r="H125" s="6">
        <f t="shared" si="27"/>
        <v>0</v>
      </c>
      <c r="I125" s="6">
        <f t="shared" si="27"/>
        <v>0</v>
      </c>
      <c r="J125" s="6">
        <f t="shared" si="27"/>
        <v>0</v>
      </c>
      <c r="K125" s="13">
        <f t="shared" si="27"/>
        <v>0</v>
      </c>
      <c r="L125" s="8">
        <f t="shared" si="28"/>
        <v>0</v>
      </c>
      <c r="M125" s="6">
        <f t="shared" si="28"/>
        <v>0</v>
      </c>
      <c r="N125" s="6">
        <f t="shared" si="28"/>
        <v>0</v>
      </c>
      <c r="O125" s="6">
        <f t="shared" si="28"/>
        <v>0</v>
      </c>
      <c r="P125" s="13">
        <f t="shared" si="28"/>
        <v>0</v>
      </c>
      <c r="Q125" s="8">
        <f t="shared" si="29"/>
        <v>0</v>
      </c>
      <c r="R125" s="6">
        <f t="shared" si="29"/>
        <v>0</v>
      </c>
      <c r="S125" s="6">
        <f t="shared" si="29"/>
        <v>0</v>
      </c>
      <c r="T125" s="6">
        <f t="shared" si="29"/>
        <v>0</v>
      </c>
      <c r="U125" s="13">
        <f t="shared" si="29"/>
        <v>0</v>
      </c>
      <c r="V125" s="8">
        <f t="shared" si="30"/>
        <v>0</v>
      </c>
      <c r="W125" s="6">
        <f t="shared" si="30"/>
        <v>0</v>
      </c>
      <c r="X125" s="6">
        <f t="shared" si="30"/>
        <v>0</v>
      </c>
      <c r="Y125" s="6">
        <f t="shared" si="30"/>
        <v>0</v>
      </c>
      <c r="Z125" s="13">
        <f t="shared" si="30"/>
        <v>0</v>
      </c>
      <c r="AA125" s="8">
        <f t="shared" si="30"/>
        <v>0</v>
      </c>
      <c r="AB125" s="6">
        <f t="shared" si="30"/>
        <v>0</v>
      </c>
      <c r="AC125" s="6">
        <f t="shared" si="30"/>
        <v>0</v>
      </c>
      <c r="AD125" s="6">
        <f t="shared" si="30"/>
        <v>0</v>
      </c>
      <c r="AE125" s="13">
        <f t="shared" si="30"/>
        <v>0</v>
      </c>
      <c r="AF125" s="16">
        <f t="shared" si="31"/>
        <v>0</v>
      </c>
      <c r="AG125" s="16">
        <f t="shared" si="32"/>
        <v>0</v>
      </c>
      <c r="AH125" s="15">
        <f>AN2</f>
        <v>0</v>
      </c>
      <c r="AI125" s="8">
        <f>AO2</f>
        <v>0</v>
      </c>
      <c r="AJ125" s="6">
        <f>AP2</f>
        <v>0</v>
      </c>
      <c r="AK125" s="6">
        <f>AQ2</f>
        <v>0</v>
      </c>
      <c r="AL125" s="13">
        <f>AR2</f>
        <v>0</v>
      </c>
      <c r="AN125" s="15">
        <f>AN3</f>
        <v>0</v>
      </c>
      <c r="AO125" s="8">
        <f>AO3</f>
        <v>0</v>
      </c>
      <c r="AP125" s="6">
        <f>AP3</f>
        <v>0</v>
      </c>
      <c r="AQ125" s="6">
        <f>AQ3</f>
        <v>0</v>
      </c>
      <c r="AR125" s="13">
        <f>AR3</f>
        <v>0</v>
      </c>
      <c r="AT125" s="15">
        <f>AN4</f>
        <v>0</v>
      </c>
      <c r="AU125" s="8">
        <f>AO4</f>
        <v>0</v>
      </c>
      <c r="AV125" s="6">
        <f>AP4</f>
        <v>0</v>
      </c>
      <c r="AW125" s="6">
        <f>AQ4</f>
        <v>0</v>
      </c>
      <c r="AX125" s="13">
        <f>AR4</f>
        <v>0</v>
      </c>
      <c r="AZ125" s="15">
        <f>AN5</f>
        <v>0</v>
      </c>
      <c r="BA125" s="8">
        <f>AO5</f>
        <v>0</v>
      </c>
      <c r="BB125" s="6">
        <f>AP5</f>
        <v>0</v>
      </c>
      <c r="BC125" s="6">
        <f>AQ5</f>
        <v>0</v>
      </c>
      <c r="BD125" s="13">
        <f>AR5</f>
        <v>0</v>
      </c>
      <c r="BF125" s="15">
        <f>AN6</f>
        <v>0</v>
      </c>
      <c r="BG125" s="8">
        <f>AO6</f>
        <v>0</v>
      </c>
      <c r="BH125" s="6">
        <f>AP6</f>
        <v>0</v>
      </c>
      <c r="BI125" s="6">
        <f>AQ6</f>
        <v>0</v>
      </c>
      <c r="BJ125" s="13">
        <f>AR6</f>
        <v>0</v>
      </c>
    </row>
    <row r="126" spans="1:62" x14ac:dyDescent="0.25">
      <c r="A126" s="15">
        <v>5000</v>
      </c>
      <c r="B126" s="8">
        <f t="shared" si="26"/>
        <v>0</v>
      </c>
      <c r="C126" s="6">
        <f t="shared" si="26"/>
        <v>0</v>
      </c>
      <c r="D126" s="6">
        <f t="shared" si="26"/>
        <v>0</v>
      </c>
      <c r="E126" s="6">
        <f t="shared" si="26"/>
        <v>0</v>
      </c>
      <c r="F126" s="13">
        <f t="shared" si="26"/>
        <v>0</v>
      </c>
      <c r="G126" s="8">
        <f t="shared" si="27"/>
        <v>0</v>
      </c>
      <c r="H126" s="6">
        <f t="shared" si="27"/>
        <v>0</v>
      </c>
      <c r="I126" s="6">
        <f t="shared" si="27"/>
        <v>0</v>
      </c>
      <c r="J126" s="6">
        <f t="shared" si="27"/>
        <v>0</v>
      </c>
      <c r="K126" s="13">
        <f t="shared" si="27"/>
        <v>0</v>
      </c>
      <c r="L126" s="8">
        <f t="shared" si="28"/>
        <v>0</v>
      </c>
      <c r="M126" s="6">
        <f t="shared" si="28"/>
        <v>0</v>
      </c>
      <c r="N126" s="6">
        <f t="shared" si="28"/>
        <v>0</v>
      </c>
      <c r="O126" s="6">
        <f t="shared" si="28"/>
        <v>0</v>
      </c>
      <c r="P126" s="13">
        <f t="shared" si="28"/>
        <v>0</v>
      </c>
      <c r="Q126" s="8">
        <f t="shared" si="29"/>
        <v>0</v>
      </c>
      <c r="R126" s="6">
        <f t="shared" si="29"/>
        <v>0</v>
      </c>
      <c r="S126" s="6">
        <f t="shared" si="29"/>
        <v>0</v>
      </c>
      <c r="T126" s="6">
        <f t="shared" si="29"/>
        <v>0</v>
      </c>
      <c r="U126" s="13">
        <f t="shared" si="29"/>
        <v>0</v>
      </c>
      <c r="V126" s="8">
        <f t="shared" si="30"/>
        <v>0</v>
      </c>
      <c r="W126" s="6">
        <f t="shared" si="30"/>
        <v>0</v>
      </c>
      <c r="X126" s="6">
        <f t="shared" si="30"/>
        <v>0</v>
      </c>
      <c r="Y126" s="6">
        <f t="shared" si="30"/>
        <v>0</v>
      </c>
      <c r="Z126" s="13">
        <f t="shared" si="30"/>
        <v>0</v>
      </c>
      <c r="AA126" s="8">
        <f t="shared" si="30"/>
        <v>0</v>
      </c>
      <c r="AB126" s="6">
        <f t="shared" si="30"/>
        <v>0</v>
      </c>
      <c r="AC126" s="6">
        <f t="shared" si="30"/>
        <v>0</v>
      </c>
      <c r="AD126" s="6">
        <f t="shared" si="30"/>
        <v>0</v>
      </c>
      <c r="AE126" s="13">
        <f t="shared" si="30"/>
        <v>0</v>
      </c>
      <c r="AF126" s="16">
        <f t="shared" si="31"/>
        <v>0</v>
      </c>
      <c r="AG126" s="16">
        <f t="shared" si="32"/>
        <v>0</v>
      </c>
      <c r="AH126" s="15">
        <f>AT2</f>
        <v>0</v>
      </c>
      <c r="AI126" s="8">
        <f>AU2</f>
        <v>0</v>
      </c>
      <c r="AJ126" s="6">
        <f>AV2</f>
        <v>0</v>
      </c>
      <c r="AK126" s="6">
        <f>AW2</f>
        <v>0</v>
      </c>
      <c r="AL126" s="13">
        <f>AX2</f>
        <v>0</v>
      </c>
      <c r="AN126" s="15">
        <f>AT3</f>
        <v>0</v>
      </c>
      <c r="AO126" s="8">
        <f>AU3</f>
        <v>0</v>
      </c>
      <c r="AP126" s="6">
        <f>AV3</f>
        <v>0</v>
      </c>
      <c r="AQ126" s="6">
        <f>AW3</f>
        <v>0</v>
      </c>
      <c r="AR126" s="13">
        <f>AX3</f>
        <v>0</v>
      </c>
      <c r="AT126" s="15">
        <f>AT4</f>
        <v>0</v>
      </c>
      <c r="AU126" s="8">
        <f>AU4</f>
        <v>0</v>
      </c>
      <c r="AV126" s="6">
        <f>AV4</f>
        <v>0</v>
      </c>
      <c r="AW126" s="6">
        <f>AW4</f>
        <v>0</v>
      </c>
      <c r="AX126" s="13">
        <f>AX4</f>
        <v>0</v>
      </c>
      <c r="AZ126" s="15">
        <f>AT5</f>
        <v>0</v>
      </c>
      <c r="BA126" s="8">
        <f>AU5</f>
        <v>0</v>
      </c>
      <c r="BB126" s="6">
        <f>AV5</f>
        <v>0</v>
      </c>
      <c r="BC126" s="6">
        <f>AW5</f>
        <v>0</v>
      </c>
      <c r="BD126" s="13">
        <f>AX5</f>
        <v>0</v>
      </c>
      <c r="BF126" s="15">
        <f>AT6</f>
        <v>0</v>
      </c>
      <c r="BG126" s="8">
        <f>AU6</f>
        <v>0</v>
      </c>
      <c r="BH126" s="6">
        <f>AV6</f>
        <v>0</v>
      </c>
      <c r="BI126" s="6">
        <f>AW6</f>
        <v>0</v>
      </c>
      <c r="BJ126" s="13">
        <f>AX6</f>
        <v>0</v>
      </c>
    </row>
    <row r="127" spans="1:62" ht="15.75" thickBot="1" x14ac:dyDescent="0.3">
      <c r="A127" s="59">
        <v>10000</v>
      </c>
      <c r="B127" s="31">
        <f t="shared" si="26"/>
        <v>0</v>
      </c>
      <c r="C127" s="32">
        <f t="shared" si="26"/>
        <v>0</v>
      </c>
      <c r="D127" s="32">
        <f t="shared" si="26"/>
        <v>0</v>
      </c>
      <c r="E127" s="32">
        <f t="shared" si="26"/>
        <v>0</v>
      </c>
      <c r="F127" s="33">
        <f t="shared" si="26"/>
        <v>0</v>
      </c>
      <c r="G127" s="31">
        <f t="shared" si="27"/>
        <v>0</v>
      </c>
      <c r="H127" s="32">
        <f t="shared" si="27"/>
        <v>0</v>
      </c>
      <c r="I127" s="32">
        <f t="shared" si="27"/>
        <v>0</v>
      </c>
      <c r="J127" s="32">
        <f t="shared" si="27"/>
        <v>0</v>
      </c>
      <c r="K127" s="33">
        <f t="shared" si="27"/>
        <v>0</v>
      </c>
      <c r="L127" s="31">
        <f t="shared" si="28"/>
        <v>0</v>
      </c>
      <c r="M127" s="32">
        <f t="shared" si="28"/>
        <v>0</v>
      </c>
      <c r="N127" s="32">
        <f t="shared" si="28"/>
        <v>0</v>
      </c>
      <c r="O127" s="32">
        <f t="shared" si="28"/>
        <v>0</v>
      </c>
      <c r="P127" s="33">
        <f t="shared" si="28"/>
        <v>0</v>
      </c>
      <c r="Q127" s="31">
        <f t="shared" si="29"/>
        <v>0</v>
      </c>
      <c r="R127" s="32">
        <f t="shared" si="29"/>
        <v>0</v>
      </c>
      <c r="S127" s="32">
        <f t="shared" si="29"/>
        <v>0</v>
      </c>
      <c r="T127" s="32">
        <f t="shared" si="29"/>
        <v>0</v>
      </c>
      <c r="U127" s="33">
        <f t="shared" si="29"/>
        <v>0</v>
      </c>
      <c r="V127" s="31">
        <f t="shared" si="30"/>
        <v>0</v>
      </c>
      <c r="W127" s="32">
        <f t="shared" si="30"/>
        <v>0</v>
      </c>
      <c r="X127" s="32">
        <f t="shared" si="30"/>
        <v>0</v>
      </c>
      <c r="Y127" s="32">
        <f t="shared" si="30"/>
        <v>0</v>
      </c>
      <c r="Z127" s="33">
        <f t="shared" si="30"/>
        <v>0</v>
      </c>
      <c r="AA127" s="31">
        <f t="shared" si="30"/>
        <v>0</v>
      </c>
      <c r="AB127" s="32">
        <f t="shared" si="30"/>
        <v>0</v>
      </c>
      <c r="AC127" s="32">
        <f t="shared" si="30"/>
        <v>0</v>
      </c>
      <c r="AD127" s="32">
        <f t="shared" si="30"/>
        <v>0</v>
      </c>
      <c r="AE127" s="33">
        <f t="shared" si="30"/>
        <v>0</v>
      </c>
      <c r="AF127" s="16">
        <f t="shared" si="31"/>
        <v>0</v>
      </c>
      <c r="AG127" s="43">
        <f t="shared" si="32"/>
        <v>0</v>
      </c>
      <c r="AH127" s="15">
        <f>AZ2</f>
        <v>0</v>
      </c>
      <c r="AI127" s="8">
        <f>BA2</f>
        <v>0</v>
      </c>
      <c r="AJ127" s="6">
        <f>BB2</f>
        <v>0</v>
      </c>
      <c r="AK127" s="6">
        <f>BC2</f>
        <v>0</v>
      </c>
      <c r="AL127" s="13">
        <f>BD2</f>
        <v>0</v>
      </c>
      <c r="AN127" s="15">
        <f>AZ3</f>
        <v>0</v>
      </c>
      <c r="AO127" s="8">
        <f>BA3</f>
        <v>0</v>
      </c>
      <c r="AP127" s="6">
        <f>BB3</f>
        <v>0</v>
      </c>
      <c r="AQ127" s="6">
        <f>BC3</f>
        <v>0</v>
      </c>
      <c r="AR127" s="13">
        <f>BD3</f>
        <v>0</v>
      </c>
      <c r="AT127" s="15">
        <f>AZ4</f>
        <v>0</v>
      </c>
      <c r="AU127" s="8">
        <f>BA4</f>
        <v>0</v>
      </c>
      <c r="AV127" s="6">
        <f>BB4</f>
        <v>0</v>
      </c>
      <c r="AW127" s="6">
        <f>BC4</f>
        <v>0</v>
      </c>
      <c r="AX127" s="13">
        <f>BD4</f>
        <v>0</v>
      </c>
      <c r="AZ127" s="15">
        <f>AZ5</f>
        <v>0</v>
      </c>
      <c r="BA127" s="8">
        <f>BA5</f>
        <v>0</v>
      </c>
      <c r="BB127" s="6">
        <f>BB5</f>
        <v>0</v>
      </c>
      <c r="BC127" s="6">
        <f>BC5</f>
        <v>0</v>
      </c>
      <c r="BD127" s="13">
        <f>BD5</f>
        <v>0</v>
      </c>
      <c r="BF127" s="15">
        <f>AZ6</f>
        <v>0</v>
      </c>
      <c r="BG127" s="8">
        <f>BA6</f>
        <v>0</v>
      </c>
      <c r="BH127" s="6">
        <f>BB6</f>
        <v>0</v>
      </c>
      <c r="BI127" s="6">
        <f>BC6</f>
        <v>0</v>
      </c>
      <c r="BJ127" s="13">
        <f>BD6</f>
        <v>0</v>
      </c>
    </row>
    <row r="128" spans="1:62" ht="15.75" thickBot="1" x14ac:dyDescent="0.3">
      <c r="A128" s="35"/>
      <c r="B128" s="60">
        <f t="shared" ref="B128:AG128" si="33">SUM(B119:B127)</f>
        <v>0</v>
      </c>
      <c r="C128" s="61">
        <f t="shared" si="33"/>
        <v>48</v>
      </c>
      <c r="D128" s="61">
        <f t="shared" si="33"/>
        <v>0</v>
      </c>
      <c r="E128" s="61">
        <f t="shared" si="33"/>
        <v>0</v>
      </c>
      <c r="F128" s="62">
        <f t="shared" si="33"/>
        <v>0</v>
      </c>
      <c r="G128" s="60">
        <f t="shared" si="33"/>
        <v>0</v>
      </c>
      <c r="H128" s="61">
        <f t="shared" si="33"/>
        <v>0</v>
      </c>
      <c r="I128" s="61">
        <f t="shared" si="33"/>
        <v>0</v>
      </c>
      <c r="J128" s="61">
        <f t="shared" si="33"/>
        <v>0</v>
      </c>
      <c r="K128" s="62">
        <f t="shared" si="33"/>
        <v>0</v>
      </c>
      <c r="L128" s="60">
        <f t="shared" si="33"/>
        <v>0</v>
      </c>
      <c r="M128" s="61">
        <f t="shared" si="33"/>
        <v>0</v>
      </c>
      <c r="N128" s="61">
        <f t="shared" si="33"/>
        <v>0</v>
      </c>
      <c r="O128" s="61">
        <f t="shared" si="33"/>
        <v>0</v>
      </c>
      <c r="P128" s="62">
        <f t="shared" si="33"/>
        <v>0</v>
      </c>
      <c r="Q128" s="60">
        <f t="shared" si="33"/>
        <v>0</v>
      </c>
      <c r="R128" s="61">
        <f t="shared" si="33"/>
        <v>0</v>
      </c>
      <c r="S128" s="61">
        <f t="shared" si="33"/>
        <v>0</v>
      </c>
      <c r="T128" s="61">
        <f t="shared" si="33"/>
        <v>0</v>
      </c>
      <c r="U128" s="62">
        <f t="shared" si="33"/>
        <v>0</v>
      </c>
      <c r="V128" s="60">
        <f t="shared" si="33"/>
        <v>0</v>
      </c>
      <c r="W128" s="61">
        <f t="shared" si="33"/>
        <v>0</v>
      </c>
      <c r="X128" s="61">
        <f t="shared" si="33"/>
        <v>0</v>
      </c>
      <c r="Y128" s="61">
        <f t="shared" si="33"/>
        <v>0</v>
      </c>
      <c r="Z128" s="62">
        <f t="shared" si="33"/>
        <v>0</v>
      </c>
      <c r="AA128" s="60">
        <f t="shared" si="33"/>
        <v>0</v>
      </c>
      <c r="AB128" s="61">
        <f t="shared" si="33"/>
        <v>0</v>
      </c>
      <c r="AC128" s="61">
        <f t="shared" si="33"/>
        <v>0</v>
      </c>
      <c r="AD128" s="61">
        <f t="shared" si="33"/>
        <v>0</v>
      </c>
      <c r="AE128" s="62">
        <f t="shared" si="33"/>
        <v>0</v>
      </c>
      <c r="AF128" s="35">
        <f>SUM(AF119:AF127)</f>
        <v>39500</v>
      </c>
      <c r="AG128" s="35">
        <f t="shared" si="32"/>
        <v>48</v>
      </c>
      <c r="AH128" s="15">
        <f>BF2</f>
        <v>0</v>
      </c>
      <c r="AI128" s="8">
        <f>BG2</f>
        <v>0</v>
      </c>
      <c r="AJ128" s="6">
        <f>BH2</f>
        <v>0</v>
      </c>
      <c r="AK128" s="6">
        <f>BI2</f>
        <v>0</v>
      </c>
      <c r="AL128" s="13">
        <f>BJ2</f>
        <v>0</v>
      </c>
      <c r="AN128" s="15">
        <f>BF3</f>
        <v>0</v>
      </c>
      <c r="AO128" s="8">
        <f>BG3</f>
        <v>0</v>
      </c>
      <c r="AP128" s="6">
        <f>BH3</f>
        <v>0</v>
      </c>
      <c r="AQ128" s="6">
        <f>BI3</f>
        <v>0</v>
      </c>
      <c r="AR128" s="13">
        <f>BJ3</f>
        <v>0</v>
      </c>
      <c r="AT128" s="15">
        <f>BF4</f>
        <v>0</v>
      </c>
      <c r="AU128" s="8">
        <f>BG4</f>
        <v>0</v>
      </c>
      <c r="AV128" s="6">
        <f>BH4</f>
        <v>0</v>
      </c>
      <c r="AW128" s="6">
        <f>BI4</f>
        <v>0</v>
      </c>
      <c r="AX128" s="13">
        <f>BJ4</f>
        <v>0</v>
      </c>
      <c r="AZ128" s="15">
        <f>BF5</f>
        <v>0</v>
      </c>
      <c r="BA128" s="8">
        <f>BG5</f>
        <v>0</v>
      </c>
      <c r="BB128" s="6">
        <f>BH5</f>
        <v>0</v>
      </c>
      <c r="BC128" s="6">
        <f>BI5</f>
        <v>0</v>
      </c>
      <c r="BD128" s="13">
        <f>BJ5</f>
        <v>0</v>
      </c>
      <c r="BF128" s="15">
        <f>BF6</f>
        <v>0</v>
      </c>
      <c r="BG128" s="8">
        <f>BG6</f>
        <v>0</v>
      </c>
      <c r="BH128" s="6">
        <f>BH6</f>
        <v>0</v>
      </c>
      <c r="BI128" s="6">
        <f>BI6</f>
        <v>0</v>
      </c>
      <c r="BJ128" s="13">
        <f>BJ6</f>
        <v>0</v>
      </c>
    </row>
    <row r="129" spans="1:62" ht="15.75" thickBo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9">
        <f>BL2</f>
        <v>0</v>
      </c>
      <c r="AI129" s="31">
        <f>BM2</f>
        <v>0</v>
      </c>
      <c r="AJ129" s="32">
        <f>BN2</f>
        <v>0</v>
      </c>
      <c r="AK129" s="32">
        <f>BO2</f>
        <v>0</v>
      </c>
      <c r="AL129" s="33">
        <f>BP2</f>
        <v>0</v>
      </c>
      <c r="AN129" s="59">
        <f>BL3</f>
        <v>0</v>
      </c>
      <c r="AO129" s="31">
        <f>BM3</f>
        <v>0</v>
      </c>
      <c r="AP129" s="32">
        <f>BN3</f>
        <v>0</v>
      </c>
      <c r="AQ129" s="32">
        <f>BO3</f>
        <v>0</v>
      </c>
      <c r="AR129" s="33">
        <f>BP3</f>
        <v>0</v>
      </c>
      <c r="AT129" s="59">
        <f>BL4</f>
        <v>0</v>
      </c>
      <c r="AU129" s="31">
        <f>BM4</f>
        <v>0</v>
      </c>
      <c r="AV129" s="32">
        <f>BN4</f>
        <v>0</v>
      </c>
      <c r="AW129" s="32">
        <f>BO4</f>
        <v>0</v>
      </c>
      <c r="AX129" s="33">
        <f>BP4</f>
        <v>0</v>
      </c>
      <c r="AZ129" s="59">
        <f>BL5</f>
        <v>0</v>
      </c>
      <c r="BA129" s="31">
        <f>BM5</f>
        <v>0</v>
      </c>
      <c r="BB129" s="32">
        <f>BN5</f>
        <v>0</v>
      </c>
      <c r="BC129" s="32">
        <f>BO5</f>
        <v>0</v>
      </c>
      <c r="BD129" s="33">
        <f>BP5</f>
        <v>0</v>
      </c>
      <c r="BF129" s="59">
        <f>BL6</f>
        <v>0</v>
      </c>
      <c r="BG129" s="31">
        <f>BM6</f>
        <v>0</v>
      </c>
      <c r="BH129" s="32">
        <f>BN6</f>
        <v>0</v>
      </c>
      <c r="BI129" s="32">
        <f>BO6</f>
        <v>0</v>
      </c>
      <c r="BJ129" s="33">
        <f>BP6</f>
        <v>0</v>
      </c>
    </row>
    <row r="130" spans="1:62" ht="16.5" thickBot="1" x14ac:dyDescent="0.3">
      <c r="A130" s="173" t="s">
        <v>249</v>
      </c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5"/>
      <c r="AH130" s="35" t="str">
        <f>C2</f>
        <v>A/C</v>
      </c>
      <c r="AI130" s="158">
        <f>SUM(AJ120:AJ129)</f>
        <v>48</v>
      </c>
      <c r="AJ130" s="159"/>
      <c r="AK130" s="158">
        <f>BT2</f>
        <v>39500</v>
      </c>
      <c r="AL130" s="159"/>
      <c r="AN130" s="35">
        <f>C3</f>
        <v>0</v>
      </c>
      <c r="AO130" s="158">
        <f>SUM(AP120:AP129)</f>
        <v>0</v>
      </c>
      <c r="AP130" s="159"/>
      <c r="AQ130" s="158">
        <f>BT3</f>
        <v>0</v>
      </c>
      <c r="AR130" s="159"/>
      <c r="AT130" s="35">
        <f>C4</f>
        <v>0</v>
      </c>
      <c r="AU130" s="158">
        <f>SUM(AV120:AV129)</f>
        <v>0</v>
      </c>
      <c r="AV130" s="159"/>
      <c r="AW130" s="158">
        <f>BT4</f>
        <v>0</v>
      </c>
      <c r="AX130" s="159"/>
      <c r="AZ130" s="35">
        <f>C5</f>
        <v>0</v>
      </c>
      <c r="BA130" s="158">
        <f>SUM(BB120:BB129)</f>
        <v>0</v>
      </c>
      <c r="BB130" s="159"/>
      <c r="BC130" s="158">
        <f>BT5</f>
        <v>0</v>
      </c>
      <c r="BD130" s="159"/>
      <c r="BF130" s="35">
        <f>C6</f>
        <v>0</v>
      </c>
      <c r="BG130" s="158">
        <f>SUM(BG120:BG129)</f>
        <v>0</v>
      </c>
      <c r="BH130" s="159"/>
      <c r="BI130" s="158">
        <f>BT6</f>
        <v>0</v>
      </c>
      <c r="BJ130" s="159"/>
    </row>
    <row r="131" spans="1:62" ht="15.75" thickBot="1" x14ac:dyDescent="0.3">
      <c r="A131" s="123" t="s">
        <v>31</v>
      </c>
      <c r="B131" s="113" t="s">
        <v>22</v>
      </c>
      <c r="C131" s="114"/>
      <c r="D131" s="114"/>
      <c r="E131" s="114"/>
      <c r="F131" s="115"/>
      <c r="G131" s="113" t="s">
        <v>20</v>
      </c>
      <c r="H131" s="114"/>
      <c r="I131" s="114"/>
      <c r="J131" s="114"/>
      <c r="K131" s="115"/>
      <c r="L131" s="113" t="s">
        <v>34</v>
      </c>
      <c r="M131" s="114"/>
      <c r="N131" s="114"/>
      <c r="O131" s="114"/>
      <c r="P131" s="115"/>
      <c r="Q131" s="113" t="s">
        <v>127</v>
      </c>
      <c r="R131" s="114"/>
      <c r="S131" s="114"/>
      <c r="T131" s="114"/>
      <c r="U131" s="115"/>
      <c r="V131" s="113" t="s">
        <v>129</v>
      </c>
      <c r="W131" s="114"/>
      <c r="X131" s="114"/>
      <c r="Y131" s="114"/>
      <c r="Z131" s="115"/>
      <c r="AA131" s="113" t="s">
        <v>26</v>
      </c>
      <c r="AB131" s="114"/>
      <c r="AC131" s="114"/>
      <c r="AD131" s="114"/>
      <c r="AE131" s="115"/>
      <c r="AF131" s="116" t="s">
        <v>24</v>
      </c>
      <c r="AG131" s="116" t="s">
        <v>86</v>
      </c>
      <c r="AH131" s="35" t="s">
        <v>25</v>
      </c>
      <c r="AI131" s="158">
        <f>A2</f>
        <v>21420</v>
      </c>
      <c r="AJ131" s="160"/>
      <c r="AK131" s="158" t="str">
        <f>BR2</f>
        <v>COD</v>
      </c>
      <c r="AL131" s="159"/>
      <c r="AN131" s="35" t="s">
        <v>25</v>
      </c>
      <c r="AO131" s="158">
        <f>A3</f>
        <v>0</v>
      </c>
      <c r="AP131" s="160"/>
      <c r="AQ131" s="158">
        <f>BR3</f>
        <v>0</v>
      </c>
      <c r="AR131" s="159"/>
      <c r="AT131" s="35" t="s">
        <v>25</v>
      </c>
      <c r="AU131" s="158">
        <f>A4</f>
        <v>0</v>
      </c>
      <c r="AV131" s="160"/>
      <c r="AW131" s="158">
        <f>BR4</f>
        <v>0</v>
      </c>
      <c r="AX131" s="159"/>
      <c r="AZ131" s="35" t="s">
        <v>25</v>
      </c>
      <c r="BA131" s="158">
        <f>A5</f>
        <v>0</v>
      </c>
      <c r="BB131" s="160"/>
      <c r="BC131" s="158">
        <f>BR5</f>
        <v>0</v>
      </c>
      <c r="BD131" s="159"/>
      <c r="BF131" s="35" t="s">
        <v>25</v>
      </c>
      <c r="BG131" s="158">
        <f>A6</f>
        <v>0</v>
      </c>
      <c r="BH131" s="160"/>
      <c r="BI131" s="158">
        <f>BR6</f>
        <v>0</v>
      </c>
      <c r="BJ131" s="159"/>
    </row>
    <row r="132" spans="1:62" ht="15.75" thickBot="1" x14ac:dyDescent="0.3">
      <c r="A132" s="124"/>
      <c r="B132" s="9" t="s">
        <v>32</v>
      </c>
      <c r="C132" s="12" t="s">
        <v>17</v>
      </c>
      <c r="D132" s="12" t="s">
        <v>19</v>
      </c>
      <c r="E132" s="12" t="s">
        <v>33</v>
      </c>
      <c r="F132" s="14" t="s">
        <v>80</v>
      </c>
      <c r="G132" s="9" t="s">
        <v>32</v>
      </c>
      <c r="H132" s="12" t="s">
        <v>17</v>
      </c>
      <c r="I132" s="12" t="s">
        <v>19</v>
      </c>
      <c r="J132" s="12" t="s">
        <v>33</v>
      </c>
      <c r="K132" s="14" t="s">
        <v>80</v>
      </c>
      <c r="L132" s="9" t="s">
        <v>32</v>
      </c>
      <c r="M132" s="12" t="s">
        <v>17</v>
      </c>
      <c r="N132" s="12" t="s">
        <v>19</v>
      </c>
      <c r="O132" s="12" t="s">
        <v>33</v>
      </c>
      <c r="P132" s="14" t="s">
        <v>80</v>
      </c>
      <c r="Q132" s="9" t="s">
        <v>32</v>
      </c>
      <c r="R132" s="12" t="s">
        <v>17</v>
      </c>
      <c r="S132" s="12" t="s">
        <v>19</v>
      </c>
      <c r="T132" s="12" t="s">
        <v>33</v>
      </c>
      <c r="U132" s="14" t="s">
        <v>80</v>
      </c>
      <c r="V132" s="9" t="s">
        <v>32</v>
      </c>
      <c r="W132" s="12" t="s">
        <v>17</v>
      </c>
      <c r="X132" s="12" t="s">
        <v>19</v>
      </c>
      <c r="Y132" s="12" t="s">
        <v>33</v>
      </c>
      <c r="Z132" s="14" t="s">
        <v>80</v>
      </c>
      <c r="AA132" s="9" t="s">
        <v>32</v>
      </c>
      <c r="AB132" s="12" t="s">
        <v>17</v>
      </c>
      <c r="AC132" s="12" t="s">
        <v>19</v>
      </c>
      <c r="AD132" s="12" t="s">
        <v>33</v>
      </c>
      <c r="AE132" s="14" t="s">
        <v>80</v>
      </c>
      <c r="AF132" s="117"/>
      <c r="AG132" s="117"/>
      <c r="AH132" s="58" t="s">
        <v>130</v>
      </c>
      <c r="AI132" s="58" t="s">
        <v>131</v>
      </c>
      <c r="AJ132" s="58" t="s">
        <v>132</v>
      </c>
      <c r="AK132" s="58" t="s">
        <v>166</v>
      </c>
      <c r="AL132" s="58" t="s">
        <v>33</v>
      </c>
      <c r="AN132" s="58" t="s">
        <v>130</v>
      </c>
      <c r="AO132" s="58" t="s">
        <v>131</v>
      </c>
      <c r="AP132" s="58" t="s">
        <v>132</v>
      </c>
      <c r="AQ132" s="58" t="s">
        <v>166</v>
      </c>
      <c r="AR132" s="58" t="s">
        <v>33</v>
      </c>
      <c r="AT132" s="58" t="s">
        <v>130</v>
      </c>
      <c r="AU132" s="58" t="s">
        <v>131</v>
      </c>
      <c r="AV132" s="58" t="s">
        <v>132</v>
      </c>
      <c r="AW132" s="58" t="s">
        <v>166</v>
      </c>
      <c r="AX132" s="58" t="s">
        <v>33</v>
      </c>
      <c r="AZ132" s="58" t="s">
        <v>130</v>
      </c>
      <c r="BA132" s="58" t="s">
        <v>131</v>
      </c>
      <c r="BB132" s="58" t="s">
        <v>132</v>
      </c>
      <c r="BC132" s="58" t="s">
        <v>166</v>
      </c>
      <c r="BD132" s="58" t="s">
        <v>33</v>
      </c>
      <c r="BF132" s="58" t="s">
        <v>130</v>
      </c>
      <c r="BG132" s="58" t="s">
        <v>131</v>
      </c>
      <c r="BH132" s="58" t="s">
        <v>132</v>
      </c>
      <c r="BI132" s="58" t="s">
        <v>166</v>
      </c>
      <c r="BJ132" s="58" t="s">
        <v>33</v>
      </c>
    </row>
    <row r="133" spans="1:62" ht="15.75" thickBot="1" x14ac:dyDescent="0.3">
      <c r="A133" s="16">
        <v>300</v>
      </c>
      <c r="B133" s="10">
        <f t="shared" ref="B133:F141" si="34">SUMIFS($J$14:$J$113,$I$14:$I$113,$A133,$K$14:$K$113,B$118,$L$14:$L$113,$B$117,$H$14:$H$113,"NG")</f>
        <v>0</v>
      </c>
      <c r="C133" s="11">
        <f t="shared" si="34"/>
        <v>0</v>
      </c>
      <c r="D133" s="11">
        <f t="shared" si="34"/>
        <v>0</v>
      </c>
      <c r="E133" s="11">
        <f t="shared" si="34"/>
        <v>0</v>
      </c>
      <c r="F133" s="17">
        <f t="shared" si="34"/>
        <v>0</v>
      </c>
      <c r="G133" s="10">
        <f t="shared" ref="G133:K141" si="35">SUMIFS($J$14:$J$113,$I$14:$I$113,$A133,$K$14:$K$113,G$118,$L$14:$L$113,$G$117,$H$14:$H$113,"NG")</f>
        <v>0</v>
      </c>
      <c r="H133" s="11">
        <f t="shared" si="35"/>
        <v>0</v>
      </c>
      <c r="I133" s="11">
        <f t="shared" si="35"/>
        <v>0</v>
      </c>
      <c r="J133" s="11">
        <f t="shared" si="35"/>
        <v>0</v>
      </c>
      <c r="K133" s="17">
        <f t="shared" si="35"/>
        <v>0</v>
      </c>
      <c r="L133" s="10">
        <f t="shared" ref="L133:P141" si="36">SUMIFS($J$14:$J$113,$I$14:$I$113,$A133,$K$14:$K$113,L$118,$L$14:$L$113,$L$117,$H$14:$H$113,"NG")</f>
        <v>0</v>
      </c>
      <c r="M133" s="11">
        <f t="shared" si="36"/>
        <v>0</v>
      </c>
      <c r="N133" s="11">
        <f t="shared" si="36"/>
        <v>0</v>
      </c>
      <c r="O133" s="11">
        <f t="shared" si="36"/>
        <v>0</v>
      </c>
      <c r="P133" s="17">
        <f t="shared" si="36"/>
        <v>0</v>
      </c>
      <c r="Q133" s="10">
        <f t="shared" ref="Q133:U141" si="37">SUMIFS($J$14:$J$113,$I$14:$I$113,$A133,$K$14:$K$113,Q$118,$L$14:$L$113,$Q$117,$H$14:$H$113,"NG")</f>
        <v>0</v>
      </c>
      <c r="R133" s="11">
        <f t="shared" si="37"/>
        <v>0</v>
      </c>
      <c r="S133" s="11">
        <f t="shared" si="37"/>
        <v>0</v>
      </c>
      <c r="T133" s="11">
        <f t="shared" si="37"/>
        <v>0</v>
      </c>
      <c r="U133" s="17">
        <f t="shared" si="37"/>
        <v>0</v>
      </c>
      <c r="V133" s="10">
        <f t="shared" ref="V133:AE141" si="38">SUMIFS($J$14:$J$113,$I$14:$I$113,$A133,$K$14:$K$113,V$118,$L$14:$L$113,$L$117,$H$14:$H$113,"NG")</f>
        <v>0</v>
      </c>
      <c r="W133" s="11">
        <f t="shared" si="38"/>
        <v>0</v>
      </c>
      <c r="X133" s="11">
        <f t="shared" si="38"/>
        <v>0</v>
      </c>
      <c r="Y133" s="11">
        <f t="shared" si="38"/>
        <v>0</v>
      </c>
      <c r="Z133" s="17">
        <f t="shared" si="38"/>
        <v>0</v>
      </c>
      <c r="AA133" s="10">
        <f t="shared" si="38"/>
        <v>0</v>
      </c>
      <c r="AB133" s="11">
        <f t="shared" si="38"/>
        <v>0</v>
      </c>
      <c r="AC133" s="11">
        <f t="shared" si="38"/>
        <v>0</v>
      </c>
      <c r="AD133" s="11">
        <f t="shared" si="38"/>
        <v>0</v>
      </c>
      <c r="AE133" s="17">
        <f t="shared" si="38"/>
        <v>0</v>
      </c>
      <c r="AF133" s="16">
        <f>SUM(B133:AE133)*A133</f>
        <v>0</v>
      </c>
      <c r="AG133" s="16">
        <f>SUM(B133:AE133)</f>
        <v>0</v>
      </c>
      <c r="AH133" s="34" t="str">
        <f>AZ14</f>
        <v/>
      </c>
      <c r="AI133" s="34" t="str">
        <f>BA14</f>
        <v/>
      </c>
      <c r="AJ133" s="34" t="str">
        <f>BB14</f>
        <v/>
      </c>
      <c r="AK133" s="35" t="str">
        <f>BC14</f>
        <v/>
      </c>
      <c r="AL133" s="35" t="str">
        <f>BD14</f>
        <v/>
      </c>
      <c r="AN133" s="34" t="str">
        <f>AZ15</f>
        <v/>
      </c>
      <c r="AO133" s="34" t="str">
        <f>BA15</f>
        <v/>
      </c>
      <c r="AP133" s="34" t="str">
        <f>BB15</f>
        <v/>
      </c>
      <c r="AQ133" s="35" t="str">
        <f>BC15</f>
        <v/>
      </c>
      <c r="AR133" s="35" t="str">
        <f>BD15</f>
        <v/>
      </c>
      <c r="AT133" s="34" t="str">
        <f>AZ16</f>
        <v/>
      </c>
      <c r="AU133" s="34" t="str">
        <f>BA16</f>
        <v/>
      </c>
      <c r="AV133" s="34" t="str">
        <f>BB16</f>
        <v/>
      </c>
      <c r="AW133" s="35" t="str">
        <f>BC16</f>
        <v/>
      </c>
      <c r="AX133" s="35" t="str">
        <f>BD16</f>
        <v/>
      </c>
      <c r="AZ133" s="34" t="str">
        <f>AZ17</f>
        <v/>
      </c>
      <c r="BA133" s="34" t="str">
        <f>BA17</f>
        <v/>
      </c>
      <c r="BB133" s="34" t="str">
        <f>BB17</f>
        <v/>
      </c>
      <c r="BC133" s="35" t="str">
        <f>BC17</f>
        <v/>
      </c>
      <c r="BD133" s="35" t="str">
        <f>BD17</f>
        <v/>
      </c>
      <c r="BF133" s="34" t="str">
        <f>AZ18</f>
        <v/>
      </c>
      <c r="BG133" s="34" t="str">
        <f>BA18</f>
        <v/>
      </c>
      <c r="BH133" s="34" t="str">
        <f>BB18</f>
        <v/>
      </c>
      <c r="BI133" s="35" t="str">
        <f>BC18</f>
        <v/>
      </c>
      <c r="BJ133" s="35" t="str">
        <f>BD18</f>
        <v/>
      </c>
    </row>
    <row r="134" spans="1:62" ht="15.75" thickBot="1" x14ac:dyDescent="0.3">
      <c r="A134" s="16">
        <v>500</v>
      </c>
      <c r="B134" s="10">
        <f t="shared" si="34"/>
        <v>0</v>
      </c>
      <c r="C134" s="11">
        <f t="shared" si="34"/>
        <v>0</v>
      </c>
      <c r="D134" s="11">
        <f t="shared" si="34"/>
        <v>0</v>
      </c>
      <c r="E134" s="11">
        <f t="shared" si="34"/>
        <v>0</v>
      </c>
      <c r="F134" s="17">
        <f t="shared" si="34"/>
        <v>0</v>
      </c>
      <c r="G134" s="10">
        <f t="shared" si="35"/>
        <v>0</v>
      </c>
      <c r="H134" s="11">
        <f t="shared" si="35"/>
        <v>0</v>
      </c>
      <c r="I134" s="11">
        <f t="shared" si="35"/>
        <v>0</v>
      </c>
      <c r="J134" s="11">
        <f t="shared" si="35"/>
        <v>0</v>
      </c>
      <c r="K134" s="17">
        <f t="shared" si="35"/>
        <v>0</v>
      </c>
      <c r="L134" s="10">
        <f t="shared" si="36"/>
        <v>0</v>
      </c>
      <c r="M134" s="11">
        <f t="shared" si="36"/>
        <v>0</v>
      </c>
      <c r="N134" s="11">
        <f t="shared" si="36"/>
        <v>0</v>
      </c>
      <c r="O134" s="11">
        <f t="shared" si="36"/>
        <v>0</v>
      </c>
      <c r="P134" s="17">
        <f t="shared" si="36"/>
        <v>0</v>
      </c>
      <c r="Q134" s="10">
        <f t="shared" si="37"/>
        <v>0</v>
      </c>
      <c r="R134" s="11">
        <f t="shared" si="37"/>
        <v>0</v>
      </c>
      <c r="S134" s="11">
        <f t="shared" si="37"/>
        <v>0</v>
      </c>
      <c r="T134" s="11">
        <f t="shared" si="37"/>
        <v>0</v>
      </c>
      <c r="U134" s="17">
        <f t="shared" si="37"/>
        <v>0</v>
      </c>
      <c r="V134" s="10">
        <f t="shared" si="38"/>
        <v>0</v>
      </c>
      <c r="W134" s="11">
        <f t="shared" si="38"/>
        <v>0</v>
      </c>
      <c r="X134" s="11">
        <f t="shared" si="38"/>
        <v>0</v>
      </c>
      <c r="Y134" s="11">
        <f t="shared" si="38"/>
        <v>0</v>
      </c>
      <c r="Z134" s="17">
        <f t="shared" si="38"/>
        <v>0</v>
      </c>
      <c r="AA134" s="10">
        <f t="shared" si="38"/>
        <v>0</v>
      </c>
      <c r="AB134" s="11">
        <f t="shared" si="38"/>
        <v>0</v>
      </c>
      <c r="AC134" s="11">
        <f t="shared" si="38"/>
        <v>0</v>
      </c>
      <c r="AD134" s="11">
        <f t="shared" si="38"/>
        <v>0</v>
      </c>
      <c r="AE134" s="17">
        <f t="shared" si="38"/>
        <v>0</v>
      </c>
      <c r="AF134" s="16">
        <f t="shared" ref="AF134:AF141" si="39">SUM(B134:AE134)*A134</f>
        <v>0</v>
      </c>
      <c r="AG134" s="16">
        <f t="shared" ref="AG134:AG142" si="40">SUM(B134:AE134)</f>
        <v>0</v>
      </c>
      <c r="AH134" s="58" t="s">
        <v>22</v>
      </c>
      <c r="AI134" s="58" t="s">
        <v>20</v>
      </c>
      <c r="AJ134" s="58" t="s">
        <v>34</v>
      </c>
      <c r="AK134" s="58" t="s">
        <v>127</v>
      </c>
      <c r="AL134" s="58" t="s">
        <v>129</v>
      </c>
      <c r="AN134" s="58" t="s">
        <v>22</v>
      </c>
      <c r="AO134" s="58" t="s">
        <v>20</v>
      </c>
      <c r="AP134" s="58" t="s">
        <v>34</v>
      </c>
      <c r="AQ134" s="58" t="s">
        <v>127</v>
      </c>
      <c r="AR134" s="58" t="s">
        <v>129</v>
      </c>
      <c r="AT134" s="58" t="s">
        <v>22</v>
      </c>
      <c r="AU134" s="58" t="s">
        <v>20</v>
      </c>
      <c r="AV134" s="58" t="s">
        <v>34</v>
      </c>
      <c r="AW134" s="58" t="s">
        <v>127</v>
      </c>
      <c r="AX134" s="58" t="s">
        <v>129</v>
      </c>
      <c r="AZ134" s="58" t="s">
        <v>22</v>
      </c>
      <c r="BA134" s="58" t="s">
        <v>20</v>
      </c>
      <c r="BB134" s="58" t="s">
        <v>34</v>
      </c>
      <c r="BC134" s="58" t="s">
        <v>127</v>
      </c>
      <c r="BD134" s="58" t="s">
        <v>129</v>
      </c>
      <c r="BF134" s="58" t="s">
        <v>22</v>
      </c>
      <c r="BG134" s="58" t="s">
        <v>20</v>
      </c>
      <c r="BH134" s="58" t="s">
        <v>34</v>
      </c>
      <c r="BI134" s="58" t="s">
        <v>127</v>
      </c>
      <c r="BJ134" s="58" t="s">
        <v>129</v>
      </c>
    </row>
    <row r="135" spans="1:62" ht="15.75" thickBot="1" x14ac:dyDescent="0.3">
      <c r="A135" s="15">
        <v>750</v>
      </c>
      <c r="B135" s="8">
        <f t="shared" si="34"/>
        <v>0</v>
      </c>
      <c r="C135" s="6">
        <f t="shared" si="34"/>
        <v>0</v>
      </c>
      <c r="D135" s="6">
        <f t="shared" si="34"/>
        <v>0</v>
      </c>
      <c r="E135" s="6">
        <f t="shared" si="34"/>
        <v>0</v>
      </c>
      <c r="F135" s="13">
        <f t="shared" si="34"/>
        <v>0</v>
      </c>
      <c r="G135" s="8">
        <f t="shared" si="35"/>
        <v>0</v>
      </c>
      <c r="H135" s="6">
        <f t="shared" si="35"/>
        <v>0</v>
      </c>
      <c r="I135" s="6">
        <f t="shared" si="35"/>
        <v>0</v>
      </c>
      <c r="J135" s="6">
        <f t="shared" si="35"/>
        <v>0</v>
      </c>
      <c r="K135" s="13">
        <f t="shared" si="35"/>
        <v>0</v>
      </c>
      <c r="L135" s="8">
        <f t="shared" si="36"/>
        <v>0</v>
      </c>
      <c r="M135" s="6">
        <f t="shared" si="36"/>
        <v>0</v>
      </c>
      <c r="N135" s="6">
        <f t="shared" si="36"/>
        <v>0</v>
      </c>
      <c r="O135" s="6">
        <f t="shared" si="36"/>
        <v>0</v>
      </c>
      <c r="P135" s="13">
        <f t="shared" si="36"/>
        <v>0</v>
      </c>
      <c r="Q135" s="8">
        <f t="shared" si="37"/>
        <v>0</v>
      </c>
      <c r="R135" s="6">
        <f t="shared" si="37"/>
        <v>0</v>
      </c>
      <c r="S135" s="6">
        <f t="shared" si="37"/>
        <v>0</v>
      </c>
      <c r="T135" s="6">
        <f t="shared" si="37"/>
        <v>0</v>
      </c>
      <c r="U135" s="13">
        <f t="shared" si="37"/>
        <v>0</v>
      </c>
      <c r="V135" s="8">
        <f t="shared" si="38"/>
        <v>0</v>
      </c>
      <c r="W135" s="6">
        <f t="shared" si="38"/>
        <v>0</v>
      </c>
      <c r="X135" s="6">
        <f t="shared" si="38"/>
        <v>0</v>
      </c>
      <c r="Y135" s="6">
        <f t="shared" si="38"/>
        <v>0</v>
      </c>
      <c r="Z135" s="13">
        <f t="shared" si="38"/>
        <v>0</v>
      </c>
      <c r="AA135" s="8">
        <f t="shared" si="38"/>
        <v>0</v>
      </c>
      <c r="AB135" s="6">
        <f t="shared" si="38"/>
        <v>0</v>
      </c>
      <c r="AC135" s="6">
        <f t="shared" si="38"/>
        <v>0</v>
      </c>
      <c r="AD135" s="6">
        <f t="shared" si="38"/>
        <v>0</v>
      </c>
      <c r="AE135" s="13">
        <f t="shared" si="38"/>
        <v>0</v>
      </c>
      <c r="AF135" s="16">
        <f t="shared" si="39"/>
        <v>0</v>
      </c>
      <c r="AG135" s="16">
        <f t="shared" si="40"/>
        <v>0</v>
      </c>
      <c r="AH135" s="34">
        <f>AU14</f>
        <v>3.5</v>
      </c>
      <c r="AI135" s="34" t="str">
        <f>AV14</f>
        <v/>
      </c>
      <c r="AJ135" s="34" t="str">
        <f>AW14</f>
        <v/>
      </c>
      <c r="AK135" s="35" t="str">
        <f>AX14</f>
        <v/>
      </c>
      <c r="AL135" s="35" t="str">
        <f>AY14</f>
        <v/>
      </c>
      <c r="AN135" s="34" t="str">
        <f>AU15</f>
        <v/>
      </c>
      <c r="AO135" s="34" t="str">
        <f>AV15</f>
        <v/>
      </c>
      <c r="AP135" s="34" t="str">
        <f>AW15</f>
        <v/>
      </c>
      <c r="AQ135" s="35" t="str">
        <f>AX15</f>
        <v/>
      </c>
      <c r="AR135" s="35" t="str">
        <f>AY15</f>
        <v/>
      </c>
      <c r="AT135" s="34" t="str">
        <f>AU16</f>
        <v/>
      </c>
      <c r="AU135" s="34" t="str">
        <f>AV16</f>
        <v/>
      </c>
      <c r="AV135" s="34" t="str">
        <f>AW16</f>
        <v/>
      </c>
      <c r="AW135" s="35" t="str">
        <f>AX16</f>
        <v/>
      </c>
      <c r="AX135" s="35" t="str">
        <f>AY16</f>
        <v/>
      </c>
      <c r="AZ135" s="34" t="str">
        <f>AU17</f>
        <v/>
      </c>
      <c r="BA135" s="34" t="str">
        <f>AV17</f>
        <v/>
      </c>
      <c r="BB135" s="34" t="str">
        <f>AW17</f>
        <v/>
      </c>
      <c r="BC135" s="35" t="str">
        <f>AX17</f>
        <v/>
      </c>
      <c r="BD135" s="35" t="str">
        <f>AY17</f>
        <v/>
      </c>
      <c r="BF135" s="34" t="str">
        <f>AU18</f>
        <v/>
      </c>
      <c r="BG135" s="34" t="str">
        <f>AV18</f>
        <v/>
      </c>
      <c r="BH135" s="34" t="str">
        <f>AW18</f>
        <v/>
      </c>
      <c r="BI135" s="35" t="str">
        <f>AX18</f>
        <v/>
      </c>
      <c r="BJ135" s="35" t="str">
        <f>AY18</f>
        <v/>
      </c>
    </row>
    <row r="136" spans="1:62" x14ac:dyDescent="0.25">
      <c r="A136" s="15">
        <v>1000</v>
      </c>
      <c r="B136" s="8">
        <f t="shared" si="34"/>
        <v>0</v>
      </c>
      <c r="C136" s="6">
        <f t="shared" si="34"/>
        <v>0</v>
      </c>
      <c r="D136" s="6">
        <f t="shared" si="34"/>
        <v>0</v>
      </c>
      <c r="E136" s="6">
        <f t="shared" si="34"/>
        <v>0</v>
      </c>
      <c r="F136" s="13">
        <f t="shared" si="34"/>
        <v>0</v>
      </c>
      <c r="G136" s="8">
        <f t="shared" si="35"/>
        <v>0</v>
      </c>
      <c r="H136" s="6">
        <f t="shared" si="35"/>
        <v>0</v>
      </c>
      <c r="I136" s="6">
        <f t="shared" si="35"/>
        <v>0</v>
      </c>
      <c r="J136" s="6">
        <f t="shared" si="35"/>
        <v>0</v>
      </c>
      <c r="K136" s="13">
        <f t="shared" si="35"/>
        <v>0</v>
      </c>
      <c r="L136" s="8">
        <f t="shared" si="36"/>
        <v>0</v>
      </c>
      <c r="M136" s="6">
        <f t="shared" si="36"/>
        <v>0</v>
      </c>
      <c r="N136" s="6">
        <f t="shared" si="36"/>
        <v>0</v>
      </c>
      <c r="O136" s="6">
        <f t="shared" si="36"/>
        <v>0</v>
      </c>
      <c r="P136" s="13">
        <f t="shared" si="36"/>
        <v>0</v>
      </c>
      <c r="Q136" s="8">
        <f t="shared" si="37"/>
        <v>0</v>
      </c>
      <c r="R136" s="6">
        <f t="shared" si="37"/>
        <v>0</v>
      </c>
      <c r="S136" s="6">
        <f t="shared" si="37"/>
        <v>0</v>
      </c>
      <c r="T136" s="6">
        <f t="shared" si="37"/>
        <v>0</v>
      </c>
      <c r="U136" s="13">
        <f t="shared" si="37"/>
        <v>0</v>
      </c>
      <c r="V136" s="8">
        <f t="shared" si="38"/>
        <v>0</v>
      </c>
      <c r="W136" s="6">
        <f t="shared" si="38"/>
        <v>0</v>
      </c>
      <c r="X136" s="6">
        <f t="shared" si="38"/>
        <v>0</v>
      </c>
      <c r="Y136" s="6">
        <f t="shared" si="38"/>
        <v>0</v>
      </c>
      <c r="Z136" s="13">
        <f t="shared" si="38"/>
        <v>0</v>
      </c>
      <c r="AA136" s="8">
        <f t="shared" si="38"/>
        <v>0</v>
      </c>
      <c r="AB136" s="6">
        <f t="shared" si="38"/>
        <v>0</v>
      </c>
      <c r="AC136" s="6">
        <f t="shared" si="38"/>
        <v>0</v>
      </c>
      <c r="AD136" s="6">
        <f t="shared" si="38"/>
        <v>0</v>
      </c>
      <c r="AE136" s="13">
        <f t="shared" si="38"/>
        <v>0</v>
      </c>
      <c r="AF136" s="16">
        <f t="shared" si="39"/>
        <v>0</v>
      </c>
      <c r="AG136" s="16">
        <f t="shared" si="40"/>
        <v>0</v>
      </c>
    </row>
    <row r="137" spans="1:62" x14ac:dyDescent="0.25">
      <c r="A137" s="15">
        <v>1500</v>
      </c>
      <c r="B137" s="8">
        <f t="shared" si="34"/>
        <v>0</v>
      </c>
      <c r="C137" s="6">
        <f t="shared" si="34"/>
        <v>0</v>
      </c>
      <c r="D137" s="6">
        <f t="shared" si="34"/>
        <v>0</v>
      </c>
      <c r="E137" s="6">
        <f t="shared" si="34"/>
        <v>0</v>
      </c>
      <c r="F137" s="13">
        <f t="shared" si="34"/>
        <v>0</v>
      </c>
      <c r="G137" s="8">
        <f t="shared" si="35"/>
        <v>0</v>
      </c>
      <c r="H137" s="6">
        <f t="shared" si="35"/>
        <v>0</v>
      </c>
      <c r="I137" s="6">
        <f t="shared" si="35"/>
        <v>0</v>
      </c>
      <c r="J137" s="6">
        <f t="shared" si="35"/>
        <v>0</v>
      </c>
      <c r="K137" s="13">
        <f t="shared" si="35"/>
        <v>0</v>
      </c>
      <c r="L137" s="8">
        <f t="shared" si="36"/>
        <v>0</v>
      </c>
      <c r="M137" s="6">
        <f t="shared" si="36"/>
        <v>0</v>
      </c>
      <c r="N137" s="6">
        <f t="shared" si="36"/>
        <v>0</v>
      </c>
      <c r="O137" s="6">
        <f t="shared" si="36"/>
        <v>0</v>
      </c>
      <c r="P137" s="13">
        <f t="shared" si="36"/>
        <v>0</v>
      </c>
      <c r="Q137" s="8">
        <f t="shared" si="37"/>
        <v>0</v>
      </c>
      <c r="R137" s="6">
        <f t="shared" si="37"/>
        <v>0</v>
      </c>
      <c r="S137" s="6">
        <f t="shared" si="37"/>
        <v>0</v>
      </c>
      <c r="T137" s="6">
        <f t="shared" si="37"/>
        <v>0</v>
      </c>
      <c r="U137" s="13">
        <f t="shared" si="37"/>
        <v>0</v>
      </c>
      <c r="V137" s="8">
        <f t="shared" si="38"/>
        <v>0</v>
      </c>
      <c r="W137" s="6">
        <f t="shared" si="38"/>
        <v>0</v>
      </c>
      <c r="X137" s="6">
        <f t="shared" si="38"/>
        <v>0</v>
      </c>
      <c r="Y137" s="6">
        <f t="shared" si="38"/>
        <v>0</v>
      </c>
      <c r="Z137" s="13">
        <f t="shared" si="38"/>
        <v>0</v>
      </c>
      <c r="AA137" s="8">
        <f t="shared" si="38"/>
        <v>0</v>
      </c>
      <c r="AB137" s="6">
        <f t="shared" si="38"/>
        <v>0</v>
      </c>
      <c r="AC137" s="6">
        <f t="shared" si="38"/>
        <v>0</v>
      </c>
      <c r="AD137" s="6">
        <f t="shared" si="38"/>
        <v>0</v>
      </c>
      <c r="AE137" s="13">
        <f t="shared" si="38"/>
        <v>0</v>
      </c>
      <c r="AF137" s="16">
        <f t="shared" si="39"/>
        <v>0</v>
      </c>
      <c r="AG137" s="16">
        <f t="shared" si="40"/>
        <v>0</v>
      </c>
      <c r="AH137" s="118" t="s">
        <v>35</v>
      </c>
      <c r="AI137" s="118"/>
      <c r="AJ137" s="118">
        <f>F7</f>
        <v>0</v>
      </c>
      <c r="AK137" s="118"/>
      <c r="AL137" s="118"/>
      <c r="AN137" s="118" t="s">
        <v>35</v>
      </c>
      <c r="AO137" s="118"/>
      <c r="AP137" s="118">
        <f>F8</f>
        <v>0</v>
      </c>
      <c r="AQ137" s="118"/>
      <c r="AR137" s="118"/>
      <c r="AT137" s="118" t="s">
        <v>35</v>
      </c>
      <c r="AU137" s="118"/>
      <c r="AV137" s="118">
        <f>F9</f>
        <v>0</v>
      </c>
      <c r="AW137" s="118"/>
      <c r="AX137" s="118"/>
      <c r="AZ137" s="118" t="s">
        <v>35</v>
      </c>
      <c r="BA137" s="118"/>
      <c r="BB137" s="118">
        <f>F10</f>
        <v>0</v>
      </c>
      <c r="BC137" s="118"/>
      <c r="BD137" s="118"/>
      <c r="BF137" s="118" t="s">
        <v>35</v>
      </c>
      <c r="BG137" s="118"/>
      <c r="BH137" s="118">
        <f>F11</f>
        <v>0</v>
      </c>
      <c r="BI137" s="118"/>
      <c r="BJ137" s="118"/>
    </row>
    <row r="138" spans="1:62" x14ac:dyDescent="0.25">
      <c r="A138" s="15">
        <v>2000</v>
      </c>
      <c r="B138" s="8">
        <f t="shared" si="34"/>
        <v>0</v>
      </c>
      <c r="C138" s="6">
        <f t="shared" si="34"/>
        <v>0</v>
      </c>
      <c r="D138" s="6">
        <f t="shared" si="34"/>
        <v>0</v>
      </c>
      <c r="E138" s="6">
        <f t="shared" si="34"/>
        <v>0</v>
      </c>
      <c r="F138" s="13">
        <f t="shared" si="34"/>
        <v>0</v>
      </c>
      <c r="G138" s="8">
        <f t="shared" si="35"/>
        <v>0</v>
      </c>
      <c r="H138" s="6">
        <f t="shared" si="35"/>
        <v>0</v>
      </c>
      <c r="I138" s="6">
        <f t="shared" si="35"/>
        <v>0</v>
      </c>
      <c r="J138" s="6">
        <f t="shared" si="35"/>
        <v>0</v>
      </c>
      <c r="K138" s="13">
        <f t="shared" si="35"/>
        <v>0</v>
      </c>
      <c r="L138" s="8">
        <f t="shared" si="36"/>
        <v>0</v>
      </c>
      <c r="M138" s="6">
        <f t="shared" si="36"/>
        <v>0</v>
      </c>
      <c r="N138" s="6">
        <f t="shared" si="36"/>
        <v>0</v>
      </c>
      <c r="O138" s="6">
        <f t="shared" si="36"/>
        <v>0</v>
      </c>
      <c r="P138" s="13">
        <f t="shared" si="36"/>
        <v>0</v>
      </c>
      <c r="Q138" s="8">
        <f t="shared" si="37"/>
        <v>0</v>
      </c>
      <c r="R138" s="6">
        <f t="shared" si="37"/>
        <v>0</v>
      </c>
      <c r="S138" s="6">
        <f t="shared" si="37"/>
        <v>0</v>
      </c>
      <c r="T138" s="6">
        <f t="shared" si="37"/>
        <v>0</v>
      </c>
      <c r="U138" s="13">
        <f t="shared" si="37"/>
        <v>0</v>
      </c>
      <c r="V138" s="8">
        <f t="shared" si="38"/>
        <v>0</v>
      </c>
      <c r="W138" s="6">
        <f t="shared" si="38"/>
        <v>0</v>
      </c>
      <c r="X138" s="6">
        <f t="shared" si="38"/>
        <v>0</v>
      </c>
      <c r="Y138" s="6">
        <f t="shared" si="38"/>
        <v>0</v>
      </c>
      <c r="Z138" s="13">
        <f t="shared" si="38"/>
        <v>0</v>
      </c>
      <c r="AA138" s="8">
        <f t="shared" si="38"/>
        <v>0</v>
      </c>
      <c r="AB138" s="6">
        <f t="shared" si="38"/>
        <v>0</v>
      </c>
      <c r="AC138" s="6">
        <f t="shared" si="38"/>
        <v>0</v>
      </c>
      <c r="AD138" s="6">
        <f t="shared" si="38"/>
        <v>0</v>
      </c>
      <c r="AE138" s="13">
        <f t="shared" si="38"/>
        <v>0</v>
      </c>
      <c r="AF138" s="16">
        <f t="shared" si="39"/>
        <v>0</v>
      </c>
      <c r="AG138" s="16">
        <f t="shared" si="40"/>
        <v>0</v>
      </c>
      <c r="AH138" s="118">
        <f>G7</f>
        <v>0</v>
      </c>
      <c r="AI138" s="118"/>
      <c r="AJ138" s="118"/>
      <c r="AK138" s="118"/>
      <c r="AL138" s="118"/>
      <c r="AN138" s="118">
        <f>G8</f>
        <v>0</v>
      </c>
      <c r="AO138" s="118">
        <f>G8</f>
        <v>0</v>
      </c>
      <c r="AP138" s="118"/>
      <c r="AQ138" s="118"/>
      <c r="AR138" s="118"/>
      <c r="AT138" s="118">
        <f>G9</f>
        <v>0</v>
      </c>
      <c r="AU138" s="118"/>
      <c r="AV138" s="118"/>
      <c r="AW138" s="118"/>
      <c r="AX138" s="118"/>
      <c r="AZ138" s="118">
        <f>G10</f>
        <v>0</v>
      </c>
      <c r="BA138" s="118"/>
      <c r="BB138" s="118"/>
      <c r="BC138" s="118"/>
      <c r="BD138" s="118"/>
      <c r="BF138" s="118">
        <f>G11</f>
        <v>0</v>
      </c>
      <c r="BG138" s="118"/>
      <c r="BH138" s="118"/>
      <c r="BI138" s="118"/>
      <c r="BJ138" s="118"/>
    </row>
    <row r="139" spans="1:62" ht="15.75" thickBot="1" x14ac:dyDescent="0.3">
      <c r="A139" s="15">
        <v>3000</v>
      </c>
      <c r="B139" s="8">
        <f t="shared" si="34"/>
        <v>0</v>
      </c>
      <c r="C139" s="6">
        <f t="shared" si="34"/>
        <v>0</v>
      </c>
      <c r="D139" s="6">
        <f t="shared" si="34"/>
        <v>0</v>
      </c>
      <c r="E139" s="6">
        <f t="shared" si="34"/>
        <v>0</v>
      </c>
      <c r="F139" s="13">
        <f t="shared" si="34"/>
        <v>0</v>
      </c>
      <c r="G139" s="8">
        <f t="shared" si="35"/>
        <v>0</v>
      </c>
      <c r="H139" s="6">
        <f t="shared" si="35"/>
        <v>0</v>
      </c>
      <c r="I139" s="6">
        <f t="shared" si="35"/>
        <v>0</v>
      </c>
      <c r="J139" s="6">
        <f t="shared" si="35"/>
        <v>0</v>
      </c>
      <c r="K139" s="13">
        <f t="shared" si="35"/>
        <v>0</v>
      </c>
      <c r="L139" s="8">
        <f t="shared" si="36"/>
        <v>0</v>
      </c>
      <c r="M139" s="6">
        <f t="shared" si="36"/>
        <v>0</v>
      </c>
      <c r="N139" s="6">
        <f t="shared" si="36"/>
        <v>0</v>
      </c>
      <c r="O139" s="6">
        <f t="shared" si="36"/>
        <v>0</v>
      </c>
      <c r="P139" s="13">
        <f t="shared" si="36"/>
        <v>0</v>
      </c>
      <c r="Q139" s="8">
        <f t="shared" si="37"/>
        <v>0</v>
      </c>
      <c r="R139" s="6">
        <f t="shared" si="37"/>
        <v>0</v>
      </c>
      <c r="S139" s="6">
        <f t="shared" si="37"/>
        <v>0</v>
      </c>
      <c r="T139" s="6">
        <f t="shared" si="37"/>
        <v>0</v>
      </c>
      <c r="U139" s="13">
        <f t="shared" si="37"/>
        <v>0</v>
      </c>
      <c r="V139" s="8">
        <f t="shared" si="38"/>
        <v>0</v>
      </c>
      <c r="W139" s="6">
        <f t="shared" si="38"/>
        <v>0</v>
      </c>
      <c r="X139" s="6">
        <f t="shared" si="38"/>
        <v>0</v>
      </c>
      <c r="Y139" s="6">
        <f t="shared" si="38"/>
        <v>0</v>
      </c>
      <c r="Z139" s="13">
        <f t="shared" si="38"/>
        <v>0</v>
      </c>
      <c r="AA139" s="8">
        <f t="shared" si="38"/>
        <v>0</v>
      </c>
      <c r="AB139" s="6">
        <f t="shared" si="38"/>
        <v>0</v>
      </c>
      <c r="AC139" s="6">
        <f t="shared" si="38"/>
        <v>0</v>
      </c>
      <c r="AD139" s="6">
        <f t="shared" si="38"/>
        <v>0</v>
      </c>
      <c r="AE139" s="13">
        <f t="shared" si="38"/>
        <v>0</v>
      </c>
      <c r="AF139" s="16">
        <f t="shared" si="39"/>
        <v>0</v>
      </c>
      <c r="AG139" s="16">
        <f t="shared" si="40"/>
        <v>0</v>
      </c>
      <c r="AH139" s="118">
        <f>H7</f>
        <v>0</v>
      </c>
      <c r="AI139" s="118"/>
      <c r="AJ139" s="118"/>
      <c r="AK139" s="118"/>
      <c r="AL139" s="118"/>
      <c r="AN139" s="118">
        <f>H8</f>
        <v>0</v>
      </c>
      <c r="AO139" s="118">
        <f>H8</f>
        <v>0</v>
      </c>
      <c r="AP139" s="118"/>
      <c r="AQ139" s="118"/>
      <c r="AR139" s="118"/>
      <c r="AT139" s="118">
        <f>H9</f>
        <v>0</v>
      </c>
      <c r="AU139" s="118"/>
      <c r="AV139" s="118"/>
      <c r="AW139" s="118"/>
      <c r="AX139" s="118"/>
      <c r="AZ139" s="118">
        <f>H10</f>
        <v>0</v>
      </c>
      <c r="BA139" s="118"/>
      <c r="BB139" s="118"/>
      <c r="BC139" s="118"/>
      <c r="BD139" s="118"/>
      <c r="BF139" s="118">
        <f>H11</f>
        <v>0</v>
      </c>
      <c r="BG139" s="118"/>
      <c r="BH139" s="118"/>
      <c r="BI139" s="118"/>
      <c r="BJ139" s="118"/>
    </row>
    <row r="140" spans="1:62" ht="15.75" thickBot="1" x14ac:dyDescent="0.3">
      <c r="A140" s="15">
        <v>5000</v>
      </c>
      <c r="B140" s="8">
        <f t="shared" si="34"/>
        <v>0</v>
      </c>
      <c r="C140" s="6">
        <f t="shared" si="34"/>
        <v>0</v>
      </c>
      <c r="D140" s="6">
        <f t="shared" si="34"/>
        <v>0</v>
      </c>
      <c r="E140" s="6">
        <f t="shared" si="34"/>
        <v>0</v>
      </c>
      <c r="F140" s="13">
        <f t="shared" si="34"/>
        <v>0</v>
      </c>
      <c r="G140" s="8">
        <f t="shared" si="35"/>
        <v>0</v>
      </c>
      <c r="H140" s="6">
        <f t="shared" si="35"/>
        <v>0</v>
      </c>
      <c r="I140" s="6">
        <f t="shared" si="35"/>
        <v>0</v>
      </c>
      <c r="J140" s="6">
        <f t="shared" si="35"/>
        <v>0</v>
      </c>
      <c r="K140" s="13">
        <f t="shared" si="35"/>
        <v>0</v>
      </c>
      <c r="L140" s="8">
        <f t="shared" si="36"/>
        <v>0</v>
      </c>
      <c r="M140" s="6">
        <f t="shared" si="36"/>
        <v>0</v>
      </c>
      <c r="N140" s="6">
        <f t="shared" si="36"/>
        <v>0</v>
      </c>
      <c r="O140" s="6">
        <f t="shared" si="36"/>
        <v>0</v>
      </c>
      <c r="P140" s="13">
        <f t="shared" si="36"/>
        <v>0</v>
      </c>
      <c r="Q140" s="8">
        <f t="shared" si="37"/>
        <v>0</v>
      </c>
      <c r="R140" s="6">
        <f t="shared" si="37"/>
        <v>0</v>
      </c>
      <c r="S140" s="6">
        <f t="shared" si="37"/>
        <v>0</v>
      </c>
      <c r="T140" s="6">
        <f t="shared" si="37"/>
        <v>0</v>
      </c>
      <c r="U140" s="13">
        <f t="shared" si="37"/>
        <v>0</v>
      </c>
      <c r="V140" s="8">
        <f t="shared" si="38"/>
        <v>0</v>
      </c>
      <c r="W140" s="6">
        <f t="shared" si="38"/>
        <v>0</v>
      </c>
      <c r="X140" s="6">
        <f t="shared" si="38"/>
        <v>0</v>
      </c>
      <c r="Y140" s="6">
        <f t="shared" si="38"/>
        <v>0</v>
      </c>
      <c r="Z140" s="13">
        <f t="shared" si="38"/>
        <v>0</v>
      </c>
      <c r="AA140" s="8">
        <f t="shared" si="38"/>
        <v>0</v>
      </c>
      <c r="AB140" s="6">
        <f t="shared" si="38"/>
        <v>0</v>
      </c>
      <c r="AC140" s="6">
        <f t="shared" si="38"/>
        <v>0</v>
      </c>
      <c r="AD140" s="6">
        <f t="shared" si="38"/>
        <v>0</v>
      </c>
      <c r="AE140" s="13">
        <f t="shared" si="38"/>
        <v>0</v>
      </c>
      <c r="AF140" s="16">
        <f t="shared" si="39"/>
        <v>0</v>
      </c>
      <c r="AG140" s="16">
        <f t="shared" si="40"/>
        <v>0</v>
      </c>
      <c r="AH140" s="30" t="s">
        <v>136</v>
      </c>
      <c r="AI140" s="30" t="s">
        <v>27</v>
      </c>
      <c r="AJ140" s="30" t="s">
        <v>28</v>
      </c>
      <c r="AK140" s="30" t="s">
        <v>29</v>
      </c>
      <c r="AL140" s="30" t="s">
        <v>30</v>
      </c>
      <c r="AN140" s="30" t="s">
        <v>136</v>
      </c>
      <c r="AO140" s="30" t="s">
        <v>27</v>
      </c>
      <c r="AP140" s="30" t="s">
        <v>28</v>
      </c>
      <c r="AQ140" s="30" t="s">
        <v>29</v>
      </c>
      <c r="AR140" s="30" t="s">
        <v>30</v>
      </c>
      <c r="AT140" s="30" t="s">
        <v>136</v>
      </c>
      <c r="AU140" s="30" t="s">
        <v>27</v>
      </c>
      <c r="AV140" s="30" t="s">
        <v>28</v>
      </c>
      <c r="AW140" s="30" t="s">
        <v>29</v>
      </c>
      <c r="AX140" s="30" t="s">
        <v>30</v>
      </c>
      <c r="AZ140" s="30" t="s">
        <v>136</v>
      </c>
      <c r="BA140" s="30" t="s">
        <v>27</v>
      </c>
      <c r="BB140" s="30" t="s">
        <v>28</v>
      </c>
      <c r="BC140" s="30" t="s">
        <v>29</v>
      </c>
      <c r="BD140" s="30" t="s">
        <v>30</v>
      </c>
      <c r="BF140" s="30" t="s">
        <v>136</v>
      </c>
      <c r="BG140" s="30" t="s">
        <v>27</v>
      </c>
      <c r="BH140" s="30" t="s">
        <v>28</v>
      </c>
      <c r="BI140" s="30" t="s">
        <v>29</v>
      </c>
      <c r="BJ140" s="30" t="s">
        <v>30</v>
      </c>
    </row>
    <row r="141" spans="1:62" ht="15.75" thickBot="1" x14ac:dyDescent="0.3">
      <c r="A141" s="59">
        <v>10000</v>
      </c>
      <c r="B141" s="31">
        <f t="shared" si="34"/>
        <v>0</v>
      </c>
      <c r="C141" s="32">
        <f t="shared" si="34"/>
        <v>0</v>
      </c>
      <c r="D141" s="32">
        <f t="shared" si="34"/>
        <v>0</v>
      </c>
      <c r="E141" s="32">
        <f t="shared" si="34"/>
        <v>0</v>
      </c>
      <c r="F141" s="33">
        <f t="shared" si="34"/>
        <v>0</v>
      </c>
      <c r="G141" s="31">
        <f t="shared" si="35"/>
        <v>0</v>
      </c>
      <c r="H141" s="32">
        <f t="shared" si="35"/>
        <v>0</v>
      </c>
      <c r="I141" s="32">
        <f t="shared" si="35"/>
        <v>0</v>
      </c>
      <c r="J141" s="32">
        <f t="shared" si="35"/>
        <v>0</v>
      </c>
      <c r="K141" s="33">
        <f t="shared" si="35"/>
        <v>0</v>
      </c>
      <c r="L141" s="31">
        <f t="shared" si="36"/>
        <v>0</v>
      </c>
      <c r="M141" s="32">
        <f t="shared" si="36"/>
        <v>0</v>
      </c>
      <c r="N141" s="32">
        <f t="shared" si="36"/>
        <v>0</v>
      </c>
      <c r="O141" s="32">
        <f t="shared" si="36"/>
        <v>0</v>
      </c>
      <c r="P141" s="33">
        <f t="shared" si="36"/>
        <v>0</v>
      </c>
      <c r="Q141" s="31">
        <f t="shared" si="37"/>
        <v>0</v>
      </c>
      <c r="R141" s="32">
        <f t="shared" si="37"/>
        <v>0</v>
      </c>
      <c r="S141" s="32">
        <f t="shared" si="37"/>
        <v>0</v>
      </c>
      <c r="T141" s="32">
        <f t="shared" si="37"/>
        <v>0</v>
      </c>
      <c r="U141" s="33">
        <f t="shared" si="37"/>
        <v>0</v>
      </c>
      <c r="V141" s="31">
        <f t="shared" si="38"/>
        <v>0</v>
      </c>
      <c r="W141" s="32">
        <f t="shared" si="38"/>
        <v>0</v>
      </c>
      <c r="X141" s="32">
        <f t="shared" si="38"/>
        <v>0</v>
      </c>
      <c r="Y141" s="32">
        <f t="shared" si="38"/>
        <v>0</v>
      </c>
      <c r="Z141" s="33">
        <f t="shared" si="38"/>
        <v>0</v>
      </c>
      <c r="AA141" s="31">
        <f t="shared" si="38"/>
        <v>0</v>
      </c>
      <c r="AB141" s="32">
        <f t="shared" si="38"/>
        <v>0</v>
      </c>
      <c r="AC141" s="32">
        <f t="shared" si="38"/>
        <v>0</v>
      </c>
      <c r="AD141" s="32">
        <f t="shared" si="38"/>
        <v>0</v>
      </c>
      <c r="AE141" s="33">
        <f t="shared" si="38"/>
        <v>0</v>
      </c>
      <c r="AF141" s="16">
        <f t="shared" si="39"/>
        <v>0</v>
      </c>
      <c r="AG141" s="43">
        <f t="shared" si="40"/>
        <v>0</v>
      </c>
      <c r="AH141" s="16">
        <f>J7</f>
        <v>0</v>
      </c>
      <c r="AI141" s="10">
        <f>K7</f>
        <v>0</v>
      </c>
      <c r="AJ141" s="11">
        <f>L7</f>
        <v>0</v>
      </c>
      <c r="AK141" s="11">
        <f>M7</f>
        <v>0</v>
      </c>
      <c r="AL141" s="17">
        <f>N7</f>
        <v>0</v>
      </c>
      <c r="AN141" s="16">
        <f>J8</f>
        <v>0</v>
      </c>
      <c r="AO141" s="10">
        <f>K8</f>
        <v>0</v>
      </c>
      <c r="AP141" s="11">
        <f>L8</f>
        <v>0</v>
      </c>
      <c r="AQ141" s="11">
        <f>M8</f>
        <v>0</v>
      </c>
      <c r="AR141" s="17">
        <f>N8</f>
        <v>0</v>
      </c>
      <c r="AT141" s="16">
        <f>J9</f>
        <v>0</v>
      </c>
      <c r="AU141" s="10">
        <f>K9</f>
        <v>0</v>
      </c>
      <c r="AV141" s="11">
        <f>L9</f>
        <v>0</v>
      </c>
      <c r="AW141" s="11">
        <f>M9</f>
        <v>0</v>
      </c>
      <c r="AX141" s="17">
        <f>N9</f>
        <v>0</v>
      </c>
      <c r="AZ141" s="16">
        <f>J10</f>
        <v>0</v>
      </c>
      <c r="BA141" s="10">
        <f>K10</f>
        <v>0</v>
      </c>
      <c r="BB141" s="11">
        <f>L10</f>
        <v>0</v>
      </c>
      <c r="BC141" s="11">
        <f>M10</f>
        <v>0</v>
      </c>
      <c r="BD141" s="17">
        <f>N10</f>
        <v>0</v>
      </c>
      <c r="BF141" s="16">
        <f>J11</f>
        <v>0</v>
      </c>
      <c r="BG141" s="10">
        <f>K11</f>
        <v>0</v>
      </c>
      <c r="BH141" s="11">
        <f>L11</f>
        <v>0</v>
      </c>
      <c r="BI141" s="11">
        <f>M11</f>
        <v>0</v>
      </c>
      <c r="BJ141" s="17">
        <f>N11</f>
        <v>0</v>
      </c>
    </row>
    <row r="142" spans="1:62" ht="15.75" thickBot="1" x14ac:dyDescent="0.3">
      <c r="A142" s="35"/>
      <c r="B142" s="60">
        <f t="shared" ref="B142:AG142" si="41">SUM(B133:B141)</f>
        <v>0</v>
      </c>
      <c r="C142" s="61">
        <f t="shared" si="41"/>
        <v>0</v>
      </c>
      <c r="D142" s="61">
        <f t="shared" si="41"/>
        <v>0</v>
      </c>
      <c r="E142" s="61">
        <f t="shared" si="41"/>
        <v>0</v>
      </c>
      <c r="F142" s="62">
        <f t="shared" si="41"/>
        <v>0</v>
      </c>
      <c r="G142" s="60">
        <f t="shared" si="41"/>
        <v>0</v>
      </c>
      <c r="H142" s="61">
        <f t="shared" si="41"/>
        <v>0</v>
      </c>
      <c r="I142" s="61">
        <f t="shared" si="41"/>
        <v>0</v>
      </c>
      <c r="J142" s="61">
        <f t="shared" si="41"/>
        <v>0</v>
      </c>
      <c r="K142" s="62">
        <f t="shared" si="41"/>
        <v>0</v>
      </c>
      <c r="L142" s="60">
        <f t="shared" si="41"/>
        <v>0</v>
      </c>
      <c r="M142" s="61">
        <f t="shared" si="41"/>
        <v>0</v>
      </c>
      <c r="N142" s="61">
        <f t="shared" si="41"/>
        <v>0</v>
      </c>
      <c r="O142" s="61">
        <f t="shared" si="41"/>
        <v>0</v>
      </c>
      <c r="P142" s="62">
        <f t="shared" si="41"/>
        <v>0</v>
      </c>
      <c r="Q142" s="60">
        <f t="shared" si="41"/>
        <v>0</v>
      </c>
      <c r="R142" s="61">
        <f t="shared" si="41"/>
        <v>0</v>
      </c>
      <c r="S142" s="61">
        <f t="shared" si="41"/>
        <v>0</v>
      </c>
      <c r="T142" s="61">
        <f t="shared" si="41"/>
        <v>0</v>
      </c>
      <c r="U142" s="62">
        <f t="shared" si="41"/>
        <v>0</v>
      </c>
      <c r="V142" s="60">
        <f t="shared" si="41"/>
        <v>0</v>
      </c>
      <c r="W142" s="61">
        <f t="shared" si="41"/>
        <v>0</v>
      </c>
      <c r="X142" s="61">
        <f t="shared" si="41"/>
        <v>0</v>
      </c>
      <c r="Y142" s="61">
        <f t="shared" si="41"/>
        <v>0</v>
      </c>
      <c r="Z142" s="62">
        <f t="shared" si="41"/>
        <v>0</v>
      </c>
      <c r="AA142" s="60">
        <f t="shared" si="41"/>
        <v>0</v>
      </c>
      <c r="AB142" s="61">
        <f t="shared" si="41"/>
        <v>0</v>
      </c>
      <c r="AC142" s="61">
        <f t="shared" si="41"/>
        <v>0</v>
      </c>
      <c r="AD142" s="61">
        <f t="shared" si="41"/>
        <v>0</v>
      </c>
      <c r="AE142" s="62">
        <f t="shared" si="41"/>
        <v>0</v>
      </c>
      <c r="AF142" s="35">
        <f t="shared" si="41"/>
        <v>0</v>
      </c>
      <c r="AG142" s="35">
        <f t="shared" si="40"/>
        <v>0</v>
      </c>
      <c r="AH142" s="15">
        <f>P7</f>
        <v>0</v>
      </c>
      <c r="AI142" s="8">
        <f>Q7</f>
        <v>0</v>
      </c>
      <c r="AJ142" s="6">
        <f>R7</f>
        <v>0</v>
      </c>
      <c r="AK142" s="6">
        <f>S7</f>
        <v>0</v>
      </c>
      <c r="AL142" s="13">
        <f>T7</f>
        <v>0</v>
      </c>
      <c r="AN142" s="15">
        <f>P8</f>
        <v>0</v>
      </c>
      <c r="AO142" s="8">
        <f>Q8</f>
        <v>0</v>
      </c>
      <c r="AP142" s="6">
        <f>R8</f>
        <v>0</v>
      </c>
      <c r="AQ142" s="6">
        <f>S8</f>
        <v>0</v>
      </c>
      <c r="AR142" s="13">
        <f>T8</f>
        <v>0</v>
      </c>
      <c r="AT142" s="15">
        <f>P9</f>
        <v>0</v>
      </c>
      <c r="AU142" s="8">
        <f>Q9</f>
        <v>0</v>
      </c>
      <c r="AV142" s="6">
        <f>R9</f>
        <v>0</v>
      </c>
      <c r="AW142" s="6">
        <f>S9</f>
        <v>0</v>
      </c>
      <c r="AX142" s="13">
        <f>T9</f>
        <v>0</v>
      </c>
      <c r="AZ142" s="15">
        <f>P10</f>
        <v>0</v>
      </c>
      <c r="BA142" s="8">
        <f>Q10</f>
        <v>0</v>
      </c>
      <c r="BB142" s="6">
        <f>R10</f>
        <v>0</v>
      </c>
      <c r="BC142" s="6">
        <f>S10</f>
        <v>0</v>
      </c>
      <c r="BD142" s="13">
        <f>T10</f>
        <v>0</v>
      </c>
      <c r="BF142" s="15">
        <f>P11</f>
        <v>0</v>
      </c>
      <c r="BG142" s="8">
        <f>Q11</f>
        <v>0</v>
      </c>
      <c r="BH142" s="6">
        <f>R11</f>
        <v>0</v>
      </c>
      <c r="BI142" s="6">
        <f>S11</f>
        <v>0</v>
      </c>
      <c r="BJ142" s="13">
        <f>T11</f>
        <v>0</v>
      </c>
    </row>
    <row r="143" spans="1:62" ht="15.75" thickBot="1" x14ac:dyDescent="0.3">
      <c r="AH143" s="15">
        <f>V7</f>
        <v>0</v>
      </c>
      <c r="AI143" s="8">
        <f>W7</f>
        <v>0</v>
      </c>
      <c r="AJ143" s="6">
        <f>X7</f>
        <v>0</v>
      </c>
      <c r="AK143" s="6">
        <f>Y7</f>
        <v>0</v>
      </c>
      <c r="AL143" s="13">
        <f>Z7</f>
        <v>0</v>
      </c>
      <c r="AN143" s="15">
        <f>V8</f>
        <v>0</v>
      </c>
      <c r="AO143" s="8">
        <f>W8</f>
        <v>0</v>
      </c>
      <c r="AP143" s="6">
        <f>X8</f>
        <v>0</v>
      </c>
      <c r="AQ143" s="6">
        <f>Y8</f>
        <v>0</v>
      </c>
      <c r="AR143" s="13">
        <f>Z8</f>
        <v>0</v>
      </c>
      <c r="AT143" s="15">
        <f>V9</f>
        <v>0</v>
      </c>
      <c r="AU143" s="8">
        <f>W9</f>
        <v>0</v>
      </c>
      <c r="AV143" s="6">
        <f>X9</f>
        <v>0</v>
      </c>
      <c r="AW143" s="6">
        <f>Y9</f>
        <v>0</v>
      </c>
      <c r="AX143" s="13">
        <f>Z9</f>
        <v>0</v>
      </c>
      <c r="AZ143" s="15">
        <f>V10</f>
        <v>0</v>
      </c>
      <c r="BA143" s="8">
        <f>W10</f>
        <v>0</v>
      </c>
      <c r="BB143" s="6">
        <f>X10</f>
        <v>0</v>
      </c>
      <c r="BC143" s="6">
        <f>Y10</f>
        <v>0</v>
      </c>
      <c r="BD143" s="13">
        <f>Z10</f>
        <v>0</v>
      </c>
      <c r="BF143" s="15">
        <f>V11</f>
        <v>0</v>
      </c>
      <c r="BG143" s="8">
        <f>W11</f>
        <v>0</v>
      </c>
      <c r="BH143" s="6">
        <f>X11</f>
        <v>0</v>
      </c>
      <c r="BI143" s="6">
        <f>Y11</f>
        <v>0</v>
      </c>
      <c r="BJ143" s="13">
        <f>Z11</f>
        <v>0</v>
      </c>
    </row>
    <row r="144" spans="1:62" ht="15.75" customHeight="1" thickBot="1" x14ac:dyDescent="0.3">
      <c r="A144" s="111" t="s">
        <v>130</v>
      </c>
      <c r="B144" s="112"/>
      <c r="D144" s="111" t="s">
        <v>131</v>
      </c>
      <c r="E144" s="112"/>
      <c r="G144" s="111" t="s">
        <v>132</v>
      </c>
      <c r="H144" s="112"/>
      <c r="J144" s="161" t="s">
        <v>250</v>
      </c>
      <c r="K144" s="162"/>
      <c r="M144" s="161" t="s">
        <v>251</v>
      </c>
      <c r="N144" s="162"/>
      <c r="P144" s="161" t="s">
        <v>252</v>
      </c>
      <c r="Q144" s="162"/>
      <c r="S144" s="123" t="s">
        <v>31</v>
      </c>
      <c r="T144" s="113" t="s">
        <v>84</v>
      </c>
      <c r="U144" s="115"/>
      <c r="V144" s="116" t="s">
        <v>24</v>
      </c>
      <c r="W144" s="116" t="s">
        <v>86</v>
      </c>
      <c r="AH144" s="15">
        <f>AB7</f>
        <v>0</v>
      </c>
      <c r="AI144" s="8">
        <f>AC7</f>
        <v>0</v>
      </c>
      <c r="AJ144" s="6">
        <f>AD7</f>
        <v>0</v>
      </c>
      <c r="AK144" s="6">
        <f>AE7</f>
        <v>0</v>
      </c>
      <c r="AL144" s="13">
        <f>AF7</f>
        <v>0</v>
      </c>
      <c r="AN144" s="15">
        <f>AB8</f>
        <v>0</v>
      </c>
      <c r="AO144" s="8">
        <f>AC8</f>
        <v>0</v>
      </c>
      <c r="AP144" s="6">
        <f>AD8</f>
        <v>0</v>
      </c>
      <c r="AQ144" s="6">
        <f>AE8</f>
        <v>0</v>
      </c>
      <c r="AR144" s="13">
        <f>AF8</f>
        <v>0</v>
      </c>
      <c r="AT144" s="15">
        <f>AB9</f>
        <v>0</v>
      </c>
      <c r="AU144" s="8">
        <f>AC9</f>
        <v>0</v>
      </c>
      <c r="AV144" s="6">
        <f>AD9</f>
        <v>0</v>
      </c>
      <c r="AW144" s="6">
        <f>AE9</f>
        <v>0</v>
      </c>
      <c r="AX144" s="13">
        <f>AF9</f>
        <v>0</v>
      </c>
      <c r="AZ144" s="15">
        <f>AB10</f>
        <v>0</v>
      </c>
      <c r="BA144" s="8">
        <f>AC10</f>
        <v>0</v>
      </c>
      <c r="BB144" s="6">
        <f>AD10</f>
        <v>0</v>
      </c>
      <c r="BC144" s="6">
        <f>AE10</f>
        <v>0</v>
      </c>
      <c r="BD144" s="13">
        <f>AF10</f>
        <v>0</v>
      </c>
      <c r="BF144" s="15">
        <f>AB11</f>
        <v>0</v>
      </c>
      <c r="BG144" s="8">
        <f>AC11</f>
        <v>0</v>
      </c>
      <c r="BH144" s="6">
        <f>AD11</f>
        <v>0</v>
      </c>
      <c r="BI144" s="6">
        <f>AE11</f>
        <v>0</v>
      </c>
      <c r="BJ144" s="13">
        <f>AF11</f>
        <v>0</v>
      </c>
    </row>
    <row r="145" spans="1:62" ht="15.75" thickBot="1" x14ac:dyDescent="0.3">
      <c r="A145" s="60" t="s">
        <v>27</v>
      </c>
      <c r="B145" s="62" t="s">
        <v>102</v>
      </c>
      <c r="D145" s="34" t="s">
        <v>27</v>
      </c>
      <c r="E145" s="79" t="s">
        <v>102</v>
      </c>
      <c r="G145" s="34" t="s">
        <v>27</v>
      </c>
      <c r="H145" s="79" t="s">
        <v>102</v>
      </c>
      <c r="J145" s="163"/>
      <c r="K145" s="164"/>
      <c r="M145" s="163"/>
      <c r="N145" s="164"/>
      <c r="P145" s="163"/>
      <c r="Q145" s="164"/>
      <c r="S145" s="124"/>
      <c r="T145" s="12" t="s">
        <v>17</v>
      </c>
      <c r="U145" s="12" t="s">
        <v>19</v>
      </c>
      <c r="V145" s="117"/>
      <c r="W145" s="117"/>
      <c r="AH145" s="15">
        <f>AH7</f>
        <v>0</v>
      </c>
      <c r="AI145" s="8">
        <f>AI7</f>
        <v>0</v>
      </c>
      <c r="AJ145" s="6">
        <f>AJ7</f>
        <v>0</v>
      </c>
      <c r="AK145" s="6">
        <f>AK7</f>
        <v>0</v>
      </c>
      <c r="AL145" s="13">
        <f>AL7</f>
        <v>0</v>
      </c>
      <c r="AN145" s="15">
        <f>AH8</f>
        <v>0</v>
      </c>
      <c r="AO145" s="8">
        <f>AI8</f>
        <v>0</v>
      </c>
      <c r="AP145" s="6">
        <f>AJ8</f>
        <v>0</v>
      </c>
      <c r="AQ145" s="6">
        <f>AK8</f>
        <v>0</v>
      </c>
      <c r="AR145" s="13">
        <f>AL8</f>
        <v>0</v>
      </c>
      <c r="AT145" s="15">
        <f>AH9</f>
        <v>0</v>
      </c>
      <c r="AU145" s="8">
        <f>AI9</f>
        <v>0</v>
      </c>
      <c r="AV145" s="6">
        <f>AJ9</f>
        <v>0</v>
      </c>
      <c r="AW145" s="6">
        <f>AK9</f>
        <v>0</v>
      </c>
      <c r="AX145" s="13">
        <f>AL9</f>
        <v>0</v>
      </c>
      <c r="AZ145" s="15">
        <f>AH10</f>
        <v>0</v>
      </c>
      <c r="BA145" s="8">
        <f>AI10</f>
        <v>0</v>
      </c>
      <c r="BB145" s="6">
        <f>AJ10</f>
        <v>0</v>
      </c>
      <c r="BC145" s="6">
        <f>AK10</f>
        <v>0</v>
      </c>
      <c r="BD145" s="13">
        <f>AL10</f>
        <v>0</v>
      </c>
      <c r="BF145" s="15">
        <f>AH11</f>
        <v>0</v>
      </c>
      <c r="BG145" s="8">
        <f>AI11</f>
        <v>0</v>
      </c>
      <c r="BH145" s="6">
        <f>AJ11</f>
        <v>0</v>
      </c>
      <c r="BI145" s="6">
        <f>AK11</f>
        <v>0</v>
      </c>
      <c r="BJ145" s="13">
        <f>AL11</f>
        <v>0</v>
      </c>
    </row>
    <row r="146" spans="1:62" x14ac:dyDescent="0.25">
      <c r="A146" s="10">
        <v>225</v>
      </c>
      <c r="B146" s="17">
        <f t="shared" ref="B146:B151" si="42">SUMIFS($J$14:$J$113,$H$14:$H$113,$A$144,$I$14:$I$113,A146)</f>
        <v>0</v>
      </c>
      <c r="D146" s="10">
        <v>1000</v>
      </c>
      <c r="E146" s="17">
        <f>SUMIFS($J$14:$J$113,$H$14:$H$113,$D$144,$I$14:$I$113,D146)</f>
        <v>0</v>
      </c>
      <c r="G146" s="10">
        <v>1000</v>
      </c>
      <c r="H146" s="17">
        <f>SUMIFS($J$14:$J$113,$H$14:$H$113,$G$144,$I$14:$I$113,G146)</f>
        <v>0</v>
      </c>
      <c r="J146" s="163"/>
      <c r="K146" s="164"/>
      <c r="M146" s="163"/>
      <c r="N146" s="164"/>
      <c r="P146" s="163"/>
      <c r="Q146" s="164"/>
      <c r="S146" s="16">
        <v>300</v>
      </c>
      <c r="T146" s="11">
        <f>SUMIFS($J$14:$J$113,$I$14:$I$113,$S146,$K$14:$K$113,T$145,$H$14:$H$113,$T$144)</f>
        <v>0</v>
      </c>
      <c r="U146" s="11">
        <f>SUMIFS($J$14:$J$113,$I$14:$I$113,$S146,$K$14:$K$113,U$145,$H$14:$H$113,$T$144)</f>
        <v>0</v>
      </c>
      <c r="V146" s="16">
        <f>SUM(T146:U146)*S146</f>
        <v>0</v>
      </c>
      <c r="W146" s="16">
        <f>T146+U146</f>
        <v>0</v>
      </c>
      <c r="AH146" s="15">
        <f>AN7</f>
        <v>0</v>
      </c>
      <c r="AI146" s="8">
        <f>AO7</f>
        <v>0</v>
      </c>
      <c r="AJ146" s="6">
        <f>AP7</f>
        <v>0</v>
      </c>
      <c r="AK146" s="6">
        <f>AQ7</f>
        <v>0</v>
      </c>
      <c r="AL146" s="13">
        <f>AR7</f>
        <v>0</v>
      </c>
      <c r="AN146" s="15">
        <f>AN8</f>
        <v>0</v>
      </c>
      <c r="AO146" s="8">
        <f>AO8</f>
        <v>0</v>
      </c>
      <c r="AP146" s="6">
        <f>AP8</f>
        <v>0</v>
      </c>
      <c r="AQ146" s="6">
        <f>AQ8</f>
        <v>0</v>
      </c>
      <c r="AR146" s="13">
        <f>AR8</f>
        <v>0</v>
      </c>
      <c r="AT146" s="15">
        <f>AN9</f>
        <v>0</v>
      </c>
      <c r="AU146" s="8">
        <f>AO9</f>
        <v>0</v>
      </c>
      <c r="AV146" s="6">
        <f>AP9</f>
        <v>0</v>
      </c>
      <c r="AW146" s="6">
        <f>AQ9</f>
        <v>0</v>
      </c>
      <c r="AX146" s="13">
        <f>AR9</f>
        <v>0</v>
      </c>
      <c r="AZ146" s="15">
        <f>AN10</f>
        <v>0</v>
      </c>
      <c r="BA146" s="8">
        <f>AO10</f>
        <v>0</v>
      </c>
      <c r="BB146" s="6">
        <f>AP10</f>
        <v>0</v>
      </c>
      <c r="BC146" s="6">
        <f>AQ10</f>
        <v>0</v>
      </c>
      <c r="BD146" s="13">
        <f>AR10</f>
        <v>0</v>
      </c>
      <c r="BF146" s="15">
        <f>AN11</f>
        <v>0</v>
      </c>
      <c r="BG146" s="8">
        <f>AO11</f>
        <v>0</v>
      </c>
      <c r="BH146" s="6">
        <f>AP11</f>
        <v>0</v>
      </c>
      <c r="BI146" s="6">
        <f>AQ11</f>
        <v>0</v>
      </c>
      <c r="BJ146" s="13">
        <f>AR11</f>
        <v>0</v>
      </c>
    </row>
    <row r="147" spans="1:62" ht="15.75" thickBot="1" x14ac:dyDescent="0.3">
      <c r="A147" s="8">
        <v>325</v>
      </c>
      <c r="B147" s="17">
        <f t="shared" si="42"/>
        <v>0</v>
      </c>
      <c r="D147" s="9">
        <v>3000</v>
      </c>
      <c r="E147" s="17">
        <f>SUMIFS($J$14:$J$113,$H$14:$H$113,$D$144,$I$14:$I$113,D147)</f>
        <v>0</v>
      </c>
      <c r="G147" s="31">
        <v>2000</v>
      </c>
      <c r="H147" s="17">
        <f>SUMIFS($J$14:$J$113,$H$14:$H$113,$G$144,$I$14:$I$113,G147)</f>
        <v>0</v>
      </c>
      <c r="J147" s="165"/>
      <c r="K147" s="166"/>
      <c r="M147" s="165"/>
      <c r="N147" s="166"/>
      <c r="P147" s="165"/>
      <c r="Q147" s="166"/>
      <c r="S147" s="16">
        <v>500</v>
      </c>
      <c r="T147" s="11">
        <f t="shared" ref="T147:U154" si="43">SUMIFS($J$14:$J$113,$I$14:$I$113,$S147,$K$14:$K$113,T$145,$H$14:$H$113,$T$144)</f>
        <v>0</v>
      </c>
      <c r="U147" s="11">
        <f t="shared" si="43"/>
        <v>0</v>
      </c>
      <c r="V147" s="16">
        <f t="shared" ref="V147:V154" si="44">SUM(T147:U147)*S147</f>
        <v>0</v>
      </c>
      <c r="W147" s="16">
        <f t="shared" ref="W147:W154" si="45">T147+U147</f>
        <v>0</v>
      </c>
      <c r="AA147" s="167" t="s">
        <v>37</v>
      </c>
      <c r="AB147" s="167"/>
      <c r="AC147" s="167"/>
      <c r="AD147" s="167" t="s">
        <v>113</v>
      </c>
      <c r="AE147" s="167"/>
      <c r="AF147" s="167"/>
      <c r="AH147" s="15">
        <f>AT7</f>
        <v>0</v>
      </c>
      <c r="AI147" s="8">
        <f>AU7</f>
        <v>0</v>
      </c>
      <c r="AJ147" s="6">
        <f>AV7</f>
        <v>0</v>
      </c>
      <c r="AK147" s="6">
        <f>AW7</f>
        <v>0</v>
      </c>
      <c r="AL147" s="13">
        <f>AX7</f>
        <v>0</v>
      </c>
      <c r="AN147" s="15">
        <f>AT8</f>
        <v>0</v>
      </c>
      <c r="AO147" s="8">
        <f>AU8</f>
        <v>0</v>
      </c>
      <c r="AP147" s="6">
        <f>AV8</f>
        <v>0</v>
      </c>
      <c r="AQ147" s="6">
        <f>AW8</f>
        <v>0</v>
      </c>
      <c r="AR147" s="13">
        <f>AX8</f>
        <v>0</v>
      </c>
      <c r="AT147" s="15">
        <f>AT9</f>
        <v>0</v>
      </c>
      <c r="AU147" s="8">
        <f>AU9</f>
        <v>0</v>
      </c>
      <c r="AV147" s="6">
        <f>AV9</f>
        <v>0</v>
      </c>
      <c r="AW147" s="6">
        <f>AW9</f>
        <v>0</v>
      </c>
      <c r="AX147" s="13">
        <f>AX9</f>
        <v>0</v>
      </c>
      <c r="AZ147" s="15">
        <f>AT10</f>
        <v>0</v>
      </c>
      <c r="BA147" s="8">
        <f>AU10</f>
        <v>0</v>
      </c>
      <c r="BB147" s="6">
        <f>AV10</f>
        <v>0</v>
      </c>
      <c r="BC147" s="6">
        <f>AW10</f>
        <v>0</v>
      </c>
      <c r="BD147" s="13">
        <f>AX10</f>
        <v>0</v>
      </c>
      <c r="BF147" s="15">
        <f>AT11</f>
        <v>0</v>
      </c>
      <c r="BG147" s="8">
        <f>AU11</f>
        <v>0</v>
      </c>
      <c r="BH147" s="6">
        <f>AV11</f>
        <v>0</v>
      </c>
      <c r="BI147" s="6">
        <f>AW11</f>
        <v>0</v>
      </c>
      <c r="BJ147" s="13">
        <f>AX11</f>
        <v>0</v>
      </c>
    </row>
    <row r="148" spans="1:62" ht="15.75" thickBot="1" x14ac:dyDescent="0.3">
      <c r="A148" s="8">
        <v>400</v>
      </c>
      <c r="B148" s="17">
        <f t="shared" si="42"/>
        <v>0</v>
      </c>
      <c r="D148" s="60" t="s">
        <v>24</v>
      </c>
      <c r="E148" s="62">
        <f>SUMPRODUCT(D146:D147,E146:E147)</f>
        <v>0</v>
      </c>
      <c r="G148" s="60" t="s">
        <v>24</v>
      </c>
      <c r="H148" s="62">
        <f>SUMPRODUCT(G146:G147,H146:H147)</f>
        <v>0</v>
      </c>
      <c r="J148" s="60" t="s">
        <v>29</v>
      </c>
      <c r="K148" s="62" t="s">
        <v>102</v>
      </c>
      <c r="M148" s="60" t="s">
        <v>29</v>
      </c>
      <c r="N148" s="62" t="s">
        <v>102</v>
      </c>
      <c r="P148" s="60" t="s">
        <v>29</v>
      </c>
      <c r="Q148" s="62" t="s">
        <v>102</v>
      </c>
      <c r="S148" s="15">
        <v>750</v>
      </c>
      <c r="T148" s="11">
        <f t="shared" si="43"/>
        <v>0</v>
      </c>
      <c r="U148" s="11">
        <f t="shared" si="43"/>
        <v>0</v>
      </c>
      <c r="V148" s="16">
        <f t="shared" si="44"/>
        <v>0</v>
      </c>
      <c r="W148" s="16">
        <f t="shared" si="45"/>
        <v>0</v>
      </c>
      <c r="AA148" s="167" t="str">
        <f>"TANKS: " &amp; SUM(B128:AE128,B146:B151,E146:E147,H146:H147,B142:AE142,W155)</f>
        <v>TANKS: 48</v>
      </c>
      <c r="AB148" s="167"/>
      <c r="AC148" s="167"/>
      <c r="AD148" s="167" t="str">
        <f>"LTRS: " &amp;SUM(AF128,B152,E148,H148,AF142,V155)</f>
        <v>LTRS: 39500</v>
      </c>
      <c r="AE148" s="167"/>
      <c r="AF148" s="167"/>
      <c r="AH148" s="15">
        <f>AZ7</f>
        <v>0</v>
      </c>
      <c r="AI148" s="8">
        <f>BA7</f>
        <v>0</v>
      </c>
      <c r="AJ148" s="6">
        <f>BB7</f>
        <v>0</v>
      </c>
      <c r="AK148" s="6">
        <f>BC7</f>
        <v>0</v>
      </c>
      <c r="AL148" s="13">
        <f>BD7</f>
        <v>0</v>
      </c>
      <c r="AN148" s="15">
        <f>AZ8</f>
        <v>0</v>
      </c>
      <c r="AO148" s="8">
        <f>BA8</f>
        <v>0</v>
      </c>
      <c r="AP148" s="6">
        <f>BB8</f>
        <v>0</v>
      </c>
      <c r="AQ148" s="6">
        <f>BC8</f>
        <v>0</v>
      </c>
      <c r="AR148" s="13">
        <f>BD8</f>
        <v>0</v>
      </c>
      <c r="AT148" s="15">
        <f>AZ9</f>
        <v>0</v>
      </c>
      <c r="AU148" s="8">
        <f>BA9</f>
        <v>0</v>
      </c>
      <c r="AV148" s="6">
        <f>BB9</f>
        <v>0</v>
      </c>
      <c r="AW148" s="6">
        <f>BC9</f>
        <v>0</v>
      </c>
      <c r="AX148" s="13">
        <f>BD9</f>
        <v>0</v>
      </c>
      <c r="AZ148" s="15">
        <f>AZ10</f>
        <v>0</v>
      </c>
      <c r="BA148" s="8">
        <f>BA10</f>
        <v>0</v>
      </c>
      <c r="BB148" s="6">
        <f>BB10</f>
        <v>0</v>
      </c>
      <c r="BC148" s="6">
        <f>BC10</f>
        <v>0</v>
      </c>
      <c r="BD148" s="13">
        <f>BD10</f>
        <v>0</v>
      </c>
      <c r="BF148" s="15">
        <f>AZ11</f>
        <v>0</v>
      </c>
      <c r="BG148" s="8">
        <f>BA11</f>
        <v>0</v>
      </c>
      <c r="BH148" s="6">
        <f>BB11</f>
        <v>0</v>
      </c>
      <c r="BI148" s="6">
        <f>BC11</f>
        <v>0</v>
      </c>
      <c r="BJ148" s="13">
        <f>BD11</f>
        <v>0</v>
      </c>
    </row>
    <row r="149" spans="1:62" x14ac:dyDescent="0.25">
      <c r="A149" s="8">
        <v>500</v>
      </c>
      <c r="B149" s="17">
        <f t="shared" si="42"/>
        <v>0</v>
      </c>
      <c r="J149" s="10" t="s">
        <v>17</v>
      </c>
      <c r="K149" s="17">
        <f>SUMIFS($J$14:$J$113,$H$14:$H$113,"CAP16_1",$K$14:$K$113,J149)</f>
        <v>0</v>
      </c>
      <c r="M149" s="10" t="s">
        <v>17</v>
      </c>
      <c r="N149" s="17">
        <f>SUMIFS($J$14:$J$113,$H$14:$H$113,"CAP16_2",$K$14:$K$113,M149)</f>
        <v>0</v>
      </c>
      <c r="P149" s="10" t="s">
        <v>17</v>
      </c>
      <c r="Q149" s="17">
        <f>SUMIFS($J$14:$J$113,$H$14:$H$113,"CAP19",$K$14:$K$113,P149)</f>
        <v>0</v>
      </c>
      <c r="S149" s="15">
        <v>1000</v>
      </c>
      <c r="T149" s="11">
        <f t="shared" si="43"/>
        <v>0</v>
      </c>
      <c r="U149" s="11">
        <f t="shared" si="43"/>
        <v>0</v>
      </c>
      <c r="V149" s="16">
        <f t="shared" si="44"/>
        <v>0</v>
      </c>
      <c r="W149" s="16">
        <f t="shared" si="45"/>
        <v>0</v>
      </c>
      <c r="AA149" s="167" t="s">
        <v>76</v>
      </c>
      <c r="AB149" s="167"/>
      <c r="AC149" s="167"/>
      <c r="AD149" s="176">
        <f>D114</f>
        <v>46008</v>
      </c>
      <c r="AE149" s="176"/>
      <c r="AF149" s="176"/>
      <c r="AH149" s="15">
        <f>BF7</f>
        <v>0</v>
      </c>
      <c r="AI149" s="8">
        <f>BG7</f>
        <v>0</v>
      </c>
      <c r="AJ149" s="6">
        <f>BH7</f>
        <v>0</v>
      </c>
      <c r="AK149" s="6">
        <f>BI7</f>
        <v>0</v>
      </c>
      <c r="AL149" s="13">
        <f>BJ7</f>
        <v>0</v>
      </c>
      <c r="AN149" s="15">
        <f>BF8</f>
        <v>0</v>
      </c>
      <c r="AO149" s="8">
        <f>BG8</f>
        <v>0</v>
      </c>
      <c r="AP149" s="6">
        <f>BH8</f>
        <v>0</v>
      </c>
      <c r="AQ149" s="6">
        <f>BI8</f>
        <v>0</v>
      </c>
      <c r="AR149" s="13">
        <f>BJ8</f>
        <v>0</v>
      </c>
      <c r="AT149" s="15">
        <f>BF9</f>
        <v>0</v>
      </c>
      <c r="AU149" s="8">
        <f>BG9</f>
        <v>0</v>
      </c>
      <c r="AV149" s="6">
        <f>BH9</f>
        <v>0</v>
      </c>
      <c r="AW149" s="6">
        <f>BI9</f>
        <v>0</v>
      </c>
      <c r="AX149" s="13">
        <f>BJ9</f>
        <v>0</v>
      </c>
      <c r="AZ149" s="15">
        <f>BF10</f>
        <v>0</v>
      </c>
      <c r="BA149" s="8">
        <f>BG10</f>
        <v>0</v>
      </c>
      <c r="BB149" s="6">
        <f>BH10</f>
        <v>0</v>
      </c>
      <c r="BC149" s="6">
        <f>BI10</f>
        <v>0</v>
      </c>
      <c r="BD149" s="13">
        <f>BJ10</f>
        <v>0</v>
      </c>
      <c r="BF149" s="15">
        <f>BF11</f>
        <v>0</v>
      </c>
      <c r="BG149" s="8">
        <f>BG11</f>
        <v>0</v>
      </c>
      <c r="BH149" s="6">
        <f>BH11</f>
        <v>0</v>
      </c>
      <c r="BI149" s="6">
        <f>BI11</f>
        <v>0</v>
      </c>
      <c r="BJ149" s="13">
        <f>BJ11</f>
        <v>0</v>
      </c>
    </row>
    <row r="150" spans="1:62" ht="15.75" thickBot="1" x14ac:dyDescent="0.3">
      <c r="A150" s="8">
        <v>750</v>
      </c>
      <c r="B150" s="17">
        <f t="shared" si="42"/>
        <v>0</v>
      </c>
      <c r="J150" s="8" t="s">
        <v>19</v>
      </c>
      <c r="K150" s="17">
        <f t="shared" ref="K150:K153" si="46">SUMIFS($J$14:$J$113,$H$14:$H$113,"CAP16_1",$K$14:$K$113,J150)</f>
        <v>0</v>
      </c>
      <c r="M150" s="8" t="s">
        <v>19</v>
      </c>
      <c r="N150" s="17">
        <f t="shared" ref="N150:N153" si="47">SUMIFS($J$14:$J$113,$H$14:$H$113,"CAP16_2",$K$14:$K$113,M150)</f>
        <v>0</v>
      </c>
      <c r="P150" s="8" t="s">
        <v>19</v>
      </c>
      <c r="Q150" s="17">
        <f t="shared" ref="Q150:Q153" si="48">SUMIFS($J$14:$J$113,$H$14:$H$113,"CAP19",$K$14:$K$113,P150)</f>
        <v>0</v>
      </c>
      <c r="S150" s="15">
        <v>1500</v>
      </c>
      <c r="T150" s="11">
        <f t="shared" si="43"/>
        <v>0</v>
      </c>
      <c r="U150" s="11">
        <f t="shared" si="43"/>
        <v>0</v>
      </c>
      <c r="V150" s="16">
        <f t="shared" si="44"/>
        <v>0</v>
      </c>
      <c r="W150" s="16">
        <f t="shared" si="45"/>
        <v>0</v>
      </c>
      <c r="AH150" s="59">
        <f>BL7</f>
        <v>0</v>
      </c>
      <c r="AI150" s="31">
        <f>BM7</f>
        <v>0</v>
      </c>
      <c r="AJ150" s="32">
        <f>BN7</f>
        <v>0</v>
      </c>
      <c r="AK150" s="32">
        <f>BO7</f>
        <v>0</v>
      </c>
      <c r="AL150" s="33">
        <f>BP7</f>
        <v>0</v>
      </c>
      <c r="AN150" s="59">
        <f>BL8</f>
        <v>0</v>
      </c>
      <c r="AO150" s="31">
        <f>BM8</f>
        <v>0</v>
      </c>
      <c r="AP150" s="32">
        <f>BN8</f>
        <v>0</v>
      </c>
      <c r="AQ150" s="32">
        <f>BO8</f>
        <v>0</v>
      </c>
      <c r="AR150" s="33">
        <f>BP8</f>
        <v>0</v>
      </c>
      <c r="AT150" s="59">
        <f>BL9</f>
        <v>0</v>
      </c>
      <c r="AU150" s="31">
        <f>BM9</f>
        <v>0</v>
      </c>
      <c r="AV150" s="32">
        <f>BN9</f>
        <v>0</v>
      </c>
      <c r="AW150" s="32">
        <f>BO9</f>
        <v>0</v>
      </c>
      <c r="AX150" s="33">
        <f>BP9</f>
        <v>0</v>
      </c>
      <c r="AZ150" s="59">
        <f>BL10</f>
        <v>0</v>
      </c>
      <c r="BA150" s="31">
        <f>BM10</f>
        <v>0</v>
      </c>
      <c r="BB150" s="32">
        <f>BN10</f>
        <v>0</v>
      </c>
      <c r="BC150" s="32">
        <f>BO10</f>
        <v>0</v>
      </c>
      <c r="BD150" s="33">
        <f>BP10</f>
        <v>0</v>
      </c>
      <c r="BF150" s="59">
        <f>BL11</f>
        <v>0</v>
      </c>
      <c r="BG150" s="31">
        <f>BM11</f>
        <v>0</v>
      </c>
      <c r="BH150" s="32">
        <f>BN11</f>
        <v>0</v>
      </c>
      <c r="BI150" s="32">
        <f>BO11</f>
        <v>0</v>
      </c>
      <c r="BJ150" s="33">
        <f>BP11</f>
        <v>0</v>
      </c>
    </row>
    <row r="151" spans="1:62" ht="15.75" thickBot="1" x14ac:dyDescent="0.3">
      <c r="A151" s="9">
        <v>1000</v>
      </c>
      <c r="B151" s="17">
        <f t="shared" si="42"/>
        <v>0</v>
      </c>
      <c r="J151" s="8" t="s">
        <v>32</v>
      </c>
      <c r="K151" s="17">
        <f t="shared" si="46"/>
        <v>0</v>
      </c>
      <c r="M151" s="8" t="s">
        <v>32</v>
      </c>
      <c r="N151" s="17">
        <f t="shared" si="47"/>
        <v>0</v>
      </c>
      <c r="P151" s="8" t="s">
        <v>32</v>
      </c>
      <c r="Q151" s="17">
        <f t="shared" si="48"/>
        <v>0</v>
      </c>
      <c r="S151" s="15">
        <v>2000</v>
      </c>
      <c r="T151" s="11">
        <f t="shared" si="43"/>
        <v>0</v>
      </c>
      <c r="U151" s="11">
        <f t="shared" si="43"/>
        <v>0</v>
      </c>
      <c r="V151" s="16">
        <f t="shared" si="44"/>
        <v>0</v>
      </c>
      <c r="W151" s="16">
        <f t="shared" si="45"/>
        <v>0</v>
      </c>
      <c r="AH151" s="35">
        <f>C7</f>
        <v>0</v>
      </c>
      <c r="AI151" s="158">
        <f>SUM(AI141:AI150)</f>
        <v>0</v>
      </c>
      <c r="AJ151" s="159"/>
      <c r="AK151" s="158">
        <f>BT7</f>
        <v>0</v>
      </c>
      <c r="AL151" s="159"/>
      <c r="AN151" s="35">
        <f>C8</f>
        <v>0</v>
      </c>
      <c r="AO151" s="158">
        <f>SUM(AO141:AO150)</f>
        <v>0</v>
      </c>
      <c r="AP151" s="159"/>
      <c r="AQ151" s="158">
        <f>BT8</f>
        <v>0</v>
      </c>
      <c r="AR151" s="159"/>
      <c r="AT151" s="35">
        <f>C9</f>
        <v>0</v>
      </c>
      <c r="AU151" s="158">
        <f>SUM(AU141:AU150)</f>
        <v>0</v>
      </c>
      <c r="AV151" s="159"/>
      <c r="AW151" s="158">
        <f>BT9</f>
        <v>0</v>
      </c>
      <c r="AX151" s="159"/>
      <c r="AZ151" s="35">
        <f>C10</f>
        <v>0</v>
      </c>
      <c r="BA151" s="158">
        <f>SUM(BA141:BA150)</f>
        <v>0</v>
      </c>
      <c r="BB151" s="159"/>
      <c r="BC151" s="158">
        <f>BT10</f>
        <v>0</v>
      </c>
      <c r="BD151" s="159"/>
      <c r="BF151" s="35">
        <f>C11</f>
        <v>0</v>
      </c>
      <c r="BG151" s="158">
        <f>SUM(BG141:BG150)</f>
        <v>0</v>
      </c>
      <c r="BH151" s="159"/>
      <c r="BI151" s="158">
        <f>BT11</f>
        <v>0</v>
      </c>
      <c r="BJ151" s="159"/>
    </row>
    <row r="152" spans="1:62" ht="15.75" thickBot="1" x14ac:dyDescent="0.3">
      <c r="A152" s="60" t="s">
        <v>24</v>
      </c>
      <c r="B152" s="62">
        <f>SUMPRODUCT(A146:A151,B146:B151)</f>
        <v>0</v>
      </c>
      <c r="J152" s="8" t="s">
        <v>33</v>
      </c>
      <c r="K152" s="17">
        <f t="shared" si="46"/>
        <v>0</v>
      </c>
      <c r="M152" s="8" t="s">
        <v>33</v>
      </c>
      <c r="N152" s="17">
        <f t="shared" si="47"/>
        <v>0</v>
      </c>
      <c r="P152" s="8" t="s">
        <v>33</v>
      </c>
      <c r="Q152" s="17">
        <f t="shared" si="48"/>
        <v>0</v>
      </c>
      <c r="S152" s="15">
        <v>3000</v>
      </c>
      <c r="T152" s="11">
        <f t="shared" si="43"/>
        <v>0</v>
      </c>
      <c r="U152" s="11">
        <f t="shared" si="43"/>
        <v>0</v>
      </c>
      <c r="V152" s="16">
        <f t="shared" si="44"/>
        <v>0</v>
      </c>
      <c r="W152" s="16">
        <f t="shared" si="45"/>
        <v>0</v>
      </c>
      <c r="AH152" s="35" t="s">
        <v>25</v>
      </c>
      <c r="AI152" s="158">
        <f>A7</f>
        <v>0</v>
      </c>
      <c r="AJ152" s="160"/>
      <c r="AK152" s="158">
        <f>BR7</f>
        <v>0</v>
      </c>
      <c r="AL152" s="159"/>
      <c r="AN152" s="35" t="s">
        <v>25</v>
      </c>
      <c r="AO152" s="158">
        <f>A8</f>
        <v>0</v>
      </c>
      <c r="AP152" s="160"/>
      <c r="AQ152" s="158">
        <f>BR8</f>
        <v>0</v>
      </c>
      <c r="AR152" s="159"/>
      <c r="AT152" s="35" t="s">
        <v>25</v>
      </c>
      <c r="AU152" s="158">
        <f>A9</f>
        <v>0</v>
      </c>
      <c r="AV152" s="160"/>
      <c r="AW152" s="158">
        <f>BR9</f>
        <v>0</v>
      </c>
      <c r="AX152" s="159"/>
      <c r="AZ152" s="35" t="s">
        <v>25</v>
      </c>
      <c r="BA152" s="158">
        <f>A10</f>
        <v>0</v>
      </c>
      <c r="BB152" s="160"/>
      <c r="BC152" s="158">
        <f>BR10</f>
        <v>0</v>
      </c>
      <c r="BD152" s="159"/>
      <c r="BF152" s="35" t="s">
        <v>25</v>
      </c>
      <c r="BG152" s="158">
        <f>A11</f>
        <v>0</v>
      </c>
      <c r="BH152" s="160"/>
      <c r="BI152" s="158">
        <f>BR11</f>
        <v>0</v>
      </c>
      <c r="BJ152" s="159"/>
    </row>
    <row r="153" spans="1:62" ht="15.75" thickBot="1" x14ac:dyDescent="0.3">
      <c r="J153" s="9" t="s">
        <v>80</v>
      </c>
      <c r="K153" s="17">
        <f t="shared" si="46"/>
        <v>0</v>
      </c>
      <c r="M153" s="9" t="s">
        <v>80</v>
      </c>
      <c r="N153" s="17">
        <f t="shared" si="47"/>
        <v>0</v>
      </c>
      <c r="P153" s="9" t="s">
        <v>80</v>
      </c>
      <c r="Q153" s="17">
        <f t="shared" si="48"/>
        <v>0</v>
      </c>
      <c r="S153" s="15">
        <v>5000</v>
      </c>
      <c r="T153" s="11">
        <f t="shared" si="43"/>
        <v>0</v>
      </c>
      <c r="U153" s="11">
        <f t="shared" si="43"/>
        <v>0</v>
      </c>
      <c r="V153" s="16">
        <f t="shared" si="44"/>
        <v>0</v>
      </c>
      <c r="W153" s="16">
        <f t="shared" si="45"/>
        <v>0</v>
      </c>
      <c r="AH153" s="58" t="s">
        <v>130</v>
      </c>
      <c r="AI153" s="58" t="s">
        <v>131</v>
      </c>
      <c r="AJ153" s="58" t="s">
        <v>132</v>
      </c>
      <c r="AK153" s="58" t="s">
        <v>166</v>
      </c>
      <c r="AL153" s="58" t="s">
        <v>33</v>
      </c>
      <c r="AN153" s="58" t="s">
        <v>130</v>
      </c>
      <c r="AO153" s="58" t="s">
        <v>131</v>
      </c>
      <c r="AP153" s="58" t="s">
        <v>132</v>
      </c>
      <c r="AQ153" s="58" t="s">
        <v>166</v>
      </c>
      <c r="AR153" s="58" t="s">
        <v>33</v>
      </c>
      <c r="AT153" s="58" t="s">
        <v>130</v>
      </c>
      <c r="AU153" s="58" t="s">
        <v>131</v>
      </c>
      <c r="AV153" s="58" t="s">
        <v>132</v>
      </c>
      <c r="AW153" s="58" t="s">
        <v>166</v>
      </c>
      <c r="AX153" s="58" t="s">
        <v>33</v>
      </c>
      <c r="AZ153" s="58" t="s">
        <v>130</v>
      </c>
      <c r="BA153" s="58" t="s">
        <v>131</v>
      </c>
      <c r="BB153" s="58" t="s">
        <v>132</v>
      </c>
      <c r="BC153" s="58" t="s">
        <v>166</v>
      </c>
      <c r="BD153" s="58" t="s">
        <v>33</v>
      </c>
      <c r="BF153" s="58" t="s">
        <v>130</v>
      </c>
      <c r="BG153" s="58" t="s">
        <v>131</v>
      </c>
      <c r="BH153" s="58" t="s">
        <v>132</v>
      </c>
      <c r="BI153" s="58" t="s">
        <v>166</v>
      </c>
      <c r="BJ153" s="58" t="s">
        <v>33</v>
      </c>
    </row>
    <row r="154" spans="1:62" ht="15.75" thickBot="1" x14ac:dyDescent="0.3">
      <c r="J154" s="60" t="s">
        <v>24</v>
      </c>
      <c r="K154" s="62">
        <f>SUM(K149:K153)</f>
        <v>0</v>
      </c>
      <c r="M154" s="60" t="s">
        <v>24</v>
      </c>
      <c r="N154" s="62">
        <f>SUM(N149:N153)</f>
        <v>0</v>
      </c>
      <c r="P154" s="60" t="s">
        <v>24</v>
      </c>
      <c r="Q154" s="62">
        <f>SUM(Q149:Q153)</f>
        <v>0</v>
      </c>
      <c r="S154" s="59">
        <v>10000</v>
      </c>
      <c r="T154" s="11">
        <f t="shared" si="43"/>
        <v>0</v>
      </c>
      <c r="U154" s="11">
        <f t="shared" si="43"/>
        <v>0</v>
      </c>
      <c r="V154" s="16">
        <f t="shared" si="44"/>
        <v>0</v>
      </c>
      <c r="W154" s="16">
        <f t="shared" si="45"/>
        <v>0</v>
      </c>
      <c r="AH154" s="34" t="str">
        <f>AZ19</f>
        <v/>
      </c>
      <c r="AI154" s="34" t="str">
        <f>BA19</f>
        <v/>
      </c>
      <c r="AJ154" s="34" t="str">
        <f>BB19</f>
        <v/>
      </c>
      <c r="AK154" s="35" t="str">
        <f>BC19</f>
        <v/>
      </c>
      <c r="AL154" s="35" t="str">
        <f>BD19</f>
        <v/>
      </c>
      <c r="AN154" s="34" t="str">
        <f>AZ20</f>
        <v/>
      </c>
      <c r="AO154" s="34" t="str">
        <f>BA20</f>
        <v/>
      </c>
      <c r="AP154" s="34" t="str">
        <f>BB20</f>
        <v/>
      </c>
      <c r="AQ154" s="35" t="str">
        <f>BC20</f>
        <v/>
      </c>
      <c r="AR154" s="35" t="str">
        <f>BD20</f>
        <v/>
      </c>
      <c r="AT154" s="34" t="str">
        <f>AZ21</f>
        <v/>
      </c>
      <c r="AU154" s="34" t="str">
        <f>BA21</f>
        <v/>
      </c>
      <c r="AV154" s="34" t="str">
        <f>BB21</f>
        <v/>
      </c>
      <c r="AW154" s="35" t="str">
        <f>BC21</f>
        <v/>
      </c>
      <c r="AX154" s="35" t="str">
        <f>BD21</f>
        <v/>
      </c>
      <c r="AZ154" s="34" t="str">
        <f>AZ22</f>
        <v/>
      </c>
      <c r="BA154" s="34" t="str">
        <f>BA22</f>
        <v/>
      </c>
      <c r="BB154" s="34" t="str">
        <f>BB22</f>
        <v/>
      </c>
      <c r="BC154" s="35" t="str">
        <f>BC22</f>
        <v/>
      </c>
      <c r="BD154" s="35" t="str">
        <f>BD22</f>
        <v/>
      </c>
      <c r="BF154" s="34" t="str">
        <f>AZ23</f>
        <v/>
      </c>
      <c r="BG154" s="34" t="str">
        <f>BA23</f>
        <v/>
      </c>
      <c r="BH154" s="34" t="str">
        <f>BB23</f>
        <v/>
      </c>
      <c r="BI154" s="35" t="str">
        <f>BC23</f>
        <v/>
      </c>
      <c r="BJ154" s="35" t="str">
        <f>BD23</f>
        <v/>
      </c>
    </row>
    <row r="155" spans="1:62" ht="15.75" thickBot="1" x14ac:dyDescent="0.3">
      <c r="S155" s="35"/>
      <c r="T155" s="61">
        <f>SUM(T146:T154)</f>
        <v>0</v>
      </c>
      <c r="U155" s="61">
        <f t="shared" ref="U155:W155" si="49">SUM(U146:U154)</f>
        <v>0</v>
      </c>
      <c r="V155" s="35">
        <f t="shared" si="49"/>
        <v>0</v>
      </c>
      <c r="W155" s="35">
        <f t="shared" si="49"/>
        <v>0</v>
      </c>
      <c r="AH155" s="58" t="s">
        <v>22</v>
      </c>
      <c r="AI155" s="58" t="s">
        <v>20</v>
      </c>
      <c r="AJ155" s="58" t="s">
        <v>34</v>
      </c>
      <c r="AK155" s="58" t="s">
        <v>127</v>
      </c>
      <c r="AL155" s="58" t="s">
        <v>129</v>
      </c>
      <c r="AN155" s="58" t="s">
        <v>22</v>
      </c>
      <c r="AO155" s="58" t="s">
        <v>20</v>
      </c>
      <c r="AP155" s="58" t="s">
        <v>34</v>
      </c>
      <c r="AQ155" s="58" t="s">
        <v>127</v>
      </c>
      <c r="AR155" s="58" t="s">
        <v>129</v>
      </c>
      <c r="AT155" s="58" t="s">
        <v>22</v>
      </c>
      <c r="AU155" s="58" t="s">
        <v>20</v>
      </c>
      <c r="AV155" s="58" t="s">
        <v>34</v>
      </c>
      <c r="AW155" s="58" t="s">
        <v>127</v>
      </c>
      <c r="AX155" s="58" t="s">
        <v>129</v>
      </c>
      <c r="AZ155" s="58" t="s">
        <v>22</v>
      </c>
      <c r="BA155" s="58" t="s">
        <v>20</v>
      </c>
      <c r="BB155" s="58" t="s">
        <v>34</v>
      </c>
      <c r="BC155" s="58" t="s">
        <v>127</v>
      </c>
      <c r="BD155" s="58" t="s">
        <v>129</v>
      </c>
      <c r="BF155" s="58" t="s">
        <v>22</v>
      </c>
      <c r="BG155" s="58" t="s">
        <v>20</v>
      </c>
      <c r="BH155" s="58" t="s">
        <v>34</v>
      </c>
      <c r="BI155" s="58" t="s">
        <v>127</v>
      </c>
      <c r="BJ155" s="58" t="s">
        <v>129</v>
      </c>
    </row>
    <row r="156" spans="1:62" ht="15.75" thickBot="1" x14ac:dyDescent="0.3">
      <c r="AH156" s="34" t="str">
        <f>AU19</f>
        <v/>
      </c>
      <c r="AI156" s="34" t="str">
        <f>AV19</f>
        <v/>
      </c>
      <c r="AJ156" s="34" t="str">
        <f>AW19</f>
        <v/>
      </c>
      <c r="AK156" s="35" t="str">
        <f>AX19</f>
        <v/>
      </c>
      <c r="AL156" s="35" t="str">
        <f>AY19</f>
        <v/>
      </c>
      <c r="AN156" s="34" t="str">
        <f>AU20</f>
        <v/>
      </c>
      <c r="AO156" s="34" t="str">
        <f>AV20</f>
        <v/>
      </c>
      <c r="AP156" s="34" t="str">
        <f>AW20</f>
        <v/>
      </c>
      <c r="AQ156" s="35" t="str">
        <f>AX20</f>
        <v/>
      </c>
      <c r="AR156" s="35" t="str">
        <f>AY20</f>
        <v/>
      </c>
      <c r="AT156" s="34" t="str">
        <f>AU21</f>
        <v/>
      </c>
      <c r="AU156" s="34" t="str">
        <f>AV21</f>
        <v/>
      </c>
      <c r="AV156" s="34" t="str">
        <f>AW21</f>
        <v/>
      </c>
      <c r="AW156" s="35" t="str">
        <f>AX21</f>
        <v/>
      </c>
      <c r="AX156" s="35" t="str">
        <f>AY21</f>
        <v/>
      </c>
      <c r="AZ156" s="34" t="str">
        <f>AU22</f>
        <v/>
      </c>
      <c r="BA156" s="34" t="str">
        <f>AV22</f>
        <v/>
      </c>
      <c r="BB156" s="34" t="str">
        <f>AW22</f>
        <v/>
      </c>
      <c r="BC156" s="35" t="str">
        <f>AX22</f>
        <v/>
      </c>
      <c r="BD156" s="35" t="str">
        <f>AY22</f>
        <v/>
      </c>
      <c r="BF156" s="34" t="str">
        <f>AU23</f>
        <v/>
      </c>
      <c r="BG156" s="34" t="str">
        <f>AV23</f>
        <v/>
      </c>
      <c r="BH156" s="34" t="str">
        <f>AW23</f>
        <v/>
      </c>
      <c r="BI156" s="35" t="str">
        <f>AX23</f>
        <v/>
      </c>
      <c r="BJ156" s="35" t="str">
        <f>AY23</f>
        <v/>
      </c>
    </row>
    <row r="157" spans="1:62" ht="13.7" customHeight="1" thickBot="1" x14ac:dyDescent="0.3"/>
    <row r="158" spans="1:62" ht="15.75" thickBot="1" x14ac:dyDescent="0.3">
      <c r="AH158" s="149" t="s">
        <v>37</v>
      </c>
      <c r="AI158" s="150"/>
      <c r="AJ158" s="150"/>
      <c r="AK158" s="151" t="str">
        <f>AD147</f>
        <v>KA41C4059</v>
      </c>
      <c r="AL158" s="151"/>
      <c r="AM158" s="152"/>
      <c r="AN158" s="157" t="str">
        <f>AA148</f>
        <v>TANKS: 48</v>
      </c>
      <c r="AO158" s="153"/>
      <c r="AP158" s="153" t="str">
        <f>AD148</f>
        <v>LTRS: 39500</v>
      </c>
      <c r="AQ158" s="153"/>
      <c r="AR158" s="154"/>
      <c r="AS158" s="150" t="s">
        <v>76</v>
      </c>
      <c r="AT158" s="150"/>
      <c r="AU158" s="155">
        <f>AD149</f>
        <v>46008</v>
      </c>
      <c r="AV158" s="155"/>
      <c r="AW158" s="156"/>
    </row>
    <row r="159" spans="1:62" ht="13.7" customHeight="1" x14ac:dyDescent="0.25"/>
    <row r="160" spans="1:62" ht="13.7" customHeight="1" thickBot="1" x14ac:dyDescent="0.3"/>
    <row r="161" spans="1:52" ht="13.7" customHeight="1" x14ac:dyDescent="0.25">
      <c r="A161" s="123" t="s">
        <v>31</v>
      </c>
      <c r="B161" s="113" t="s">
        <v>84</v>
      </c>
      <c r="C161" s="115"/>
      <c r="D161" s="113" t="s">
        <v>22</v>
      </c>
      <c r="E161" s="114"/>
      <c r="F161" s="114"/>
      <c r="G161" s="114"/>
      <c r="H161" s="115"/>
      <c r="I161" s="113" t="s">
        <v>20</v>
      </c>
      <c r="J161" s="114"/>
      <c r="K161" s="114"/>
      <c r="L161" s="114"/>
      <c r="M161" s="115"/>
      <c r="N161" s="113" t="s">
        <v>34</v>
      </c>
      <c r="O161" s="114"/>
      <c r="P161" s="114"/>
      <c r="Q161" s="114"/>
      <c r="R161" s="115"/>
      <c r="S161" s="113" t="s">
        <v>127</v>
      </c>
      <c r="T161" s="114"/>
      <c r="U161" s="114"/>
      <c r="V161" s="114"/>
      <c r="W161" s="115"/>
      <c r="X161" s="113" t="s">
        <v>129</v>
      </c>
      <c r="Y161" s="114"/>
      <c r="Z161" s="114"/>
      <c r="AA161" s="114"/>
      <c r="AB161" s="115"/>
      <c r="AC161" s="113" t="s">
        <v>26</v>
      </c>
      <c r="AD161" s="114"/>
      <c r="AE161" s="114"/>
      <c r="AF161" s="114"/>
      <c r="AG161" s="115"/>
      <c r="AH161" s="116" t="s">
        <v>24</v>
      </c>
      <c r="AI161" s="116" t="s">
        <v>86</v>
      </c>
      <c r="AJ161" s="81"/>
    </row>
    <row r="162" spans="1:52" ht="13.7" customHeight="1" thickBot="1" x14ac:dyDescent="0.3">
      <c r="A162" s="124"/>
      <c r="B162" s="12" t="s">
        <v>17</v>
      </c>
      <c r="C162" s="12" t="s">
        <v>19</v>
      </c>
      <c r="D162" s="9" t="s">
        <v>32</v>
      </c>
      <c r="E162" s="12" t="s">
        <v>17</v>
      </c>
      <c r="F162" s="12" t="s">
        <v>19</v>
      </c>
      <c r="G162" s="12" t="s">
        <v>33</v>
      </c>
      <c r="H162" s="14" t="s">
        <v>80</v>
      </c>
      <c r="I162" s="9" t="s">
        <v>32</v>
      </c>
      <c r="J162" s="12" t="s">
        <v>17</v>
      </c>
      <c r="K162" s="12" t="s">
        <v>19</v>
      </c>
      <c r="L162" s="12" t="s">
        <v>33</v>
      </c>
      <c r="M162" s="14" t="s">
        <v>80</v>
      </c>
      <c r="N162" s="9" t="s">
        <v>32</v>
      </c>
      <c r="O162" s="12" t="s">
        <v>17</v>
      </c>
      <c r="P162" s="12" t="s">
        <v>19</v>
      </c>
      <c r="Q162" s="12" t="s">
        <v>33</v>
      </c>
      <c r="R162" s="14" t="s">
        <v>80</v>
      </c>
      <c r="S162" s="9" t="s">
        <v>32</v>
      </c>
      <c r="T162" s="12" t="s">
        <v>17</v>
      </c>
      <c r="U162" s="12" t="s">
        <v>19</v>
      </c>
      <c r="V162" s="12" t="s">
        <v>33</v>
      </c>
      <c r="W162" s="14" t="s">
        <v>80</v>
      </c>
      <c r="X162" s="9" t="s">
        <v>32</v>
      </c>
      <c r="Y162" s="12" t="s">
        <v>17</v>
      </c>
      <c r="Z162" s="12" t="s">
        <v>19</v>
      </c>
      <c r="AA162" s="12" t="s">
        <v>33</v>
      </c>
      <c r="AB162" s="14" t="s">
        <v>80</v>
      </c>
      <c r="AC162" s="9" t="s">
        <v>32</v>
      </c>
      <c r="AD162" s="12" t="s">
        <v>17</v>
      </c>
      <c r="AE162" s="12" t="s">
        <v>19</v>
      </c>
      <c r="AF162" s="12" t="s">
        <v>33</v>
      </c>
      <c r="AG162" s="14" t="s">
        <v>80</v>
      </c>
      <c r="AH162" s="117"/>
      <c r="AI162" s="117"/>
      <c r="AJ162" s="81"/>
    </row>
    <row r="163" spans="1:52" ht="13.7" customHeight="1" x14ac:dyDescent="0.25">
      <c r="A163" s="16">
        <v>300</v>
      </c>
      <c r="B163" s="11">
        <f>T146</f>
        <v>0</v>
      </c>
      <c r="C163" s="11">
        <f>U146</f>
        <v>0</v>
      </c>
      <c r="D163" s="10">
        <f>B119+B133</f>
        <v>0</v>
      </c>
      <c r="E163" s="11">
        <f t="shared" ref="E163:AG171" si="50">C119+C133</f>
        <v>0</v>
      </c>
      <c r="F163" s="11">
        <f t="shared" si="50"/>
        <v>0</v>
      </c>
      <c r="G163" s="11">
        <f t="shared" si="50"/>
        <v>0</v>
      </c>
      <c r="H163" s="17">
        <f t="shared" si="50"/>
        <v>0</v>
      </c>
      <c r="I163" s="10">
        <f t="shared" si="50"/>
        <v>0</v>
      </c>
      <c r="J163" s="11">
        <f t="shared" si="50"/>
        <v>0</v>
      </c>
      <c r="K163" s="11">
        <f t="shared" si="50"/>
        <v>0</v>
      </c>
      <c r="L163" s="11">
        <f t="shared" si="50"/>
        <v>0</v>
      </c>
      <c r="M163" s="17">
        <f t="shared" si="50"/>
        <v>0</v>
      </c>
      <c r="N163" s="10">
        <f t="shared" si="50"/>
        <v>0</v>
      </c>
      <c r="O163" s="11">
        <f t="shared" si="50"/>
        <v>0</v>
      </c>
      <c r="P163" s="11">
        <f t="shared" si="50"/>
        <v>0</v>
      </c>
      <c r="Q163" s="11">
        <f t="shared" si="50"/>
        <v>0</v>
      </c>
      <c r="R163" s="17">
        <f t="shared" si="50"/>
        <v>0</v>
      </c>
      <c r="S163" s="10">
        <f t="shared" si="50"/>
        <v>0</v>
      </c>
      <c r="T163" s="11">
        <f t="shared" si="50"/>
        <v>0</v>
      </c>
      <c r="U163" s="11">
        <f t="shared" si="50"/>
        <v>0</v>
      </c>
      <c r="V163" s="11">
        <f t="shared" si="50"/>
        <v>0</v>
      </c>
      <c r="W163" s="17">
        <f t="shared" si="50"/>
        <v>0</v>
      </c>
      <c r="X163" s="10">
        <f t="shared" si="50"/>
        <v>0</v>
      </c>
      <c r="Y163" s="11">
        <f t="shared" si="50"/>
        <v>0</v>
      </c>
      <c r="Z163" s="11">
        <f t="shared" si="50"/>
        <v>0</v>
      </c>
      <c r="AA163" s="11">
        <f t="shared" si="50"/>
        <v>0</v>
      </c>
      <c r="AB163" s="17">
        <f t="shared" si="50"/>
        <v>0</v>
      </c>
      <c r="AC163" s="10">
        <f t="shared" si="50"/>
        <v>0</v>
      </c>
      <c r="AD163" s="11">
        <f t="shared" si="50"/>
        <v>0</v>
      </c>
      <c r="AE163" s="11">
        <f t="shared" si="50"/>
        <v>0</v>
      </c>
      <c r="AF163" s="11">
        <f t="shared" si="50"/>
        <v>0</v>
      </c>
      <c r="AG163" s="17">
        <f t="shared" si="50"/>
        <v>0</v>
      </c>
      <c r="AH163" s="16">
        <f>SUM(D163:AG163)*A163</f>
        <v>0</v>
      </c>
      <c r="AI163" s="16">
        <f>SUM(D163:AG163)</f>
        <v>0</v>
      </c>
      <c r="AJ163" s="82"/>
    </row>
    <row r="164" spans="1:52" ht="13.7" customHeight="1" x14ac:dyDescent="0.25">
      <c r="A164" s="16">
        <v>500</v>
      </c>
      <c r="B164" s="11">
        <f t="shared" ref="B164:C171" si="51">T147</f>
        <v>0</v>
      </c>
      <c r="C164" s="11">
        <f t="shared" si="51"/>
        <v>0</v>
      </c>
      <c r="D164" s="10">
        <f t="shared" ref="D164:D171" si="52">B120+B134</f>
        <v>0</v>
      </c>
      <c r="E164" s="11">
        <f t="shared" si="50"/>
        <v>20</v>
      </c>
      <c r="F164" s="11">
        <f t="shared" si="50"/>
        <v>0</v>
      </c>
      <c r="G164" s="11">
        <f t="shared" si="50"/>
        <v>0</v>
      </c>
      <c r="H164" s="17">
        <f t="shared" si="50"/>
        <v>0</v>
      </c>
      <c r="I164" s="10">
        <f t="shared" si="50"/>
        <v>0</v>
      </c>
      <c r="J164" s="11">
        <f t="shared" si="50"/>
        <v>0</v>
      </c>
      <c r="K164" s="11">
        <f t="shared" si="50"/>
        <v>0</v>
      </c>
      <c r="L164" s="11">
        <f t="shared" si="50"/>
        <v>0</v>
      </c>
      <c r="M164" s="17">
        <f t="shared" si="50"/>
        <v>0</v>
      </c>
      <c r="N164" s="10">
        <f t="shared" si="50"/>
        <v>0</v>
      </c>
      <c r="O164" s="11">
        <f t="shared" si="50"/>
        <v>0</v>
      </c>
      <c r="P164" s="11">
        <f t="shared" si="50"/>
        <v>0</v>
      </c>
      <c r="Q164" s="11">
        <f t="shared" si="50"/>
        <v>0</v>
      </c>
      <c r="R164" s="17">
        <f t="shared" si="50"/>
        <v>0</v>
      </c>
      <c r="S164" s="10">
        <f t="shared" si="50"/>
        <v>0</v>
      </c>
      <c r="T164" s="11">
        <f t="shared" si="50"/>
        <v>0</v>
      </c>
      <c r="U164" s="11">
        <f t="shared" si="50"/>
        <v>0</v>
      </c>
      <c r="V164" s="11">
        <f t="shared" si="50"/>
        <v>0</v>
      </c>
      <c r="W164" s="17">
        <f t="shared" si="50"/>
        <v>0</v>
      </c>
      <c r="X164" s="10">
        <f t="shared" si="50"/>
        <v>0</v>
      </c>
      <c r="Y164" s="11">
        <f t="shared" si="50"/>
        <v>0</v>
      </c>
      <c r="Z164" s="11">
        <f t="shared" si="50"/>
        <v>0</v>
      </c>
      <c r="AA164" s="11">
        <f t="shared" si="50"/>
        <v>0</v>
      </c>
      <c r="AB164" s="17">
        <f t="shared" si="50"/>
        <v>0</v>
      </c>
      <c r="AC164" s="10">
        <f t="shared" si="50"/>
        <v>0</v>
      </c>
      <c r="AD164" s="11">
        <f t="shared" si="50"/>
        <v>0</v>
      </c>
      <c r="AE164" s="11">
        <f t="shared" si="50"/>
        <v>0</v>
      </c>
      <c r="AF164" s="11">
        <f t="shared" si="50"/>
        <v>0</v>
      </c>
      <c r="AG164" s="17">
        <f t="shared" si="50"/>
        <v>0</v>
      </c>
      <c r="AH164" s="16">
        <f>SUM(D164:AG164)*A164</f>
        <v>10000</v>
      </c>
      <c r="AI164" s="16">
        <f t="shared" ref="AI164:AI172" si="53">SUM(D164:AG164)</f>
        <v>20</v>
      </c>
    </row>
    <row r="165" spans="1:52" ht="13.7" customHeight="1" x14ac:dyDescent="0.25">
      <c r="A165" s="15">
        <v>750</v>
      </c>
      <c r="B165" s="11">
        <f t="shared" si="51"/>
        <v>0</v>
      </c>
      <c r="C165" s="11">
        <f t="shared" si="51"/>
        <v>0</v>
      </c>
      <c r="D165" s="8">
        <f t="shared" si="52"/>
        <v>0</v>
      </c>
      <c r="E165" s="6">
        <f t="shared" si="50"/>
        <v>10</v>
      </c>
      <c r="F165" s="6">
        <f t="shared" si="50"/>
        <v>0</v>
      </c>
      <c r="G165" s="6">
        <f t="shared" si="50"/>
        <v>0</v>
      </c>
      <c r="H165" s="13">
        <f t="shared" si="50"/>
        <v>0</v>
      </c>
      <c r="I165" s="8">
        <f t="shared" si="50"/>
        <v>0</v>
      </c>
      <c r="J165" s="6">
        <f t="shared" si="50"/>
        <v>0</v>
      </c>
      <c r="K165" s="6">
        <f t="shared" si="50"/>
        <v>0</v>
      </c>
      <c r="L165" s="6">
        <f t="shared" si="50"/>
        <v>0</v>
      </c>
      <c r="M165" s="13">
        <f t="shared" si="50"/>
        <v>0</v>
      </c>
      <c r="N165" s="8">
        <f t="shared" si="50"/>
        <v>0</v>
      </c>
      <c r="O165" s="6">
        <f t="shared" si="50"/>
        <v>0</v>
      </c>
      <c r="P165" s="6">
        <f t="shared" si="50"/>
        <v>0</v>
      </c>
      <c r="Q165" s="6">
        <f t="shared" si="50"/>
        <v>0</v>
      </c>
      <c r="R165" s="13">
        <f t="shared" si="50"/>
        <v>0</v>
      </c>
      <c r="S165" s="8">
        <f t="shared" si="50"/>
        <v>0</v>
      </c>
      <c r="T165" s="6">
        <f t="shared" si="50"/>
        <v>0</v>
      </c>
      <c r="U165" s="6">
        <f t="shared" si="50"/>
        <v>0</v>
      </c>
      <c r="V165" s="6">
        <f t="shared" si="50"/>
        <v>0</v>
      </c>
      <c r="W165" s="13">
        <f t="shared" si="50"/>
        <v>0</v>
      </c>
      <c r="X165" s="8">
        <f t="shared" si="50"/>
        <v>0</v>
      </c>
      <c r="Y165" s="6">
        <f t="shared" si="50"/>
        <v>0</v>
      </c>
      <c r="Z165" s="6">
        <f t="shared" si="50"/>
        <v>0</v>
      </c>
      <c r="AA165" s="6">
        <f t="shared" si="50"/>
        <v>0</v>
      </c>
      <c r="AB165" s="13">
        <f t="shared" si="50"/>
        <v>0</v>
      </c>
      <c r="AC165" s="8">
        <f t="shared" si="50"/>
        <v>0</v>
      </c>
      <c r="AD165" s="6">
        <f t="shared" si="50"/>
        <v>0</v>
      </c>
      <c r="AE165" s="6">
        <f t="shared" si="50"/>
        <v>0</v>
      </c>
      <c r="AF165" s="6">
        <f t="shared" si="50"/>
        <v>0</v>
      </c>
      <c r="AG165" s="13">
        <f t="shared" si="50"/>
        <v>0</v>
      </c>
      <c r="AH165" s="16">
        <f>SUM(D165:AG165)*A165</f>
        <v>7500</v>
      </c>
      <c r="AI165" s="16">
        <f t="shared" si="53"/>
        <v>10</v>
      </c>
    </row>
    <row r="166" spans="1:52" ht="13.7" customHeight="1" x14ac:dyDescent="0.25">
      <c r="A166" s="15">
        <v>1000</v>
      </c>
      <c r="B166" s="11">
        <f t="shared" si="51"/>
        <v>0</v>
      </c>
      <c r="C166" s="11">
        <f t="shared" si="51"/>
        <v>0</v>
      </c>
      <c r="D166" s="8">
        <f t="shared" si="52"/>
        <v>0</v>
      </c>
      <c r="E166" s="6">
        <f t="shared" si="50"/>
        <v>10</v>
      </c>
      <c r="F166" s="6">
        <f t="shared" si="50"/>
        <v>0</v>
      </c>
      <c r="G166" s="6">
        <f t="shared" si="50"/>
        <v>0</v>
      </c>
      <c r="H166" s="13">
        <f t="shared" si="50"/>
        <v>0</v>
      </c>
      <c r="I166" s="8">
        <f t="shared" si="50"/>
        <v>0</v>
      </c>
      <c r="J166" s="6">
        <f t="shared" si="50"/>
        <v>0</v>
      </c>
      <c r="K166" s="6">
        <f t="shared" si="50"/>
        <v>0</v>
      </c>
      <c r="L166" s="6">
        <f t="shared" si="50"/>
        <v>0</v>
      </c>
      <c r="M166" s="13">
        <f t="shared" si="50"/>
        <v>0</v>
      </c>
      <c r="N166" s="8">
        <f t="shared" si="50"/>
        <v>0</v>
      </c>
      <c r="O166" s="6">
        <f t="shared" si="50"/>
        <v>0</v>
      </c>
      <c r="P166" s="6">
        <f t="shared" si="50"/>
        <v>0</v>
      </c>
      <c r="Q166" s="6">
        <f t="shared" si="50"/>
        <v>0</v>
      </c>
      <c r="R166" s="13">
        <f t="shared" si="50"/>
        <v>0</v>
      </c>
      <c r="S166" s="8">
        <f t="shared" si="50"/>
        <v>0</v>
      </c>
      <c r="T166" s="6">
        <f t="shared" si="50"/>
        <v>0</v>
      </c>
      <c r="U166" s="6">
        <f t="shared" si="50"/>
        <v>0</v>
      </c>
      <c r="V166" s="6">
        <f t="shared" si="50"/>
        <v>0</v>
      </c>
      <c r="W166" s="13">
        <f t="shared" si="50"/>
        <v>0</v>
      </c>
      <c r="X166" s="8">
        <f t="shared" si="50"/>
        <v>0</v>
      </c>
      <c r="Y166" s="6">
        <f t="shared" si="50"/>
        <v>0</v>
      </c>
      <c r="Z166" s="6">
        <f t="shared" si="50"/>
        <v>0</v>
      </c>
      <c r="AA166" s="6">
        <f t="shared" si="50"/>
        <v>0</v>
      </c>
      <c r="AB166" s="13">
        <f t="shared" si="50"/>
        <v>0</v>
      </c>
      <c r="AC166" s="8">
        <f t="shared" si="50"/>
        <v>0</v>
      </c>
      <c r="AD166" s="6">
        <f t="shared" si="50"/>
        <v>0</v>
      </c>
      <c r="AE166" s="6">
        <f t="shared" si="50"/>
        <v>0</v>
      </c>
      <c r="AF166" s="6">
        <f t="shared" si="50"/>
        <v>0</v>
      </c>
      <c r="AG166" s="13">
        <f t="shared" si="50"/>
        <v>0</v>
      </c>
      <c r="AH166" s="16">
        <f>SUM(D166:AG166)*A166</f>
        <v>10000</v>
      </c>
      <c r="AI166" s="16">
        <f t="shared" si="53"/>
        <v>10</v>
      </c>
    </row>
    <row r="167" spans="1:52" ht="13.7" customHeight="1" x14ac:dyDescent="0.25">
      <c r="A167" s="15">
        <v>1500</v>
      </c>
      <c r="B167" s="11">
        <f t="shared" si="51"/>
        <v>0</v>
      </c>
      <c r="C167" s="11">
        <f t="shared" si="51"/>
        <v>0</v>
      </c>
      <c r="D167" s="8">
        <f t="shared" si="52"/>
        <v>0</v>
      </c>
      <c r="E167" s="6">
        <f t="shared" si="50"/>
        <v>8</v>
      </c>
      <c r="F167" s="6">
        <f t="shared" si="50"/>
        <v>0</v>
      </c>
      <c r="G167" s="6">
        <f t="shared" si="50"/>
        <v>0</v>
      </c>
      <c r="H167" s="13">
        <f t="shared" si="50"/>
        <v>0</v>
      </c>
      <c r="I167" s="8">
        <f t="shared" si="50"/>
        <v>0</v>
      </c>
      <c r="J167" s="6">
        <f t="shared" si="50"/>
        <v>0</v>
      </c>
      <c r="K167" s="6">
        <f t="shared" si="50"/>
        <v>0</v>
      </c>
      <c r="L167" s="6">
        <f t="shared" si="50"/>
        <v>0</v>
      </c>
      <c r="M167" s="13">
        <f t="shared" si="50"/>
        <v>0</v>
      </c>
      <c r="N167" s="8">
        <f t="shared" si="50"/>
        <v>0</v>
      </c>
      <c r="O167" s="6">
        <f t="shared" si="50"/>
        <v>0</v>
      </c>
      <c r="P167" s="6">
        <f t="shared" si="50"/>
        <v>0</v>
      </c>
      <c r="Q167" s="6">
        <f t="shared" si="50"/>
        <v>0</v>
      </c>
      <c r="R167" s="13">
        <f t="shared" si="50"/>
        <v>0</v>
      </c>
      <c r="S167" s="8">
        <f t="shared" si="50"/>
        <v>0</v>
      </c>
      <c r="T167" s="6">
        <f t="shared" si="50"/>
        <v>0</v>
      </c>
      <c r="U167" s="6">
        <f t="shared" si="50"/>
        <v>0</v>
      </c>
      <c r="V167" s="6">
        <f t="shared" si="50"/>
        <v>0</v>
      </c>
      <c r="W167" s="13">
        <f t="shared" si="50"/>
        <v>0</v>
      </c>
      <c r="X167" s="8">
        <f t="shared" si="50"/>
        <v>0</v>
      </c>
      <c r="Y167" s="6">
        <f t="shared" si="50"/>
        <v>0</v>
      </c>
      <c r="Z167" s="6">
        <f t="shared" si="50"/>
        <v>0</v>
      </c>
      <c r="AA167" s="6">
        <f t="shared" si="50"/>
        <v>0</v>
      </c>
      <c r="AB167" s="13">
        <f t="shared" si="50"/>
        <v>0</v>
      </c>
      <c r="AC167" s="8">
        <f t="shared" si="50"/>
        <v>0</v>
      </c>
      <c r="AD167" s="6">
        <f t="shared" si="50"/>
        <v>0</v>
      </c>
      <c r="AE167" s="6">
        <f t="shared" si="50"/>
        <v>0</v>
      </c>
      <c r="AF167" s="6">
        <f t="shared" si="50"/>
        <v>0</v>
      </c>
      <c r="AG167" s="13">
        <f t="shared" si="50"/>
        <v>0</v>
      </c>
      <c r="AH167" s="16">
        <f>SUM(D167:AG167)*A167</f>
        <v>12000</v>
      </c>
      <c r="AI167" s="16">
        <f t="shared" si="53"/>
        <v>8</v>
      </c>
    </row>
    <row r="168" spans="1:52" ht="13.7" customHeight="1" x14ac:dyDescent="0.25">
      <c r="A168" s="15">
        <v>2000</v>
      </c>
      <c r="B168" s="11">
        <f t="shared" si="51"/>
        <v>0</v>
      </c>
      <c r="C168" s="11">
        <f t="shared" si="51"/>
        <v>0</v>
      </c>
      <c r="D168" s="8">
        <f t="shared" si="52"/>
        <v>0</v>
      </c>
      <c r="E168" s="6">
        <f t="shared" si="50"/>
        <v>0</v>
      </c>
      <c r="F168" s="6">
        <f t="shared" si="50"/>
        <v>0</v>
      </c>
      <c r="G168" s="6">
        <f t="shared" si="50"/>
        <v>0</v>
      </c>
      <c r="H168" s="13">
        <f t="shared" si="50"/>
        <v>0</v>
      </c>
      <c r="I168" s="8">
        <f t="shared" si="50"/>
        <v>0</v>
      </c>
      <c r="J168" s="6">
        <f t="shared" si="50"/>
        <v>0</v>
      </c>
      <c r="K168" s="6">
        <f t="shared" si="50"/>
        <v>0</v>
      </c>
      <c r="L168" s="6">
        <f t="shared" si="50"/>
        <v>0</v>
      </c>
      <c r="M168" s="13">
        <f t="shared" si="50"/>
        <v>0</v>
      </c>
      <c r="N168" s="8">
        <f t="shared" si="50"/>
        <v>0</v>
      </c>
      <c r="O168" s="6">
        <f t="shared" si="50"/>
        <v>0</v>
      </c>
      <c r="P168" s="6">
        <f t="shared" si="50"/>
        <v>0</v>
      </c>
      <c r="Q168" s="6">
        <f t="shared" si="50"/>
        <v>0</v>
      </c>
      <c r="R168" s="13">
        <f t="shared" si="50"/>
        <v>0</v>
      </c>
      <c r="S168" s="8">
        <f t="shared" si="50"/>
        <v>0</v>
      </c>
      <c r="T168" s="6">
        <f t="shared" si="50"/>
        <v>0</v>
      </c>
      <c r="U168" s="6">
        <f t="shared" si="50"/>
        <v>0</v>
      </c>
      <c r="V168" s="6">
        <f t="shared" si="50"/>
        <v>0</v>
      </c>
      <c r="W168" s="13">
        <f t="shared" si="50"/>
        <v>0</v>
      </c>
      <c r="X168" s="8">
        <f t="shared" si="50"/>
        <v>0</v>
      </c>
      <c r="Y168" s="6">
        <f t="shared" si="50"/>
        <v>0</v>
      </c>
      <c r="Z168" s="6">
        <f t="shared" si="50"/>
        <v>0</v>
      </c>
      <c r="AA168" s="6">
        <f t="shared" si="50"/>
        <v>0</v>
      </c>
      <c r="AB168" s="13">
        <f t="shared" si="50"/>
        <v>0</v>
      </c>
      <c r="AC168" s="8">
        <f t="shared" si="50"/>
        <v>0</v>
      </c>
      <c r="AD168" s="6">
        <f t="shared" si="50"/>
        <v>0</v>
      </c>
      <c r="AE168" s="6">
        <f t="shared" si="50"/>
        <v>0</v>
      </c>
      <c r="AF168" s="6">
        <f t="shared" si="50"/>
        <v>0</v>
      </c>
      <c r="AG168" s="13">
        <f t="shared" si="50"/>
        <v>0</v>
      </c>
      <c r="AH168" s="16">
        <f>SUM(D168:AG168)*A168</f>
        <v>0</v>
      </c>
      <c r="AI168" s="16">
        <f t="shared" si="53"/>
        <v>0</v>
      </c>
    </row>
    <row r="169" spans="1:52" ht="13.7" customHeight="1" x14ac:dyDescent="0.25">
      <c r="A169" s="15">
        <v>3000</v>
      </c>
      <c r="B169" s="11">
        <f t="shared" si="51"/>
        <v>0</v>
      </c>
      <c r="C169" s="11">
        <f t="shared" si="51"/>
        <v>0</v>
      </c>
      <c r="D169" s="8">
        <f t="shared" si="52"/>
        <v>0</v>
      </c>
      <c r="E169" s="6">
        <f t="shared" si="50"/>
        <v>0</v>
      </c>
      <c r="F169" s="6">
        <f t="shared" si="50"/>
        <v>0</v>
      </c>
      <c r="G169" s="6">
        <f t="shared" si="50"/>
        <v>0</v>
      </c>
      <c r="H169" s="13">
        <f t="shared" si="50"/>
        <v>0</v>
      </c>
      <c r="I169" s="8">
        <f t="shared" si="50"/>
        <v>0</v>
      </c>
      <c r="J169" s="6">
        <f t="shared" si="50"/>
        <v>0</v>
      </c>
      <c r="K169" s="6">
        <f t="shared" si="50"/>
        <v>0</v>
      </c>
      <c r="L169" s="6">
        <f t="shared" si="50"/>
        <v>0</v>
      </c>
      <c r="M169" s="13">
        <f t="shared" si="50"/>
        <v>0</v>
      </c>
      <c r="N169" s="8">
        <f t="shared" si="50"/>
        <v>0</v>
      </c>
      <c r="O169" s="6">
        <f t="shared" si="50"/>
        <v>0</v>
      </c>
      <c r="P169" s="6">
        <f t="shared" si="50"/>
        <v>0</v>
      </c>
      <c r="Q169" s="6">
        <f t="shared" si="50"/>
        <v>0</v>
      </c>
      <c r="R169" s="13">
        <f t="shared" si="50"/>
        <v>0</v>
      </c>
      <c r="S169" s="8">
        <f t="shared" si="50"/>
        <v>0</v>
      </c>
      <c r="T169" s="6">
        <f t="shared" si="50"/>
        <v>0</v>
      </c>
      <c r="U169" s="6">
        <f t="shared" si="50"/>
        <v>0</v>
      </c>
      <c r="V169" s="6">
        <f t="shared" si="50"/>
        <v>0</v>
      </c>
      <c r="W169" s="13">
        <f t="shared" si="50"/>
        <v>0</v>
      </c>
      <c r="X169" s="8">
        <f t="shared" si="50"/>
        <v>0</v>
      </c>
      <c r="Y169" s="6">
        <f t="shared" si="50"/>
        <v>0</v>
      </c>
      <c r="Z169" s="6">
        <f t="shared" si="50"/>
        <v>0</v>
      </c>
      <c r="AA169" s="6">
        <f t="shared" si="50"/>
        <v>0</v>
      </c>
      <c r="AB169" s="13">
        <f t="shared" si="50"/>
        <v>0</v>
      </c>
      <c r="AC169" s="8">
        <f t="shared" si="50"/>
        <v>0</v>
      </c>
      <c r="AD169" s="6">
        <f t="shared" si="50"/>
        <v>0</v>
      </c>
      <c r="AE169" s="6">
        <f t="shared" si="50"/>
        <v>0</v>
      </c>
      <c r="AF169" s="6">
        <f t="shared" si="50"/>
        <v>0</v>
      </c>
      <c r="AG169" s="13">
        <f t="shared" si="50"/>
        <v>0</v>
      </c>
      <c r="AH169" s="16">
        <f>SUM(D169:AG169)*A169</f>
        <v>0</v>
      </c>
      <c r="AI169" s="16">
        <f t="shared" si="53"/>
        <v>0</v>
      </c>
    </row>
    <row r="170" spans="1:52" ht="13.7" customHeight="1" x14ac:dyDescent="0.25">
      <c r="A170" s="15">
        <v>5000</v>
      </c>
      <c r="B170" s="11">
        <f t="shared" si="51"/>
        <v>0</v>
      </c>
      <c r="C170" s="11">
        <f t="shared" si="51"/>
        <v>0</v>
      </c>
      <c r="D170" s="8">
        <f t="shared" si="52"/>
        <v>0</v>
      </c>
      <c r="E170" s="6">
        <f t="shared" si="50"/>
        <v>0</v>
      </c>
      <c r="F170" s="6">
        <f t="shared" si="50"/>
        <v>0</v>
      </c>
      <c r="G170" s="6">
        <f t="shared" si="50"/>
        <v>0</v>
      </c>
      <c r="H170" s="13">
        <f t="shared" si="50"/>
        <v>0</v>
      </c>
      <c r="I170" s="8">
        <f t="shared" si="50"/>
        <v>0</v>
      </c>
      <c r="J170" s="6">
        <f t="shared" si="50"/>
        <v>0</v>
      </c>
      <c r="K170" s="6">
        <f t="shared" si="50"/>
        <v>0</v>
      </c>
      <c r="L170" s="6">
        <f t="shared" si="50"/>
        <v>0</v>
      </c>
      <c r="M170" s="13">
        <f t="shared" si="50"/>
        <v>0</v>
      </c>
      <c r="N170" s="8">
        <f t="shared" si="50"/>
        <v>0</v>
      </c>
      <c r="O170" s="6">
        <f t="shared" si="50"/>
        <v>0</v>
      </c>
      <c r="P170" s="6">
        <f t="shared" si="50"/>
        <v>0</v>
      </c>
      <c r="Q170" s="6">
        <f t="shared" si="50"/>
        <v>0</v>
      </c>
      <c r="R170" s="13">
        <f t="shared" si="50"/>
        <v>0</v>
      </c>
      <c r="S170" s="8">
        <f t="shared" si="50"/>
        <v>0</v>
      </c>
      <c r="T170" s="6">
        <f t="shared" si="50"/>
        <v>0</v>
      </c>
      <c r="U170" s="6">
        <f t="shared" si="50"/>
        <v>0</v>
      </c>
      <c r="V170" s="6">
        <f t="shared" si="50"/>
        <v>0</v>
      </c>
      <c r="W170" s="13">
        <f t="shared" si="50"/>
        <v>0</v>
      </c>
      <c r="X170" s="8">
        <f t="shared" si="50"/>
        <v>0</v>
      </c>
      <c r="Y170" s="6">
        <f t="shared" si="50"/>
        <v>0</v>
      </c>
      <c r="Z170" s="6">
        <f t="shared" si="50"/>
        <v>0</v>
      </c>
      <c r="AA170" s="6">
        <f t="shared" si="50"/>
        <v>0</v>
      </c>
      <c r="AB170" s="13">
        <f t="shared" si="50"/>
        <v>0</v>
      </c>
      <c r="AC170" s="8">
        <f t="shared" si="50"/>
        <v>0</v>
      </c>
      <c r="AD170" s="6">
        <f t="shared" si="50"/>
        <v>0</v>
      </c>
      <c r="AE170" s="6">
        <f t="shared" si="50"/>
        <v>0</v>
      </c>
      <c r="AF170" s="6">
        <f t="shared" si="50"/>
        <v>0</v>
      </c>
      <c r="AG170" s="13">
        <f t="shared" si="50"/>
        <v>0</v>
      </c>
      <c r="AH170" s="16">
        <f>SUM(D170:AG170)*A170</f>
        <v>0</v>
      </c>
      <c r="AI170" s="16">
        <f t="shared" si="53"/>
        <v>0</v>
      </c>
    </row>
    <row r="171" spans="1:52" ht="15" customHeight="1" thickBot="1" x14ac:dyDescent="0.3">
      <c r="A171" s="59">
        <v>10000</v>
      </c>
      <c r="B171" s="11">
        <f t="shared" si="51"/>
        <v>0</v>
      </c>
      <c r="C171" s="11">
        <f t="shared" si="51"/>
        <v>0</v>
      </c>
      <c r="D171" s="31">
        <f t="shared" si="52"/>
        <v>0</v>
      </c>
      <c r="E171" s="32">
        <f t="shared" si="50"/>
        <v>0</v>
      </c>
      <c r="F171" s="32">
        <f t="shared" si="50"/>
        <v>0</v>
      </c>
      <c r="G171" s="32">
        <f t="shared" si="50"/>
        <v>0</v>
      </c>
      <c r="H171" s="33">
        <f t="shared" si="50"/>
        <v>0</v>
      </c>
      <c r="I171" s="31">
        <f t="shared" si="50"/>
        <v>0</v>
      </c>
      <c r="J171" s="32">
        <f t="shared" si="50"/>
        <v>0</v>
      </c>
      <c r="K171" s="32">
        <f t="shared" si="50"/>
        <v>0</v>
      </c>
      <c r="L171" s="32">
        <f t="shared" si="50"/>
        <v>0</v>
      </c>
      <c r="M171" s="33">
        <f t="shared" si="50"/>
        <v>0</v>
      </c>
      <c r="N171" s="31">
        <f t="shared" si="50"/>
        <v>0</v>
      </c>
      <c r="O171" s="32">
        <f t="shared" si="50"/>
        <v>0</v>
      </c>
      <c r="P171" s="32">
        <f t="shared" si="50"/>
        <v>0</v>
      </c>
      <c r="Q171" s="32">
        <f t="shared" si="50"/>
        <v>0</v>
      </c>
      <c r="R171" s="33">
        <f t="shared" si="50"/>
        <v>0</v>
      </c>
      <c r="S171" s="31">
        <f t="shared" si="50"/>
        <v>0</v>
      </c>
      <c r="T171" s="32">
        <f t="shared" si="50"/>
        <v>0</v>
      </c>
      <c r="U171" s="32">
        <f t="shared" si="50"/>
        <v>0</v>
      </c>
      <c r="V171" s="32">
        <f t="shared" si="50"/>
        <v>0</v>
      </c>
      <c r="W171" s="33">
        <f t="shared" si="50"/>
        <v>0</v>
      </c>
      <c r="X171" s="31">
        <f t="shared" si="50"/>
        <v>0</v>
      </c>
      <c r="Y171" s="32">
        <f t="shared" si="50"/>
        <v>0</v>
      </c>
      <c r="Z171" s="32">
        <f t="shared" si="50"/>
        <v>0</v>
      </c>
      <c r="AA171" s="32">
        <f t="shared" si="50"/>
        <v>0</v>
      </c>
      <c r="AB171" s="33">
        <f t="shared" ref="AB171:AG171" si="54">Z127+Z141</f>
        <v>0</v>
      </c>
      <c r="AC171" s="31">
        <f t="shared" si="54"/>
        <v>0</v>
      </c>
      <c r="AD171" s="32">
        <f t="shared" si="54"/>
        <v>0</v>
      </c>
      <c r="AE171" s="32">
        <f t="shared" si="54"/>
        <v>0</v>
      </c>
      <c r="AF171" s="32">
        <f t="shared" si="54"/>
        <v>0</v>
      </c>
      <c r="AG171" s="33">
        <f t="shared" si="54"/>
        <v>0</v>
      </c>
      <c r="AH171" s="16">
        <f>SUM(D171:AG171)*A171</f>
        <v>0</v>
      </c>
      <c r="AI171" s="43">
        <f t="shared" si="53"/>
        <v>0</v>
      </c>
    </row>
    <row r="172" spans="1:52" ht="15" customHeight="1" thickBot="1" x14ac:dyDescent="0.3">
      <c r="A172" s="35"/>
      <c r="B172" s="61">
        <f>SUM(B163:B171)</f>
        <v>0</v>
      </c>
      <c r="C172" s="61">
        <f t="shared" ref="C172" si="55">SUM(C163:C171)</f>
        <v>0</v>
      </c>
      <c r="D172" s="60">
        <f t="shared" ref="D172:AI172" si="56">SUM(D163:D171)</f>
        <v>0</v>
      </c>
      <c r="E172" s="61">
        <f t="shared" si="56"/>
        <v>48</v>
      </c>
      <c r="F172" s="61">
        <f t="shared" si="56"/>
        <v>0</v>
      </c>
      <c r="G172" s="61">
        <f t="shared" si="56"/>
        <v>0</v>
      </c>
      <c r="H172" s="62">
        <f t="shared" si="56"/>
        <v>0</v>
      </c>
      <c r="I172" s="60">
        <f t="shared" si="56"/>
        <v>0</v>
      </c>
      <c r="J172" s="61">
        <f t="shared" si="56"/>
        <v>0</v>
      </c>
      <c r="K172" s="61">
        <f t="shared" si="56"/>
        <v>0</v>
      </c>
      <c r="L172" s="61">
        <f t="shared" si="56"/>
        <v>0</v>
      </c>
      <c r="M172" s="62">
        <f t="shared" si="56"/>
        <v>0</v>
      </c>
      <c r="N172" s="60">
        <f t="shared" si="56"/>
        <v>0</v>
      </c>
      <c r="O172" s="61">
        <f t="shared" si="56"/>
        <v>0</v>
      </c>
      <c r="P172" s="61">
        <f t="shared" si="56"/>
        <v>0</v>
      </c>
      <c r="Q172" s="61">
        <f t="shared" si="56"/>
        <v>0</v>
      </c>
      <c r="R172" s="62">
        <f t="shared" si="56"/>
        <v>0</v>
      </c>
      <c r="S172" s="60">
        <f t="shared" si="56"/>
        <v>0</v>
      </c>
      <c r="T172" s="61">
        <f t="shared" si="56"/>
        <v>0</v>
      </c>
      <c r="U172" s="61">
        <f t="shared" si="56"/>
        <v>0</v>
      </c>
      <c r="V172" s="61">
        <f t="shared" si="56"/>
        <v>0</v>
      </c>
      <c r="W172" s="62">
        <f t="shared" si="56"/>
        <v>0</v>
      </c>
      <c r="X172" s="60">
        <f t="shared" si="56"/>
        <v>0</v>
      </c>
      <c r="Y172" s="61">
        <f t="shared" si="56"/>
        <v>0</v>
      </c>
      <c r="Z172" s="61">
        <f t="shared" si="56"/>
        <v>0</v>
      </c>
      <c r="AA172" s="61">
        <f t="shared" si="56"/>
        <v>0</v>
      </c>
      <c r="AB172" s="62">
        <f t="shared" si="56"/>
        <v>0</v>
      </c>
      <c r="AC172" s="60">
        <f t="shared" si="56"/>
        <v>0</v>
      </c>
      <c r="AD172" s="61">
        <f t="shared" si="56"/>
        <v>0</v>
      </c>
      <c r="AE172" s="61">
        <f t="shared" si="56"/>
        <v>0</v>
      </c>
      <c r="AF172" s="61">
        <f t="shared" si="56"/>
        <v>0</v>
      </c>
      <c r="AG172" s="62">
        <f t="shared" si="56"/>
        <v>0</v>
      </c>
      <c r="AH172" s="35">
        <f>SUM(AH163:AH171)</f>
        <v>39500</v>
      </c>
      <c r="AI172" s="35">
        <f t="shared" si="53"/>
        <v>48</v>
      </c>
    </row>
    <row r="173" spans="1:52" ht="15.75" customHeight="1" x14ac:dyDescent="0.25"/>
    <row r="174" spans="1:52" ht="15.75" customHeight="1" x14ac:dyDescent="0.25"/>
    <row r="175" spans="1:52" ht="15" customHeight="1" x14ac:dyDescent="0.25">
      <c r="AX175" s="44"/>
      <c r="AY175" s="44"/>
      <c r="AZ175" s="44"/>
    </row>
    <row r="176" spans="1:52" ht="15" customHeight="1" x14ac:dyDescent="0.25">
      <c r="AX176" s="44"/>
      <c r="AY176" s="44"/>
      <c r="AZ176" s="44"/>
    </row>
    <row r="177" spans="50:54" ht="15" customHeight="1" x14ac:dyDescent="0.25">
      <c r="AX177" s="44"/>
      <c r="AY177" s="44"/>
      <c r="AZ177" s="44"/>
    </row>
    <row r="178" spans="50:54" ht="15" customHeight="1" x14ac:dyDescent="0.25">
      <c r="AX178" s="44"/>
      <c r="AY178" s="44"/>
      <c r="AZ178" s="44"/>
    </row>
    <row r="179" spans="50:54" ht="15" customHeight="1" x14ac:dyDescent="0.25">
      <c r="AX179" s="44"/>
      <c r="AY179" s="44"/>
      <c r="AZ179" s="44"/>
    </row>
    <row r="180" spans="50:54" ht="15" customHeight="1" x14ac:dyDescent="0.25">
      <c r="AX180" s="44"/>
      <c r="AY180" s="44"/>
      <c r="AZ180" s="44"/>
    </row>
    <row r="181" spans="50:54" ht="15" customHeight="1" x14ac:dyDescent="0.25">
      <c r="AX181" s="44"/>
    </row>
    <row r="182" spans="50:54" ht="15" customHeight="1" x14ac:dyDescent="0.25">
      <c r="AX182" s="44"/>
    </row>
    <row r="183" spans="50:54" ht="15" customHeight="1" x14ac:dyDescent="0.25">
      <c r="AX183" s="44"/>
    </row>
    <row r="184" spans="50:54" ht="15.75" customHeight="1" x14ac:dyDescent="0.25"/>
    <row r="186" spans="50:54" x14ac:dyDescent="0.25">
      <c r="BB186" s="44"/>
    </row>
    <row r="187" spans="50:54" ht="15" customHeight="1" x14ac:dyDescent="0.25"/>
    <row r="188" spans="50:54" ht="15" customHeight="1" x14ac:dyDescent="0.25"/>
    <row r="189" spans="50:54" ht="15" customHeight="1" x14ac:dyDescent="0.25"/>
  </sheetData>
  <mergeCells count="134">
    <mergeCell ref="AH158:AJ158"/>
    <mergeCell ref="AK158:AM158"/>
    <mergeCell ref="AN158:AO158"/>
    <mergeCell ref="AP158:AR158"/>
    <mergeCell ref="AS158:AT158"/>
    <mergeCell ref="AU158:AW158"/>
    <mergeCell ref="A161:A162"/>
    <mergeCell ref="B161:C161"/>
    <mergeCell ref="D161:H161"/>
    <mergeCell ref="I161:M161"/>
    <mergeCell ref="N161:R161"/>
    <mergeCell ref="S161:W161"/>
    <mergeCell ref="X161:AB161"/>
    <mergeCell ref="AC161:AG161"/>
    <mergeCell ref="AH161:AH162"/>
    <mergeCell ref="AI161:AI162"/>
    <mergeCell ref="AQ151:AR151"/>
    <mergeCell ref="AU151:AV151"/>
    <mergeCell ref="AW151:AX151"/>
    <mergeCell ref="BA151:BB151"/>
    <mergeCell ref="BC151:BD151"/>
    <mergeCell ref="BG151:BH151"/>
    <mergeCell ref="BI151:BJ151"/>
    <mergeCell ref="AI152:AJ152"/>
    <mergeCell ref="AK152:AL152"/>
    <mergeCell ref="AO152:AP152"/>
    <mergeCell ref="AQ152:AR152"/>
    <mergeCell ref="AU152:AV152"/>
    <mergeCell ref="AW152:AX152"/>
    <mergeCell ref="BA152:BB152"/>
    <mergeCell ref="BC152:BD152"/>
    <mergeCell ref="BG152:BH152"/>
    <mergeCell ref="BI152:BJ152"/>
    <mergeCell ref="AA147:AC147"/>
    <mergeCell ref="AD147:AF147"/>
    <mergeCell ref="AA148:AC148"/>
    <mergeCell ref="AD148:AF148"/>
    <mergeCell ref="AA149:AC149"/>
    <mergeCell ref="AD149:AF149"/>
    <mergeCell ref="AI151:AJ151"/>
    <mergeCell ref="AK151:AL151"/>
    <mergeCell ref="AO151:AP151"/>
    <mergeCell ref="AH138:AL138"/>
    <mergeCell ref="AN138:AR138"/>
    <mergeCell ref="AT138:AX138"/>
    <mergeCell ref="AZ138:BD138"/>
    <mergeCell ref="BF138:BJ138"/>
    <mergeCell ref="AH139:AL139"/>
    <mergeCell ref="AN139:AR139"/>
    <mergeCell ref="AT139:AX139"/>
    <mergeCell ref="AZ139:BD139"/>
    <mergeCell ref="BF139:BJ139"/>
    <mergeCell ref="BG131:BH131"/>
    <mergeCell ref="BI131:BJ131"/>
    <mergeCell ref="AH137:AI137"/>
    <mergeCell ref="AJ137:AL137"/>
    <mergeCell ref="AN137:AO137"/>
    <mergeCell ref="AP137:AR137"/>
    <mergeCell ref="AT137:AU137"/>
    <mergeCell ref="AV137:AX137"/>
    <mergeCell ref="AZ137:BA137"/>
    <mergeCell ref="BB137:BD137"/>
    <mergeCell ref="BF137:BG137"/>
    <mergeCell ref="BH137:BJ137"/>
    <mergeCell ref="AO130:AP130"/>
    <mergeCell ref="AQ130:AR130"/>
    <mergeCell ref="AU130:AV130"/>
    <mergeCell ref="AW130:AX130"/>
    <mergeCell ref="BA130:BB130"/>
    <mergeCell ref="BC130:BD130"/>
    <mergeCell ref="BG130:BH130"/>
    <mergeCell ref="BI130:BJ130"/>
    <mergeCell ref="A131:A132"/>
    <mergeCell ref="B131:F131"/>
    <mergeCell ref="L131:P131"/>
    <mergeCell ref="Q131:U131"/>
    <mergeCell ref="V131:Z131"/>
    <mergeCell ref="AA131:AE131"/>
    <mergeCell ref="AF131:AF132"/>
    <mergeCell ref="AG131:AG132"/>
    <mergeCell ref="AI131:AJ131"/>
    <mergeCell ref="AK131:AL131"/>
    <mergeCell ref="AO131:AP131"/>
    <mergeCell ref="AQ131:AR131"/>
    <mergeCell ref="AU131:AV131"/>
    <mergeCell ref="AW131:AX131"/>
    <mergeCell ref="BA131:BB131"/>
    <mergeCell ref="BC131:BD131"/>
    <mergeCell ref="AN117:AR117"/>
    <mergeCell ref="AT117:AX117"/>
    <mergeCell ref="AZ117:BD117"/>
    <mergeCell ref="BF117:BJ117"/>
    <mergeCell ref="AH118:AL118"/>
    <mergeCell ref="AN118:AR118"/>
    <mergeCell ref="AT118:AX118"/>
    <mergeCell ref="AZ118:BD118"/>
    <mergeCell ref="BF118:BJ118"/>
    <mergeCell ref="AJ116:AL116"/>
    <mergeCell ref="AN116:AO116"/>
    <mergeCell ref="AP116:AR116"/>
    <mergeCell ref="AT116:AU116"/>
    <mergeCell ref="AV116:AX116"/>
    <mergeCell ref="AZ116:BA116"/>
    <mergeCell ref="BB116:BD116"/>
    <mergeCell ref="BF116:BG116"/>
    <mergeCell ref="BH116:BJ116"/>
    <mergeCell ref="A130:AG130"/>
    <mergeCell ref="D144:E144"/>
    <mergeCell ref="T144:U144"/>
    <mergeCell ref="A144:B144"/>
    <mergeCell ref="G144:H144"/>
    <mergeCell ref="J144:K147"/>
    <mergeCell ref="M144:N147"/>
    <mergeCell ref="P144:Q147"/>
    <mergeCell ref="S144:S145"/>
    <mergeCell ref="V144:V145"/>
    <mergeCell ref="W144:W145"/>
    <mergeCell ref="A114:C114"/>
    <mergeCell ref="D114:G114"/>
    <mergeCell ref="G131:K131"/>
    <mergeCell ref="A116:AG116"/>
    <mergeCell ref="AH116:AI116"/>
    <mergeCell ref="A117:A118"/>
    <mergeCell ref="B117:F117"/>
    <mergeCell ref="G117:K117"/>
    <mergeCell ref="L117:P117"/>
    <mergeCell ref="Q117:U117"/>
    <mergeCell ref="V117:Z117"/>
    <mergeCell ref="AA117:AE117"/>
    <mergeCell ref="AF117:AF118"/>
    <mergeCell ref="AG117:AG118"/>
    <mergeCell ref="AH117:AL117"/>
    <mergeCell ref="AI130:AJ130"/>
    <mergeCell ref="AK130:AL130"/>
  </mergeCells>
  <pageMargins left="0" right="0" top="0" bottom="0" header="0.31496062992125984" footer="0.31496062992125984"/>
  <pageSetup paperSize="9" scale="85" orientation="landscape" r:id="rId1"/>
  <headerFooter>
    <oddFooter>&amp;LPRINTED ON &amp;D AT &amp;T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Y189"/>
  <sheetViews>
    <sheetView showZeros="0" zoomScaleNormal="100" workbookViewId="0">
      <selection sqref="A1:XFD1048576"/>
    </sheetView>
  </sheetViews>
  <sheetFormatPr defaultColWidth="9.140625" defaultRowHeight="15" x14ac:dyDescent="0.25"/>
  <cols>
    <col min="1" max="1" width="6.28515625" style="28" customWidth="1"/>
    <col min="2" max="2" width="5.85546875" style="28" customWidth="1"/>
    <col min="3" max="3" width="4.42578125" style="28" customWidth="1"/>
    <col min="4" max="4" width="6.28515625" style="28" customWidth="1"/>
    <col min="5" max="5" width="5.85546875" style="28" customWidth="1"/>
    <col min="6" max="6" width="4.42578125" style="28" customWidth="1"/>
    <col min="7" max="7" width="6.28515625" style="28" customWidth="1"/>
    <col min="8" max="8" width="5.85546875" style="28" customWidth="1"/>
    <col min="9" max="9" width="4.42578125" style="28" customWidth="1"/>
    <col min="10" max="10" width="6.28515625" style="28" customWidth="1"/>
    <col min="11" max="12" width="4.42578125" style="28" customWidth="1"/>
    <col min="13" max="13" width="6.28515625" style="28" customWidth="1"/>
    <col min="14" max="15" width="4.42578125" style="28" customWidth="1"/>
    <col min="16" max="16" width="6.28515625" style="28" customWidth="1"/>
    <col min="17" max="18" width="4.42578125" style="28" customWidth="1"/>
    <col min="19" max="19" width="6.28515625" style="28" customWidth="1"/>
    <col min="20" max="21" width="4.7109375" style="28" customWidth="1"/>
    <col min="22" max="22" width="6.28515625" style="28" customWidth="1"/>
    <col min="23" max="23" width="5.42578125" style="28" customWidth="1"/>
    <col min="24" max="31" width="4.42578125" style="28" customWidth="1"/>
    <col min="32" max="33" width="6.28515625" style="28" customWidth="1"/>
    <col min="34" max="62" width="5.85546875" style="28" customWidth="1"/>
    <col min="63" max="63" width="5.140625" style="28" bestFit="1" customWidth="1"/>
    <col min="64" max="64" width="5.7109375" style="28" bestFit="1" customWidth="1"/>
    <col min="65" max="65" width="5" style="28" bestFit="1" customWidth="1"/>
    <col min="66" max="67" width="4.140625" style="28" bestFit="1" customWidth="1"/>
    <col min="68" max="68" width="4.28515625" style="28" bestFit="1" customWidth="1"/>
    <col min="69" max="69" width="5.140625" style="28" bestFit="1" customWidth="1"/>
    <col min="70" max="70" width="7.42578125" style="28" bestFit="1" customWidth="1"/>
    <col min="71" max="71" width="12.5703125" style="28" bestFit="1" customWidth="1"/>
    <col min="72" max="72" width="6.140625" style="28" bestFit="1" customWidth="1"/>
    <col min="73" max="16384" width="9.140625" style="28"/>
  </cols>
  <sheetData>
    <row r="1" spans="1:77" ht="16.5" customHeight="1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15</v>
      </c>
      <c r="J1" s="24" t="s">
        <v>133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133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133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12</v>
      </c>
      <c r="AB1" s="24" t="s">
        <v>133</v>
      </c>
      <c r="AC1" s="24" t="s">
        <v>8</v>
      </c>
      <c r="AD1" s="24" t="s">
        <v>9</v>
      </c>
      <c r="AE1" s="24" t="s">
        <v>10</v>
      </c>
      <c r="AF1" s="24" t="s">
        <v>11</v>
      </c>
      <c r="AG1" s="24" t="s">
        <v>12</v>
      </c>
      <c r="AH1" s="24" t="s">
        <v>133</v>
      </c>
      <c r="AI1" s="24" t="s">
        <v>8</v>
      </c>
      <c r="AJ1" s="24" t="s">
        <v>9</v>
      </c>
      <c r="AK1" s="24" t="s">
        <v>10</v>
      </c>
      <c r="AL1" s="24" t="s">
        <v>11</v>
      </c>
      <c r="AM1" s="24" t="s">
        <v>12</v>
      </c>
      <c r="AN1" s="24" t="s">
        <v>133</v>
      </c>
      <c r="AO1" s="24" t="s">
        <v>8</v>
      </c>
      <c r="AP1" s="24" t="s">
        <v>9</v>
      </c>
      <c r="AQ1" s="24" t="s">
        <v>10</v>
      </c>
      <c r="AR1" s="24" t="s">
        <v>11</v>
      </c>
      <c r="AS1" s="24" t="s">
        <v>12</v>
      </c>
      <c r="AT1" s="24" t="s">
        <v>133</v>
      </c>
      <c r="AU1" s="24" t="s">
        <v>8</v>
      </c>
      <c r="AV1" s="24" t="s">
        <v>9</v>
      </c>
      <c r="AW1" s="24" t="s">
        <v>10</v>
      </c>
      <c r="AX1" s="24" t="s">
        <v>11</v>
      </c>
      <c r="AY1" s="24" t="s">
        <v>12</v>
      </c>
      <c r="AZ1" s="24" t="s">
        <v>133</v>
      </c>
      <c r="BA1" s="24" t="s">
        <v>8</v>
      </c>
      <c r="BB1" s="24" t="s">
        <v>9</v>
      </c>
      <c r="BC1" s="24" t="s">
        <v>10</v>
      </c>
      <c r="BD1" s="24" t="s">
        <v>11</v>
      </c>
      <c r="BE1" s="24" t="s">
        <v>12</v>
      </c>
      <c r="BF1" s="24" t="s">
        <v>133</v>
      </c>
      <c r="BG1" s="24" t="s">
        <v>8</v>
      </c>
      <c r="BH1" s="24" t="s">
        <v>9</v>
      </c>
      <c r="BI1" s="24" t="s">
        <v>10</v>
      </c>
      <c r="BJ1" s="24" t="s">
        <v>11</v>
      </c>
      <c r="BK1" s="24" t="s">
        <v>12</v>
      </c>
      <c r="BL1" s="24" t="s">
        <v>133</v>
      </c>
      <c r="BM1" s="24" t="s">
        <v>8</v>
      </c>
      <c r="BN1" s="24" t="s">
        <v>9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36</v>
      </c>
      <c r="BU1" s="26"/>
      <c r="BV1" s="27"/>
      <c r="BW1" s="27"/>
      <c r="BX1" s="27"/>
      <c r="BY1" s="27"/>
    </row>
    <row r="2" spans="1:77" s="56" customFormat="1" ht="78" thickBot="1" x14ac:dyDescent="0.3">
      <c r="A2" s="188">
        <v>21420</v>
      </c>
      <c r="B2" s="189">
        <v>46031</v>
      </c>
      <c r="C2" s="41" t="s">
        <v>239</v>
      </c>
      <c r="D2" s="41" t="s">
        <v>90</v>
      </c>
      <c r="E2" s="41" t="s">
        <v>42</v>
      </c>
      <c r="F2" s="41" t="s">
        <v>121</v>
      </c>
      <c r="G2" s="41" t="s">
        <v>122</v>
      </c>
      <c r="H2" s="41" t="s">
        <v>123</v>
      </c>
      <c r="I2" s="41"/>
      <c r="J2" s="41" t="s">
        <v>134</v>
      </c>
      <c r="K2" s="188">
        <v>1500</v>
      </c>
      <c r="L2" s="188">
        <v>8</v>
      </c>
      <c r="M2" s="41" t="s">
        <v>17</v>
      </c>
      <c r="N2" s="41" t="s">
        <v>22</v>
      </c>
      <c r="O2" s="188">
        <v>3.5</v>
      </c>
      <c r="P2" s="41" t="s">
        <v>134</v>
      </c>
      <c r="Q2" s="188">
        <v>1000</v>
      </c>
      <c r="R2" s="188">
        <v>10</v>
      </c>
      <c r="S2" s="41" t="s">
        <v>17</v>
      </c>
      <c r="T2" s="41" t="s">
        <v>22</v>
      </c>
      <c r="U2" s="188">
        <v>3.5</v>
      </c>
      <c r="V2" s="41" t="s">
        <v>134</v>
      </c>
      <c r="W2" s="188">
        <v>750</v>
      </c>
      <c r="X2" s="188">
        <v>10</v>
      </c>
      <c r="Y2" s="41" t="s">
        <v>17</v>
      </c>
      <c r="Z2" s="41" t="s">
        <v>22</v>
      </c>
      <c r="AA2" s="188">
        <v>3.5</v>
      </c>
      <c r="AB2" s="41" t="s">
        <v>134</v>
      </c>
      <c r="AC2" s="188">
        <v>500</v>
      </c>
      <c r="AD2" s="188">
        <v>20</v>
      </c>
      <c r="AE2" s="41" t="s">
        <v>17</v>
      </c>
      <c r="AF2" s="41" t="s">
        <v>22</v>
      </c>
      <c r="AG2" s="188">
        <v>3.5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 t="s">
        <v>91</v>
      </c>
      <c r="BS2" s="41" t="s">
        <v>253</v>
      </c>
      <c r="BT2" s="108">
        <f t="shared" ref="BT2" si="0">K2*L2+Q2*R2+W2*X2+AC2*AD2+AI2*AJ2+AO2*AP2+AU2*AV2+BA2*BB2+BG2*BH2+BM2*BN2</f>
        <v>39500</v>
      </c>
    </row>
    <row r="3" spans="1:77" s="56" customFormat="1" ht="15.75" thickBot="1" x14ac:dyDescent="0.3">
      <c r="A3" s="80"/>
      <c r="B3" s="49"/>
      <c r="C3" s="20"/>
      <c r="D3" s="20"/>
      <c r="E3" s="20"/>
      <c r="F3" s="20"/>
      <c r="G3" s="20"/>
      <c r="H3" s="20"/>
      <c r="I3" s="20"/>
      <c r="J3" s="48"/>
      <c r="K3" s="48"/>
      <c r="L3" s="48"/>
      <c r="M3" s="20"/>
      <c r="N3" s="20"/>
      <c r="O3" s="48"/>
      <c r="P3" s="48"/>
      <c r="Q3" s="48"/>
      <c r="R3" s="48"/>
      <c r="S3" s="20"/>
      <c r="T3" s="20"/>
      <c r="U3" s="48"/>
      <c r="V3" s="48"/>
      <c r="W3" s="48"/>
      <c r="X3" s="48"/>
      <c r="Y3" s="48"/>
      <c r="Z3" s="20"/>
      <c r="AA3" s="48"/>
      <c r="AB3" s="48"/>
      <c r="AC3" s="48"/>
      <c r="AD3" s="48"/>
      <c r="AE3" s="20"/>
      <c r="AF3" s="20"/>
      <c r="AG3" s="48"/>
      <c r="AH3" s="48"/>
      <c r="AI3" s="48"/>
      <c r="AJ3" s="48"/>
      <c r="AK3" s="20"/>
      <c r="AL3" s="20"/>
      <c r="AM3" s="48"/>
      <c r="AN3" s="48"/>
      <c r="AO3" s="48"/>
      <c r="AP3" s="48"/>
      <c r="AQ3" s="20"/>
      <c r="AR3" s="20"/>
      <c r="AS3" s="48"/>
      <c r="AT3" s="48"/>
      <c r="AU3" s="48"/>
      <c r="AV3" s="48"/>
      <c r="AW3" s="20"/>
      <c r="AX3" s="20"/>
      <c r="AY3" s="48"/>
      <c r="AZ3" s="48"/>
      <c r="BA3" s="48"/>
      <c r="BB3" s="48"/>
      <c r="BC3" s="20"/>
      <c r="BD3" s="20"/>
      <c r="BE3" s="48"/>
      <c r="BF3" s="48"/>
      <c r="BG3" s="48"/>
      <c r="BH3" s="48"/>
      <c r="BI3" s="20"/>
      <c r="BJ3" s="20"/>
      <c r="BK3" s="48"/>
      <c r="BL3" s="48"/>
      <c r="BM3" s="48"/>
      <c r="BN3" s="48"/>
      <c r="BO3" s="20"/>
      <c r="BP3" s="20"/>
      <c r="BQ3" s="48"/>
      <c r="BR3" s="20"/>
      <c r="BS3" s="20"/>
      <c r="BT3" s="55"/>
      <c r="BU3" s="20"/>
      <c r="BV3" s="20"/>
      <c r="BW3" s="20"/>
      <c r="BX3" s="20"/>
      <c r="BY3" s="20"/>
    </row>
    <row r="4" spans="1:77" s="56" customFormat="1" ht="15.75" thickBot="1" x14ac:dyDescent="0.3">
      <c r="A4" s="80"/>
      <c r="B4" s="49"/>
      <c r="C4" s="20"/>
      <c r="D4" s="20"/>
      <c r="E4" s="20"/>
      <c r="F4" s="20"/>
      <c r="G4" s="20"/>
      <c r="H4" s="20"/>
      <c r="I4" s="20"/>
      <c r="J4" s="48"/>
      <c r="K4" s="48"/>
      <c r="L4" s="48"/>
      <c r="M4" s="20"/>
      <c r="N4" s="20"/>
      <c r="O4" s="48"/>
      <c r="P4" s="48"/>
      <c r="Q4" s="48"/>
      <c r="R4" s="48"/>
      <c r="S4" s="20"/>
      <c r="T4" s="20"/>
      <c r="U4" s="48"/>
      <c r="V4" s="48"/>
      <c r="W4" s="48"/>
      <c r="X4" s="48"/>
      <c r="Y4" s="48"/>
      <c r="Z4" s="20"/>
      <c r="AA4" s="48"/>
      <c r="AB4" s="48"/>
      <c r="AC4" s="48"/>
      <c r="AD4" s="48"/>
      <c r="AE4" s="20"/>
      <c r="AF4" s="20"/>
      <c r="AG4" s="48"/>
      <c r="AH4" s="48"/>
      <c r="AI4" s="48"/>
      <c r="AJ4" s="48"/>
      <c r="AK4" s="20"/>
      <c r="AL4" s="20"/>
      <c r="AM4" s="48"/>
      <c r="AN4" s="48"/>
      <c r="AO4" s="48"/>
      <c r="AP4" s="48"/>
      <c r="AQ4" s="20"/>
      <c r="AR4" s="20"/>
      <c r="AS4" s="48"/>
      <c r="AT4" s="48"/>
      <c r="AU4" s="48"/>
      <c r="AV4" s="48"/>
      <c r="AW4" s="20"/>
      <c r="AX4" s="20"/>
      <c r="AY4" s="48"/>
      <c r="AZ4" s="48"/>
      <c r="BA4" s="48"/>
      <c r="BB4" s="48"/>
      <c r="BC4" s="20"/>
      <c r="BD4" s="20"/>
      <c r="BE4" s="48"/>
      <c r="BF4" s="48"/>
      <c r="BG4" s="48"/>
      <c r="BH4" s="48"/>
      <c r="BI4" s="20"/>
      <c r="BJ4" s="20"/>
      <c r="BK4" s="48"/>
      <c r="BL4" s="48"/>
      <c r="BM4" s="48"/>
      <c r="BN4" s="48"/>
      <c r="BO4" s="20"/>
      <c r="BP4" s="20"/>
      <c r="BQ4" s="48"/>
      <c r="BR4" s="20"/>
      <c r="BS4" s="20"/>
      <c r="BT4" s="55"/>
      <c r="BU4" s="20"/>
      <c r="BV4" s="20"/>
      <c r="BW4" s="20"/>
      <c r="BX4" s="20"/>
      <c r="BY4" s="20"/>
    </row>
    <row r="5" spans="1:77" s="56" customFormat="1" ht="15.75" thickBot="1" x14ac:dyDescent="0.3">
      <c r="A5" s="80"/>
      <c r="B5" s="49"/>
      <c r="C5" s="20"/>
      <c r="D5" s="20"/>
      <c r="E5" s="20"/>
      <c r="F5" s="20"/>
      <c r="G5" s="20"/>
      <c r="H5" s="20"/>
      <c r="I5" s="20"/>
      <c r="J5" s="48"/>
      <c r="K5" s="48"/>
      <c r="L5" s="48"/>
      <c r="M5" s="20"/>
      <c r="N5" s="20"/>
      <c r="O5" s="48"/>
      <c r="P5" s="48"/>
      <c r="Q5" s="48"/>
      <c r="R5" s="48"/>
      <c r="S5" s="20"/>
      <c r="T5" s="20"/>
      <c r="U5" s="48"/>
      <c r="V5" s="48"/>
      <c r="W5" s="48"/>
      <c r="X5" s="48"/>
      <c r="Y5" s="48"/>
      <c r="Z5" s="20"/>
      <c r="AA5" s="48"/>
      <c r="AB5" s="48"/>
      <c r="AC5" s="48"/>
      <c r="AD5" s="48"/>
      <c r="AE5" s="20"/>
      <c r="AF5" s="20"/>
      <c r="AG5" s="48"/>
      <c r="AH5" s="48"/>
      <c r="AI5" s="48"/>
      <c r="AJ5" s="48"/>
      <c r="AK5" s="20"/>
      <c r="AL5" s="20"/>
      <c r="AM5" s="48"/>
      <c r="AN5" s="48"/>
      <c r="AO5" s="48"/>
      <c r="AP5" s="48"/>
      <c r="AQ5" s="20"/>
      <c r="AR5" s="20"/>
      <c r="AS5" s="48"/>
      <c r="AT5" s="48"/>
      <c r="AU5" s="48"/>
      <c r="AV5" s="48"/>
      <c r="AW5" s="20"/>
      <c r="AX5" s="20"/>
      <c r="AY5" s="48"/>
      <c r="AZ5" s="48"/>
      <c r="BA5" s="48"/>
      <c r="BB5" s="48"/>
      <c r="BC5" s="20"/>
      <c r="BD5" s="20"/>
      <c r="BE5" s="48"/>
      <c r="BF5" s="48"/>
      <c r="BG5" s="48"/>
      <c r="BH5" s="48"/>
      <c r="BI5" s="20"/>
      <c r="BJ5" s="20"/>
      <c r="BK5" s="48"/>
      <c r="BL5" s="48"/>
      <c r="BM5" s="48"/>
      <c r="BN5" s="48"/>
      <c r="BO5" s="20"/>
      <c r="BP5" s="20"/>
      <c r="BQ5" s="48"/>
      <c r="BR5" s="20"/>
      <c r="BS5" s="20"/>
      <c r="BT5" s="55"/>
      <c r="BU5" s="20"/>
      <c r="BV5" s="20"/>
      <c r="BW5" s="20"/>
      <c r="BX5" s="20"/>
      <c r="BY5" s="20"/>
    </row>
    <row r="6" spans="1:77" s="56" customFormat="1" ht="15.75" thickBot="1" x14ac:dyDescent="0.3">
      <c r="A6" s="80"/>
      <c r="B6" s="49"/>
      <c r="C6" s="20"/>
      <c r="D6" s="20"/>
      <c r="E6" s="20"/>
      <c r="F6" s="20"/>
      <c r="G6" s="20"/>
      <c r="H6" s="20"/>
      <c r="I6" s="20"/>
      <c r="J6" s="48"/>
      <c r="K6" s="48"/>
      <c r="L6" s="48"/>
      <c r="M6" s="20"/>
      <c r="N6" s="20"/>
      <c r="O6" s="48"/>
      <c r="P6" s="48"/>
      <c r="Q6" s="48"/>
      <c r="R6" s="48"/>
      <c r="S6" s="20"/>
      <c r="T6" s="20"/>
      <c r="U6" s="48"/>
      <c r="V6" s="48"/>
      <c r="W6" s="48"/>
      <c r="X6" s="48"/>
      <c r="Y6" s="48"/>
      <c r="Z6" s="20"/>
      <c r="AA6" s="48"/>
      <c r="AB6" s="48"/>
      <c r="AC6" s="48"/>
      <c r="AD6" s="48"/>
      <c r="AE6" s="20"/>
      <c r="AF6" s="20"/>
      <c r="AG6" s="48"/>
      <c r="AH6" s="48"/>
      <c r="AI6" s="48"/>
      <c r="AJ6" s="48"/>
      <c r="AK6" s="20"/>
      <c r="AL6" s="20"/>
      <c r="AM6" s="48"/>
      <c r="AN6" s="48"/>
      <c r="AO6" s="48"/>
      <c r="AP6" s="48"/>
      <c r="AQ6" s="20"/>
      <c r="AR6" s="20"/>
      <c r="AS6" s="48"/>
      <c r="AT6" s="48"/>
      <c r="AU6" s="48"/>
      <c r="AV6" s="48"/>
      <c r="AW6" s="20"/>
      <c r="AX6" s="20"/>
      <c r="AY6" s="48"/>
      <c r="AZ6" s="48"/>
      <c r="BA6" s="48"/>
      <c r="BB6" s="48"/>
      <c r="BC6" s="20"/>
      <c r="BD6" s="20"/>
      <c r="BE6" s="48"/>
      <c r="BF6" s="48"/>
      <c r="BG6" s="48"/>
      <c r="BH6" s="48"/>
      <c r="BI6" s="20"/>
      <c r="BJ6" s="20"/>
      <c r="BK6" s="48"/>
      <c r="BL6" s="48"/>
      <c r="BM6" s="48"/>
      <c r="BN6" s="48"/>
      <c r="BO6" s="20"/>
      <c r="BP6" s="20"/>
      <c r="BQ6" s="48"/>
      <c r="BR6" s="20"/>
      <c r="BS6" s="20"/>
      <c r="BT6" s="55"/>
      <c r="BU6" s="20"/>
      <c r="BV6" s="20"/>
      <c r="BW6" s="20"/>
      <c r="BX6" s="20"/>
      <c r="BY6" s="20"/>
    </row>
    <row r="7" spans="1:77" s="56" customFormat="1" ht="15.75" thickBot="1" x14ac:dyDescent="0.3">
      <c r="A7" s="80"/>
      <c r="B7" s="49"/>
      <c r="C7" s="20"/>
      <c r="D7" s="20"/>
      <c r="E7" s="20"/>
      <c r="F7" s="20"/>
      <c r="G7" s="20"/>
      <c r="H7" s="20"/>
      <c r="I7" s="20"/>
      <c r="J7" s="48"/>
      <c r="K7" s="48"/>
      <c r="L7" s="48"/>
      <c r="M7" s="20"/>
      <c r="N7" s="20"/>
      <c r="O7" s="48"/>
      <c r="P7" s="48"/>
      <c r="Q7" s="48"/>
      <c r="R7" s="48"/>
      <c r="S7" s="20"/>
      <c r="T7" s="20"/>
      <c r="U7" s="48"/>
      <c r="V7" s="48"/>
      <c r="W7" s="48"/>
      <c r="X7" s="48"/>
      <c r="Y7" s="48"/>
      <c r="Z7" s="20"/>
      <c r="AA7" s="48"/>
      <c r="AB7" s="48"/>
      <c r="AC7" s="48"/>
      <c r="AD7" s="48"/>
      <c r="AE7" s="20"/>
      <c r="AF7" s="20"/>
      <c r="AG7" s="48"/>
      <c r="AH7" s="48"/>
      <c r="AI7" s="48"/>
      <c r="AJ7" s="48"/>
      <c r="AK7" s="20"/>
      <c r="AL7" s="20"/>
      <c r="AM7" s="48"/>
      <c r="AN7" s="48"/>
      <c r="AO7" s="48"/>
      <c r="AP7" s="48"/>
      <c r="AQ7" s="20"/>
      <c r="AR7" s="20"/>
      <c r="AS7" s="48"/>
      <c r="AT7" s="48"/>
      <c r="AU7" s="48"/>
      <c r="AV7" s="48"/>
      <c r="AW7" s="20"/>
      <c r="AX7" s="20"/>
      <c r="AY7" s="48"/>
      <c r="AZ7" s="48"/>
      <c r="BA7" s="48"/>
      <c r="BB7" s="48"/>
      <c r="BC7" s="20"/>
      <c r="BD7" s="20"/>
      <c r="BE7" s="48"/>
      <c r="BF7" s="48"/>
      <c r="BG7" s="48"/>
      <c r="BH7" s="48"/>
      <c r="BI7" s="20"/>
      <c r="BJ7" s="20"/>
      <c r="BK7" s="48"/>
      <c r="BL7" s="48"/>
      <c r="BM7" s="48"/>
      <c r="BN7" s="48"/>
      <c r="BO7" s="20"/>
      <c r="BP7" s="20"/>
      <c r="BQ7" s="48"/>
      <c r="BR7" s="20"/>
      <c r="BS7" s="20"/>
      <c r="BT7" s="55"/>
      <c r="BU7" s="20"/>
      <c r="BV7" s="20"/>
      <c r="BW7" s="20"/>
      <c r="BX7" s="20"/>
      <c r="BY7" s="20"/>
    </row>
    <row r="8" spans="1:77" s="56" customFormat="1" ht="15.75" thickBot="1" x14ac:dyDescent="0.3">
      <c r="A8" s="80"/>
      <c r="B8" s="49"/>
      <c r="C8" s="20"/>
      <c r="D8" s="20"/>
      <c r="E8" s="20"/>
      <c r="F8" s="20"/>
      <c r="G8" s="20"/>
      <c r="H8" s="20"/>
      <c r="I8" s="20"/>
      <c r="J8" s="48"/>
      <c r="K8" s="48"/>
      <c r="L8" s="48"/>
      <c r="M8" s="20"/>
      <c r="N8" s="20"/>
      <c r="O8" s="48"/>
      <c r="P8" s="48"/>
      <c r="Q8" s="48"/>
      <c r="R8" s="48"/>
      <c r="S8" s="20"/>
      <c r="T8" s="20"/>
      <c r="U8" s="48"/>
      <c r="V8" s="48"/>
      <c r="W8" s="48"/>
      <c r="X8" s="48"/>
      <c r="Y8" s="48"/>
      <c r="Z8" s="20"/>
      <c r="AA8" s="48"/>
      <c r="AB8" s="48"/>
      <c r="AC8" s="48"/>
      <c r="AD8" s="48"/>
      <c r="AE8" s="20"/>
      <c r="AF8" s="20"/>
      <c r="AG8" s="48"/>
      <c r="AH8" s="48"/>
      <c r="AI8" s="48"/>
      <c r="AJ8" s="48"/>
      <c r="AK8" s="20"/>
      <c r="AL8" s="20"/>
      <c r="AM8" s="48"/>
      <c r="AN8" s="48"/>
      <c r="AO8" s="48"/>
      <c r="AP8" s="48"/>
      <c r="AQ8" s="20"/>
      <c r="AR8" s="20"/>
      <c r="AS8" s="48"/>
      <c r="AT8" s="48"/>
      <c r="AU8" s="48"/>
      <c r="AV8" s="48"/>
      <c r="AW8" s="20"/>
      <c r="AX8" s="20"/>
      <c r="AY8" s="48"/>
      <c r="AZ8" s="48"/>
      <c r="BA8" s="48"/>
      <c r="BB8" s="48"/>
      <c r="BC8" s="20"/>
      <c r="BD8" s="20"/>
      <c r="BE8" s="48"/>
      <c r="BF8" s="48"/>
      <c r="BG8" s="48"/>
      <c r="BH8" s="48"/>
      <c r="BI8" s="20"/>
      <c r="BJ8" s="20"/>
      <c r="BK8" s="48"/>
      <c r="BL8" s="48"/>
      <c r="BM8" s="48"/>
      <c r="BN8" s="48"/>
      <c r="BO8" s="20"/>
      <c r="BP8" s="20"/>
      <c r="BQ8" s="48"/>
      <c r="BR8" s="20"/>
      <c r="BS8" s="20"/>
      <c r="BT8" s="55"/>
      <c r="BU8" s="20"/>
      <c r="BV8" s="20"/>
      <c r="BW8" s="20"/>
      <c r="BX8" s="20"/>
      <c r="BY8" s="20"/>
    </row>
    <row r="9" spans="1:77" s="56" customFormat="1" ht="15.75" thickBot="1" x14ac:dyDescent="0.3">
      <c r="A9" s="80"/>
      <c r="B9" s="49"/>
      <c r="C9" s="20"/>
      <c r="D9" s="20"/>
      <c r="E9" s="20"/>
      <c r="F9" s="20"/>
      <c r="G9" s="20"/>
      <c r="H9" s="20"/>
      <c r="I9" s="20"/>
      <c r="J9" s="48"/>
      <c r="K9" s="48"/>
      <c r="L9" s="48"/>
      <c r="M9" s="20"/>
      <c r="N9" s="20"/>
      <c r="O9" s="48"/>
      <c r="P9" s="48"/>
      <c r="Q9" s="48"/>
      <c r="R9" s="48"/>
      <c r="S9" s="20"/>
      <c r="T9" s="20"/>
      <c r="U9" s="48"/>
      <c r="V9" s="48"/>
      <c r="W9" s="48"/>
      <c r="X9" s="48"/>
      <c r="Y9" s="48"/>
      <c r="Z9" s="20"/>
      <c r="AA9" s="48"/>
      <c r="AB9" s="48"/>
      <c r="AC9" s="48"/>
      <c r="AD9" s="48"/>
      <c r="AE9" s="20"/>
      <c r="AF9" s="20"/>
      <c r="AG9" s="48"/>
      <c r="AH9" s="48"/>
      <c r="AI9" s="48"/>
      <c r="AJ9" s="48"/>
      <c r="AK9" s="20"/>
      <c r="AL9" s="20"/>
      <c r="AM9" s="48"/>
      <c r="AN9" s="48"/>
      <c r="AO9" s="48"/>
      <c r="AP9" s="48"/>
      <c r="AQ9" s="20"/>
      <c r="AR9" s="20"/>
      <c r="AS9" s="48"/>
      <c r="AT9" s="48"/>
      <c r="AU9" s="48"/>
      <c r="AV9" s="48"/>
      <c r="AW9" s="20"/>
      <c r="AX9" s="20"/>
      <c r="AY9" s="48"/>
      <c r="AZ9" s="48"/>
      <c r="BA9" s="48"/>
      <c r="BB9" s="48"/>
      <c r="BC9" s="20"/>
      <c r="BD9" s="20"/>
      <c r="BE9" s="48"/>
      <c r="BF9" s="48"/>
      <c r="BG9" s="48"/>
      <c r="BH9" s="48"/>
      <c r="BI9" s="20"/>
      <c r="BJ9" s="20"/>
      <c r="BK9" s="48"/>
      <c r="BL9" s="48"/>
      <c r="BM9" s="48"/>
      <c r="BN9" s="48"/>
      <c r="BO9" s="20"/>
      <c r="BP9" s="20"/>
      <c r="BQ9" s="48"/>
      <c r="BR9" s="20"/>
      <c r="BS9" s="20"/>
      <c r="BT9" s="55"/>
      <c r="BU9" s="20"/>
      <c r="BV9" s="20"/>
      <c r="BW9" s="20"/>
      <c r="BX9" s="20"/>
      <c r="BY9" s="20"/>
    </row>
    <row r="10" spans="1:77" s="56" customFormat="1" ht="15.75" thickBot="1" x14ac:dyDescent="0.3">
      <c r="A10" s="80"/>
      <c r="B10" s="49"/>
      <c r="C10" s="20"/>
      <c r="D10" s="20"/>
      <c r="E10" s="20"/>
      <c r="F10" s="20"/>
      <c r="G10" s="20"/>
      <c r="H10" s="20"/>
      <c r="I10" s="20"/>
      <c r="J10" s="48"/>
      <c r="K10" s="48"/>
      <c r="L10" s="48"/>
      <c r="M10" s="20"/>
      <c r="N10" s="20"/>
      <c r="O10" s="48"/>
      <c r="P10" s="48"/>
      <c r="Q10" s="48"/>
      <c r="R10" s="48"/>
      <c r="S10" s="20"/>
      <c r="T10" s="20"/>
      <c r="U10" s="48"/>
      <c r="V10" s="48"/>
      <c r="W10" s="48"/>
      <c r="X10" s="48"/>
      <c r="Y10" s="48"/>
      <c r="Z10" s="20"/>
      <c r="AA10" s="48"/>
      <c r="AB10" s="48"/>
      <c r="AC10" s="48"/>
      <c r="AD10" s="48"/>
      <c r="AE10" s="20"/>
      <c r="AF10" s="20"/>
      <c r="AG10" s="48"/>
      <c r="AH10" s="48"/>
      <c r="AI10" s="48"/>
      <c r="AJ10" s="48"/>
      <c r="AK10" s="20"/>
      <c r="AL10" s="20"/>
      <c r="AM10" s="48"/>
      <c r="AN10" s="48"/>
      <c r="AO10" s="48"/>
      <c r="AP10" s="48"/>
      <c r="AQ10" s="20"/>
      <c r="AR10" s="20"/>
      <c r="AS10" s="48"/>
      <c r="AT10" s="48"/>
      <c r="AU10" s="48"/>
      <c r="AV10" s="48"/>
      <c r="AW10" s="20"/>
      <c r="AX10" s="20"/>
      <c r="AY10" s="48"/>
      <c r="AZ10" s="48"/>
      <c r="BA10" s="48"/>
      <c r="BB10" s="48"/>
      <c r="BC10" s="20"/>
      <c r="BD10" s="20"/>
      <c r="BE10" s="48"/>
      <c r="BF10" s="48"/>
      <c r="BG10" s="48"/>
      <c r="BH10" s="48"/>
      <c r="BI10" s="20"/>
      <c r="BJ10" s="20"/>
      <c r="BK10" s="48"/>
      <c r="BL10" s="48"/>
      <c r="BM10" s="48"/>
      <c r="BN10" s="48"/>
      <c r="BO10" s="20"/>
      <c r="BP10" s="20"/>
      <c r="BQ10" s="48"/>
      <c r="BR10" s="20"/>
      <c r="BS10" s="20"/>
      <c r="BT10" s="55"/>
      <c r="BU10" s="20"/>
      <c r="BV10" s="20"/>
      <c r="BW10" s="20"/>
      <c r="BX10" s="20"/>
      <c r="BY10" s="20"/>
    </row>
    <row r="11" spans="1:77" s="56" customFormat="1" ht="15.75" thickBot="1" x14ac:dyDescent="0.3">
      <c r="A11" s="80"/>
      <c r="B11" s="49"/>
      <c r="C11" s="20"/>
      <c r="D11" s="20"/>
      <c r="E11" s="20"/>
      <c r="F11" s="20"/>
      <c r="G11" s="20"/>
      <c r="H11" s="20"/>
      <c r="I11" s="20"/>
      <c r="J11" s="48"/>
      <c r="K11" s="48"/>
      <c r="L11" s="48"/>
      <c r="M11" s="20"/>
      <c r="N11" s="20"/>
      <c r="O11" s="48"/>
      <c r="P11" s="48"/>
      <c r="Q11" s="48"/>
      <c r="R11" s="48"/>
      <c r="S11" s="20"/>
      <c r="T11" s="20"/>
      <c r="U11" s="48"/>
      <c r="V11" s="48"/>
      <c r="W11" s="48"/>
      <c r="X11" s="48"/>
      <c r="Y11" s="48"/>
      <c r="Z11" s="20"/>
      <c r="AA11" s="48"/>
      <c r="AB11" s="48"/>
      <c r="AC11" s="48"/>
      <c r="AD11" s="48"/>
      <c r="AE11" s="20"/>
      <c r="AF11" s="20"/>
      <c r="AG11" s="48"/>
      <c r="AH11" s="48"/>
      <c r="AI11" s="48"/>
      <c r="AJ11" s="48"/>
      <c r="AK11" s="20"/>
      <c r="AL11" s="20"/>
      <c r="AM11" s="48"/>
      <c r="AN11" s="48"/>
      <c r="AO11" s="48"/>
      <c r="AP11" s="48"/>
      <c r="AQ11" s="20"/>
      <c r="AR11" s="20"/>
      <c r="AS11" s="48"/>
      <c r="AT11" s="48"/>
      <c r="AU11" s="48"/>
      <c r="AV11" s="48"/>
      <c r="AW11" s="20"/>
      <c r="AX11" s="20"/>
      <c r="AY11" s="48"/>
      <c r="AZ11" s="48"/>
      <c r="BA11" s="48"/>
      <c r="BB11" s="48"/>
      <c r="BC11" s="20"/>
      <c r="BD11" s="20"/>
      <c r="BE11" s="48"/>
      <c r="BF11" s="48"/>
      <c r="BG11" s="48"/>
      <c r="BH11" s="48"/>
      <c r="BI11" s="20"/>
      <c r="BJ11" s="20"/>
      <c r="BK11" s="48"/>
      <c r="BL11" s="48"/>
      <c r="BM11" s="48"/>
      <c r="BN11" s="48"/>
      <c r="BO11" s="20"/>
      <c r="BP11" s="20"/>
      <c r="BQ11" s="48"/>
      <c r="BR11" s="20"/>
      <c r="BS11" s="20"/>
      <c r="BT11" s="55"/>
      <c r="BU11" s="20"/>
      <c r="BV11" s="20"/>
      <c r="BW11" s="20"/>
      <c r="BX11" s="20"/>
      <c r="BY11" s="20"/>
    </row>
    <row r="12" spans="1:77" s="40" customFormat="1" ht="15.75" thickBot="1" x14ac:dyDescent="0.3">
      <c r="A12" s="75"/>
      <c r="B12" s="2"/>
      <c r="C12" s="1"/>
      <c r="D12" s="1"/>
      <c r="E12" s="1"/>
      <c r="F12" s="25"/>
      <c r="G12" s="1"/>
      <c r="H12" s="1"/>
      <c r="I12" s="1"/>
      <c r="J12" s="3"/>
      <c r="K12" s="3"/>
      <c r="L12" s="3"/>
      <c r="M12" s="1"/>
      <c r="N12" s="1"/>
      <c r="O12" s="3"/>
      <c r="P12" s="3"/>
      <c r="Q12" s="3"/>
      <c r="R12" s="3"/>
      <c r="S12" s="1"/>
      <c r="T12" s="1"/>
      <c r="U12" s="3"/>
      <c r="V12" s="3"/>
      <c r="W12" s="1"/>
      <c r="X12" s="1"/>
      <c r="Y12" s="1"/>
      <c r="Z12" s="1"/>
      <c r="AA12" s="1"/>
      <c r="AB12" s="3"/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3"/>
      <c r="AO12" s="1"/>
      <c r="AP12" s="1"/>
      <c r="AQ12" s="1"/>
      <c r="AR12" s="1"/>
      <c r="AS12" s="1"/>
      <c r="AT12" s="3"/>
      <c r="AU12" s="1"/>
      <c r="AV12" s="1"/>
      <c r="AW12" s="1"/>
      <c r="AX12" s="1"/>
      <c r="AY12" s="1"/>
      <c r="AZ12" s="3"/>
      <c r="BA12" s="1"/>
      <c r="BB12" s="1"/>
      <c r="BC12" s="1"/>
      <c r="BD12" s="1"/>
      <c r="BE12" s="1"/>
      <c r="BF12" s="3"/>
      <c r="BG12" s="1"/>
      <c r="BH12" s="1"/>
      <c r="BI12" s="1"/>
      <c r="BJ12" s="1"/>
      <c r="BK12" s="1"/>
      <c r="BL12" s="3"/>
      <c r="BM12" s="1"/>
      <c r="BN12" s="1"/>
      <c r="BO12" s="1"/>
      <c r="BP12" s="1"/>
      <c r="BQ12" s="1"/>
      <c r="BR12" s="19"/>
      <c r="BS12" s="1"/>
      <c r="BT12" s="37"/>
      <c r="BU12" s="1"/>
      <c r="BV12" s="1"/>
      <c r="BW12" s="1"/>
      <c r="BX12" s="1"/>
      <c r="BY12" s="39"/>
    </row>
    <row r="13" spans="1:77" s="40" customFormat="1" ht="15.75" thickBot="1" x14ac:dyDescent="0.3">
      <c r="A13" s="48"/>
      <c r="B13" s="49"/>
      <c r="C13" s="20"/>
      <c r="D13" s="20"/>
      <c r="E13" s="20"/>
      <c r="F13" s="20"/>
      <c r="G13" s="20"/>
      <c r="H13" s="20"/>
      <c r="I13" s="20"/>
      <c r="J13" s="48"/>
      <c r="K13" s="48"/>
      <c r="L13" s="48"/>
      <c r="M13" s="20"/>
      <c r="N13" s="20"/>
      <c r="O13" s="48"/>
      <c r="P13" s="48"/>
      <c r="Q13" s="20"/>
      <c r="R13" s="20"/>
      <c r="S13" s="20"/>
      <c r="T13" s="20"/>
      <c r="U13" s="20"/>
      <c r="V13" s="48"/>
      <c r="W13" s="20"/>
      <c r="X13" s="20"/>
      <c r="Y13" s="20"/>
      <c r="Z13" s="20"/>
      <c r="AA13" s="20"/>
      <c r="AB13" s="48"/>
      <c r="AC13" s="20"/>
      <c r="AD13" s="20"/>
      <c r="AE13" s="20"/>
      <c r="AF13" s="20"/>
      <c r="AG13" s="20"/>
      <c r="AH13" s="48"/>
      <c r="AI13" s="20"/>
      <c r="AJ13" s="20"/>
      <c r="AK13" s="20"/>
      <c r="AL13" s="20"/>
      <c r="AM13" s="20"/>
      <c r="AN13" s="48"/>
      <c r="AO13" s="20"/>
      <c r="AP13" s="20"/>
      <c r="AQ13" s="20"/>
      <c r="AR13" s="20"/>
      <c r="AS13" s="20"/>
      <c r="AT13" s="48"/>
      <c r="AU13" s="20"/>
      <c r="AV13" s="20"/>
      <c r="AW13" s="20"/>
      <c r="AX13" s="20"/>
      <c r="AY13" s="20"/>
      <c r="AZ13" s="48"/>
      <c r="BA13" s="20"/>
      <c r="BB13" s="20"/>
      <c r="BC13" s="20"/>
      <c r="BD13" s="20"/>
      <c r="BE13" s="20"/>
      <c r="BF13" s="48"/>
      <c r="BG13" s="20"/>
      <c r="BH13" s="20"/>
      <c r="BI13" s="20"/>
      <c r="BJ13" s="20"/>
      <c r="BK13" s="20"/>
      <c r="BL13" s="48"/>
      <c r="BM13" s="20"/>
      <c r="BN13" s="20"/>
      <c r="BO13" s="20"/>
      <c r="BP13" s="20"/>
      <c r="BQ13" s="20"/>
      <c r="BR13" s="20"/>
      <c r="BS13" s="20"/>
      <c r="BT13" s="50"/>
      <c r="BU13" s="20"/>
      <c r="BV13" s="20"/>
      <c r="BW13" s="20"/>
      <c r="BX13" s="20"/>
      <c r="BY13" s="39"/>
    </row>
    <row r="14" spans="1:77" hidden="1" x14ac:dyDescent="0.25">
      <c r="H14" s="4" t="str">
        <f t="shared" ref="H14:L23" si="1">J2</f>
        <v>AG</v>
      </c>
      <c r="I14" s="4">
        <f t="shared" si="1"/>
        <v>1500</v>
      </c>
      <c r="J14" s="4">
        <f t="shared" si="1"/>
        <v>8</v>
      </c>
      <c r="K14" s="4" t="str">
        <f t="shared" si="1"/>
        <v>Y</v>
      </c>
      <c r="L14" s="4" t="str">
        <f t="shared" si="1"/>
        <v>3L</v>
      </c>
      <c r="O14" s="28" t="str">
        <f>J2</f>
        <v>AG</v>
      </c>
      <c r="P14" s="4" t="str">
        <f t="shared" ref="P14:R23" si="2">N2</f>
        <v>3L</v>
      </c>
      <c r="Q14" s="4">
        <f t="shared" si="2"/>
        <v>3.5</v>
      </c>
      <c r="R14" s="4" t="str">
        <f t="shared" si="2"/>
        <v>AG</v>
      </c>
      <c r="S14" s="4" t="str">
        <f t="shared" ref="S14:U23" si="3">T2</f>
        <v>3L</v>
      </c>
      <c r="T14" s="4">
        <f t="shared" si="3"/>
        <v>3.5</v>
      </c>
      <c r="U14" s="4" t="str">
        <f t="shared" si="3"/>
        <v>AG</v>
      </c>
      <c r="V14" s="4" t="str">
        <f t="shared" ref="V14:X23" si="4">Z2</f>
        <v>3L</v>
      </c>
      <c r="W14" s="4">
        <f t="shared" si="4"/>
        <v>3.5</v>
      </c>
      <c r="X14" s="4" t="str">
        <f t="shared" si="4"/>
        <v>AG</v>
      </c>
      <c r="Y14" s="4" t="str">
        <f t="shared" ref="Y14:AA23" si="5">AF2</f>
        <v>3L</v>
      </c>
      <c r="Z14" s="4">
        <f t="shared" si="5"/>
        <v>3.5</v>
      </c>
      <c r="AA14" s="4">
        <f t="shared" si="5"/>
        <v>0</v>
      </c>
      <c r="AB14" s="4">
        <f t="shared" ref="AB14:AD23" si="6">AL2</f>
        <v>0</v>
      </c>
      <c r="AC14" s="4">
        <f t="shared" si="6"/>
        <v>0</v>
      </c>
      <c r="AD14" s="4">
        <f t="shared" si="6"/>
        <v>0</v>
      </c>
      <c r="AE14" s="4">
        <f t="shared" ref="AE14:AG23" si="7">AR2</f>
        <v>0</v>
      </c>
      <c r="AF14" s="4">
        <f t="shared" si="7"/>
        <v>0</v>
      </c>
      <c r="AG14" s="4">
        <f t="shared" si="7"/>
        <v>0</v>
      </c>
      <c r="AH14" s="4">
        <f t="shared" ref="AH14:AJ23" si="8">AX2</f>
        <v>0</v>
      </c>
      <c r="AI14" s="4">
        <f t="shared" si="8"/>
        <v>0</v>
      </c>
      <c r="AJ14" s="4">
        <f t="shared" si="8"/>
        <v>0</v>
      </c>
      <c r="AK14" s="4">
        <f t="shared" ref="AK14:AM23" si="9">BD2</f>
        <v>0</v>
      </c>
      <c r="AL14" s="4">
        <f t="shared" si="9"/>
        <v>0</v>
      </c>
      <c r="AM14" s="4">
        <f t="shared" si="9"/>
        <v>0</v>
      </c>
      <c r="AN14" s="4">
        <f t="shared" ref="AN14:AP23" si="10">BJ2</f>
        <v>0</v>
      </c>
      <c r="AO14" s="4">
        <f t="shared" si="10"/>
        <v>0</v>
      </c>
      <c r="AP14" s="4">
        <f t="shared" si="10"/>
        <v>0</v>
      </c>
      <c r="AQ14" s="4">
        <f t="shared" ref="AQ14:AR23" si="11">BP2</f>
        <v>0</v>
      </c>
      <c r="AR14" s="4">
        <f t="shared" si="11"/>
        <v>0</v>
      </c>
      <c r="AT14" s="28">
        <v>1</v>
      </c>
      <c r="AU14" s="29">
        <f>IF($P$14="3L",$Q$14,IF($S$14="3L",$T$14,IF($V$14="3L",$W$14,IF($Y$14="3L",$Z$14,IF($AB$14="3L",$AC$14,IF($AE$14="3L",$AF$14,IF($AH$14="3L",$AI$14,IF($AK$14="3L",$AL$14,IF($AN$14="3L",$AO$14,IF($AQ$14="3L",$AR$14,""))))))))))</f>
        <v>3.5</v>
      </c>
      <c r="AV14" s="29" t="str">
        <f>IF($P$14="4L",$Q$14,IF($S$14="4L",$T$14,IF($V$14="4L",$W$14,IF($Y$14="4L",$Z$14,IF($AB$14="4L",$AC$14,IF($AE$14="4L",$AF$14,IF($AH$14="4L",$AI$14,IF($AK$14="4L",$AL$14,IF($AN$14="4L",$AO$14,IF($AQ$14="4L",$AR$14,""))))))))))</f>
        <v/>
      </c>
      <c r="AW14" s="29" t="str">
        <f>IF($P$14="5L",$Q$14,IF($S$14="5L",$T$14,IF($V$14="5L",$W$14,IF($Y$14="5L",$Z$14,IF($AB$14="5L",$AC$14,IF($AE$14="5L",$AF$14,IF($AH$14="5L",$AI$14,IF($AK$14="5L",$AL$14,IF($AN$14="5L",$AO$14,IF($AQ$14="5L",$AR$14,""))))))))))</f>
        <v/>
      </c>
      <c r="AX14" s="29" t="str">
        <f>IF($P$14="6L",$Q$14,IF($S$14="6L",$T$14,IF($V$14="6L",$W$14,IF($Y$14="6L",$Z$14,IF($AB$14="6L",$AC$14,IF($AE$14="6L",$AF$14,IF($AH$14="6L",$AI$14,IF($AK$14="6L",$AL$14,IF($AN$14="6L",$AO$14,IF($AQ$14="6L",$AR$14,""))))))))))</f>
        <v/>
      </c>
      <c r="AY14" s="29" t="str">
        <f>IF($P$14="7L",$Q$14,IF($S$14="7L",$T$14,IF($V$14="7L",$W$14,IF($Y$14="7L",$Z$14,IF($AB$14="7L",$AC$14,IF($AE$14="7L",$AF$14,IF($AH$14="7L",$AI$14,IF($AK$14="7L",$AL$14,IF($AN$14="7L",$AO$14,IF($AQ$14="7L",$AR$14,""))))))))))</f>
        <v/>
      </c>
      <c r="AZ14" s="29" t="str">
        <f t="shared" ref="AZ14:AZ23" si="12">IF($O$14="LOFT",$Q$14,IF($R$14="LOFT",$T$14,IF($U$14="LOFT",$W$14,IF($X$14="LOFT",$Z$14,IF($AA$14="LOFT",$AC$14,IF($AD$14="LOFT",$AF$14,IF($AG$14="LOFT",$AI$14,IF($AJ$14="LOFT",$AL$14,IF($AM$14="LOFT",$AO$14,IF($AP$14="LOFT",$AR$14,""))))))))))</f>
        <v/>
      </c>
      <c r="BA14" s="29" t="str">
        <f t="shared" ref="BA14:BA23" si="13">IF($O$14="UT",$Q$14,IF($R$14="UT",$T$14,IF($U$14="UT",$W$14,IF($X$14="UT",$Z$14,IF($AA$14="UT",$AC$14,IF($AD$14="UT",$AF$14,IF($AG$14="UT",$AI$14,IF($AJ$14="UT",$AL$14,IF($AM$14="UT",$AO$14,IF($AP$14="UT",$AR$14,""))))))))))</f>
        <v/>
      </c>
      <c r="BB14" s="29" t="str">
        <f t="shared" ref="BB14:BB23" si="14">IF($O$14="HT",$Q$14,IF($R$14="HT",$T$14,IF($U$14="HT",$W$14,IF($X$14="HT",$Z$14,IF($AA$14="HT",$AC$14,IF($AD$14="HT",$AF$14,IF($AG$14="HT",$AI$14,IF($AJ$14="HT",$AL$14,IF($AM$14="HT",$AO$14,IF($AP$14="HT",$AR$14,""))))))))))</f>
        <v/>
      </c>
      <c r="BC14" s="29" t="str">
        <f t="shared" ref="BC14:BC23" si="15">IF($O$14="PURE",$Q$14,IF($R$14="PURE",$T$14,IF($U$14="PURE",$W$14,IF($X$14="PURE",$Z$14,IF($AA$14="PURE",$AC$14,IF($AD$14="PURE",$AF$14,IF($AG$14="PURE",$AI$14,IF($AJ$14="PURE",$AL$14,IF($AM$14="PURE",$AO$14,IF($AP$14="PURE",$AR$14,""))))))))))</f>
        <v/>
      </c>
      <c r="BD14" s="29" t="str">
        <f>IF($P$14="FUM",$Q$14,IF($S$14="FUM",$T$14,IF($V$14="FUM",$W$14,IF($Y$14="FUM",$Z$14,IF($AB$14="FUM",$AC$14,IF($AE$14="FUM",$AF$14,IF($AH$14="FUM",$AI$14,IF($AK$14="FUM",$AL$14,IF($AN$14="FUM",$AO$14,IF($AQ$14="FUM",$AR$14,""))))))))))</f>
        <v/>
      </c>
    </row>
    <row r="15" spans="1:77" hidden="1" x14ac:dyDescent="0.25">
      <c r="H15" s="4">
        <f t="shared" si="1"/>
        <v>0</v>
      </c>
      <c r="I15" s="4">
        <f t="shared" si="1"/>
        <v>0</v>
      </c>
      <c r="J15" s="4">
        <f t="shared" si="1"/>
        <v>0</v>
      </c>
      <c r="K15" s="4">
        <f t="shared" si="1"/>
        <v>0</v>
      </c>
      <c r="L15" s="4">
        <f t="shared" si="1"/>
        <v>0</v>
      </c>
      <c r="O15" s="28">
        <f t="shared" ref="O15:O23" si="16">J3</f>
        <v>0</v>
      </c>
      <c r="P15" s="4">
        <f t="shared" si="2"/>
        <v>0</v>
      </c>
      <c r="Q15" s="4">
        <f t="shared" si="2"/>
        <v>0</v>
      </c>
      <c r="R15" s="4">
        <f t="shared" si="2"/>
        <v>0</v>
      </c>
      <c r="S15" s="4">
        <f t="shared" si="3"/>
        <v>0</v>
      </c>
      <c r="T15" s="4">
        <f t="shared" si="3"/>
        <v>0</v>
      </c>
      <c r="U15" s="4">
        <f t="shared" si="3"/>
        <v>0</v>
      </c>
      <c r="V15" s="4">
        <f t="shared" si="4"/>
        <v>0</v>
      </c>
      <c r="W15" s="4">
        <f t="shared" si="4"/>
        <v>0</v>
      </c>
      <c r="X15" s="4">
        <f t="shared" si="4"/>
        <v>0</v>
      </c>
      <c r="Y15" s="4">
        <f t="shared" si="5"/>
        <v>0</v>
      </c>
      <c r="Z15" s="4">
        <f t="shared" si="5"/>
        <v>0</v>
      </c>
      <c r="AA15" s="4">
        <f t="shared" si="5"/>
        <v>0</v>
      </c>
      <c r="AB15" s="4">
        <f t="shared" si="6"/>
        <v>0</v>
      </c>
      <c r="AC15" s="4">
        <f t="shared" si="6"/>
        <v>0</v>
      </c>
      <c r="AD15" s="4">
        <f t="shared" si="6"/>
        <v>0</v>
      </c>
      <c r="AE15" s="4">
        <f t="shared" si="7"/>
        <v>0</v>
      </c>
      <c r="AF15" s="4">
        <f t="shared" si="7"/>
        <v>0</v>
      </c>
      <c r="AG15" s="4">
        <f t="shared" si="7"/>
        <v>0</v>
      </c>
      <c r="AH15" s="4">
        <f t="shared" si="8"/>
        <v>0</v>
      </c>
      <c r="AI15" s="4">
        <f t="shared" si="8"/>
        <v>0</v>
      </c>
      <c r="AJ15" s="4">
        <f t="shared" si="8"/>
        <v>0</v>
      </c>
      <c r="AK15" s="4">
        <f t="shared" si="9"/>
        <v>0</v>
      </c>
      <c r="AL15" s="4">
        <f t="shared" si="9"/>
        <v>0</v>
      </c>
      <c r="AM15" s="4">
        <f t="shared" si="9"/>
        <v>0</v>
      </c>
      <c r="AN15" s="4">
        <f t="shared" si="10"/>
        <v>0</v>
      </c>
      <c r="AO15" s="4">
        <f t="shared" si="10"/>
        <v>0</v>
      </c>
      <c r="AP15" s="4">
        <f t="shared" si="10"/>
        <v>0</v>
      </c>
      <c r="AQ15" s="4">
        <f t="shared" si="11"/>
        <v>0</v>
      </c>
      <c r="AR15" s="4">
        <f t="shared" si="11"/>
        <v>0</v>
      </c>
      <c r="AT15" s="28">
        <v>2</v>
      </c>
      <c r="AU15" s="29" t="str">
        <f>IF($P$15="3L",$Q$15,IF($S$15="3L",$T$15,IF($V$15="3L",$W$15,IF($Y$15="3L",$Z$15,IF($AB$15="3L",$AC$15,IF($AE$15="3L",$AF$15,IF($AH$15="3L",$AI$15,IF($AK$15="3L",$AL$15,IF($AN$15="3L",$AO$15,IF($AQ$15="3L",$AR$15,""))))))))))</f>
        <v/>
      </c>
      <c r="AV15" s="29" t="str">
        <f>IF($P$15="4L",$Q$15,IF($S$15="4L",$T$15,IF($V$15="4L",$W$15,IF($Y$15="4L",$Z$15,IF($AB$15="4L",$AC$15,IF($AE$15="4L",$AF$15,IF($AH$15="4L",$AI$15,IF($AK$15="4L",$AL$15,IF($AN$15="4L",$AO$15,IF($AQ$15="4L",$AR$15,""))))))))))</f>
        <v/>
      </c>
      <c r="AW15" s="29" t="str">
        <f>IF($P$15="5L",$Q$15,IF($S$15="5L",$T$15,IF($V$15="5L",$W$15,IF($Y$15="5L",$Z$15,IF($AB$15="5L",$AC$15,IF($AE$15="5L",$AF$15,IF($AH$15="5L",$AI$15,IF($AK$15="5L",$AL$15,IF($AN$15="5L",$AO$15,IF($AQ$15="5L",$AR$15,""))))))))))</f>
        <v/>
      </c>
      <c r="AX15" s="29" t="str">
        <f>IF($P$15="6L",$Q$15,IF($S$15="6L",$T$15,IF($V$15="6L",$W$15,IF($Y$15="6L",$Z$15,IF($AB$15="6L",$AC$15,IF($AE$15="6L",$AF$15,IF($AH$15="6L",$AI$15,IF($AK$15="6L",$AL$15,IF($AN$15="6L",$AO$15,IF($AQ$15="6L",$AR$15,""))))))))))</f>
        <v/>
      </c>
      <c r="AY15" s="29" t="str">
        <f>IF($P$15="7L",$Q$15,IF($S$15="7L",$T$15,IF($V$15="7L",$W$15,IF($Y$15="7L",$Z$15,IF($AB$15="7L",$AC$15,IF($AE$15="7L",$AF$15,IF($AH$15="7L",$AI$15,IF($AK$15="7L",$AL$15,IF($AN$15="7L",$AO$15,IF($AQ$15="7L",$AR$15,""))))))))))</f>
        <v/>
      </c>
      <c r="AZ15" s="29" t="str">
        <f t="shared" si="12"/>
        <v/>
      </c>
      <c r="BA15" s="29" t="str">
        <f t="shared" si="13"/>
        <v/>
      </c>
      <c r="BB15" s="29" t="str">
        <f t="shared" si="14"/>
        <v/>
      </c>
      <c r="BC15" s="29" t="str">
        <f t="shared" si="15"/>
        <v/>
      </c>
      <c r="BD15" s="29" t="str">
        <f>IF($P$15="FUM",$Q$15,IF($S$15="FUM",$T$15,IF($V$15="FUM",$W$15,IF($Y$15="FUM",$Z$15,IF($AB$15="FUM",$AC$15,IF($AE$15="FUM",$AF$15,IF($AH$15="FUM",$AI$15,IF($AK$15="FUM",$AL$15,IF($AN$15="FUM",$AO$15,IF($AQ$15="FUM",$AR$15,""))))))))))</f>
        <v/>
      </c>
    </row>
    <row r="16" spans="1:77" hidden="1" x14ac:dyDescent="0.25">
      <c r="H16" s="4">
        <f t="shared" si="1"/>
        <v>0</v>
      </c>
      <c r="I16" s="4">
        <f t="shared" si="1"/>
        <v>0</v>
      </c>
      <c r="J16" s="4">
        <f t="shared" si="1"/>
        <v>0</v>
      </c>
      <c r="K16" s="4">
        <f t="shared" si="1"/>
        <v>0</v>
      </c>
      <c r="L16" s="4">
        <f t="shared" si="1"/>
        <v>0</v>
      </c>
      <c r="O16" s="28">
        <f t="shared" si="16"/>
        <v>0</v>
      </c>
      <c r="P16" s="4">
        <f t="shared" si="2"/>
        <v>0</v>
      </c>
      <c r="Q16" s="4">
        <f t="shared" si="2"/>
        <v>0</v>
      </c>
      <c r="R16" s="4">
        <f t="shared" si="2"/>
        <v>0</v>
      </c>
      <c r="S16" s="4">
        <f t="shared" si="3"/>
        <v>0</v>
      </c>
      <c r="T16" s="4">
        <f t="shared" si="3"/>
        <v>0</v>
      </c>
      <c r="U16" s="4">
        <f t="shared" si="3"/>
        <v>0</v>
      </c>
      <c r="V16" s="4">
        <f t="shared" si="4"/>
        <v>0</v>
      </c>
      <c r="W16" s="4">
        <f t="shared" si="4"/>
        <v>0</v>
      </c>
      <c r="X16" s="4">
        <f t="shared" si="4"/>
        <v>0</v>
      </c>
      <c r="Y16" s="4">
        <f t="shared" si="5"/>
        <v>0</v>
      </c>
      <c r="Z16" s="4">
        <f t="shared" si="5"/>
        <v>0</v>
      </c>
      <c r="AA16" s="4">
        <f t="shared" si="5"/>
        <v>0</v>
      </c>
      <c r="AB16" s="4">
        <f t="shared" si="6"/>
        <v>0</v>
      </c>
      <c r="AC16" s="4">
        <f t="shared" si="6"/>
        <v>0</v>
      </c>
      <c r="AD16" s="4">
        <f t="shared" si="6"/>
        <v>0</v>
      </c>
      <c r="AE16" s="4">
        <f t="shared" si="7"/>
        <v>0</v>
      </c>
      <c r="AF16" s="4">
        <f t="shared" si="7"/>
        <v>0</v>
      </c>
      <c r="AG16" s="4">
        <f t="shared" si="7"/>
        <v>0</v>
      </c>
      <c r="AH16" s="4">
        <f t="shared" si="8"/>
        <v>0</v>
      </c>
      <c r="AI16" s="4">
        <f t="shared" si="8"/>
        <v>0</v>
      </c>
      <c r="AJ16" s="4">
        <f t="shared" si="8"/>
        <v>0</v>
      </c>
      <c r="AK16" s="4">
        <f t="shared" si="9"/>
        <v>0</v>
      </c>
      <c r="AL16" s="4">
        <f t="shared" si="9"/>
        <v>0</v>
      </c>
      <c r="AM16" s="4">
        <f t="shared" si="9"/>
        <v>0</v>
      </c>
      <c r="AN16" s="4">
        <f t="shared" si="10"/>
        <v>0</v>
      </c>
      <c r="AO16" s="4">
        <f t="shared" si="10"/>
        <v>0</v>
      </c>
      <c r="AP16" s="4">
        <f t="shared" si="10"/>
        <v>0</v>
      </c>
      <c r="AQ16" s="4">
        <f t="shared" si="11"/>
        <v>0</v>
      </c>
      <c r="AR16" s="4">
        <f t="shared" si="11"/>
        <v>0</v>
      </c>
      <c r="AT16" s="28">
        <v>3</v>
      </c>
      <c r="AU16" s="29" t="str">
        <f>IF($P$16="3L",$Q$16,IF($S$16="3L",$T$16,IF($V$16="3L",$W$16,IF($Y$16="3L",$Z$16,IF($AB$16="3L",$AC$16,IF($AE$16="3L",$AF$16,IF($AH$16="3L",$AI$16,IF($AK$16="3L",$AL$16,IF($AN$16="3L",$AO$16,IF($AQ$16="3L",$AR$16,""))))))))))</f>
        <v/>
      </c>
      <c r="AV16" s="29" t="str">
        <f>IF($P$16="4L",$Q$16,IF($S$16="4L",$T$16,IF($V$16="4L",$W$16,IF($Y$16="4L",$Z$16,IF($AB$16="4L",$AC$16,IF($AE$16="4L",$AF$16,IF($AH$16="4L",$AI$16,IF($AK$16="4L",$AL$16,IF($AN$16="4L",$AO$16,IF($AQ$16="4L",$AR$16,""))))))))))</f>
        <v/>
      </c>
      <c r="AW16" s="29" t="str">
        <f>IF($P$16="5L",$Q$16,IF($S$16="5L",$T$16,IF($V$16="5L",$W$16,IF($Y$16="5L",$Z$16,IF($AB$16="5L",$AC$16,IF($AE$16="5L",$AF$16,IF($AH$16="5L",$AI$16,IF($AK$16="5L",$AL$16,IF($AN$16="5L",$AO$16,IF($AQ$16="5L",$AR$16,""))))))))))</f>
        <v/>
      </c>
      <c r="AX16" s="29" t="str">
        <f>IF($P$16="6L",$Q$16,IF($S$16="6L",$T$16,IF($V$16="6L",$W$16,IF($Y$16="6L",$Z$16,IF($AB$16="6L",$AC$16,IF($AE$16="6L",$AF$16,IF($AH$16="6L",$AI$16,IF($AK$16="6L",$AL$16,IF($AN$16="6L",$AO$16,IF($AQ$16="6L",$AR$16,""))))))))))</f>
        <v/>
      </c>
      <c r="AY16" s="29" t="str">
        <f>IF($P$16="7L",$Q$16,IF($S$16="7L",$T$16,IF($V$16="7L",$W$16,IF($Y$16="7L",$Z$16,IF($AB$16="7L",$AC$16,IF($AE$16="7L",$AF$16,IF($AH$16="7L",$AI$16,IF($AK$16="7L",$AL$16,IF($AN$16="7L",$AO$16,IF($AQ$16="7L",$AR$16,""))))))))))</f>
        <v/>
      </c>
      <c r="AZ16" s="29" t="str">
        <f t="shared" si="12"/>
        <v/>
      </c>
      <c r="BA16" s="29" t="str">
        <f t="shared" si="13"/>
        <v/>
      </c>
      <c r="BB16" s="29" t="str">
        <f t="shared" si="14"/>
        <v/>
      </c>
      <c r="BC16" s="29" t="str">
        <f t="shared" si="15"/>
        <v/>
      </c>
      <c r="BD16" s="29" t="str">
        <f>IF($P$16="FUM",$Q$16,IF($S$16="FUM",$T$16,IF($V$16="FUM",$W$16,IF($Y$16="FUM",$Z$16,IF($AB$16="FUM",$AC$16,IF($AE$16="FUM",$AF$16,IF($AH$16="FUM",$AI$16,IF($AK$16="FUM",$AL$16,IF($AN$16="FUM",$AO$16,IF($AQ$16="FUM",$AR$16,""))))))))))</f>
        <v/>
      </c>
    </row>
    <row r="17" spans="8:56" hidden="1" x14ac:dyDescent="0.25">
      <c r="H17" s="4">
        <f t="shared" si="1"/>
        <v>0</v>
      </c>
      <c r="I17" s="4">
        <f t="shared" si="1"/>
        <v>0</v>
      </c>
      <c r="J17" s="4">
        <f t="shared" si="1"/>
        <v>0</v>
      </c>
      <c r="K17" s="4">
        <f t="shared" si="1"/>
        <v>0</v>
      </c>
      <c r="L17" s="4">
        <f t="shared" si="1"/>
        <v>0</v>
      </c>
      <c r="O17" s="28">
        <f t="shared" si="16"/>
        <v>0</v>
      </c>
      <c r="P17" s="4">
        <f t="shared" si="2"/>
        <v>0</v>
      </c>
      <c r="Q17" s="4">
        <f t="shared" si="2"/>
        <v>0</v>
      </c>
      <c r="R17" s="4">
        <f t="shared" si="2"/>
        <v>0</v>
      </c>
      <c r="S17" s="4">
        <f t="shared" si="3"/>
        <v>0</v>
      </c>
      <c r="T17" s="4">
        <f t="shared" si="3"/>
        <v>0</v>
      </c>
      <c r="U17" s="4">
        <f t="shared" si="3"/>
        <v>0</v>
      </c>
      <c r="V17" s="4">
        <f t="shared" si="4"/>
        <v>0</v>
      </c>
      <c r="W17" s="4">
        <f t="shared" si="4"/>
        <v>0</v>
      </c>
      <c r="X17" s="4">
        <f t="shared" si="4"/>
        <v>0</v>
      </c>
      <c r="Y17" s="4">
        <f t="shared" si="5"/>
        <v>0</v>
      </c>
      <c r="Z17" s="4">
        <f t="shared" si="5"/>
        <v>0</v>
      </c>
      <c r="AA17" s="4">
        <f t="shared" si="5"/>
        <v>0</v>
      </c>
      <c r="AB17" s="4">
        <f t="shared" si="6"/>
        <v>0</v>
      </c>
      <c r="AC17" s="4">
        <f t="shared" si="6"/>
        <v>0</v>
      </c>
      <c r="AD17" s="4">
        <f t="shared" si="6"/>
        <v>0</v>
      </c>
      <c r="AE17" s="4">
        <f t="shared" si="7"/>
        <v>0</v>
      </c>
      <c r="AF17" s="4">
        <f t="shared" si="7"/>
        <v>0</v>
      </c>
      <c r="AG17" s="4">
        <f t="shared" si="7"/>
        <v>0</v>
      </c>
      <c r="AH17" s="4">
        <f t="shared" si="8"/>
        <v>0</v>
      </c>
      <c r="AI17" s="4">
        <f t="shared" si="8"/>
        <v>0</v>
      </c>
      <c r="AJ17" s="4">
        <f t="shared" si="8"/>
        <v>0</v>
      </c>
      <c r="AK17" s="4">
        <f t="shared" si="9"/>
        <v>0</v>
      </c>
      <c r="AL17" s="4">
        <f t="shared" si="9"/>
        <v>0</v>
      </c>
      <c r="AM17" s="4">
        <f t="shared" si="9"/>
        <v>0</v>
      </c>
      <c r="AN17" s="4">
        <f t="shared" si="10"/>
        <v>0</v>
      </c>
      <c r="AO17" s="4">
        <f t="shared" si="10"/>
        <v>0</v>
      </c>
      <c r="AP17" s="4">
        <f t="shared" si="10"/>
        <v>0</v>
      </c>
      <c r="AQ17" s="4">
        <f t="shared" si="11"/>
        <v>0</v>
      </c>
      <c r="AR17" s="4">
        <f t="shared" si="11"/>
        <v>0</v>
      </c>
      <c r="AT17" s="28">
        <v>4</v>
      </c>
      <c r="AU17" s="29" t="str">
        <f>IF($P$17="3L",$Q$17,IF($S$17="3L",$T$17,IF($V$17="3L",$W$17,IF($Y$17="3L",$Z$17,IF($AB$17="3L",$AC$17,IF($AE$17="3L",$AF$17,IF($AH$17="3L",$AI$17,IF($AK$17="3L",$AL$17,IF($AN$17="3L",$AO$17,IF($AQ$17="3L",$AR$17,""))))))))))</f>
        <v/>
      </c>
      <c r="AV17" s="29" t="str">
        <f>IF($P$17="4L",$Q$17,IF($S$17="4L",$T$17,IF($V$17="4L",$W$17,IF($Y$17="4L",$Z$17,IF($AB$17="4L",$AC$17,IF($AE$17="4L",$AF$17,IF($AH$17="4L",$AI$17,IF($AK$17="4L",$AL$17,IF($AN$17="4L",$AO$17,IF($AQ$17="4L",$AR$17,""))))))))))</f>
        <v/>
      </c>
      <c r="AW17" s="29" t="str">
        <f>IF($P$17="5L",$Q$17,IF($S$17="5L",$T$17,IF($V$17="5L",$W$17,IF($Y$17="5L",$Z$17,IF($AB$17="5L",$AC$17,IF($AE$17="5L",$AF$17,IF($AH$17="5L",$AI$17,IF($AK$17="5L",$AL$17,IF($AN$17="5L",$AO$17,IF($AQ$17="5L",$AR$17,""))))))))))</f>
        <v/>
      </c>
      <c r="AX17" s="29" t="str">
        <f>IF($P$17="6L",$Q$17,IF($S$17="6L",$T$17,IF($V$17="6L",$W$17,IF($Y$17="6L",$Z$17,IF($AB$17="6L",$AC$17,IF($AE$17="6L",$AF$17,IF($AH$17="6L",$AI$17,IF($AK$17="6L",$AL$17,IF($AN$17="6L",$AO$17,IF($AQ$17="6L",$AR$17,""))))))))))</f>
        <v/>
      </c>
      <c r="AY17" s="29" t="str">
        <f>IF($P$17="7L",$Q$17,IF($S$17="7L",$T$17,IF($V$17="7L",$W$17,IF($Y$17="7L",$Z$17,IF($AB$17="7L",$AC$17,IF($AE$17="7L",$AF$17,IF($AH$17="7L",$AI$17,IF($AK$17="7L",$AL$17,IF($AN$17="7L",$AO$17,IF($AQ$17="7L",$AR$17,""))))))))))</f>
        <v/>
      </c>
      <c r="AZ17" s="29" t="str">
        <f t="shared" si="12"/>
        <v/>
      </c>
      <c r="BA17" s="29" t="str">
        <f t="shared" si="13"/>
        <v/>
      </c>
      <c r="BB17" s="29" t="str">
        <f t="shared" si="14"/>
        <v/>
      </c>
      <c r="BC17" s="29" t="str">
        <f t="shared" si="15"/>
        <v/>
      </c>
      <c r="BD17" s="29" t="str">
        <f>IF($P$17="FUM",$Q$17,IF($S$17="FUM",$T$17,IF($V$17="FUM",$W$17,IF($Y$17="FUM",$Z$17,IF($AB$17="FUM",$AC$17,IF($AE$17="FUM",$AF$17,IF($AH$17="FUM",$AI$17,IF($AK$17="FUM",$AL$17,IF($AN$17="FUM",$AO$17,IF($AQ$17="FUM",$AR$17,""))))))))))</f>
        <v/>
      </c>
    </row>
    <row r="18" spans="8:56" hidden="1" x14ac:dyDescent="0.25">
      <c r="H18" s="4">
        <f t="shared" si="1"/>
        <v>0</v>
      </c>
      <c r="I18" s="4">
        <f t="shared" si="1"/>
        <v>0</v>
      </c>
      <c r="J18" s="4">
        <f t="shared" si="1"/>
        <v>0</v>
      </c>
      <c r="K18" s="4">
        <f t="shared" si="1"/>
        <v>0</v>
      </c>
      <c r="L18" s="4">
        <f t="shared" si="1"/>
        <v>0</v>
      </c>
      <c r="O18" s="28">
        <f t="shared" si="16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3"/>
        <v>0</v>
      </c>
      <c r="T18" s="4">
        <f t="shared" si="3"/>
        <v>0</v>
      </c>
      <c r="U18" s="4">
        <f t="shared" si="3"/>
        <v>0</v>
      </c>
      <c r="V18" s="4">
        <f t="shared" si="4"/>
        <v>0</v>
      </c>
      <c r="W18" s="4">
        <f t="shared" si="4"/>
        <v>0</v>
      </c>
      <c r="X18" s="4">
        <f t="shared" si="4"/>
        <v>0</v>
      </c>
      <c r="Y18" s="4">
        <f t="shared" si="5"/>
        <v>0</v>
      </c>
      <c r="Z18" s="4">
        <f t="shared" si="5"/>
        <v>0</v>
      </c>
      <c r="AA18" s="4">
        <f t="shared" si="5"/>
        <v>0</v>
      </c>
      <c r="AB18" s="4">
        <f t="shared" si="6"/>
        <v>0</v>
      </c>
      <c r="AC18" s="4">
        <f t="shared" si="6"/>
        <v>0</v>
      </c>
      <c r="AD18" s="4">
        <f t="shared" si="6"/>
        <v>0</v>
      </c>
      <c r="AE18" s="4">
        <f t="shared" si="7"/>
        <v>0</v>
      </c>
      <c r="AF18" s="4">
        <f t="shared" si="7"/>
        <v>0</v>
      </c>
      <c r="AG18" s="4">
        <f t="shared" si="7"/>
        <v>0</v>
      </c>
      <c r="AH18" s="4">
        <f t="shared" si="8"/>
        <v>0</v>
      </c>
      <c r="AI18" s="4">
        <f t="shared" si="8"/>
        <v>0</v>
      </c>
      <c r="AJ18" s="4">
        <f t="shared" si="8"/>
        <v>0</v>
      </c>
      <c r="AK18" s="4">
        <f t="shared" si="9"/>
        <v>0</v>
      </c>
      <c r="AL18" s="4">
        <f t="shared" si="9"/>
        <v>0</v>
      </c>
      <c r="AM18" s="4">
        <f t="shared" si="9"/>
        <v>0</v>
      </c>
      <c r="AN18" s="4">
        <f t="shared" si="10"/>
        <v>0</v>
      </c>
      <c r="AO18" s="4">
        <f t="shared" si="10"/>
        <v>0</v>
      </c>
      <c r="AP18" s="4">
        <f t="shared" si="10"/>
        <v>0</v>
      </c>
      <c r="AQ18" s="4">
        <f t="shared" si="11"/>
        <v>0</v>
      </c>
      <c r="AR18" s="4">
        <f t="shared" si="11"/>
        <v>0</v>
      </c>
      <c r="AT18" s="28">
        <v>5</v>
      </c>
      <c r="AU18" s="29" t="str">
        <f>IF($P$18="3L",$Q$18,IF($S$18="3L",$T$18,IF($V$18="3L",$W$18,IF($Y$18="3L",$Z$18,IF($AB$18="3L",$AC$18,IF($AE$18="3L",$AF$18,IF($AH$18="3L",$AI$18,IF($AK$18="3L",$AL$18,IF($AN$18="3L",$AO$18,IF($AQ$18="3L",$AR$18,""))))))))))</f>
        <v/>
      </c>
      <c r="AV18" s="29" t="str">
        <f>IF($P$18="4L",$Q$18,IF($S$18="4L",$T$18,IF($V$18="4L",$W$18,IF($Y$18="4L",$Z$18,IF($AB$18="4L",$AC$18,IF($AE$18="4L",$AF$18,IF($AH$18="4L",$AI$18,IF($AK$18="4L",$AL$18,IF($AN$18="4L",$AO$18,IF($AQ$18="4L",$AR$18,""))))))))))</f>
        <v/>
      </c>
      <c r="AW18" s="29" t="str">
        <f>IF($P$18="5L",$Q$18,IF($S$18="5L",$T$18,IF($V$18="5L",$W$18,IF($Y$18="5L",$Z$18,IF($AB$18="5L",$AC$18,IF($AE$18="5L",$AF$18,IF($AH$18="5L",$AI$18,IF($AK$18="5L",$AL$18,IF($AN$18="5L",$AO$18,IF($AQ$18="5L",$AR$18,""))))))))))</f>
        <v/>
      </c>
      <c r="AX18" s="29" t="str">
        <f>IF($P$18="6L",$Q$18,IF($S$18="6L",$T$18,IF($V$18="6L",$W$18,IF($Y$18="6L",$Z$18,IF($AB$18="6L",$AC$18,IF($AE$18="6L",$AF$18,IF($AH$18="6L",$AI$18,IF($AK$18="6L",$AL$18,IF($AN$18="6L",$AO$18,IF($AQ$18="6L",$AR$18,""))))))))))</f>
        <v/>
      </c>
      <c r="AY18" s="29" t="str">
        <f>IF($P$18="7L",$Q$18,IF($S$18="7L",$T$18,IF($V$18="7L",$W$18,IF($Y$18="7L",$Z$18,IF($AB$18="7L",$AC$18,IF($AE$18="7L",$AF$18,IF($AH$18="7L",$AI$18,IF($AK$18="7L",$AL$18,IF($AN$18="7L",$AO$18,IF($AQ$18="7L",$AR$18,""))))))))))</f>
        <v/>
      </c>
      <c r="AZ18" s="29" t="str">
        <f t="shared" si="12"/>
        <v/>
      </c>
      <c r="BA18" s="29" t="str">
        <f t="shared" si="13"/>
        <v/>
      </c>
      <c r="BB18" s="29" t="str">
        <f t="shared" si="14"/>
        <v/>
      </c>
      <c r="BC18" s="29" t="str">
        <f t="shared" si="15"/>
        <v/>
      </c>
      <c r="BD18" s="29" t="str">
        <f>IF($P$18="FUM",$Q$18,IF($S$18="FUM",$T$18,IF($V$18="FUM",$W$18,IF($Y$18="FUM",$Z$18,IF($AB$18="FUM",$AC$18,IF($AE$18="FUM",$AF$18,IF($AH$18="FUM",$AI$18,IF($AK$18="FUM",$AL$18,IF($AN$18="FUM",$AO$18,IF($AQ$18="FUM",$AR$18,""))))))))))</f>
        <v/>
      </c>
    </row>
    <row r="19" spans="8:56" hidden="1" x14ac:dyDescent="0.25"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0</v>
      </c>
      <c r="L19" s="4">
        <f t="shared" si="1"/>
        <v>0</v>
      </c>
      <c r="O19" s="28">
        <f t="shared" si="16"/>
        <v>0</v>
      </c>
      <c r="P19" s="4">
        <f t="shared" si="2"/>
        <v>0</v>
      </c>
      <c r="Q19" s="4">
        <f t="shared" si="2"/>
        <v>0</v>
      </c>
      <c r="R19" s="4">
        <f t="shared" si="2"/>
        <v>0</v>
      </c>
      <c r="S19" s="4">
        <f t="shared" si="3"/>
        <v>0</v>
      </c>
      <c r="T19" s="4">
        <f t="shared" si="3"/>
        <v>0</v>
      </c>
      <c r="U19" s="4">
        <f t="shared" si="3"/>
        <v>0</v>
      </c>
      <c r="V19" s="4">
        <f t="shared" si="4"/>
        <v>0</v>
      </c>
      <c r="W19" s="4">
        <f t="shared" si="4"/>
        <v>0</v>
      </c>
      <c r="X19" s="4">
        <f t="shared" si="4"/>
        <v>0</v>
      </c>
      <c r="Y19" s="4">
        <f t="shared" si="5"/>
        <v>0</v>
      </c>
      <c r="Z19" s="4">
        <f t="shared" si="5"/>
        <v>0</v>
      </c>
      <c r="AA19" s="4">
        <f t="shared" si="5"/>
        <v>0</v>
      </c>
      <c r="AB19" s="4">
        <f t="shared" si="6"/>
        <v>0</v>
      </c>
      <c r="AC19" s="4">
        <f t="shared" si="6"/>
        <v>0</v>
      </c>
      <c r="AD19" s="4">
        <f t="shared" si="6"/>
        <v>0</v>
      </c>
      <c r="AE19" s="4">
        <f t="shared" si="7"/>
        <v>0</v>
      </c>
      <c r="AF19" s="4">
        <f t="shared" si="7"/>
        <v>0</v>
      </c>
      <c r="AG19" s="4">
        <f t="shared" si="7"/>
        <v>0</v>
      </c>
      <c r="AH19" s="4">
        <f t="shared" si="8"/>
        <v>0</v>
      </c>
      <c r="AI19" s="4">
        <f t="shared" si="8"/>
        <v>0</v>
      </c>
      <c r="AJ19" s="4">
        <f t="shared" si="8"/>
        <v>0</v>
      </c>
      <c r="AK19" s="4">
        <f t="shared" si="9"/>
        <v>0</v>
      </c>
      <c r="AL19" s="4">
        <f t="shared" si="9"/>
        <v>0</v>
      </c>
      <c r="AM19" s="4">
        <f t="shared" si="9"/>
        <v>0</v>
      </c>
      <c r="AN19" s="4">
        <f t="shared" si="10"/>
        <v>0</v>
      </c>
      <c r="AO19" s="4">
        <f t="shared" si="10"/>
        <v>0</v>
      </c>
      <c r="AP19" s="4">
        <f t="shared" si="10"/>
        <v>0</v>
      </c>
      <c r="AQ19" s="4">
        <f t="shared" si="11"/>
        <v>0</v>
      </c>
      <c r="AR19" s="4">
        <f t="shared" si="11"/>
        <v>0</v>
      </c>
      <c r="AT19" s="28">
        <v>6</v>
      </c>
      <c r="AU19" s="29" t="str">
        <f>IF($P$19="3L",$Q$19,IF($S$19="3L",$T$19,IF($V$19="3L",$W$19,IF($Y$19="3L",$Z$19,IF($AB$19="3L",$AC$19,IF($AE$19="3L",$AF$19,IF($AH$19="3L",$AI$19,IF($AK$19="3L",$AL$19,IF($AN$19="3L",$AO$19,IF($AQ$19="3L",$AR$19,""))))))))))</f>
        <v/>
      </c>
      <c r="AV19" s="29" t="str">
        <f>IF($P$19="4L",$Q$19,IF($S$19="4L",$T$19,IF($V$19="4L",$W$19,IF($Y$19="4L",$Z$19,IF($AB$19="4L",$AC$19,IF($AE$19="4L",$AF$19,IF($AH$19="4L",$AI$19,IF($AK$19="4L",$AL$19,IF($AN$19="4L",$AO$19,IF($AQ$19="4L",$AR$19,""))))))))))</f>
        <v/>
      </c>
      <c r="AW19" s="29" t="str">
        <f>IF($P$19="5L",$Q$19,IF($S$19="5L",$T$19,IF($V$19="5L",$W$19,IF($Y$19="5L",$Z$19,IF($AB$19="5L",$AC$19,IF($AE$19="5L",$AF$19,IF($AH$19="5L",$AI$19,IF($AK$19="5L",$AL$19,IF($AN$19="5L",$AO$19,IF($AQ$19="5L",$AR$19,""))))))))))</f>
        <v/>
      </c>
      <c r="AX19" s="29" t="str">
        <f>IF($P$19="6L",$Q$19,IF($S$19="6L",$T$19,IF($V$19="6L",$W$19,IF($Y$19="6L",$Z$19,IF($AB$19="6L",$AC$19,IF($AE$19="6L",$AF$19,IF($AH$19="6L",$AI$19,IF($AK$19="6L",$AL$19,IF($AN$19="6L",$AO$19,IF($AQ$19="6L",$AR$19,""))))))))))</f>
        <v/>
      </c>
      <c r="AY19" s="29" t="str">
        <f>IF($P$19="7L",$Q$19,IF($S$19="7L",$T$19,IF($V$19="7L",$W$19,IF($Y$19="7L",$Z$19,IF($AB$19="7L",$AC$19,IF($AE$19="7L",$AF$19,IF($AH$19="7L",$AI$19,IF($AK$19="7L",$AL$19,IF($AN$19="7L",$AO$19,IF($AQ$19="7L",$AR$19,""))))))))))</f>
        <v/>
      </c>
      <c r="AZ19" s="29" t="str">
        <f t="shared" si="12"/>
        <v/>
      </c>
      <c r="BA19" s="29" t="str">
        <f t="shared" si="13"/>
        <v/>
      </c>
      <c r="BB19" s="29" t="str">
        <f t="shared" si="14"/>
        <v/>
      </c>
      <c r="BC19" s="29" t="str">
        <f t="shared" si="15"/>
        <v/>
      </c>
      <c r="BD19" s="29" t="str">
        <f>IF($P$19="FUM",$Q$19,IF($S$19="FUM",$T$19,IF($V$19="FUM",$W$19,IF($Y$19="FUM",$Z$19,IF($AB$19="FUM",$AC$19,IF($AE$19="FUM",$AF$19,IF($AH$19="FUM",$AI$19,IF($AK$19="FUM",$AL$19,IF($AN$19="FUM",$AO$19,IF($AQ$19="FUM",$AR$19,""))))))))))</f>
        <v/>
      </c>
    </row>
    <row r="20" spans="8:56" hidden="1" x14ac:dyDescent="0.25"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0</v>
      </c>
      <c r="O20" s="28">
        <f t="shared" si="16"/>
        <v>0</v>
      </c>
      <c r="P20" s="4">
        <f t="shared" si="2"/>
        <v>0</v>
      </c>
      <c r="Q20" s="4">
        <f t="shared" si="2"/>
        <v>0</v>
      </c>
      <c r="R20" s="4">
        <f t="shared" si="2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4"/>
        <v>0</v>
      </c>
      <c r="W20" s="4">
        <f t="shared" si="4"/>
        <v>0</v>
      </c>
      <c r="X20" s="4">
        <f t="shared" si="4"/>
        <v>0</v>
      </c>
      <c r="Y20" s="4">
        <f t="shared" si="5"/>
        <v>0</v>
      </c>
      <c r="Z20" s="4">
        <f t="shared" si="5"/>
        <v>0</v>
      </c>
      <c r="AA20" s="4">
        <f t="shared" si="5"/>
        <v>0</v>
      </c>
      <c r="AB20" s="4">
        <f t="shared" si="6"/>
        <v>0</v>
      </c>
      <c r="AC20" s="4">
        <f t="shared" si="6"/>
        <v>0</v>
      </c>
      <c r="AD20" s="4">
        <f t="shared" si="6"/>
        <v>0</v>
      </c>
      <c r="AE20" s="4">
        <f t="shared" si="7"/>
        <v>0</v>
      </c>
      <c r="AF20" s="4">
        <f t="shared" si="7"/>
        <v>0</v>
      </c>
      <c r="AG20" s="4">
        <f t="shared" si="7"/>
        <v>0</v>
      </c>
      <c r="AH20" s="4">
        <f t="shared" si="8"/>
        <v>0</v>
      </c>
      <c r="AI20" s="4">
        <f t="shared" si="8"/>
        <v>0</v>
      </c>
      <c r="AJ20" s="4">
        <f t="shared" si="8"/>
        <v>0</v>
      </c>
      <c r="AK20" s="4">
        <f t="shared" si="9"/>
        <v>0</v>
      </c>
      <c r="AL20" s="4">
        <f t="shared" si="9"/>
        <v>0</v>
      </c>
      <c r="AM20" s="4">
        <f t="shared" si="9"/>
        <v>0</v>
      </c>
      <c r="AN20" s="4">
        <f t="shared" si="10"/>
        <v>0</v>
      </c>
      <c r="AO20" s="4">
        <f t="shared" si="10"/>
        <v>0</v>
      </c>
      <c r="AP20" s="4">
        <f t="shared" si="10"/>
        <v>0</v>
      </c>
      <c r="AQ20" s="4">
        <f t="shared" si="11"/>
        <v>0</v>
      </c>
      <c r="AR20" s="4">
        <f t="shared" si="11"/>
        <v>0</v>
      </c>
      <c r="AT20" s="28">
        <v>7</v>
      </c>
      <c r="AU20" s="29" t="str">
        <f>IF($P$20="3L",$Q$20,IF($S$20="3L",$T$20,IF($V$20="3L",$W$20,IF($Y$20="3L",$Z$20,IF($AB$20="3L",$AC$20,IF($AE$20="3L",$AF$20,IF($AH$20="3L",$AI$20,IF($AK$20="3L",$AL$20,IF($AN$20="3L",$AO$20,IF($AQ$20="3L",$AR$20,""))))))))))</f>
        <v/>
      </c>
      <c r="AV20" s="29" t="str">
        <f>IF($P$20="4L",$Q$20,IF($S$20="4L",$T$20,IF($V$20="4L",$W$20,IF($Y$20="4L",$Z$20,IF($AB$20="4L",$AC$20,IF($AE$20="4L",$AF$20,IF($AH$20="4L",$AI$20,IF($AK$20="4L",$AL$20,IF($AN$20="4L",$AO$20,IF($AQ$20="4L",$AR$20,""))))))))))</f>
        <v/>
      </c>
      <c r="AW20" s="29" t="str">
        <f>IF($P$20="5L",$Q$20,IF($S$20="5L",$T$20,IF($V$20="5L",$W$20,IF($Y$20="5L",$Z$20,IF($AB$20="5L",$AC$20,IF($AE$20="5L",$AF$20,IF($AH$20="5L",$AI$20,IF($AK$20="5L",$AL$20,IF($AN$20="5L",$AO$20,IF($AQ$20="5L",$AR$20,""))))))))))</f>
        <v/>
      </c>
      <c r="AX20" s="29" t="str">
        <f>IF($P$20="6L",$Q$20,IF($S$20="6L",$T$20,IF($V$20="6L",$W$20,IF($Y$20="6L",$Z$20,IF($AB$20="6L",$AC$20,IF($AE$20="6L",$AF$20,IF($AH$20="6L",$AI$20,IF($AK$20="6L",$AL$20,IF($AN$20="6L",$AO$20,IF($AQ$20="6L",$AR$20,""))))))))))</f>
        <v/>
      </c>
      <c r="AY20" s="29" t="str">
        <f>IF($P$20="7L",$Q$20,IF($S$20="7L",$T$20,IF($V$20="7L",$W$20,IF($Y$20="7L",$Z$20,IF($AB$20="7L",$AC$20,IF($AE$20="7L",$AF$20,IF($AH$20="7L",$AI$20,IF($AK$20="7L",$AL$20,IF($AN$20="7L",$AO$20,IF($AQ$20="7L",$AR$20,""))))))))))</f>
        <v/>
      </c>
      <c r="AZ20" s="29" t="str">
        <f t="shared" si="12"/>
        <v/>
      </c>
      <c r="BA20" s="29" t="str">
        <f t="shared" si="13"/>
        <v/>
      </c>
      <c r="BB20" s="29" t="str">
        <f t="shared" si="14"/>
        <v/>
      </c>
      <c r="BC20" s="29" t="str">
        <f t="shared" si="15"/>
        <v/>
      </c>
      <c r="BD20" s="29" t="str">
        <f>IF($P$20="FUM",$Q$20,IF($S$20="FUM",$T$20,IF($V$20="FUM",$W$20,IF($Y$20="FUM",$Z$20,IF($AB$20="FUM",$AC$20,IF($AE$20="FUM",$AF$20,IF($AH$20="FUM",$AI$20,IF($AK$20="FUM",$AL$20,IF($AN$20="FUM",$AO$20,IF($AQ$20="FUM",$AR$20,""))))))))))</f>
        <v/>
      </c>
    </row>
    <row r="21" spans="8:56" hidden="1" x14ac:dyDescent="0.25">
      <c r="H21" s="4">
        <f t="shared" si="1"/>
        <v>0</v>
      </c>
      <c r="I21" s="4">
        <f t="shared" si="1"/>
        <v>0</v>
      </c>
      <c r="J21" s="4">
        <f t="shared" si="1"/>
        <v>0</v>
      </c>
      <c r="K21" s="4">
        <f t="shared" si="1"/>
        <v>0</v>
      </c>
      <c r="L21" s="4">
        <f t="shared" si="1"/>
        <v>0</v>
      </c>
      <c r="O21" s="28">
        <f t="shared" si="16"/>
        <v>0</v>
      </c>
      <c r="P21" s="4">
        <f t="shared" si="2"/>
        <v>0</v>
      </c>
      <c r="Q21" s="4">
        <f t="shared" si="2"/>
        <v>0</v>
      </c>
      <c r="R21" s="4">
        <f t="shared" si="2"/>
        <v>0</v>
      </c>
      <c r="S21" s="4">
        <f t="shared" si="3"/>
        <v>0</v>
      </c>
      <c r="T21" s="4">
        <f t="shared" si="3"/>
        <v>0</v>
      </c>
      <c r="U21" s="4">
        <f t="shared" si="3"/>
        <v>0</v>
      </c>
      <c r="V21" s="4">
        <f t="shared" si="4"/>
        <v>0</v>
      </c>
      <c r="W21" s="4">
        <f t="shared" si="4"/>
        <v>0</v>
      </c>
      <c r="X21" s="4">
        <f t="shared" si="4"/>
        <v>0</v>
      </c>
      <c r="Y21" s="4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6"/>
        <v>0</v>
      </c>
      <c r="AC21" s="4">
        <f t="shared" si="6"/>
        <v>0</v>
      </c>
      <c r="AD21" s="4">
        <f t="shared" si="6"/>
        <v>0</v>
      </c>
      <c r="AE21" s="4">
        <f t="shared" si="7"/>
        <v>0</v>
      </c>
      <c r="AF21" s="4">
        <f t="shared" si="7"/>
        <v>0</v>
      </c>
      <c r="AG21" s="4">
        <f t="shared" si="7"/>
        <v>0</v>
      </c>
      <c r="AH21" s="4">
        <f t="shared" si="8"/>
        <v>0</v>
      </c>
      <c r="AI21" s="4">
        <f t="shared" si="8"/>
        <v>0</v>
      </c>
      <c r="AJ21" s="4">
        <f t="shared" si="8"/>
        <v>0</v>
      </c>
      <c r="AK21" s="4">
        <f t="shared" si="9"/>
        <v>0</v>
      </c>
      <c r="AL21" s="4">
        <f t="shared" si="9"/>
        <v>0</v>
      </c>
      <c r="AM21" s="4">
        <f t="shared" si="9"/>
        <v>0</v>
      </c>
      <c r="AN21" s="4">
        <f t="shared" si="10"/>
        <v>0</v>
      </c>
      <c r="AO21" s="4">
        <f t="shared" si="10"/>
        <v>0</v>
      </c>
      <c r="AP21" s="4">
        <f t="shared" si="10"/>
        <v>0</v>
      </c>
      <c r="AQ21" s="4">
        <f t="shared" si="11"/>
        <v>0</v>
      </c>
      <c r="AR21" s="4">
        <f t="shared" si="11"/>
        <v>0</v>
      </c>
      <c r="AT21" s="28">
        <v>8</v>
      </c>
      <c r="AU21" s="29" t="str">
        <f>IF($P$21="3L",$Q$21,IF($S$21="3L",$T$21,IF($V$21="3L",$W$21,IF($Y$21="3L",$Z$21,IF($AB$21="3L",$AC$21,IF($AE$21="3L",$AF$21,IF($AH$21="3L",$AI$21,IF($AK$21="3L",$AL$21,IF($AN$21="3L",$AO$21,IF($AQ$21="3L",$AR$21,""))))))))))</f>
        <v/>
      </c>
      <c r="AV21" s="29" t="str">
        <f>IF($P$21="4L",$Q$21,IF($S$21="4L",$T$21,IF($V$21="4L",$W$21,IF($Y$21="4L",$Z$21,IF($AB$21="4L",$AC$21,IF($AE$21="4L",$AF$21,IF($AH$21="4L",$AI$21,IF($AK$21="4L",$AL$21,IF($AN$21="4L",$AO$21,IF($AQ$21="4L",$AR$21,""))))))))))</f>
        <v/>
      </c>
      <c r="AW21" s="29" t="str">
        <f>IF($P$21="5L",$Q$21,IF($S$21="5L",$T$21,IF($V$21="5L",$W$21,IF($Y$21="5L",$Z$21,IF($AB$21="5L",$AC$21,IF($AE$21="5L",$AF$21,IF($AH$21="5L",$AI$21,IF($AK$21="5L",$AL$21,IF($AN$21="5L",$AO$21,IF($AQ$21="5L",$AR$21,""))))))))))</f>
        <v/>
      </c>
      <c r="AX21" s="29" t="str">
        <f>IF($P$21="6L",$Q$21,IF($S$21="6L",$T$21,IF($V$21="6L",$W$21,IF($Y$21="6L",$Z$21,IF($AB$21="6L",$AC$21,IF($AE$21="6L",$AF$21,IF($AH$21="6L",$AI$21,IF($AK$21="6L",$AL$21,IF($AN$21="6L",$AO$21,IF($AQ$21="6L",$AR$21,""))))))))))</f>
        <v/>
      </c>
      <c r="AY21" s="29" t="str">
        <f>IF($P$21="7L",$Q$21,IF($S$21="7L",$T$21,IF($V$21="7L",$W$21,IF($Y$21="7L",$Z$21,IF($AB$21="7L",$AC$21,IF($AE$21="7L",$AF$21,IF($AH$21="7L",$AI$21,IF($AK$21="7L",$AL$21,IF($AN$21="7L",$AO$21,IF($AQ$21="7L",$AR$21,""))))))))))</f>
        <v/>
      </c>
      <c r="AZ21" s="29" t="str">
        <f t="shared" si="12"/>
        <v/>
      </c>
      <c r="BA21" s="29" t="str">
        <f t="shared" si="13"/>
        <v/>
      </c>
      <c r="BB21" s="29" t="str">
        <f t="shared" si="14"/>
        <v/>
      </c>
      <c r="BC21" s="29" t="str">
        <f t="shared" si="15"/>
        <v/>
      </c>
      <c r="BD21" s="29" t="str">
        <f>IF($P$21="FUM",$Q$21,IF($S$21="FUM",$T$21,IF($V$21="FUM",$W$21,IF($Y$21="FUM",$Z$21,IF($AB$21="FUM",$AC$21,IF($AE$21="FUM",$AF$21,IF($AH$21="FUM",$AI$21,IF($AK$21="FUM",$AL$21,IF($AN$21="FUM",$AO$21,IF($AQ$21="FUM",$AR$21,""))))))))))</f>
        <v/>
      </c>
    </row>
    <row r="22" spans="8:56" hidden="1" x14ac:dyDescent="0.25">
      <c r="H22" s="4">
        <f t="shared" si="1"/>
        <v>0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O22" s="28">
        <f t="shared" si="16"/>
        <v>0</v>
      </c>
      <c r="P22" s="4">
        <f t="shared" si="2"/>
        <v>0</v>
      </c>
      <c r="Q22" s="4">
        <f t="shared" si="2"/>
        <v>0</v>
      </c>
      <c r="R22" s="4">
        <f t="shared" si="2"/>
        <v>0</v>
      </c>
      <c r="S22" s="4">
        <f t="shared" si="3"/>
        <v>0</v>
      </c>
      <c r="T22" s="4">
        <f t="shared" si="3"/>
        <v>0</v>
      </c>
      <c r="U22" s="4">
        <f t="shared" si="3"/>
        <v>0</v>
      </c>
      <c r="V22" s="4">
        <f t="shared" si="4"/>
        <v>0</v>
      </c>
      <c r="W22" s="4">
        <f t="shared" si="4"/>
        <v>0</v>
      </c>
      <c r="X22" s="4">
        <f t="shared" si="4"/>
        <v>0</v>
      </c>
      <c r="Y22" s="4">
        <f t="shared" si="5"/>
        <v>0</v>
      </c>
      <c r="Z22" s="4">
        <f t="shared" si="5"/>
        <v>0</v>
      </c>
      <c r="AA22" s="4">
        <f t="shared" si="5"/>
        <v>0</v>
      </c>
      <c r="AB22" s="4">
        <f t="shared" si="6"/>
        <v>0</v>
      </c>
      <c r="AC22" s="4">
        <f t="shared" si="6"/>
        <v>0</v>
      </c>
      <c r="AD22" s="4">
        <f t="shared" si="6"/>
        <v>0</v>
      </c>
      <c r="AE22" s="4">
        <f t="shared" si="7"/>
        <v>0</v>
      </c>
      <c r="AF22" s="4">
        <f t="shared" si="7"/>
        <v>0</v>
      </c>
      <c r="AG22" s="4">
        <f t="shared" si="7"/>
        <v>0</v>
      </c>
      <c r="AH22" s="4">
        <f t="shared" si="8"/>
        <v>0</v>
      </c>
      <c r="AI22" s="4">
        <f t="shared" si="8"/>
        <v>0</v>
      </c>
      <c r="AJ22" s="4">
        <f t="shared" si="8"/>
        <v>0</v>
      </c>
      <c r="AK22" s="4">
        <f t="shared" si="9"/>
        <v>0</v>
      </c>
      <c r="AL22" s="4">
        <f t="shared" si="9"/>
        <v>0</v>
      </c>
      <c r="AM22" s="4">
        <f t="shared" si="9"/>
        <v>0</v>
      </c>
      <c r="AN22" s="4">
        <f t="shared" si="10"/>
        <v>0</v>
      </c>
      <c r="AO22" s="4">
        <f t="shared" si="10"/>
        <v>0</v>
      </c>
      <c r="AP22" s="4">
        <f t="shared" si="10"/>
        <v>0</v>
      </c>
      <c r="AQ22" s="4">
        <f t="shared" si="11"/>
        <v>0</v>
      </c>
      <c r="AR22" s="4">
        <f t="shared" si="11"/>
        <v>0</v>
      </c>
      <c r="AT22" s="28">
        <v>9</v>
      </c>
      <c r="AU22" s="29" t="str">
        <f>IF($P$22="3L",$Q$22,IF($S$22="3L",$T$22,IF($V$22="3L",$W$22,IF($Y$22="3L",$Z$22,IF($AB$22="3L",$AC$22,IF($AE$22="3L",$AF$22,IF($AH$22="3L",$AI$22,IF($AK$22="3L",$AL$22,IF($AN$22="3L",$AO$22,IF($AQ$22="3L",$AR$22,""))))))))))</f>
        <v/>
      </c>
      <c r="AV22" s="29" t="str">
        <f>IF($P$22="4L",$Q$22,IF($S$22="4L",$T$22,IF($V$22="4L",$W$22,IF($Y$22="4L",$Z$22,IF($AB$22="4L",$AC$22,IF($AE$22="4L",$AF$22,IF($AH$22="4L",$AI$22,IF($AK$22="4L",$AL$22,IF($AN$22="4L",$AO$22,IF($AQ$22="4L",$AR$22,""))))))))))</f>
        <v/>
      </c>
      <c r="AW22" s="29" t="str">
        <f>IF($P$22="5L",$Q$22,IF($S$22="5L",$T$22,IF($V$22="5L",$W$22,IF($Y$22="5L",$Z$22,IF($AB$22="5L",$AC$22,IF($AE$22="5L",$AF$22,IF($AH$22="5L",$AI$22,IF($AK$22="5L",$AL$22,IF($AN$22="5L",$AO$22,IF($AQ$22="5L",$AR$22,""))))))))))</f>
        <v/>
      </c>
      <c r="AX22" s="29" t="str">
        <f>IF($P$22="6L",$Q$22,IF($S$22="6L",$T$22,IF($V$22="6L",$W$22,IF($Y$22="6L",$Z$22,IF($AB$22="6L",$AC$22,IF($AE$22="6L",$AF$22,IF($AH$22="6L",$AI$22,IF($AK$22="6L",$AL$22,IF($AN$22="6L",$AO$22,IF($AQ$22="6L",$AR$22,""))))))))))</f>
        <v/>
      </c>
      <c r="AY22" s="29" t="str">
        <f>IF($P$22="7L",$Q$22,IF($S$22="7L",$T$22,IF($V$22="7L",$W$22,IF($Y$22="7L",$Z$22,IF($AB$22="7L",$AC$22,IF($AE$22="7L",$AF$22,IF($AH$22="7L",$AI$22,IF($AK$22="7L",$AL$22,IF($AN$22="7L",$AO$22,IF($AQ$22="7L",$AR$22,""))))))))))</f>
        <v/>
      </c>
      <c r="AZ22" s="29" t="str">
        <f t="shared" si="12"/>
        <v/>
      </c>
      <c r="BA22" s="29" t="str">
        <f t="shared" si="13"/>
        <v/>
      </c>
      <c r="BB22" s="29" t="str">
        <f t="shared" si="14"/>
        <v/>
      </c>
      <c r="BC22" s="29" t="str">
        <f t="shared" si="15"/>
        <v/>
      </c>
      <c r="BD22" s="29" t="str">
        <f>IF($P$22="FUM",$Q$22,IF($S$22="FUM",$T$22,IF($V$22="FUM",$W$22,IF($Y$22="FUM",$Z$22,IF($AB$22="FUM",$AC$22,IF($AE$22="FUM",$AF$22,IF($AH$22="FUM",$AI$22,IF($AK$22="FUM",$AL$22,IF($AN$22="FUM",$AO$22,IF($AQ$22="FUM",$AR$22,""))))))))))</f>
        <v/>
      </c>
    </row>
    <row r="23" spans="8:56" hidden="1" x14ac:dyDescent="0.25">
      <c r="H23" s="4">
        <f t="shared" si="1"/>
        <v>0</v>
      </c>
      <c r="I23" s="4">
        <f t="shared" si="1"/>
        <v>0</v>
      </c>
      <c r="J23" s="4">
        <f t="shared" si="1"/>
        <v>0</v>
      </c>
      <c r="K23" s="4">
        <f t="shared" si="1"/>
        <v>0</v>
      </c>
      <c r="L23" s="4">
        <f t="shared" si="1"/>
        <v>0</v>
      </c>
      <c r="O23" s="28">
        <f t="shared" si="16"/>
        <v>0</v>
      </c>
      <c r="P23" s="4">
        <f t="shared" si="2"/>
        <v>0</v>
      </c>
      <c r="Q23" s="4">
        <f t="shared" si="2"/>
        <v>0</v>
      </c>
      <c r="R23" s="4">
        <f t="shared" si="2"/>
        <v>0</v>
      </c>
      <c r="S23" s="4">
        <f t="shared" si="3"/>
        <v>0</v>
      </c>
      <c r="T23" s="4">
        <f t="shared" si="3"/>
        <v>0</v>
      </c>
      <c r="U23" s="4">
        <f t="shared" si="3"/>
        <v>0</v>
      </c>
      <c r="V23" s="4">
        <f t="shared" si="4"/>
        <v>0</v>
      </c>
      <c r="W23" s="4">
        <f t="shared" si="4"/>
        <v>0</v>
      </c>
      <c r="X23" s="4">
        <f t="shared" si="4"/>
        <v>0</v>
      </c>
      <c r="Y23" s="4">
        <f t="shared" si="5"/>
        <v>0</v>
      </c>
      <c r="Z23" s="4">
        <f t="shared" si="5"/>
        <v>0</v>
      </c>
      <c r="AA23" s="4">
        <f t="shared" si="5"/>
        <v>0</v>
      </c>
      <c r="AB23" s="4">
        <f t="shared" si="6"/>
        <v>0</v>
      </c>
      <c r="AC23" s="4">
        <f t="shared" si="6"/>
        <v>0</v>
      </c>
      <c r="AD23" s="4">
        <f t="shared" si="6"/>
        <v>0</v>
      </c>
      <c r="AE23" s="4">
        <f t="shared" si="7"/>
        <v>0</v>
      </c>
      <c r="AF23" s="4">
        <f t="shared" si="7"/>
        <v>0</v>
      </c>
      <c r="AG23" s="4">
        <f t="shared" si="7"/>
        <v>0</v>
      </c>
      <c r="AH23" s="4">
        <f t="shared" si="8"/>
        <v>0</v>
      </c>
      <c r="AI23" s="4">
        <f t="shared" si="8"/>
        <v>0</v>
      </c>
      <c r="AJ23" s="4">
        <f t="shared" si="8"/>
        <v>0</v>
      </c>
      <c r="AK23" s="4">
        <f t="shared" si="9"/>
        <v>0</v>
      </c>
      <c r="AL23" s="4">
        <f t="shared" si="9"/>
        <v>0</v>
      </c>
      <c r="AM23" s="4">
        <f t="shared" si="9"/>
        <v>0</v>
      </c>
      <c r="AN23" s="4">
        <f t="shared" si="10"/>
        <v>0</v>
      </c>
      <c r="AO23" s="4">
        <f t="shared" si="10"/>
        <v>0</v>
      </c>
      <c r="AP23" s="4">
        <f t="shared" si="10"/>
        <v>0</v>
      </c>
      <c r="AQ23" s="4">
        <f t="shared" si="11"/>
        <v>0</v>
      </c>
      <c r="AR23" s="4">
        <f t="shared" si="11"/>
        <v>0</v>
      </c>
      <c r="AT23" s="28">
        <v>10</v>
      </c>
      <c r="AU23" s="29" t="str">
        <f>IF($P$23="3L",$Q$23,IF($S$23="3L",$T$23,IF($V$23="3L",$W$23,IF($Y$23="3L",$Z$23,IF($AB$23="3L",$AC$23,IF($AE$23="3L",$AF$23,IF($AH$23="3L",$AI$23,IF($AK$23="3L",$AL$23,IF($AN$23="3L",$AO$23,IF($AQ$23="3L",$AR$23,""))))))))))</f>
        <v/>
      </c>
      <c r="AV23" s="29" t="str">
        <f>IF($P$23="4L",$Q$23,IF($S$23="4L",$T$23,IF($V$23="4L",$W$23,IF($Y$23="4L",$Z$23,IF($AB$23="4L",$AC$23,IF($AE$23="4L",$AF$23,IF($AH$23="4L",$AI$23,IF($AK$23="4L",$AL$23,IF($AN$23="4L",$AO$23,IF($AQ$23="4L",$AR$23,""))))))))))</f>
        <v/>
      </c>
      <c r="AW23" s="29" t="str">
        <f>IF($P$23="5L",$Q$23,IF($S$23="5L",$T$23,IF($V$23="5L",$W$23,IF($Y$23="5L",$Z$23,IF($AB$23="5L",$AC$23,IF($AE$23="5L",$AF$23,IF($AH$23="5L",$AI$23,IF($AK$23="5L",$AL$23,IF($AN$23="5L",$AO$23,IF($AQ$23="5L",$AR$23,""))))))))))</f>
        <v/>
      </c>
      <c r="AX23" s="29" t="str">
        <f>IF($P$23="6L",$Q$23,IF($S$23="6L",$T$23,IF($V$23="6L",$W$23,IF($Y$23="6L",$Z$23,IF($AB$23="6L",$AC$23,IF($AE$23="6L",$AF$23,IF($AH$23="6L",$AI$23,IF($AK$23="6L",$AL$23,IF($AN$23="6L",$AO$23,IF($AQ$23="6L",$AR$23,""))))))))))</f>
        <v/>
      </c>
      <c r="AY23" s="29" t="str">
        <f>IF($P$23="7L",$Q$23,IF($S$23="7L",$T$23,IF($V$23="7L",$W$23,IF($Y$23="7L",$Z$23,IF($AB$23="7L",$AC$23,IF($AE$23="7L",$AF$23,IF($AH$23="7L",$AI$23,IF($AK$23="7L",$AL$23,IF($AN$23="7L",$AO$23,IF($AQ$23="7L",$AR$23,""))))))))))</f>
        <v/>
      </c>
      <c r="AZ23" s="29" t="str">
        <f t="shared" si="12"/>
        <v/>
      </c>
      <c r="BA23" s="29" t="str">
        <f t="shared" si="13"/>
        <v/>
      </c>
      <c r="BB23" s="29" t="str">
        <f t="shared" si="14"/>
        <v/>
      </c>
      <c r="BC23" s="29" t="str">
        <f t="shared" si="15"/>
        <v/>
      </c>
      <c r="BD23" s="29" t="str">
        <f>IF($P$23="FUM",$Q$23,IF($S$23="FUM",$T$23,IF($V$23="FUM",$W$23,IF($Y$23="FUM",$Z$23,IF($AB$23="FUM",$AC$23,IF($AE$23="FUM",$AF$23,IF($AH$23="FUM",$AI$23,IF($AK$23="FUM",$AL$23,IF($AN$23="FUM",$AO$23,IF($AQ$23="FUM",$AR$23,""))))))))))</f>
        <v/>
      </c>
    </row>
    <row r="24" spans="8:56" hidden="1" x14ac:dyDescent="0.25">
      <c r="H24" s="4" t="str">
        <f t="shared" ref="H24:L33" si="17">P2</f>
        <v>AG</v>
      </c>
      <c r="I24" s="4">
        <f t="shared" si="17"/>
        <v>1000</v>
      </c>
      <c r="J24" s="4">
        <f t="shared" si="17"/>
        <v>10</v>
      </c>
      <c r="K24" s="4" t="str">
        <f t="shared" si="17"/>
        <v>Y</v>
      </c>
      <c r="L24" s="4" t="str">
        <f t="shared" si="17"/>
        <v>3L</v>
      </c>
    </row>
    <row r="25" spans="8:56" hidden="1" x14ac:dyDescent="0.25">
      <c r="H25" s="4">
        <f t="shared" si="17"/>
        <v>0</v>
      </c>
      <c r="I25" s="4">
        <f t="shared" si="17"/>
        <v>0</v>
      </c>
      <c r="J25" s="4">
        <f t="shared" si="17"/>
        <v>0</v>
      </c>
      <c r="K25" s="4">
        <f t="shared" si="17"/>
        <v>0</v>
      </c>
      <c r="L25" s="4">
        <f t="shared" si="17"/>
        <v>0</v>
      </c>
    </row>
    <row r="26" spans="8:56" hidden="1" x14ac:dyDescent="0.25">
      <c r="H26" s="4">
        <f t="shared" si="17"/>
        <v>0</v>
      </c>
      <c r="I26" s="4">
        <f t="shared" si="17"/>
        <v>0</v>
      </c>
      <c r="J26" s="4">
        <f t="shared" si="17"/>
        <v>0</v>
      </c>
      <c r="K26" s="4">
        <f t="shared" si="17"/>
        <v>0</v>
      </c>
      <c r="L26" s="4">
        <f t="shared" si="17"/>
        <v>0</v>
      </c>
    </row>
    <row r="27" spans="8:56" hidden="1" x14ac:dyDescent="0.25">
      <c r="H27" s="4">
        <f t="shared" si="17"/>
        <v>0</v>
      </c>
      <c r="I27" s="4">
        <f t="shared" si="17"/>
        <v>0</v>
      </c>
      <c r="J27" s="4">
        <f t="shared" si="17"/>
        <v>0</v>
      </c>
      <c r="K27" s="4">
        <f t="shared" si="17"/>
        <v>0</v>
      </c>
      <c r="L27" s="4">
        <f t="shared" si="17"/>
        <v>0</v>
      </c>
    </row>
    <row r="28" spans="8:56" hidden="1" x14ac:dyDescent="0.25">
      <c r="H28" s="4">
        <f t="shared" si="17"/>
        <v>0</v>
      </c>
      <c r="I28" s="4">
        <f t="shared" si="17"/>
        <v>0</v>
      </c>
      <c r="J28" s="4">
        <f t="shared" si="17"/>
        <v>0</v>
      </c>
      <c r="K28" s="4">
        <f t="shared" si="17"/>
        <v>0</v>
      </c>
      <c r="L28" s="4">
        <f t="shared" si="17"/>
        <v>0</v>
      </c>
    </row>
    <row r="29" spans="8:56" hidden="1" x14ac:dyDescent="0.25"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</row>
    <row r="30" spans="8:56" hidden="1" x14ac:dyDescent="0.25">
      <c r="H30" s="4">
        <f t="shared" si="17"/>
        <v>0</v>
      </c>
      <c r="I30" s="4">
        <f t="shared" si="17"/>
        <v>0</v>
      </c>
      <c r="J30" s="4">
        <f t="shared" si="17"/>
        <v>0</v>
      </c>
      <c r="K30" s="4">
        <f t="shared" si="17"/>
        <v>0</v>
      </c>
      <c r="L30" s="4">
        <f t="shared" si="17"/>
        <v>0</v>
      </c>
    </row>
    <row r="31" spans="8:56" hidden="1" x14ac:dyDescent="0.25">
      <c r="H31" s="4">
        <f t="shared" si="17"/>
        <v>0</v>
      </c>
      <c r="I31" s="4">
        <f t="shared" si="17"/>
        <v>0</v>
      </c>
      <c r="J31" s="4">
        <f t="shared" si="17"/>
        <v>0</v>
      </c>
      <c r="K31" s="4">
        <f t="shared" si="17"/>
        <v>0</v>
      </c>
      <c r="L31" s="4">
        <f t="shared" si="17"/>
        <v>0</v>
      </c>
    </row>
    <row r="32" spans="8:56" hidden="1" x14ac:dyDescent="0.25">
      <c r="H32" s="4">
        <f t="shared" si="17"/>
        <v>0</v>
      </c>
      <c r="I32" s="4">
        <f t="shared" si="17"/>
        <v>0</v>
      </c>
      <c r="J32" s="4">
        <f t="shared" si="17"/>
        <v>0</v>
      </c>
      <c r="K32" s="4">
        <f t="shared" si="17"/>
        <v>0</v>
      </c>
      <c r="L32" s="4">
        <f t="shared" si="17"/>
        <v>0</v>
      </c>
    </row>
    <row r="33" spans="8:12" hidden="1" x14ac:dyDescent="0.25">
      <c r="H33" s="4">
        <f t="shared" si="17"/>
        <v>0</v>
      </c>
      <c r="I33" s="4">
        <f t="shared" si="17"/>
        <v>0</v>
      </c>
      <c r="J33" s="4">
        <f t="shared" si="17"/>
        <v>0</v>
      </c>
      <c r="K33" s="4">
        <f t="shared" si="17"/>
        <v>0</v>
      </c>
      <c r="L33" s="4">
        <f t="shared" si="17"/>
        <v>0</v>
      </c>
    </row>
    <row r="34" spans="8:12" hidden="1" x14ac:dyDescent="0.25">
      <c r="H34" s="4" t="str">
        <f t="shared" ref="H34:L43" si="18">V2</f>
        <v>AG</v>
      </c>
      <c r="I34" s="4">
        <f t="shared" si="18"/>
        <v>750</v>
      </c>
      <c r="J34" s="4">
        <f t="shared" si="18"/>
        <v>10</v>
      </c>
      <c r="K34" s="4" t="str">
        <f t="shared" si="18"/>
        <v>Y</v>
      </c>
      <c r="L34" s="4" t="str">
        <f t="shared" si="18"/>
        <v>3L</v>
      </c>
    </row>
    <row r="35" spans="8:12" hidden="1" x14ac:dyDescent="0.25">
      <c r="H35" s="4">
        <f t="shared" si="18"/>
        <v>0</v>
      </c>
      <c r="I35" s="4">
        <f t="shared" si="18"/>
        <v>0</v>
      </c>
      <c r="J35" s="4">
        <f t="shared" si="18"/>
        <v>0</v>
      </c>
      <c r="K35" s="4">
        <f t="shared" si="18"/>
        <v>0</v>
      </c>
      <c r="L35" s="4">
        <f t="shared" si="18"/>
        <v>0</v>
      </c>
    </row>
    <row r="36" spans="8:12" hidden="1" x14ac:dyDescent="0.25">
      <c r="H36" s="4">
        <f t="shared" si="18"/>
        <v>0</v>
      </c>
      <c r="I36" s="4">
        <f t="shared" si="18"/>
        <v>0</v>
      </c>
      <c r="J36" s="4">
        <f t="shared" si="18"/>
        <v>0</v>
      </c>
      <c r="K36" s="4">
        <f t="shared" si="18"/>
        <v>0</v>
      </c>
      <c r="L36" s="4">
        <f t="shared" si="18"/>
        <v>0</v>
      </c>
    </row>
    <row r="37" spans="8:12" hidden="1" x14ac:dyDescent="0.25">
      <c r="H37" s="4">
        <f t="shared" si="18"/>
        <v>0</v>
      </c>
      <c r="I37" s="4">
        <f t="shared" si="18"/>
        <v>0</v>
      </c>
      <c r="J37" s="4">
        <f t="shared" si="18"/>
        <v>0</v>
      </c>
      <c r="K37" s="4">
        <f t="shared" si="18"/>
        <v>0</v>
      </c>
      <c r="L37" s="4">
        <f t="shared" si="18"/>
        <v>0</v>
      </c>
    </row>
    <row r="38" spans="8:12" hidden="1" x14ac:dyDescent="0.25">
      <c r="H38" s="4">
        <f t="shared" si="18"/>
        <v>0</v>
      </c>
      <c r="I38" s="4">
        <f t="shared" si="18"/>
        <v>0</v>
      </c>
      <c r="J38" s="4">
        <f t="shared" si="18"/>
        <v>0</v>
      </c>
      <c r="K38" s="4">
        <f t="shared" si="18"/>
        <v>0</v>
      </c>
      <c r="L38" s="4">
        <f t="shared" si="18"/>
        <v>0</v>
      </c>
    </row>
    <row r="39" spans="8:12" hidden="1" x14ac:dyDescent="0.25">
      <c r="H39" s="4">
        <f t="shared" si="18"/>
        <v>0</v>
      </c>
      <c r="I39" s="4">
        <f t="shared" si="18"/>
        <v>0</v>
      </c>
      <c r="J39" s="4">
        <f t="shared" si="18"/>
        <v>0</v>
      </c>
      <c r="K39" s="4">
        <f t="shared" si="18"/>
        <v>0</v>
      </c>
      <c r="L39" s="4">
        <f t="shared" si="18"/>
        <v>0</v>
      </c>
    </row>
    <row r="40" spans="8:12" hidden="1" x14ac:dyDescent="0.25">
      <c r="H40" s="4">
        <f t="shared" si="18"/>
        <v>0</v>
      </c>
      <c r="I40" s="4">
        <f t="shared" si="18"/>
        <v>0</v>
      </c>
      <c r="J40" s="4">
        <f t="shared" si="18"/>
        <v>0</v>
      </c>
      <c r="K40" s="4">
        <f t="shared" si="18"/>
        <v>0</v>
      </c>
      <c r="L40" s="4">
        <f t="shared" si="18"/>
        <v>0</v>
      </c>
    </row>
    <row r="41" spans="8:12" hidden="1" x14ac:dyDescent="0.25">
      <c r="H41" s="4">
        <f t="shared" si="18"/>
        <v>0</v>
      </c>
      <c r="I41" s="4">
        <f t="shared" si="18"/>
        <v>0</v>
      </c>
      <c r="J41" s="4">
        <f t="shared" si="18"/>
        <v>0</v>
      </c>
      <c r="K41" s="4">
        <f t="shared" si="18"/>
        <v>0</v>
      </c>
      <c r="L41" s="4">
        <f t="shared" si="18"/>
        <v>0</v>
      </c>
    </row>
    <row r="42" spans="8:12" hidden="1" x14ac:dyDescent="0.25">
      <c r="H42" s="4">
        <f t="shared" si="18"/>
        <v>0</v>
      </c>
      <c r="I42" s="4">
        <f t="shared" si="18"/>
        <v>0</v>
      </c>
      <c r="J42" s="4">
        <f t="shared" si="18"/>
        <v>0</v>
      </c>
      <c r="K42" s="4">
        <f t="shared" si="18"/>
        <v>0</v>
      </c>
      <c r="L42" s="4">
        <f t="shared" si="18"/>
        <v>0</v>
      </c>
    </row>
    <row r="43" spans="8:12" hidden="1" x14ac:dyDescent="0.25">
      <c r="H43" s="4">
        <f t="shared" si="18"/>
        <v>0</v>
      </c>
      <c r="I43" s="4">
        <f t="shared" si="18"/>
        <v>0</v>
      </c>
      <c r="J43" s="4">
        <f t="shared" si="18"/>
        <v>0</v>
      </c>
      <c r="K43" s="4">
        <f t="shared" si="18"/>
        <v>0</v>
      </c>
      <c r="L43" s="4">
        <f t="shared" si="18"/>
        <v>0</v>
      </c>
    </row>
    <row r="44" spans="8:12" hidden="1" x14ac:dyDescent="0.25">
      <c r="H44" s="4" t="str">
        <f t="shared" ref="H44:L53" si="19">AB2</f>
        <v>AG</v>
      </c>
      <c r="I44" s="4">
        <f t="shared" si="19"/>
        <v>500</v>
      </c>
      <c r="J44" s="4">
        <f t="shared" si="19"/>
        <v>20</v>
      </c>
      <c r="K44" s="4" t="str">
        <f t="shared" si="19"/>
        <v>Y</v>
      </c>
      <c r="L44" s="4" t="str">
        <f t="shared" si="19"/>
        <v>3L</v>
      </c>
    </row>
    <row r="45" spans="8:12" hidden="1" x14ac:dyDescent="0.25">
      <c r="H45" s="4">
        <f t="shared" si="19"/>
        <v>0</v>
      </c>
      <c r="I45" s="4">
        <f t="shared" si="19"/>
        <v>0</v>
      </c>
      <c r="J45" s="4">
        <f t="shared" si="19"/>
        <v>0</v>
      </c>
      <c r="K45" s="4">
        <f t="shared" si="19"/>
        <v>0</v>
      </c>
      <c r="L45" s="4">
        <f t="shared" si="19"/>
        <v>0</v>
      </c>
    </row>
    <row r="46" spans="8:12" hidden="1" x14ac:dyDescent="0.25">
      <c r="H46" s="4">
        <f t="shared" si="19"/>
        <v>0</v>
      </c>
      <c r="I46" s="4">
        <f t="shared" si="19"/>
        <v>0</v>
      </c>
      <c r="J46" s="4">
        <f t="shared" si="19"/>
        <v>0</v>
      </c>
      <c r="K46" s="4">
        <f t="shared" si="19"/>
        <v>0</v>
      </c>
      <c r="L46" s="4">
        <f t="shared" si="19"/>
        <v>0</v>
      </c>
    </row>
    <row r="47" spans="8:12" hidden="1" x14ac:dyDescent="0.25">
      <c r="H47" s="4">
        <f t="shared" si="19"/>
        <v>0</v>
      </c>
      <c r="I47" s="4">
        <f t="shared" si="19"/>
        <v>0</v>
      </c>
      <c r="J47" s="4">
        <f t="shared" si="19"/>
        <v>0</v>
      </c>
      <c r="K47" s="4">
        <f t="shared" si="19"/>
        <v>0</v>
      </c>
      <c r="L47" s="4">
        <f t="shared" si="19"/>
        <v>0</v>
      </c>
    </row>
    <row r="48" spans="8:12" hidden="1" x14ac:dyDescent="0.25">
      <c r="H48" s="4">
        <f t="shared" si="19"/>
        <v>0</v>
      </c>
      <c r="I48" s="4">
        <f t="shared" si="19"/>
        <v>0</v>
      </c>
      <c r="J48" s="4">
        <f t="shared" si="19"/>
        <v>0</v>
      </c>
      <c r="K48" s="4">
        <f t="shared" si="19"/>
        <v>0</v>
      </c>
      <c r="L48" s="4">
        <f t="shared" si="19"/>
        <v>0</v>
      </c>
    </row>
    <row r="49" spans="8:12" hidden="1" x14ac:dyDescent="0.25">
      <c r="H49" s="4">
        <f t="shared" si="19"/>
        <v>0</v>
      </c>
      <c r="I49" s="4">
        <f t="shared" si="19"/>
        <v>0</v>
      </c>
      <c r="J49" s="4">
        <f t="shared" si="19"/>
        <v>0</v>
      </c>
      <c r="K49" s="4">
        <f t="shared" si="19"/>
        <v>0</v>
      </c>
      <c r="L49" s="4">
        <f t="shared" si="19"/>
        <v>0</v>
      </c>
    </row>
    <row r="50" spans="8:12" hidden="1" x14ac:dyDescent="0.25">
      <c r="H50" s="4">
        <f t="shared" si="19"/>
        <v>0</v>
      </c>
      <c r="I50" s="4">
        <f t="shared" si="19"/>
        <v>0</v>
      </c>
      <c r="J50" s="4">
        <f t="shared" si="19"/>
        <v>0</v>
      </c>
      <c r="K50" s="4">
        <f t="shared" si="19"/>
        <v>0</v>
      </c>
      <c r="L50" s="4">
        <f t="shared" si="19"/>
        <v>0</v>
      </c>
    </row>
    <row r="51" spans="8:12" hidden="1" x14ac:dyDescent="0.25">
      <c r="H51" s="4">
        <f t="shared" si="19"/>
        <v>0</v>
      </c>
      <c r="I51" s="4">
        <f t="shared" si="19"/>
        <v>0</v>
      </c>
      <c r="J51" s="4">
        <f t="shared" si="19"/>
        <v>0</v>
      </c>
      <c r="K51" s="4">
        <f t="shared" si="19"/>
        <v>0</v>
      </c>
      <c r="L51" s="4">
        <f t="shared" si="19"/>
        <v>0</v>
      </c>
    </row>
    <row r="52" spans="8:12" hidden="1" x14ac:dyDescent="0.25">
      <c r="H52" s="4">
        <f t="shared" si="19"/>
        <v>0</v>
      </c>
      <c r="I52" s="4">
        <f t="shared" si="19"/>
        <v>0</v>
      </c>
      <c r="J52" s="4">
        <f t="shared" si="19"/>
        <v>0</v>
      </c>
      <c r="K52" s="4">
        <f t="shared" si="19"/>
        <v>0</v>
      </c>
      <c r="L52" s="4">
        <f t="shared" si="19"/>
        <v>0</v>
      </c>
    </row>
    <row r="53" spans="8:12" hidden="1" x14ac:dyDescent="0.25">
      <c r="H53" s="4">
        <f t="shared" si="19"/>
        <v>0</v>
      </c>
      <c r="I53" s="4">
        <f t="shared" si="19"/>
        <v>0</v>
      </c>
      <c r="J53" s="4">
        <f t="shared" si="19"/>
        <v>0</v>
      </c>
      <c r="K53" s="4">
        <f t="shared" si="19"/>
        <v>0</v>
      </c>
      <c r="L53" s="4">
        <f t="shared" si="19"/>
        <v>0</v>
      </c>
    </row>
    <row r="54" spans="8:12" hidden="1" x14ac:dyDescent="0.25">
      <c r="H54" s="4">
        <f t="shared" ref="H54:L63" si="20">AH2</f>
        <v>0</v>
      </c>
      <c r="I54" s="4">
        <f t="shared" si="20"/>
        <v>0</v>
      </c>
      <c r="J54" s="4">
        <f t="shared" si="20"/>
        <v>0</v>
      </c>
      <c r="K54" s="4">
        <f t="shared" si="20"/>
        <v>0</v>
      </c>
      <c r="L54" s="4">
        <f t="shared" si="20"/>
        <v>0</v>
      </c>
    </row>
    <row r="55" spans="8:12" hidden="1" x14ac:dyDescent="0.25">
      <c r="H55" s="4">
        <f t="shared" si="20"/>
        <v>0</v>
      </c>
      <c r="I55" s="4">
        <f t="shared" si="20"/>
        <v>0</v>
      </c>
      <c r="J55" s="4">
        <f t="shared" si="20"/>
        <v>0</v>
      </c>
      <c r="K55" s="4">
        <f t="shared" si="20"/>
        <v>0</v>
      </c>
      <c r="L55" s="4">
        <f t="shared" si="20"/>
        <v>0</v>
      </c>
    </row>
    <row r="56" spans="8:12" hidden="1" x14ac:dyDescent="0.25">
      <c r="H56" s="4">
        <f t="shared" si="20"/>
        <v>0</v>
      </c>
      <c r="I56" s="4">
        <f t="shared" si="20"/>
        <v>0</v>
      </c>
      <c r="J56" s="4">
        <f t="shared" si="20"/>
        <v>0</v>
      </c>
      <c r="K56" s="4">
        <f t="shared" si="20"/>
        <v>0</v>
      </c>
      <c r="L56" s="4">
        <f t="shared" si="20"/>
        <v>0</v>
      </c>
    </row>
    <row r="57" spans="8:12" hidden="1" x14ac:dyDescent="0.25">
      <c r="H57" s="4">
        <f t="shared" si="20"/>
        <v>0</v>
      </c>
      <c r="I57" s="4">
        <f t="shared" si="20"/>
        <v>0</v>
      </c>
      <c r="J57" s="4">
        <f t="shared" si="20"/>
        <v>0</v>
      </c>
      <c r="K57" s="4">
        <f t="shared" si="20"/>
        <v>0</v>
      </c>
      <c r="L57" s="4">
        <f t="shared" si="20"/>
        <v>0</v>
      </c>
    </row>
    <row r="58" spans="8:12" hidden="1" x14ac:dyDescent="0.25">
      <c r="H58" s="4">
        <f t="shared" si="20"/>
        <v>0</v>
      </c>
      <c r="I58" s="4">
        <f t="shared" si="20"/>
        <v>0</v>
      </c>
      <c r="J58" s="4">
        <f t="shared" si="20"/>
        <v>0</v>
      </c>
      <c r="K58" s="4">
        <f t="shared" si="20"/>
        <v>0</v>
      </c>
      <c r="L58" s="4">
        <f t="shared" si="20"/>
        <v>0</v>
      </c>
    </row>
    <row r="59" spans="8:12" hidden="1" x14ac:dyDescent="0.25">
      <c r="H59" s="4">
        <f t="shared" si="20"/>
        <v>0</v>
      </c>
      <c r="I59" s="4">
        <f t="shared" si="20"/>
        <v>0</v>
      </c>
      <c r="J59" s="4">
        <f t="shared" si="20"/>
        <v>0</v>
      </c>
      <c r="K59" s="4">
        <f t="shared" si="20"/>
        <v>0</v>
      </c>
      <c r="L59" s="4">
        <f t="shared" si="20"/>
        <v>0</v>
      </c>
    </row>
    <row r="60" spans="8:12" hidden="1" x14ac:dyDescent="0.25">
      <c r="H60" s="4">
        <f t="shared" si="20"/>
        <v>0</v>
      </c>
      <c r="I60" s="4">
        <f t="shared" si="20"/>
        <v>0</v>
      </c>
      <c r="J60" s="4">
        <f t="shared" si="20"/>
        <v>0</v>
      </c>
      <c r="K60" s="4">
        <f t="shared" si="20"/>
        <v>0</v>
      </c>
      <c r="L60" s="4">
        <f t="shared" si="20"/>
        <v>0</v>
      </c>
    </row>
    <row r="61" spans="8:12" hidden="1" x14ac:dyDescent="0.25">
      <c r="H61" s="4">
        <f t="shared" si="20"/>
        <v>0</v>
      </c>
      <c r="I61" s="4">
        <f t="shared" si="20"/>
        <v>0</v>
      </c>
      <c r="J61" s="4">
        <f t="shared" si="20"/>
        <v>0</v>
      </c>
      <c r="K61" s="4">
        <f t="shared" si="20"/>
        <v>0</v>
      </c>
      <c r="L61" s="4">
        <f t="shared" si="20"/>
        <v>0</v>
      </c>
    </row>
    <row r="62" spans="8:12" hidden="1" x14ac:dyDescent="0.25">
      <c r="H62" s="4">
        <f t="shared" si="20"/>
        <v>0</v>
      </c>
      <c r="I62" s="4">
        <f t="shared" si="20"/>
        <v>0</v>
      </c>
      <c r="J62" s="4">
        <f t="shared" si="20"/>
        <v>0</v>
      </c>
      <c r="K62" s="4">
        <f t="shared" si="20"/>
        <v>0</v>
      </c>
      <c r="L62" s="4">
        <f t="shared" si="20"/>
        <v>0</v>
      </c>
    </row>
    <row r="63" spans="8:12" hidden="1" x14ac:dyDescent="0.25">
      <c r="H63" s="4">
        <f t="shared" si="20"/>
        <v>0</v>
      </c>
      <c r="I63" s="4">
        <f t="shared" si="20"/>
        <v>0</v>
      </c>
      <c r="J63" s="4">
        <f t="shared" si="20"/>
        <v>0</v>
      </c>
      <c r="K63" s="4">
        <f t="shared" si="20"/>
        <v>0</v>
      </c>
      <c r="L63" s="4">
        <f t="shared" si="20"/>
        <v>0</v>
      </c>
    </row>
    <row r="64" spans="8:12" hidden="1" x14ac:dyDescent="0.25">
      <c r="H64" s="4">
        <f t="shared" ref="H64:L73" si="21">AN2</f>
        <v>0</v>
      </c>
      <c r="I64" s="4">
        <f t="shared" si="21"/>
        <v>0</v>
      </c>
      <c r="J64" s="4">
        <f t="shared" si="21"/>
        <v>0</v>
      </c>
      <c r="K64" s="4">
        <f t="shared" si="21"/>
        <v>0</v>
      </c>
      <c r="L64" s="4">
        <f t="shared" si="21"/>
        <v>0</v>
      </c>
    </row>
    <row r="65" spans="8:12" hidden="1" x14ac:dyDescent="0.25">
      <c r="H65" s="4">
        <f t="shared" si="21"/>
        <v>0</v>
      </c>
      <c r="I65" s="4">
        <f t="shared" si="21"/>
        <v>0</v>
      </c>
      <c r="J65" s="4">
        <f t="shared" si="21"/>
        <v>0</v>
      </c>
      <c r="K65" s="4">
        <f t="shared" si="21"/>
        <v>0</v>
      </c>
      <c r="L65" s="4">
        <f t="shared" si="21"/>
        <v>0</v>
      </c>
    </row>
    <row r="66" spans="8:12" hidden="1" x14ac:dyDescent="0.25">
      <c r="H66" s="4">
        <f t="shared" si="21"/>
        <v>0</v>
      </c>
      <c r="I66" s="4">
        <f t="shared" si="21"/>
        <v>0</v>
      </c>
      <c r="J66" s="4">
        <f t="shared" si="21"/>
        <v>0</v>
      </c>
      <c r="K66" s="4">
        <f t="shared" si="21"/>
        <v>0</v>
      </c>
      <c r="L66" s="4">
        <f t="shared" si="21"/>
        <v>0</v>
      </c>
    </row>
    <row r="67" spans="8:12" hidden="1" x14ac:dyDescent="0.25">
      <c r="H67" s="4">
        <f t="shared" si="21"/>
        <v>0</v>
      </c>
      <c r="I67" s="4">
        <f t="shared" si="21"/>
        <v>0</v>
      </c>
      <c r="J67" s="4">
        <f t="shared" si="21"/>
        <v>0</v>
      </c>
      <c r="K67" s="4">
        <f t="shared" si="21"/>
        <v>0</v>
      </c>
      <c r="L67" s="4">
        <f t="shared" si="21"/>
        <v>0</v>
      </c>
    </row>
    <row r="68" spans="8:12" hidden="1" x14ac:dyDescent="0.25">
      <c r="H68" s="4">
        <f t="shared" si="21"/>
        <v>0</v>
      </c>
      <c r="I68" s="4">
        <f t="shared" si="21"/>
        <v>0</v>
      </c>
      <c r="J68" s="4">
        <f t="shared" si="21"/>
        <v>0</v>
      </c>
      <c r="K68" s="4">
        <f t="shared" si="21"/>
        <v>0</v>
      </c>
      <c r="L68" s="4">
        <f t="shared" si="21"/>
        <v>0</v>
      </c>
    </row>
    <row r="69" spans="8:12" hidden="1" x14ac:dyDescent="0.25">
      <c r="H69" s="4">
        <f t="shared" si="21"/>
        <v>0</v>
      </c>
      <c r="I69" s="4">
        <f t="shared" si="21"/>
        <v>0</v>
      </c>
      <c r="J69" s="4">
        <f t="shared" si="21"/>
        <v>0</v>
      </c>
      <c r="K69" s="4">
        <f t="shared" si="21"/>
        <v>0</v>
      </c>
      <c r="L69" s="4">
        <f t="shared" si="21"/>
        <v>0</v>
      </c>
    </row>
    <row r="70" spans="8:12" hidden="1" x14ac:dyDescent="0.25">
      <c r="H70" s="4">
        <f t="shared" si="21"/>
        <v>0</v>
      </c>
      <c r="I70" s="4">
        <f t="shared" si="21"/>
        <v>0</v>
      </c>
      <c r="J70" s="4">
        <f t="shared" si="21"/>
        <v>0</v>
      </c>
      <c r="K70" s="4">
        <f t="shared" si="21"/>
        <v>0</v>
      </c>
      <c r="L70" s="4">
        <f t="shared" si="21"/>
        <v>0</v>
      </c>
    </row>
    <row r="71" spans="8:12" hidden="1" x14ac:dyDescent="0.25">
      <c r="H71" s="4">
        <f t="shared" si="21"/>
        <v>0</v>
      </c>
      <c r="I71" s="4">
        <f t="shared" si="21"/>
        <v>0</v>
      </c>
      <c r="J71" s="4">
        <f t="shared" si="21"/>
        <v>0</v>
      </c>
      <c r="K71" s="4">
        <f t="shared" si="21"/>
        <v>0</v>
      </c>
      <c r="L71" s="4">
        <f t="shared" si="21"/>
        <v>0</v>
      </c>
    </row>
    <row r="72" spans="8:12" hidden="1" x14ac:dyDescent="0.25">
      <c r="H72" s="4">
        <f t="shared" si="21"/>
        <v>0</v>
      </c>
      <c r="I72" s="4">
        <f t="shared" si="21"/>
        <v>0</v>
      </c>
      <c r="J72" s="4">
        <f t="shared" si="21"/>
        <v>0</v>
      </c>
      <c r="K72" s="4">
        <f t="shared" si="21"/>
        <v>0</v>
      </c>
      <c r="L72" s="4">
        <f t="shared" si="21"/>
        <v>0</v>
      </c>
    </row>
    <row r="73" spans="8:12" hidden="1" x14ac:dyDescent="0.25">
      <c r="H73" s="4">
        <f t="shared" si="21"/>
        <v>0</v>
      </c>
      <c r="I73" s="4">
        <f t="shared" si="21"/>
        <v>0</v>
      </c>
      <c r="J73" s="4">
        <f t="shared" si="21"/>
        <v>0</v>
      </c>
      <c r="K73" s="4">
        <f t="shared" si="21"/>
        <v>0</v>
      </c>
      <c r="L73" s="4">
        <f t="shared" si="21"/>
        <v>0</v>
      </c>
    </row>
    <row r="74" spans="8:12" hidden="1" x14ac:dyDescent="0.25">
      <c r="H74" s="4">
        <f t="shared" ref="H74:L83" si="22">AT2</f>
        <v>0</v>
      </c>
      <c r="I74" s="4">
        <f t="shared" si="22"/>
        <v>0</v>
      </c>
      <c r="J74" s="4">
        <f t="shared" si="22"/>
        <v>0</v>
      </c>
      <c r="K74" s="4">
        <f t="shared" si="22"/>
        <v>0</v>
      </c>
      <c r="L74" s="4">
        <f t="shared" si="22"/>
        <v>0</v>
      </c>
    </row>
    <row r="75" spans="8:12" hidden="1" x14ac:dyDescent="0.25">
      <c r="H75" s="4">
        <f t="shared" si="22"/>
        <v>0</v>
      </c>
      <c r="I75" s="4">
        <f t="shared" si="22"/>
        <v>0</v>
      </c>
      <c r="J75" s="4">
        <f t="shared" si="22"/>
        <v>0</v>
      </c>
      <c r="K75" s="4">
        <f t="shared" si="22"/>
        <v>0</v>
      </c>
      <c r="L75" s="4">
        <f t="shared" si="22"/>
        <v>0</v>
      </c>
    </row>
    <row r="76" spans="8:12" hidden="1" x14ac:dyDescent="0.25"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0</v>
      </c>
    </row>
    <row r="77" spans="8:12" hidden="1" x14ac:dyDescent="0.25">
      <c r="H77" s="4">
        <f t="shared" si="22"/>
        <v>0</v>
      </c>
      <c r="I77" s="4">
        <f t="shared" si="22"/>
        <v>0</v>
      </c>
      <c r="J77" s="4">
        <f t="shared" si="22"/>
        <v>0</v>
      </c>
      <c r="K77" s="4">
        <f t="shared" si="22"/>
        <v>0</v>
      </c>
      <c r="L77" s="4">
        <f t="shared" si="22"/>
        <v>0</v>
      </c>
    </row>
    <row r="78" spans="8:12" hidden="1" x14ac:dyDescent="0.25">
      <c r="H78" s="4">
        <f t="shared" si="22"/>
        <v>0</v>
      </c>
      <c r="I78" s="4">
        <f t="shared" si="22"/>
        <v>0</v>
      </c>
      <c r="J78" s="4">
        <f t="shared" si="22"/>
        <v>0</v>
      </c>
      <c r="K78" s="4">
        <f t="shared" si="22"/>
        <v>0</v>
      </c>
      <c r="L78" s="4">
        <f t="shared" si="22"/>
        <v>0</v>
      </c>
    </row>
    <row r="79" spans="8:12" hidden="1" x14ac:dyDescent="0.25">
      <c r="H79" s="4">
        <f t="shared" si="22"/>
        <v>0</v>
      </c>
      <c r="I79" s="4">
        <f t="shared" si="22"/>
        <v>0</v>
      </c>
      <c r="J79" s="4">
        <f t="shared" si="22"/>
        <v>0</v>
      </c>
      <c r="K79" s="4">
        <f t="shared" si="22"/>
        <v>0</v>
      </c>
      <c r="L79" s="4">
        <f t="shared" si="22"/>
        <v>0</v>
      </c>
    </row>
    <row r="80" spans="8:12" hidden="1" x14ac:dyDescent="0.25">
      <c r="H80" s="4">
        <f t="shared" si="22"/>
        <v>0</v>
      </c>
      <c r="I80" s="4">
        <f t="shared" si="22"/>
        <v>0</v>
      </c>
      <c r="J80" s="4">
        <f t="shared" si="22"/>
        <v>0</v>
      </c>
      <c r="K80" s="4">
        <f t="shared" si="22"/>
        <v>0</v>
      </c>
      <c r="L80" s="4">
        <f t="shared" si="22"/>
        <v>0</v>
      </c>
    </row>
    <row r="81" spans="8:12" hidden="1" x14ac:dyDescent="0.25">
      <c r="H81" s="4">
        <f t="shared" si="22"/>
        <v>0</v>
      </c>
      <c r="I81" s="4">
        <f t="shared" si="22"/>
        <v>0</v>
      </c>
      <c r="J81" s="4">
        <f t="shared" si="22"/>
        <v>0</v>
      </c>
      <c r="K81" s="4">
        <f t="shared" si="22"/>
        <v>0</v>
      </c>
      <c r="L81" s="4">
        <f t="shared" si="22"/>
        <v>0</v>
      </c>
    </row>
    <row r="82" spans="8:12" hidden="1" x14ac:dyDescent="0.25"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</row>
    <row r="83" spans="8:12" hidden="1" x14ac:dyDescent="0.25">
      <c r="H83" s="4">
        <f t="shared" si="22"/>
        <v>0</v>
      </c>
      <c r="I83" s="4">
        <f t="shared" si="22"/>
        <v>0</v>
      </c>
      <c r="J83" s="4">
        <f t="shared" si="22"/>
        <v>0</v>
      </c>
      <c r="K83" s="4">
        <f t="shared" si="22"/>
        <v>0</v>
      </c>
      <c r="L83" s="4">
        <f t="shared" si="22"/>
        <v>0</v>
      </c>
    </row>
    <row r="84" spans="8:12" hidden="1" x14ac:dyDescent="0.25">
      <c r="H84" s="4">
        <f t="shared" ref="H84:L93" si="23">AZ2</f>
        <v>0</v>
      </c>
      <c r="I84" s="4">
        <f t="shared" si="23"/>
        <v>0</v>
      </c>
      <c r="J84" s="4">
        <f t="shared" si="23"/>
        <v>0</v>
      </c>
      <c r="K84" s="4">
        <f t="shared" si="23"/>
        <v>0</v>
      </c>
      <c r="L84" s="4">
        <f t="shared" si="23"/>
        <v>0</v>
      </c>
    </row>
    <row r="85" spans="8:12" hidden="1" x14ac:dyDescent="0.25">
      <c r="H85" s="4">
        <f t="shared" si="23"/>
        <v>0</v>
      </c>
      <c r="I85" s="4">
        <f t="shared" si="23"/>
        <v>0</v>
      </c>
      <c r="J85" s="4">
        <f t="shared" si="23"/>
        <v>0</v>
      </c>
      <c r="K85" s="4">
        <f t="shared" si="23"/>
        <v>0</v>
      </c>
      <c r="L85" s="4">
        <f t="shared" si="23"/>
        <v>0</v>
      </c>
    </row>
    <row r="86" spans="8:12" hidden="1" x14ac:dyDescent="0.25">
      <c r="H86" s="4">
        <f t="shared" si="23"/>
        <v>0</v>
      </c>
      <c r="I86" s="4">
        <f t="shared" si="23"/>
        <v>0</v>
      </c>
      <c r="J86" s="4">
        <f t="shared" si="23"/>
        <v>0</v>
      </c>
      <c r="K86" s="4">
        <f t="shared" si="23"/>
        <v>0</v>
      </c>
      <c r="L86" s="4">
        <f t="shared" si="23"/>
        <v>0</v>
      </c>
    </row>
    <row r="87" spans="8:12" hidden="1" x14ac:dyDescent="0.25">
      <c r="H87" s="4">
        <f t="shared" si="23"/>
        <v>0</v>
      </c>
      <c r="I87" s="4">
        <f t="shared" si="23"/>
        <v>0</v>
      </c>
      <c r="J87" s="4">
        <f t="shared" si="23"/>
        <v>0</v>
      </c>
      <c r="K87" s="4">
        <f t="shared" si="23"/>
        <v>0</v>
      </c>
      <c r="L87" s="4">
        <f t="shared" si="23"/>
        <v>0</v>
      </c>
    </row>
    <row r="88" spans="8:12" hidden="1" x14ac:dyDescent="0.25">
      <c r="H88" s="4">
        <f t="shared" si="23"/>
        <v>0</v>
      </c>
      <c r="I88" s="4">
        <f t="shared" si="23"/>
        <v>0</v>
      </c>
      <c r="J88" s="4">
        <f t="shared" si="23"/>
        <v>0</v>
      </c>
      <c r="K88" s="4">
        <f t="shared" si="23"/>
        <v>0</v>
      </c>
      <c r="L88" s="4">
        <f t="shared" si="23"/>
        <v>0</v>
      </c>
    </row>
    <row r="89" spans="8:12" hidden="1" x14ac:dyDescent="0.25">
      <c r="H89" s="4">
        <f t="shared" si="23"/>
        <v>0</v>
      </c>
      <c r="I89" s="4">
        <f t="shared" si="23"/>
        <v>0</v>
      </c>
      <c r="J89" s="4">
        <f t="shared" si="23"/>
        <v>0</v>
      </c>
      <c r="K89" s="4">
        <f t="shared" si="23"/>
        <v>0</v>
      </c>
      <c r="L89" s="4">
        <f t="shared" si="23"/>
        <v>0</v>
      </c>
    </row>
    <row r="90" spans="8:12" hidden="1" x14ac:dyDescent="0.25">
      <c r="H90" s="4">
        <f t="shared" si="23"/>
        <v>0</v>
      </c>
      <c r="I90" s="4">
        <f t="shared" si="23"/>
        <v>0</v>
      </c>
      <c r="J90" s="4">
        <f t="shared" si="23"/>
        <v>0</v>
      </c>
      <c r="K90" s="4">
        <f t="shared" si="23"/>
        <v>0</v>
      </c>
      <c r="L90" s="4">
        <f t="shared" si="23"/>
        <v>0</v>
      </c>
    </row>
    <row r="91" spans="8:12" hidden="1" x14ac:dyDescent="0.25">
      <c r="H91" s="4">
        <f t="shared" si="23"/>
        <v>0</v>
      </c>
      <c r="I91" s="4">
        <f t="shared" si="23"/>
        <v>0</v>
      </c>
      <c r="J91" s="4">
        <f t="shared" si="23"/>
        <v>0</v>
      </c>
      <c r="K91" s="4">
        <f t="shared" si="23"/>
        <v>0</v>
      </c>
      <c r="L91" s="4">
        <f t="shared" si="23"/>
        <v>0</v>
      </c>
    </row>
    <row r="92" spans="8:12" hidden="1" x14ac:dyDescent="0.25">
      <c r="H92" s="4">
        <f t="shared" si="23"/>
        <v>0</v>
      </c>
      <c r="I92" s="4">
        <f t="shared" si="23"/>
        <v>0</v>
      </c>
      <c r="J92" s="4">
        <f t="shared" si="23"/>
        <v>0</v>
      </c>
      <c r="K92" s="4">
        <f t="shared" si="23"/>
        <v>0</v>
      </c>
      <c r="L92" s="4">
        <f t="shared" si="23"/>
        <v>0</v>
      </c>
    </row>
    <row r="93" spans="8:12" hidden="1" x14ac:dyDescent="0.25">
      <c r="H93" s="4">
        <f t="shared" si="23"/>
        <v>0</v>
      </c>
      <c r="I93" s="4">
        <f t="shared" si="23"/>
        <v>0</v>
      </c>
      <c r="J93" s="4">
        <f t="shared" si="23"/>
        <v>0</v>
      </c>
      <c r="K93" s="4">
        <f t="shared" si="23"/>
        <v>0</v>
      </c>
      <c r="L93" s="4">
        <f t="shared" si="23"/>
        <v>0</v>
      </c>
    </row>
    <row r="94" spans="8:12" hidden="1" x14ac:dyDescent="0.25">
      <c r="H94" s="4">
        <f t="shared" ref="H94:L103" si="24">BF2</f>
        <v>0</v>
      </c>
      <c r="I94" s="4">
        <f t="shared" si="24"/>
        <v>0</v>
      </c>
      <c r="J94" s="4">
        <f t="shared" si="24"/>
        <v>0</v>
      </c>
      <c r="K94" s="4">
        <f t="shared" si="24"/>
        <v>0</v>
      </c>
      <c r="L94" s="4">
        <f t="shared" si="24"/>
        <v>0</v>
      </c>
    </row>
    <row r="95" spans="8:12" hidden="1" x14ac:dyDescent="0.25">
      <c r="H95" s="4">
        <f t="shared" si="24"/>
        <v>0</v>
      </c>
      <c r="I95" s="4">
        <f t="shared" si="24"/>
        <v>0</v>
      </c>
      <c r="J95" s="4">
        <f t="shared" si="24"/>
        <v>0</v>
      </c>
      <c r="K95" s="4">
        <f t="shared" si="24"/>
        <v>0</v>
      </c>
      <c r="L95" s="4">
        <f t="shared" si="24"/>
        <v>0</v>
      </c>
    </row>
    <row r="96" spans="8:12" hidden="1" x14ac:dyDescent="0.25">
      <c r="H96" s="4">
        <f t="shared" si="24"/>
        <v>0</v>
      </c>
      <c r="I96" s="4">
        <f t="shared" si="24"/>
        <v>0</v>
      </c>
      <c r="J96" s="4">
        <f t="shared" si="24"/>
        <v>0</v>
      </c>
      <c r="K96" s="4">
        <f t="shared" si="24"/>
        <v>0</v>
      </c>
      <c r="L96" s="4">
        <f t="shared" si="24"/>
        <v>0</v>
      </c>
    </row>
    <row r="97" spans="8:12" hidden="1" x14ac:dyDescent="0.25">
      <c r="H97" s="4">
        <f t="shared" si="24"/>
        <v>0</v>
      </c>
      <c r="I97" s="4">
        <f t="shared" si="24"/>
        <v>0</v>
      </c>
      <c r="J97" s="4">
        <f t="shared" si="24"/>
        <v>0</v>
      </c>
      <c r="K97" s="4">
        <f t="shared" si="24"/>
        <v>0</v>
      </c>
      <c r="L97" s="4">
        <f t="shared" si="24"/>
        <v>0</v>
      </c>
    </row>
    <row r="98" spans="8:12" hidden="1" x14ac:dyDescent="0.25">
      <c r="H98" s="4">
        <f t="shared" si="24"/>
        <v>0</v>
      </c>
      <c r="I98" s="4">
        <f t="shared" si="24"/>
        <v>0</v>
      </c>
      <c r="J98" s="4">
        <f t="shared" si="24"/>
        <v>0</v>
      </c>
      <c r="K98" s="4">
        <f t="shared" si="24"/>
        <v>0</v>
      </c>
      <c r="L98" s="4">
        <f t="shared" si="24"/>
        <v>0</v>
      </c>
    </row>
    <row r="99" spans="8:12" hidden="1" x14ac:dyDescent="0.25">
      <c r="H99" s="4">
        <f t="shared" si="24"/>
        <v>0</v>
      </c>
      <c r="I99" s="4">
        <f t="shared" si="24"/>
        <v>0</v>
      </c>
      <c r="J99" s="4">
        <f t="shared" si="24"/>
        <v>0</v>
      </c>
      <c r="K99" s="4">
        <f t="shared" si="24"/>
        <v>0</v>
      </c>
      <c r="L99" s="4">
        <f t="shared" si="24"/>
        <v>0</v>
      </c>
    </row>
    <row r="100" spans="8:12" hidden="1" x14ac:dyDescent="0.25">
      <c r="H100" s="4">
        <f t="shared" si="24"/>
        <v>0</v>
      </c>
      <c r="I100" s="4">
        <f t="shared" si="24"/>
        <v>0</v>
      </c>
      <c r="J100" s="4">
        <f t="shared" si="24"/>
        <v>0</v>
      </c>
      <c r="K100" s="4">
        <f t="shared" si="24"/>
        <v>0</v>
      </c>
      <c r="L100" s="4">
        <f t="shared" si="24"/>
        <v>0</v>
      </c>
    </row>
    <row r="101" spans="8:12" hidden="1" x14ac:dyDescent="0.25">
      <c r="H101" s="4">
        <f t="shared" si="24"/>
        <v>0</v>
      </c>
      <c r="I101" s="4">
        <f t="shared" si="24"/>
        <v>0</v>
      </c>
      <c r="J101" s="4">
        <f t="shared" si="24"/>
        <v>0</v>
      </c>
      <c r="K101" s="4">
        <f t="shared" si="24"/>
        <v>0</v>
      </c>
      <c r="L101" s="4">
        <f t="shared" si="24"/>
        <v>0</v>
      </c>
    </row>
    <row r="102" spans="8:12" hidden="1" x14ac:dyDescent="0.25">
      <c r="H102" s="4">
        <f t="shared" si="24"/>
        <v>0</v>
      </c>
      <c r="I102" s="4">
        <f t="shared" si="24"/>
        <v>0</v>
      </c>
      <c r="J102" s="4">
        <f t="shared" si="24"/>
        <v>0</v>
      </c>
      <c r="K102" s="4">
        <f t="shared" si="24"/>
        <v>0</v>
      </c>
      <c r="L102" s="4">
        <f t="shared" si="24"/>
        <v>0</v>
      </c>
    </row>
    <row r="103" spans="8:12" hidden="1" x14ac:dyDescent="0.25">
      <c r="H103" s="4">
        <f t="shared" si="24"/>
        <v>0</v>
      </c>
      <c r="I103" s="4">
        <f t="shared" si="24"/>
        <v>0</v>
      </c>
      <c r="J103" s="4">
        <f t="shared" si="24"/>
        <v>0</v>
      </c>
      <c r="K103" s="4">
        <f t="shared" si="24"/>
        <v>0</v>
      </c>
      <c r="L103" s="4">
        <f t="shared" si="24"/>
        <v>0</v>
      </c>
    </row>
    <row r="104" spans="8:12" hidden="1" x14ac:dyDescent="0.25">
      <c r="H104" s="4">
        <f t="shared" ref="H104:L113" si="25">BL2</f>
        <v>0</v>
      </c>
      <c r="I104" s="4">
        <f t="shared" si="25"/>
        <v>0</v>
      </c>
      <c r="J104" s="4">
        <f t="shared" si="25"/>
        <v>0</v>
      </c>
      <c r="K104" s="4">
        <f t="shared" si="25"/>
        <v>0</v>
      </c>
      <c r="L104" s="4">
        <f t="shared" si="25"/>
        <v>0</v>
      </c>
    </row>
    <row r="105" spans="8:12" hidden="1" x14ac:dyDescent="0.25">
      <c r="H105" s="4">
        <f t="shared" si="25"/>
        <v>0</v>
      </c>
      <c r="I105" s="4">
        <f t="shared" si="25"/>
        <v>0</v>
      </c>
      <c r="J105" s="4">
        <f t="shared" si="25"/>
        <v>0</v>
      </c>
      <c r="K105" s="4">
        <f t="shared" si="25"/>
        <v>0</v>
      </c>
      <c r="L105" s="4">
        <f t="shared" si="25"/>
        <v>0</v>
      </c>
    </row>
    <row r="106" spans="8:12" hidden="1" x14ac:dyDescent="0.25">
      <c r="H106" s="4">
        <f t="shared" si="25"/>
        <v>0</v>
      </c>
      <c r="I106" s="4">
        <f t="shared" si="25"/>
        <v>0</v>
      </c>
      <c r="J106" s="4">
        <f t="shared" si="25"/>
        <v>0</v>
      </c>
      <c r="K106" s="4">
        <f t="shared" si="25"/>
        <v>0</v>
      </c>
      <c r="L106" s="4">
        <f t="shared" si="25"/>
        <v>0</v>
      </c>
    </row>
    <row r="107" spans="8:12" hidden="1" x14ac:dyDescent="0.25">
      <c r="H107" s="4">
        <f t="shared" si="25"/>
        <v>0</v>
      </c>
      <c r="I107" s="4">
        <f t="shared" si="25"/>
        <v>0</v>
      </c>
      <c r="J107" s="4">
        <f t="shared" si="25"/>
        <v>0</v>
      </c>
      <c r="K107" s="4">
        <f t="shared" si="25"/>
        <v>0</v>
      </c>
      <c r="L107" s="4">
        <f t="shared" si="25"/>
        <v>0</v>
      </c>
    </row>
    <row r="108" spans="8:12" hidden="1" x14ac:dyDescent="0.25">
      <c r="H108" s="4">
        <f t="shared" si="25"/>
        <v>0</v>
      </c>
      <c r="I108" s="4">
        <f t="shared" si="25"/>
        <v>0</v>
      </c>
      <c r="J108" s="4">
        <f t="shared" si="25"/>
        <v>0</v>
      </c>
      <c r="K108" s="4">
        <f t="shared" si="25"/>
        <v>0</v>
      </c>
      <c r="L108" s="4">
        <f t="shared" si="25"/>
        <v>0</v>
      </c>
    </row>
    <row r="109" spans="8:12" hidden="1" x14ac:dyDescent="0.25">
      <c r="H109" s="4">
        <f t="shared" si="25"/>
        <v>0</v>
      </c>
      <c r="I109" s="4">
        <f t="shared" si="25"/>
        <v>0</v>
      </c>
      <c r="J109" s="4">
        <f t="shared" si="25"/>
        <v>0</v>
      </c>
      <c r="K109" s="4">
        <f t="shared" si="25"/>
        <v>0</v>
      </c>
      <c r="L109" s="4">
        <f t="shared" si="25"/>
        <v>0</v>
      </c>
    </row>
    <row r="110" spans="8:12" hidden="1" x14ac:dyDescent="0.25">
      <c r="H110" s="4">
        <f t="shared" si="25"/>
        <v>0</v>
      </c>
      <c r="I110" s="4">
        <f t="shared" si="25"/>
        <v>0</v>
      </c>
      <c r="J110" s="4">
        <f t="shared" si="25"/>
        <v>0</v>
      </c>
      <c r="K110" s="4">
        <f t="shared" si="25"/>
        <v>0</v>
      </c>
      <c r="L110" s="4">
        <f t="shared" si="25"/>
        <v>0</v>
      </c>
    </row>
    <row r="111" spans="8:12" hidden="1" x14ac:dyDescent="0.25">
      <c r="H111" s="4">
        <f t="shared" si="25"/>
        <v>0</v>
      </c>
      <c r="I111" s="4">
        <f t="shared" si="25"/>
        <v>0</v>
      </c>
      <c r="J111" s="4">
        <f t="shared" si="25"/>
        <v>0</v>
      </c>
      <c r="K111" s="4">
        <f t="shared" si="25"/>
        <v>0</v>
      </c>
      <c r="L111" s="4">
        <f t="shared" si="25"/>
        <v>0</v>
      </c>
    </row>
    <row r="112" spans="8:12" hidden="1" x14ac:dyDescent="0.25">
      <c r="H112" s="4">
        <f t="shared" si="25"/>
        <v>0</v>
      </c>
      <c r="I112" s="4">
        <f t="shared" si="25"/>
        <v>0</v>
      </c>
      <c r="J112" s="4">
        <f t="shared" si="25"/>
        <v>0</v>
      </c>
      <c r="K112" s="4">
        <f t="shared" si="25"/>
        <v>0</v>
      </c>
      <c r="L112" s="4">
        <f t="shared" si="25"/>
        <v>0</v>
      </c>
    </row>
    <row r="113" spans="1:62" hidden="1" x14ac:dyDescent="0.25">
      <c r="H113" s="45">
        <f t="shared" si="25"/>
        <v>0</v>
      </c>
      <c r="I113" s="45">
        <f t="shared" si="25"/>
        <v>0</v>
      </c>
      <c r="J113" s="4">
        <f t="shared" si="25"/>
        <v>0</v>
      </c>
      <c r="K113" s="4">
        <f t="shared" si="25"/>
        <v>0</v>
      </c>
      <c r="L113" s="4">
        <f t="shared" si="25"/>
        <v>0</v>
      </c>
    </row>
    <row r="114" spans="1:62" x14ac:dyDescent="0.25">
      <c r="A114" s="168" t="s">
        <v>85</v>
      </c>
      <c r="B114" s="169"/>
      <c r="C114" s="170"/>
      <c r="D114" s="171">
        <v>46008</v>
      </c>
      <c r="E114" s="172"/>
      <c r="F114" s="172"/>
      <c r="G114" s="172"/>
      <c r="H114" s="46"/>
      <c r="I114" s="54"/>
    </row>
    <row r="115" spans="1:62" ht="15.75" thickBot="1" x14ac:dyDescent="0.3">
      <c r="A115" s="110"/>
      <c r="B115" s="110"/>
      <c r="C115" s="110"/>
      <c r="D115" s="110"/>
      <c r="E115" s="110"/>
      <c r="F115" s="110"/>
      <c r="G115" s="110"/>
      <c r="H115" s="54"/>
      <c r="I115" s="54"/>
    </row>
    <row r="116" spans="1:62" ht="16.5" thickBot="1" x14ac:dyDescent="0.3">
      <c r="A116" s="173" t="s">
        <v>248</v>
      </c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5"/>
      <c r="AH116" s="118" t="s">
        <v>35</v>
      </c>
      <c r="AI116" s="118"/>
      <c r="AJ116" s="118" t="str">
        <f>F2</f>
        <v>AP08</v>
      </c>
      <c r="AK116" s="118"/>
      <c r="AL116" s="118"/>
      <c r="AN116" s="118" t="s">
        <v>35</v>
      </c>
      <c r="AO116" s="118"/>
      <c r="AP116" s="118">
        <f>F3</f>
        <v>0</v>
      </c>
      <c r="AQ116" s="118"/>
      <c r="AR116" s="118"/>
      <c r="AT116" s="118" t="s">
        <v>35</v>
      </c>
      <c r="AU116" s="118"/>
      <c r="AV116" s="118">
        <f>F4</f>
        <v>0</v>
      </c>
      <c r="AW116" s="118"/>
      <c r="AX116" s="118"/>
      <c r="AZ116" s="118" t="s">
        <v>35</v>
      </c>
      <c r="BA116" s="118"/>
      <c r="BB116" s="118">
        <f>F5</f>
        <v>0</v>
      </c>
      <c r="BC116" s="118"/>
      <c r="BD116" s="118"/>
      <c r="BF116" s="118" t="s">
        <v>35</v>
      </c>
      <c r="BG116" s="118"/>
      <c r="BH116" s="118">
        <f>F6</f>
        <v>0</v>
      </c>
      <c r="BI116" s="118"/>
      <c r="BJ116" s="118"/>
    </row>
    <row r="117" spans="1:62" x14ac:dyDescent="0.25">
      <c r="A117" s="123" t="s">
        <v>31</v>
      </c>
      <c r="B117" s="113" t="s">
        <v>22</v>
      </c>
      <c r="C117" s="114"/>
      <c r="D117" s="114"/>
      <c r="E117" s="114"/>
      <c r="F117" s="115"/>
      <c r="G117" s="113" t="s">
        <v>20</v>
      </c>
      <c r="H117" s="114"/>
      <c r="I117" s="114"/>
      <c r="J117" s="114"/>
      <c r="K117" s="115"/>
      <c r="L117" s="113" t="s">
        <v>34</v>
      </c>
      <c r="M117" s="114"/>
      <c r="N117" s="114"/>
      <c r="O117" s="114"/>
      <c r="P117" s="115"/>
      <c r="Q117" s="113" t="s">
        <v>127</v>
      </c>
      <c r="R117" s="114"/>
      <c r="S117" s="114"/>
      <c r="T117" s="114"/>
      <c r="U117" s="115"/>
      <c r="V117" s="113" t="s">
        <v>129</v>
      </c>
      <c r="W117" s="114"/>
      <c r="X117" s="114"/>
      <c r="Y117" s="114"/>
      <c r="Z117" s="115"/>
      <c r="AA117" s="113" t="s">
        <v>26</v>
      </c>
      <c r="AB117" s="114"/>
      <c r="AC117" s="114"/>
      <c r="AD117" s="114"/>
      <c r="AE117" s="115"/>
      <c r="AF117" s="116" t="s">
        <v>24</v>
      </c>
      <c r="AG117" s="116" t="s">
        <v>86</v>
      </c>
      <c r="AH117" s="118" t="str">
        <f>G2</f>
        <v>PAWAN PUTRA AGENCY</v>
      </c>
      <c r="AI117" s="118"/>
      <c r="AJ117" s="118"/>
      <c r="AK117" s="118"/>
      <c r="AL117" s="118"/>
      <c r="AN117" s="118">
        <f>G3</f>
        <v>0</v>
      </c>
      <c r="AO117" s="118"/>
      <c r="AP117" s="118"/>
      <c r="AQ117" s="118"/>
      <c r="AR117" s="118"/>
      <c r="AT117" s="118">
        <f>G4</f>
        <v>0</v>
      </c>
      <c r="AU117" s="118"/>
      <c r="AV117" s="118"/>
      <c r="AW117" s="118"/>
      <c r="AX117" s="118"/>
      <c r="AZ117" s="118">
        <f>G5</f>
        <v>0</v>
      </c>
      <c r="BA117" s="118"/>
      <c r="BB117" s="118"/>
      <c r="BC117" s="118"/>
      <c r="BD117" s="118"/>
      <c r="BF117" s="118">
        <f>G6</f>
        <v>0</v>
      </c>
      <c r="BG117" s="118"/>
      <c r="BH117" s="118"/>
      <c r="BI117" s="118"/>
      <c r="BJ117" s="118"/>
    </row>
    <row r="118" spans="1:62" ht="15.75" thickBot="1" x14ac:dyDescent="0.3">
      <c r="A118" s="124"/>
      <c r="B118" s="9" t="s">
        <v>32</v>
      </c>
      <c r="C118" s="12" t="s">
        <v>17</v>
      </c>
      <c r="D118" s="12" t="s">
        <v>19</v>
      </c>
      <c r="E118" s="12" t="s">
        <v>33</v>
      </c>
      <c r="F118" s="14" t="s">
        <v>80</v>
      </c>
      <c r="G118" s="9" t="s">
        <v>32</v>
      </c>
      <c r="H118" s="12" t="s">
        <v>17</v>
      </c>
      <c r="I118" s="12" t="s">
        <v>19</v>
      </c>
      <c r="J118" s="12" t="s">
        <v>33</v>
      </c>
      <c r="K118" s="14" t="s">
        <v>80</v>
      </c>
      <c r="L118" s="9" t="s">
        <v>32</v>
      </c>
      <c r="M118" s="12" t="s">
        <v>17</v>
      </c>
      <c r="N118" s="12" t="s">
        <v>19</v>
      </c>
      <c r="O118" s="12" t="s">
        <v>33</v>
      </c>
      <c r="P118" s="14" t="s">
        <v>80</v>
      </c>
      <c r="Q118" s="9" t="s">
        <v>32</v>
      </c>
      <c r="R118" s="12" t="s">
        <v>17</v>
      </c>
      <c r="S118" s="12" t="s">
        <v>19</v>
      </c>
      <c r="T118" s="12" t="s">
        <v>33</v>
      </c>
      <c r="U118" s="14" t="s">
        <v>80</v>
      </c>
      <c r="V118" s="9" t="s">
        <v>32</v>
      </c>
      <c r="W118" s="12" t="s">
        <v>17</v>
      </c>
      <c r="X118" s="12" t="s">
        <v>19</v>
      </c>
      <c r="Y118" s="12" t="s">
        <v>33</v>
      </c>
      <c r="Z118" s="14" t="s">
        <v>80</v>
      </c>
      <c r="AA118" s="9" t="s">
        <v>32</v>
      </c>
      <c r="AB118" s="12" t="s">
        <v>17</v>
      </c>
      <c r="AC118" s="12" t="s">
        <v>19</v>
      </c>
      <c r="AD118" s="12" t="s">
        <v>33</v>
      </c>
      <c r="AE118" s="14" t="s">
        <v>80</v>
      </c>
      <c r="AF118" s="117"/>
      <c r="AG118" s="117"/>
      <c r="AH118" s="118" t="str">
        <f>H2</f>
        <v>TIRUPATHI</v>
      </c>
      <c r="AI118" s="118"/>
      <c r="AJ118" s="118"/>
      <c r="AK118" s="118"/>
      <c r="AL118" s="118"/>
      <c r="AN118" s="118">
        <f>H3</f>
        <v>0</v>
      </c>
      <c r="AO118" s="118"/>
      <c r="AP118" s="118"/>
      <c r="AQ118" s="118"/>
      <c r="AR118" s="118"/>
      <c r="AT118" s="118">
        <f>H4</f>
        <v>0</v>
      </c>
      <c r="AU118" s="118"/>
      <c r="AV118" s="118"/>
      <c r="AW118" s="118"/>
      <c r="AX118" s="118"/>
      <c r="AZ118" s="118">
        <f>H5</f>
        <v>0</v>
      </c>
      <c r="BA118" s="118"/>
      <c r="BB118" s="118"/>
      <c r="BC118" s="118"/>
      <c r="BD118" s="118"/>
      <c r="BF118" s="118">
        <f>H6</f>
        <v>0</v>
      </c>
      <c r="BG118" s="118"/>
      <c r="BH118" s="118"/>
      <c r="BI118" s="118"/>
      <c r="BJ118" s="118"/>
    </row>
    <row r="119" spans="1:62" ht="15.75" thickBot="1" x14ac:dyDescent="0.3">
      <c r="A119" s="16">
        <v>300</v>
      </c>
      <c r="B119" s="10">
        <f t="shared" ref="B119:F127" si="26">SUMIFS($J$14:$J$113,$I$14:$I$113,$A119,$K$14:$K$113,B$118,$L$14:$L$113,$B$117,$H$14:$H$113,"AG")</f>
        <v>0</v>
      </c>
      <c r="C119" s="11">
        <f t="shared" si="26"/>
        <v>0</v>
      </c>
      <c r="D119" s="11">
        <f t="shared" si="26"/>
        <v>0</v>
      </c>
      <c r="E119" s="11">
        <f t="shared" si="26"/>
        <v>0</v>
      </c>
      <c r="F119" s="17">
        <f t="shared" si="26"/>
        <v>0</v>
      </c>
      <c r="G119" s="10">
        <f t="shared" ref="G119:K127" si="27">SUMIFS($J$14:$J$113,$I$14:$I$113,$A119,$K$14:$K$113,G$118,$L$14:$L$113,$G$117,$H$14:$H$113,"AG")</f>
        <v>0</v>
      </c>
      <c r="H119" s="11">
        <f t="shared" si="27"/>
        <v>0</v>
      </c>
      <c r="I119" s="11">
        <f t="shared" si="27"/>
        <v>0</v>
      </c>
      <c r="J119" s="11">
        <f t="shared" si="27"/>
        <v>0</v>
      </c>
      <c r="K119" s="17">
        <f t="shared" si="27"/>
        <v>0</v>
      </c>
      <c r="L119" s="10">
        <f t="shared" ref="L119:P127" si="28">SUMIFS($J$14:$J$113,$I$14:$I$113,$A119,$K$14:$K$113,L$118,$L$14:$L$113,$L$117,$H$14:$H$113,"AG")</f>
        <v>0</v>
      </c>
      <c r="M119" s="11">
        <f t="shared" si="28"/>
        <v>0</v>
      </c>
      <c r="N119" s="11">
        <f t="shared" si="28"/>
        <v>0</v>
      </c>
      <c r="O119" s="11">
        <f t="shared" si="28"/>
        <v>0</v>
      </c>
      <c r="P119" s="17">
        <f t="shared" si="28"/>
        <v>0</v>
      </c>
      <c r="Q119" s="10">
        <f t="shared" ref="Q119:U127" si="29">SUMIFS($J$14:$J$113,$I$14:$I$113,$A119,$K$14:$K$113,Q$118,$L$14:$L$113,$Q$117,$H$14:$H$113,"AG")</f>
        <v>0</v>
      </c>
      <c r="R119" s="11">
        <f t="shared" si="29"/>
        <v>0</v>
      </c>
      <c r="S119" s="11">
        <f t="shared" si="29"/>
        <v>0</v>
      </c>
      <c r="T119" s="11">
        <f t="shared" si="29"/>
        <v>0</v>
      </c>
      <c r="U119" s="17">
        <f t="shared" si="29"/>
        <v>0</v>
      </c>
      <c r="V119" s="10">
        <f t="shared" ref="V119:AE127" si="30">SUMIFS($J$14:$J$113,$I$14:$I$113,$A119,$K$14:$K$113,V$118,$L$14:$L$113,$L$117,$H$14:$H$113,"AG")</f>
        <v>0</v>
      </c>
      <c r="W119" s="11">
        <f t="shared" si="30"/>
        <v>0</v>
      </c>
      <c r="X119" s="11">
        <f t="shared" si="30"/>
        <v>0</v>
      </c>
      <c r="Y119" s="11">
        <f t="shared" si="30"/>
        <v>0</v>
      </c>
      <c r="Z119" s="17">
        <f t="shared" si="30"/>
        <v>0</v>
      </c>
      <c r="AA119" s="10">
        <f t="shared" si="30"/>
        <v>0</v>
      </c>
      <c r="AB119" s="11">
        <f t="shared" si="30"/>
        <v>0</v>
      </c>
      <c r="AC119" s="11">
        <f t="shared" si="30"/>
        <v>0</v>
      </c>
      <c r="AD119" s="11">
        <f t="shared" si="30"/>
        <v>0</v>
      </c>
      <c r="AE119" s="17">
        <f t="shared" si="30"/>
        <v>0</v>
      </c>
      <c r="AF119" s="16">
        <f>SUM(B119:AE119)*A119</f>
        <v>0</v>
      </c>
      <c r="AG119" s="16">
        <f>SUM(B119:AE119)</f>
        <v>0</v>
      </c>
      <c r="AH119" s="30" t="s">
        <v>136</v>
      </c>
      <c r="AI119" s="30" t="s">
        <v>27</v>
      </c>
      <c r="AJ119" s="30" t="s">
        <v>28</v>
      </c>
      <c r="AK119" s="30" t="s">
        <v>29</v>
      </c>
      <c r="AL119" s="30" t="s">
        <v>30</v>
      </c>
      <c r="AN119" s="30" t="s">
        <v>136</v>
      </c>
      <c r="AO119" s="30" t="s">
        <v>27</v>
      </c>
      <c r="AP119" s="30" t="s">
        <v>28</v>
      </c>
      <c r="AQ119" s="30" t="s">
        <v>29</v>
      </c>
      <c r="AR119" s="30" t="s">
        <v>30</v>
      </c>
      <c r="AT119" s="30" t="s">
        <v>136</v>
      </c>
      <c r="AU119" s="30" t="s">
        <v>27</v>
      </c>
      <c r="AV119" s="30" t="s">
        <v>28</v>
      </c>
      <c r="AW119" s="30" t="s">
        <v>29</v>
      </c>
      <c r="AX119" s="30" t="s">
        <v>30</v>
      </c>
      <c r="AZ119" s="30" t="s">
        <v>136</v>
      </c>
      <c r="BA119" s="30" t="s">
        <v>27</v>
      </c>
      <c r="BB119" s="30" t="s">
        <v>28</v>
      </c>
      <c r="BC119" s="30" t="s">
        <v>29</v>
      </c>
      <c r="BD119" s="30" t="s">
        <v>30</v>
      </c>
      <c r="BF119" s="30" t="s">
        <v>136</v>
      </c>
      <c r="BG119" s="30" t="s">
        <v>27</v>
      </c>
      <c r="BH119" s="30" t="s">
        <v>28</v>
      </c>
      <c r="BI119" s="30" t="s">
        <v>29</v>
      </c>
      <c r="BJ119" s="30" t="s">
        <v>30</v>
      </c>
    </row>
    <row r="120" spans="1:62" x14ac:dyDescent="0.25">
      <c r="A120" s="16">
        <v>500</v>
      </c>
      <c r="B120" s="10">
        <f t="shared" si="26"/>
        <v>0</v>
      </c>
      <c r="C120" s="11">
        <f t="shared" si="26"/>
        <v>20</v>
      </c>
      <c r="D120" s="11">
        <f t="shared" si="26"/>
        <v>0</v>
      </c>
      <c r="E120" s="11">
        <f t="shared" si="26"/>
        <v>0</v>
      </c>
      <c r="F120" s="17">
        <f t="shared" si="26"/>
        <v>0</v>
      </c>
      <c r="G120" s="10">
        <f t="shared" si="27"/>
        <v>0</v>
      </c>
      <c r="H120" s="11">
        <f t="shared" si="27"/>
        <v>0</v>
      </c>
      <c r="I120" s="11">
        <f t="shared" si="27"/>
        <v>0</v>
      </c>
      <c r="J120" s="11">
        <f t="shared" si="27"/>
        <v>0</v>
      </c>
      <c r="K120" s="17">
        <f t="shared" si="27"/>
        <v>0</v>
      </c>
      <c r="L120" s="10">
        <f t="shared" si="28"/>
        <v>0</v>
      </c>
      <c r="M120" s="11">
        <f t="shared" si="28"/>
        <v>0</v>
      </c>
      <c r="N120" s="11">
        <f t="shared" si="28"/>
        <v>0</v>
      </c>
      <c r="O120" s="11">
        <f t="shared" si="28"/>
        <v>0</v>
      </c>
      <c r="P120" s="17">
        <f t="shared" si="28"/>
        <v>0</v>
      </c>
      <c r="Q120" s="10">
        <f t="shared" si="29"/>
        <v>0</v>
      </c>
      <c r="R120" s="11">
        <f t="shared" si="29"/>
        <v>0</v>
      </c>
      <c r="S120" s="11">
        <f t="shared" si="29"/>
        <v>0</v>
      </c>
      <c r="T120" s="11">
        <f t="shared" si="29"/>
        <v>0</v>
      </c>
      <c r="U120" s="17">
        <f t="shared" si="29"/>
        <v>0</v>
      </c>
      <c r="V120" s="10">
        <f t="shared" si="30"/>
        <v>0</v>
      </c>
      <c r="W120" s="11">
        <f t="shared" si="30"/>
        <v>0</v>
      </c>
      <c r="X120" s="11">
        <f t="shared" si="30"/>
        <v>0</v>
      </c>
      <c r="Y120" s="11">
        <f t="shared" si="30"/>
        <v>0</v>
      </c>
      <c r="Z120" s="17">
        <f t="shared" si="30"/>
        <v>0</v>
      </c>
      <c r="AA120" s="10">
        <f t="shared" si="30"/>
        <v>0</v>
      </c>
      <c r="AB120" s="11">
        <f t="shared" si="30"/>
        <v>0</v>
      </c>
      <c r="AC120" s="11">
        <f t="shared" si="30"/>
        <v>0</v>
      </c>
      <c r="AD120" s="11">
        <f t="shared" si="30"/>
        <v>0</v>
      </c>
      <c r="AE120" s="17">
        <f t="shared" si="30"/>
        <v>0</v>
      </c>
      <c r="AF120" s="16">
        <f t="shared" ref="AF120:AF127" si="31">SUM(B120:AE120)*A120</f>
        <v>10000</v>
      </c>
      <c r="AG120" s="16">
        <f t="shared" ref="AG120:AG128" si="32">SUM(B120:AE120)</f>
        <v>20</v>
      </c>
      <c r="AH120" s="16" t="str">
        <f>J2</f>
        <v>AG</v>
      </c>
      <c r="AI120" s="10">
        <f>K2</f>
        <v>1500</v>
      </c>
      <c r="AJ120" s="11">
        <f>L2</f>
        <v>8</v>
      </c>
      <c r="AK120" s="11" t="str">
        <f>M2</f>
        <v>Y</v>
      </c>
      <c r="AL120" s="17" t="str">
        <f>N2</f>
        <v>3L</v>
      </c>
      <c r="AN120" s="16">
        <f>J3</f>
        <v>0</v>
      </c>
      <c r="AO120" s="10">
        <f>K3</f>
        <v>0</v>
      </c>
      <c r="AP120" s="11">
        <f>L3</f>
        <v>0</v>
      </c>
      <c r="AQ120" s="11">
        <f>M3</f>
        <v>0</v>
      </c>
      <c r="AR120" s="17">
        <f>N3</f>
        <v>0</v>
      </c>
      <c r="AT120" s="16">
        <f>J4</f>
        <v>0</v>
      </c>
      <c r="AU120" s="10">
        <f>K4</f>
        <v>0</v>
      </c>
      <c r="AV120" s="11">
        <f>L4</f>
        <v>0</v>
      </c>
      <c r="AW120" s="11">
        <f>M4</f>
        <v>0</v>
      </c>
      <c r="AX120" s="17">
        <f>N4</f>
        <v>0</v>
      </c>
      <c r="AZ120" s="16">
        <f>J5</f>
        <v>0</v>
      </c>
      <c r="BA120" s="10">
        <f>K5</f>
        <v>0</v>
      </c>
      <c r="BB120" s="11">
        <f>L5</f>
        <v>0</v>
      </c>
      <c r="BC120" s="11">
        <f>M5</f>
        <v>0</v>
      </c>
      <c r="BD120" s="17">
        <f>N5</f>
        <v>0</v>
      </c>
      <c r="BF120" s="16">
        <f>J6</f>
        <v>0</v>
      </c>
      <c r="BG120" s="10">
        <f>K6</f>
        <v>0</v>
      </c>
      <c r="BH120" s="11">
        <f>L6</f>
        <v>0</v>
      </c>
      <c r="BI120" s="11">
        <f>M6</f>
        <v>0</v>
      </c>
      <c r="BJ120" s="17">
        <f>N6</f>
        <v>0</v>
      </c>
    </row>
    <row r="121" spans="1:62" x14ac:dyDescent="0.25">
      <c r="A121" s="15">
        <v>750</v>
      </c>
      <c r="B121" s="8">
        <f t="shared" si="26"/>
        <v>0</v>
      </c>
      <c r="C121" s="6">
        <f t="shared" si="26"/>
        <v>10</v>
      </c>
      <c r="D121" s="6">
        <f t="shared" si="26"/>
        <v>0</v>
      </c>
      <c r="E121" s="6">
        <f t="shared" si="26"/>
        <v>0</v>
      </c>
      <c r="F121" s="13">
        <f t="shared" si="26"/>
        <v>0</v>
      </c>
      <c r="G121" s="8">
        <f t="shared" si="27"/>
        <v>0</v>
      </c>
      <c r="H121" s="6">
        <f t="shared" si="27"/>
        <v>0</v>
      </c>
      <c r="I121" s="6">
        <f t="shared" si="27"/>
        <v>0</v>
      </c>
      <c r="J121" s="6">
        <f t="shared" si="27"/>
        <v>0</v>
      </c>
      <c r="K121" s="13">
        <f t="shared" si="27"/>
        <v>0</v>
      </c>
      <c r="L121" s="8">
        <f t="shared" si="28"/>
        <v>0</v>
      </c>
      <c r="M121" s="6">
        <f t="shared" si="28"/>
        <v>0</v>
      </c>
      <c r="N121" s="6">
        <f t="shared" si="28"/>
        <v>0</v>
      </c>
      <c r="O121" s="6">
        <f t="shared" si="28"/>
        <v>0</v>
      </c>
      <c r="P121" s="13">
        <f t="shared" si="28"/>
        <v>0</v>
      </c>
      <c r="Q121" s="8">
        <f t="shared" si="29"/>
        <v>0</v>
      </c>
      <c r="R121" s="6">
        <f t="shared" si="29"/>
        <v>0</v>
      </c>
      <c r="S121" s="6">
        <f t="shared" si="29"/>
        <v>0</v>
      </c>
      <c r="T121" s="6">
        <f t="shared" si="29"/>
        <v>0</v>
      </c>
      <c r="U121" s="13">
        <f t="shared" si="29"/>
        <v>0</v>
      </c>
      <c r="V121" s="8">
        <f t="shared" si="30"/>
        <v>0</v>
      </c>
      <c r="W121" s="6">
        <f t="shared" si="30"/>
        <v>0</v>
      </c>
      <c r="X121" s="6">
        <f t="shared" si="30"/>
        <v>0</v>
      </c>
      <c r="Y121" s="6">
        <f t="shared" si="30"/>
        <v>0</v>
      </c>
      <c r="Z121" s="13">
        <f t="shared" si="30"/>
        <v>0</v>
      </c>
      <c r="AA121" s="8">
        <f t="shared" si="30"/>
        <v>0</v>
      </c>
      <c r="AB121" s="6">
        <f t="shared" si="30"/>
        <v>0</v>
      </c>
      <c r="AC121" s="6">
        <f t="shared" si="30"/>
        <v>0</v>
      </c>
      <c r="AD121" s="6">
        <f t="shared" si="30"/>
        <v>0</v>
      </c>
      <c r="AE121" s="13">
        <f t="shared" si="30"/>
        <v>0</v>
      </c>
      <c r="AF121" s="16">
        <f t="shared" si="31"/>
        <v>7500</v>
      </c>
      <c r="AG121" s="16">
        <f t="shared" si="32"/>
        <v>10</v>
      </c>
      <c r="AH121" s="15" t="str">
        <f>P2</f>
        <v>AG</v>
      </c>
      <c r="AI121" s="8">
        <f>Q2</f>
        <v>1000</v>
      </c>
      <c r="AJ121" s="6">
        <f>R2</f>
        <v>10</v>
      </c>
      <c r="AK121" s="6" t="str">
        <f>S2</f>
        <v>Y</v>
      </c>
      <c r="AL121" s="13" t="str">
        <f>T2</f>
        <v>3L</v>
      </c>
      <c r="AN121" s="15">
        <f>P3</f>
        <v>0</v>
      </c>
      <c r="AO121" s="8">
        <f>Q3</f>
        <v>0</v>
      </c>
      <c r="AP121" s="6">
        <f>R3</f>
        <v>0</v>
      </c>
      <c r="AQ121" s="6">
        <f>S3</f>
        <v>0</v>
      </c>
      <c r="AR121" s="13">
        <f>T3</f>
        <v>0</v>
      </c>
      <c r="AT121" s="15">
        <f>P4</f>
        <v>0</v>
      </c>
      <c r="AU121" s="8">
        <f>Q4</f>
        <v>0</v>
      </c>
      <c r="AV121" s="6">
        <f>R4</f>
        <v>0</v>
      </c>
      <c r="AW121" s="6">
        <f>S4</f>
        <v>0</v>
      </c>
      <c r="AX121" s="13">
        <f>T4</f>
        <v>0</v>
      </c>
      <c r="AZ121" s="15">
        <f>P5</f>
        <v>0</v>
      </c>
      <c r="BA121" s="8">
        <f>Q5</f>
        <v>0</v>
      </c>
      <c r="BB121" s="6">
        <f>R5</f>
        <v>0</v>
      </c>
      <c r="BC121" s="6">
        <f>S5</f>
        <v>0</v>
      </c>
      <c r="BD121" s="13">
        <f>T5</f>
        <v>0</v>
      </c>
      <c r="BF121" s="15">
        <f>P6</f>
        <v>0</v>
      </c>
      <c r="BG121" s="8">
        <f>Q6</f>
        <v>0</v>
      </c>
      <c r="BH121" s="6">
        <f>R6</f>
        <v>0</v>
      </c>
      <c r="BI121" s="6">
        <f>S6</f>
        <v>0</v>
      </c>
      <c r="BJ121" s="13">
        <f>T6</f>
        <v>0</v>
      </c>
    </row>
    <row r="122" spans="1:62" x14ac:dyDescent="0.25">
      <c r="A122" s="15">
        <v>1000</v>
      </c>
      <c r="B122" s="8">
        <f t="shared" si="26"/>
        <v>0</v>
      </c>
      <c r="C122" s="6">
        <f t="shared" si="26"/>
        <v>10</v>
      </c>
      <c r="D122" s="6">
        <f t="shared" si="26"/>
        <v>0</v>
      </c>
      <c r="E122" s="6">
        <f t="shared" si="26"/>
        <v>0</v>
      </c>
      <c r="F122" s="13">
        <f t="shared" si="26"/>
        <v>0</v>
      </c>
      <c r="G122" s="8">
        <f t="shared" si="27"/>
        <v>0</v>
      </c>
      <c r="H122" s="6">
        <f t="shared" si="27"/>
        <v>0</v>
      </c>
      <c r="I122" s="6">
        <f t="shared" si="27"/>
        <v>0</v>
      </c>
      <c r="J122" s="6">
        <f t="shared" si="27"/>
        <v>0</v>
      </c>
      <c r="K122" s="13">
        <f t="shared" si="27"/>
        <v>0</v>
      </c>
      <c r="L122" s="8">
        <f t="shared" si="28"/>
        <v>0</v>
      </c>
      <c r="M122" s="6">
        <f t="shared" si="28"/>
        <v>0</v>
      </c>
      <c r="N122" s="6">
        <f t="shared" si="28"/>
        <v>0</v>
      </c>
      <c r="O122" s="6">
        <f t="shared" si="28"/>
        <v>0</v>
      </c>
      <c r="P122" s="13">
        <f t="shared" si="28"/>
        <v>0</v>
      </c>
      <c r="Q122" s="8">
        <f t="shared" si="29"/>
        <v>0</v>
      </c>
      <c r="R122" s="6">
        <f t="shared" si="29"/>
        <v>0</v>
      </c>
      <c r="S122" s="6">
        <f t="shared" si="29"/>
        <v>0</v>
      </c>
      <c r="T122" s="6">
        <f t="shared" si="29"/>
        <v>0</v>
      </c>
      <c r="U122" s="13">
        <f t="shared" si="29"/>
        <v>0</v>
      </c>
      <c r="V122" s="8">
        <f t="shared" si="30"/>
        <v>0</v>
      </c>
      <c r="W122" s="6">
        <f t="shared" si="30"/>
        <v>0</v>
      </c>
      <c r="X122" s="6">
        <f t="shared" si="30"/>
        <v>0</v>
      </c>
      <c r="Y122" s="6">
        <f t="shared" si="30"/>
        <v>0</v>
      </c>
      <c r="Z122" s="13">
        <f t="shared" si="30"/>
        <v>0</v>
      </c>
      <c r="AA122" s="8">
        <f t="shared" si="30"/>
        <v>0</v>
      </c>
      <c r="AB122" s="6">
        <f t="shared" si="30"/>
        <v>0</v>
      </c>
      <c r="AC122" s="6">
        <f t="shared" si="30"/>
        <v>0</v>
      </c>
      <c r="AD122" s="6">
        <f t="shared" si="30"/>
        <v>0</v>
      </c>
      <c r="AE122" s="13">
        <f t="shared" si="30"/>
        <v>0</v>
      </c>
      <c r="AF122" s="16">
        <f t="shared" si="31"/>
        <v>10000</v>
      </c>
      <c r="AG122" s="16">
        <f t="shared" si="32"/>
        <v>10</v>
      </c>
      <c r="AH122" s="15" t="str">
        <f>V2</f>
        <v>AG</v>
      </c>
      <c r="AI122" s="8">
        <f>W2</f>
        <v>750</v>
      </c>
      <c r="AJ122" s="6">
        <f>X2</f>
        <v>10</v>
      </c>
      <c r="AK122" s="6" t="str">
        <f>Y2</f>
        <v>Y</v>
      </c>
      <c r="AL122" s="13" t="str">
        <f>Z2</f>
        <v>3L</v>
      </c>
      <c r="AN122" s="15">
        <f>V3</f>
        <v>0</v>
      </c>
      <c r="AO122" s="8">
        <f>W3</f>
        <v>0</v>
      </c>
      <c r="AP122" s="6">
        <f>X3</f>
        <v>0</v>
      </c>
      <c r="AQ122" s="6">
        <f>Y3</f>
        <v>0</v>
      </c>
      <c r="AR122" s="13">
        <f>Z3</f>
        <v>0</v>
      </c>
      <c r="AT122" s="15">
        <f>V4</f>
        <v>0</v>
      </c>
      <c r="AU122" s="8">
        <f>W4</f>
        <v>0</v>
      </c>
      <c r="AV122" s="6">
        <f>X4</f>
        <v>0</v>
      </c>
      <c r="AW122" s="6">
        <f>Y4</f>
        <v>0</v>
      </c>
      <c r="AX122" s="13">
        <f>Z4</f>
        <v>0</v>
      </c>
      <c r="AZ122" s="15">
        <f>V5</f>
        <v>0</v>
      </c>
      <c r="BA122" s="8">
        <f>W5</f>
        <v>0</v>
      </c>
      <c r="BB122" s="6">
        <f>X5</f>
        <v>0</v>
      </c>
      <c r="BC122" s="6">
        <f>Y5</f>
        <v>0</v>
      </c>
      <c r="BD122" s="13">
        <f>Z5</f>
        <v>0</v>
      </c>
      <c r="BF122" s="15">
        <f>V6</f>
        <v>0</v>
      </c>
      <c r="BG122" s="8">
        <f>W6</f>
        <v>0</v>
      </c>
      <c r="BH122" s="6">
        <f>X6</f>
        <v>0</v>
      </c>
      <c r="BI122" s="6">
        <f>Y6</f>
        <v>0</v>
      </c>
      <c r="BJ122" s="13">
        <f>Z6</f>
        <v>0</v>
      </c>
    </row>
    <row r="123" spans="1:62" x14ac:dyDescent="0.25">
      <c r="A123" s="15">
        <v>1500</v>
      </c>
      <c r="B123" s="8">
        <f t="shared" si="26"/>
        <v>0</v>
      </c>
      <c r="C123" s="6">
        <f t="shared" si="26"/>
        <v>8</v>
      </c>
      <c r="D123" s="6">
        <f t="shared" si="26"/>
        <v>0</v>
      </c>
      <c r="E123" s="6">
        <f t="shared" si="26"/>
        <v>0</v>
      </c>
      <c r="F123" s="13">
        <f t="shared" si="26"/>
        <v>0</v>
      </c>
      <c r="G123" s="8">
        <f t="shared" si="27"/>
        <v>0</v>
      </c>
      <c r="H123" s="6">
        <f t="shared" si="27"/>
        <v>0</v>
      </c>
      <c r="I123" s="6">
        <f t="shared" si="27"/>
        <v>0</v>
      </c>
      <c r="J123" s="6">
        <f t="shared" si="27"/>
        <v>0</v>
      </c>
      <c r="K123" s="13">
        <f t="shared" si="27"/>
        <v>0</v>
      </c>
      <c r="L123" s="8">
        <f t="shared" si="28"/>
        <v>0</v>
      </c>
      <c r="M123" s="6">
        <f t="shared" si="28"/>
        <v>0</v>
      </c>
      <c r="N123" s="6">
        <f t="shared" si="28"/>
        <v>0</v>
      </c>
      <c r="O123" s="6">
        <f t="shared" si="28"/>
        <v>0</v>
      </c>
      <c r="P123" s="13">
        <f t="shared" si="28"/>
        <v>0</v>
      </c>
      <c r="Q123" s="8">
        <f t="shared" si="29"/>
        <v>0</v>
      </c>
      <c r="R123" s="6">
        <f t="shared" si="29"/>
        <v>0</v>
      </c>
      <c r="S123" s="6">
        <f t="shared" si="29"/>
        <v>0</v>
      </c>
      <c r="T123" s="6">
        <f t="shared" si="29"/>
        <v>0</v>
      </c>
      <c r="U123" s="13">
        <f t="shared" si="29"/>
        <v>0</v>
      </c>
      <c r="V123" s="8">
        <f t="shared" si="30"/>
        <v>0</v>
      </c>
      <c r="W123" s="6">
        <f t="shared" si="30"/>
        <v>0</v>
      </c>
      <c r="X123" s="6">
        <f t="shared" si="30"/>
        <v>0</v>
      </c>
      <c r="Y123" s="6">
        <f t="shared" si="30"/>
        <v>0</v>
      </c>
      <c r="Z123" s="13">
        <f t="shared" si="30"/>
        <v>0</v>
      </c>
      <c r="AA123" s="8">
        <f t="shared" si="30"/>
        <v>0</v>
      </c>
      <c r="AB123" s="6">
        <f t="shared" si="30"/>
        <v>0</v>
      </c>
      <c r="AC123" s="6">
        <f t="shared" si="30"/>
        <v>0</v>
      </c>
      <c r="AD123" s="6">
        <f t="shared" si="30"/>
        <v>0</v>
      </c>
      <c r="AE123" s="13">
        <f t="shared" si="30"/>
        <v>0</v>
      </c>
      <c r="AF123" s="16">
        <f t="shared" si="31"/>
        <v>12000</v>
      </c>
      <c r="AG123" s="16">
        <f t="shared" si="32"/>
        <v>8</v>
      </c>
      <c r="AH123" s="15" t="str">
        <f>AB2</f>
        <v>AG</v>
      </c>
      <c r="AI123" s="8">
        <f>AC2</f>
        <v>500</v>
      </c>
      <c r="AJ123" s="6">
        <f>AD2</f>
        <v>20</v>
      </c>
      <c r="AK123" s="6" t="str">
        <f>AE2</f>
        <v>Y</v>
      </c>
      <c r="AL123" s="13" t="str">
        <f>AF2</f>
        <v>3L</v>
      </c>
      <c r="AN123" s="15">
        <f>AB3</f>
        <v>0</v>
      </c>
      <c r="AO123" s="8">
        <f>AC3</f>
        <v>0</v>
      </c>
      <c r="AP123" s="6">
        <f>AD3</f>
        <v>0</v>
      </c>
      <c r="AQ123" s="6">
        <f>AE3</f>
        <v>0</v>
      </c>
      <c r="AR123" s="13">
        <f>AF3</f>
        <v>0</v>
      </c>
      <c r="AT123" s="15">
        <f>AB4</f>
        <v>0</v>
      </c>
      <c r="AU123" s="8">
        <f>AC4</f>
        <v>0</v>
      </c>
      <c r="AV123" s="6">
        <f>AD4</f>
        <v>0</v>
      </c>
      <c r="AW123" s="6">
        <f>AE4</f>
        <v>0</v>
      </c>
      <c r="AX123" s="13">
        <f>AF4</f>
        <v>0</v>
      </c>
      <c r="AZ123" s="15">
        <f>AB5</f>
        <v>0</v>
      </c>
      <c r="BA123" s="8">
        <f>AC5</f>
        <v>0</v>
      </c>
      <c r="BB123" s="6">
        <f>AD5</f>
        <v>0</v>
      </c>
      <c r="BC123" s="6">
        <f>AE5</f>
        <v>0</v>
      </c>
      <c r="BD123" s="13">
        <f>AF5</f>
        <v>0</v>
      </c>
      <c r="BF123" s="15">
        <f>AB6</f>
        <v>0</v>
      </c>
      <c r="BG123" s="8">
        <f>AC6</f>
        <v>0</v>
      </c>
      <c r="BH123" s="6">
        <f>AD6</f>
        <v>0</v>
      </c>
      <c r="BI123" s="6">
        <f>AE6</f>
        <v>0</v>
      </c>
      <c r="BJ123" s="13">
        <f>AF6</f>
        <v>0</v>
      </c>
    </row>
    <row r="124" spans="1:62" x14ac:dyDescent="0.25">
      <c r="A124" s="15">
        <v>2000</v>
      </c>
      <c r="B124" s="8">
        <f t="shared" si="26"/>
        <v>0</v>
      </c>
      <c r="C124" s="6">
        <f t="shared" si="26"/>
        <v>0</v>
      </c>
      <c r="D124" s="6">
        <f t="shared" si="26"/>
        <v>0</v>
      </c>
      <c r="E124" s="6">
        <f t="shared" si="26"/>
        <v>0</v>
      </c>
      <c r="F124" s="13">
        <f t="shared" si="26"/>
        <v>0</v>
      </c>
      <c r="G124" s="8">
        <f t="shared" si="27"/>
        <v>0</v>
      </c>
      <c r="H124" s="6">
        <f t="shared" si="27"/>
        <v>0</v>
      </c>
      <c r="I124" s="6">
        <f t="shared" si="27"/>
        <v>0</v>
      </c>
      <c r="J124" s="6">
        <f t="shared" si="27"/>
        <v>0</v>
      </c>
      <c r="K124" s="13">
        <f t="shared" si="27"/>
        <v>0</v>
      </c>
      <c r="L124" s="8">
        <f t="shared" si="28"/>
        <v>0</v>
      </c>
      <c r="M124" s="6">
        <f t="shared" si="28"/>
        <v>0</v>
      </c>
      <c r="N124" s="6">
        <f t="shared" si="28"/>
        <v>0</v>
      </c>
      <c r="O124" s="6">
        <f t="shared" si="28"/>
        <v>0</v>
      </c>
      <c r="P124" s="13">
        <f t="shared" si="28"/>
        <v>0</v>
      </c>
      <c r="Q124" s="8">
        <f t="shared" si="29"/>
        <v>0</v>
      </c>
      <c r="R124" s="6">
        <f t="shared" si="29"/>
        <v>0</v>
      </c>
      <c r="S124" s="6">
        <f t="shared" si="29"/>
        <v>0</v>
      </c>
      <c r="T124" s="6">
        <f t="shared" si="29"/>
        <v>0</v>
      </c>
      <c r="U124" s="13">
        <f t="shared" si="29"/>
        <v>0</v>
      </c>
      <c r="V124" s="8">
        <f t="shared" si="30"/>
        <v>0</v>
      </c>
      <c r="W124" s="6">
        <f t="shared" si="30"/>
        <v>0</v>
      </c>
      <c r="X124" s="6">
        <f t="shared" si="30"/>
        <v>0</v>
      </c>
      <c r="Y124" s="6">
        <f t="shared" si="30"/>
        <v>0</v>
      </c>
      <c r="Z124" s="13">
        <f t="shared" si="30"/>
        <v>0</v>
      </c>
      <c r="AA124" s="8">
        <f t="shared" si="30"/>
        <v>0</v>
      </c>
      <c r="AB124" s="6">
        <f t="shared" si="30"/>
        <v>0</v>
      </c>
      <c r="AC124" s="6">
        <f t="shared" si="30"/>
        <v>0</v>
      </c>
      <c r="AD124" s="6">
        <f t="shared" si="30"/>
        <v>0</v>
      </c>
      <c r="AE124" s="13">
        <f t="shared" si="30"/>
        <v>0</v>
      </c>
      <c r="AF124" s="16">
        <f t="shared" si="31"/>
        <v>0</v>
      </c>
      <c r="AG124" s="16">
        <f t="shared" si="32"/>
        <v>0</v>
      </c>
      <c r="AH124" s="15">
        <f>AH2</f>
        <v>0</v>
      </c>
      <c r="AI124" s="8">
        <f>AI2</f>
        <v>0</v>
      </c>
      <c r="AJ124" s="6">
        <f>AJ2</f>
        <v>0</v>
      </c>
      <c r="AK124" s="6">
        <f>AK2</f>
        <v>0</v>
      </c>
      <c r="AL124" s="13">
        <f>AL2</f>
        <v>0</v>
      </c>
      <c r="AN124" s="15">
        <f>AH3</f>
        <v>0</v>
      </c>
      <c r="AO124" s="8">
        <f>AI3</f>
        <v>0</v>
      </c>
      <c r="AP124" s="6">
        <f>AJ3</f>
        <v>0</v>
      </c>
      <c r="AQ124" s="6">
        <f>AK3</f>
        <v>0</v>
      </c>
      <c r="AR124" s="13">
        <f>AL3</f>
        <v>0</v>
      </c>
      <c r="AT124" s="15">
        <f>AH4</f>
        <v>0</v>
      </c>
      <c r="AU124" s="8">
        <f>AI4</f>
        <v>0</v>
      </c>
      <c r="AV124" s="6">
        <f>AJ4</f>
        <v>0</v>
      </c>
      <c r="AW124" s="6">
        <f>AK4</f>
        <v>0</v>
      </c>
      <c r="AX124" s="13">
        <f>AL4</f>
        <v>0</v>
      </c>
      <c r="AZ124" s="15">
        <f>AH5</f>
        <v>0</v>
      </c>
      <c r="BA124" s="8">
        <f>AI5</f>
        <v>0</v>
      </c>
      <c r="BB124" s="6">
        <f>AJ5</f>
        <v>0</v>
      </c>
      <c r="BC124" s="6">
        <f>AK5</f>
        <v>0</v>
      </c>
      <c r="BD124" s="13">
        <f>AL5</f>
        <v>0</v>
      </c>
      <c r="BF124" s="15">
        <f>AH6</f>
        <v>0</v>
      </c>
      <c r="BG124" s="8">
        <f>AI6</f>
        <v>0</v>
      </c>
      <c r="BH124" s="6">
        <f>AJ6</f>
        <v>0</v>
      </c>
      <c r="BI124" s="6">
        <f>AK6</f>
        <v>0</v>
      </c>
      <c r="BJ124" s="13">
        <f>AL6</f>
        <v>0</v>
      </c>
    </row>
    <row r="125" spans="1:62" x14ac:dyDescent="0.25">
      <c r="A125" s="15">
        <v>3000</v>
      </c>
      <c r="B125" s="8">
        <f t="shared" si="26"/>
        <v>0</v>
      </c>
      <c r="C125" s="6">
        <f t="shared" si="26"/>
        <v>0</v>
      </c>
      <c r="D125" s="6">
        <f t="shared" si="26"/>
        <v>0</v>
      </c>
      <c r="E125" s="6">
        <f t="shared" si="26"/>
        <v>0</v>
      </c>
      <c r="F125" s="13">
        <f t="shared" si="26"/>
        <v>0</v>
      </c>
      <c r="G125" s="8">
        <f t="shared" si="27"/>
        <v>0</v>
      </c>
      <c r="H125" s="6">
        <f t="shared" si="27"/>
        <v>0</v>
      </c>
      <c r="I125" s="6">
        <f t="shared" si="27"/>
        <v>0</v>
      </c>
      <c r="J125" s="6">
        <f t="shared" si="27"/>
        <v>0</v>
      </c>
      <c r="K125" s="13">
        <f t="shared" si="27"/>
        <v>0</v>
      </c>
      <c r="L125" s="8">
        <f t="shared" si="28"/>
        <v>0</v>
      </c>
      <c r="M125" s="6">
        <f t="shared" si="28"/>
        <v>0</v>
      </c>
      <c r="N125" s="6">
        <f t="shared" si="28"/>
        <v>0</v>
      </c>
      <c r="O125" s="6">
        <f t="shared" si="28"/>
        <v>0</v>
      </c>
      <c r="P125" s="13">
        <f t="shared" si="28"/>
        <v>0</v>
      </c>
      <c r="Q125" s="8">
        <f t="shared" si="29"/>
        <v>0</v>
      </c>
      <c r="R125" s="6">
        <f t="shared" si="29"/>
        <v>0</v>
      </c>
      <c r="S125" s="6">
        <f t="shared" si="29"/>
        <v>0</v>
      </c>
      <c r="T125" s="6">
        <f t="shared" si="29"/>
        <v>0</v>
      </c>
      <c r="U125" s="13">
        <f t="shared" si="29"/>
        <v>0</v>
      </c>
      <c r="V125" s="8">
        <f t="shared" si="30"/>
        <v>0</v>
      </c>
      <c r="W125" s="6">
        <f t="shared" si="30"/>
        <v>0</v>
      </c>
      <c r="X125" s="6">
        <f t="shared" si="30"/>
        <v>0</v>
      </c>
      <c r="Y125" s="6">
        <f t="shared" si="30"/>
        <v>0</v>
      </c>
      <c r="Z125" s="13">
        <f t="shared" si="30"/>
        <v>0</v>
      </c>
      <c r="AA125" s="8">
        <f t="shared" si="30"/>
        <v>0</v>
      </c>
      <c r="AB125" s="6">
        <f t="shared" si="30"/>
        <v>0</v>
      </c>
      <c r="AC125" s="6">
        <f t="shared" si="30"/>
        <v>0</v>
      </c>
      <c r="AD125" s="6">
        <f t="shared" si="30"/>
        <v>0</v>
      </c>
      <c r="AE125" s="13">
        <f t="shared" si="30"/>
        <v>0</v>
      </c>
      <c r="AF125" s="16">
        <f t="shared" si="31"/>
        <v>0</v>
      </c>
      <c r="AG125" s="16">
        <f t="shared" si="32"/>
        <v>0</v>
      </c>
      <c r="AH125" s="15">
        <f>AN2</f>
        <v>0</v>
      </c>
      <c r="AI125" s="8">
        <f>AO2</f>
        <v>0</v>
      </c>
      <c r="AJ125" s="6">
        <f>AP2</f>
        <v>0</v>
      </c>
      <c r="AK125" s="6">
        <f>AQ2</f>
        <v>0</v>
      </c>
      <c r="AL125" s="13">
        <f>AR2</f>
        <v>0</v>
      </c>
      <c r="AN125" s="15">
        <f>AN3</f>
        <v>0</v>
      </c>
      <c r="AO125" s="8">
        <f>AO3</f>
        <v>0</v>
      </c>
      <c r="AP125" s="6">
        <f>AP3</f>
        <v>0</v>
      </c>
      <c r="AQ125" s="6">
        <f>AQ3</f>
        <v>0</v>
      </c>
      <c r="AR125" s="13">
        <f>AR3</f>
        <v>0</v>
      </c>
      <c r="AT125" s="15">
        <f>AN4</f>
        <v>0</v>
      </c>
      <c r="AU125" s="8">
        <f>AO4</f>
        <v>0</v>
      </c>
      <c r="AV125" s="6">
        <f>AP4</f>
        <v>0</v>
      </c>
      <c r="AW125" s="6">
        <f>AQ4</f>
        <v>0</v>
      </c>
      <c r="AX125" s="13">
        <f>AR4</f>
        <v>0</v>
      </c>
      <c r="AZ125" s="15">
        <f>AN5</f>
        <v>0</v>
      </c>
      <c r="BA125" s="8">
        <f>AO5</f>
        <v>0</v>
      </c>
      <c r="BB125" s="6">
        <f>AP5</f>
        <v>0</v>
      </c>
      <c r="BC125" s="6">
        <f>AQ5</f>
        <v>0</v>
      </c>
      <c r="BD125" s="13">
        <f>AR5</f>
        <v>0</v>
      </c>
      <c r="BF125" s="15">
        <f>AN6</f>
        <v>0</v>
      </c>
      <c r="BG125" s="8">
        <f>AO6</f>
        <v>0</v>
      </c>
      <c r="BH125" s="6">
        <f>AP6</f>
        <v>0</v>
      </c>
      <c r="BI125" s="6">
        <f>AQ6</f>
        <v>0</v>
      </c>
      <c r="BJ125" s="13">
        <f>AR6</f>
        <v>0</v>
      </c>
    </row>
    <row r="126" spans="1:62" x14ac:dyDescent="0.25">
      <c r="A126" s="15">
        <v>5000</v>
      </c>
      <c r="B126" s="8">
        <f t="shared" si="26"/>
        <v>0</v>
      </c>
      <c r="C126" s="6">
        <f t="shared" si="26"/>
        <v>0</v>
      </c>
      <c r="D126" s="6">
        <f t="shared" si="26"/>
        <v>0</v>
      </c>
      <c r="E126" s="6">
        <f t="shared" si="26"/>
        <v>0</v>
      </c>
      <c r="F126" s="13">
        <f t="shared" si="26"/>
        <v>0</v>
      </c>
      <c r="G126" s="8">
        <f t="shared" si="27"/>
        <v>0</v>
      </c>
      <c r="H126" s="6">
        <f t="shared" si="27"/>
        <v>0</v>
      </c>
      <c r="I126" s="6">
        <f t="shared" si="27"/>
        <v>0</v>
      </c>
      <c r="J126" s="6">
        <f t="shared" si="27"/>
        <v>0</v>
      </c>
      <c r="K126" s="13">
        <f t="shared" si="27"/>
        <v>0</v>
      </c>
      <c r="L126" s="8">
        <f t="shared" si="28"/>
        <v>0</v>
      </c>
      <c r="M126" s="6">
        <f t="shared" si="28"/>
        <v>0</v>
      </c>
      <c r="N126" s="6">
        <f t="shared" si="28"/>
        <v>0</v>
      </c>
      <c r="O126" s="6">
        <f t="shared" si="28"/>
        <v>0</v>
      </c>
      <c r="P126" s="13">
        <f t="shared" si="28"/>
        <v>0</v>
      </c>
      <c r="Q126" s="8">
        <f t="shared" si="29"/>
        <v>0</v>
      </c>
      <c r="R126" s="6">
        <f t="shared" si="29"/>
        <v>0</v>
      </c>
      <c r="S126" s="6">
        <f t="shared" si="29"/>
        <v>0</v>
      </c>
      <c r="T126" s="6">
        <f t="shared" si="29"/>
        <v>0</v>
      </c>
      <c r="U126" s="13">
        <f t="shared" si="29"/>
        <v>0</v>
      </c>
      <c r="V126" s="8">
        <f t="shared" si="30"/>
        <v>0</v>
      </c>
      <c r="W126" s="6">
        <f t="shared" si="30"/>
        <v>0</v>
      </c>
      <c r="X126" s="6">
        <f t="shared" si="30"/>
        <v>0</v>
      </c>
      <c r="Y126" s="6">
        <f t="shared" si="30"/>
        <v>0</v>
      </c>
      <c r="Z126" s="13">
        <f t="shared" si="30"/>
        <v>0</v>
      </c>
      <c r="AA126" s="8">
        <f t="shared" si="30"/>
        <v>0</v>
      </c>
      <c r="AB126" s="6">
        <f t="shared" si="30"/>
        <v>0</v>
      </c>
      <c r="AC126" s="6">
        <f t="shared" si="30"/>
        <v>0</v>
      </c>
      <c r="AD126" s="6">
        <f t="shared" si="30"/>
        <v>0</v>
      </c>
      <c r="AE126" s="13">
        <f t="shared" si="30"/>
        <v>0</v>
      </c>
      <c r="AF126" s="16">
        <f t="shared" si="31"/>
        <v>0</v>
      </c>
      <c r="AG126" s="16">
        <f t="shared" si="32"/>
        <v>0</v>
      </c>
      <c r="AH126" s="15">
        <f>AT2</f>
        <v>0</v>
      </c>
      <c r="AI126" s="8">
        <f>AU2</f>
        <v>0</v>
      </c>
      <c r="AJ126" s="6">
        <f>AV2</f>
        <v>0</v>
      </c>
      <c r="AK126" s="6">
        <f>AW2</f>
        <v>0</v>
      </c>
      <c r="AL126" s="13">
        <f>AX2</f>
        <v>0</v>
      </c>
      <c r="AN126" s="15">
        <f>AT3</f>
        <v>0</v>
      </c>
      <c r="AO126" s="8">
        <f>AU3</f>
        <v>0</v>
      </c>
      <c r="AP126" s="6">
        <f>AV3</f>
        <v>0</v>
      </c>
      <c r="AQ126" s="6">
        <f>AW3</f>
        <v>0</v>
      </c>
      <c r="AR126" s="13">
        <f>AX3</f>
        <v>0</v>
      </c>
      <c r="AT126" s="15">
        <f>AT4</f>
        <v>0</v>
      </c>
      <c r="AU126" s="8">
        <f>AU4</f>
        <v>0</v>
      </c>
      <c r="AV126" s="6">
        <f>AV4</f>
        <v>0</v>
      </c>
      <c r="AW126" s="6">
        <f>AW4</f>
        <v>0</v>
      </c>
      <c r="AX126" s="13">
        <f>AX4</f>
        <v>0</v>
      </c>
      <c r="AZ126" s="15">
        <f>AT5</f>
        <v>0</v>
      </c>
      <c r="BA126" s="8">
        <f>AU5</f>
        <v>0</v>
      </c>
      <c r="BB126" s="6">
        <f>AV5</f>
        <v>0</v>
      </c>
      <c r="BC126" s="6">
        <f>AW5</f>
        <v>0</v>
      </c>
      <c r="BD126" s="13">
        <f>AX5</f>
        <v>0</v>
      </c>
      <c r="BF126" s="15">
        <f>AT6</f>
        <v>0</v>
      </c>
      <c r="BG126" s="8">
        <f>AU6</f>
        <v>0</v>
      </c>
      <c r="BH126" s="6">
        <f>AV6</f>
        <v>0</v>
      </c>
      <c r="BI126" s="6">
        <f>AW6</f>
        <v>0</v>
      </c>
      <c r="BJ126" s="13">
        <f>AX6</f>
        <v>0</v>
      </c>
    </row>
    <row r="127" spans="1:62" ht="15.75" thickBot="1" x14ac:dyDescent="0.3">
      <c r="A127" s="59">
        <v>10000</v>
      </c>
      <c r="B127" s="31">
        <f t="shared" si="26"/>
        <v>0</v>
      </c>
      <c r="C127" s="32">
        <f t="shared" si="26"/>
        <v>0</v>
      </c>
      <c r="D127" s="32">
        <f t="shared" si="26"/>
        <v>0</v>
      </c>
      <c r="E127" s="32">
        <f t="shared" si="26"/>
        <v>0</v>
      </c>
      <c r="F127" s="33">
        <f t="shared" si="26"/>
        <v>0</v>
      </c>
      <c r="G127" s="31">
        <f t="shared" si="27"/>
        <v>0</v>
      </c>
      <c r="H127" s="32">
        <f t="shared" si="27"/>
        <v>0</v>
      </c>
      <c r="I127" s="32">
        <f t="shared" si="27"/>
        <v>0</v>
      </c>
      <c r="J127" s="32">
        <f t="shared" si="27"/>
        <v>0</v>
      </c>
      <c r="K127" s="33">
        <f t="shared" si="27"/>
        <v>0</v>
      </c>
      <c r="L127" s="31">
        <f t="shared" si="28"/>
        <v>0</v>
      </c>
      <c r="M127" s="32">
        <f t="shared" si="28"/>
        <v>0</v>
      </c>
      <c r="N127" s="32">
        <f t="shared" si="28"/>
        <v>0</v>
      </c>
      <c r="O127" s="32">
        <f t="shared" si="28"/>
        <v>0</v>
      </c>
      <c r="P127" s="33">
        <f t="shared" si="28"/>
        <v>0</v>
      </c>
      <c r="Q127" s="31">
        <f t="shared" si="29"/>
        <v>0</v>
      </c>
      <c r="R127" s="32">
        <f t="shared" si="29"/>
        <v>0</v>
      </c>
      <c r="S127" s="32">
        <f t="shared" si="29"/>
        <v>0</v>
      </c>
      <c r="T127" s="32">
        <f t="shared" si="29"/>
        <v>0</v>
      </c>
      <c r="U127" s="33">
        <f t="shared" si="29"/>
        <v>0</v>
      </c>
      <c r="V127" s="31">
        <f t="shared" si="30"/>
        <v>0</v>
      </c>
      <c r="W127" s="32">
        <f t="shared" si="30"/>
        <v>0</v>
      </c>
      <c r="X127" s="32">
        <f t="shared" si="30"/>
        <v>0</v>
      </c>
      <c r="Y127" s="32">
        <f t="shared" si="30"/>
        <v>0</v>
      </c>
      <c r="Z127" s="33">
        <f t="shared" si="30"/>
        <v>0</v>
      </c>
      <c r="AA127" s="31">
        <f t="shared" si="30"/>
        <v>0</v>
      </c>
      <c r="AB127" s="32">
        <f t="shared" si="30"/>
        <v>0</v>
      </c>
      <c r="AC127" s="32">
        <f t="shared" si="30"/>
        <v>0</v>
      </c>
      <c r="AD127" s="32">
        <f t="shared" si="30"/>
        <v>0</v>
      </c>
      <c r="AE127" s="33">
        <f t="shared" si="30"/>
        <v>0</v>
      </c>
      <c r="AF127" s="16">
        <f t="shared" si="31"/>
        <v>0</v>
      </c>
      <c r="AG127" s="43">
        <f t="shared" si="32"/>
        <v>0</v>
      </c>
      <c r="AH127" s="15">
        <f>AZ2</f>
        <v>0</v>
      </c>
      <c r="AI127" s="8">
        <f>BA2</f>
        <v>0</v>
      </c>
      <c r="AJ127" s="6">
        <f>BB2</f>
        <v>0</v>
      </c>
      <c r="AK127" s="6">
        <f>BC2</f>
        <v>0</v>
      </c>
      <c r="AL127" s="13">
        <f>BD2</f>
        <v>0</v>
      </c>
      <c r="AN127" s="15">
        <f>AZ3</f>
        <v>0</v>
      </c>
      <c r="AO127" s="8">
        <f>BA3</f>
        <v>0</v>
      </c>
      <c r="AP127" s="6">
        <f>BB3</f>
        <v>0</v>
      </c>
      <c r="AQ127" s="6">
        <f>BC3</f>
        <v>0</v>
      </c>
      <c r="AR127" s="13">
        <f>BD3</f>
        <v>0</v>
      </c>
      <c r="AT127" s="15">
        <f>AZ4</f>
        <v>0</v>
      </c>
      <c r="AU127" s="8">
        <f>BA4</f>
        <v>0</v>
      </c>
      <c r="AV127" s="6">
        <f>BB4</f>
        <v>0</v>
      </c>
      <c r="AW127" s="6">
        <f>BC4</f>
        <v>0</v>
      </c>
      <c r="AX127" s="13">
        <f>BD4</f>
        <v>0</v>
      </c>
      <c r="AZ127" s="15">
        <f>AZ5</f>
        <v>0</v>
      </c>
      <c r="BA127" s="8">
        <f>BA5</f>
        <v>0</v>
      </c>
      <c r="BB127" s="6">
        <f>BB5</f>
        <v>0</v>
      </c>
      <c r="BC127" s="6">
        <f>BC5</f>
        <v>0</v>
      </c>
      <c r="BD127" s="13">
        <f>BD5</f>
        <v>0</v>
      </c>
      <c r="BF127" s="15">
        <f>AZ6</f>
        <v>0</v>
      </c>
      <c r="BG127" s="8">
        <f>BA6</f>
        <v>0</v>
      </c>
      <c r="BH127" s="6">
        <f>BB6</f>
        <v>0</v>
      </c>
      <c r="BI127" s="6">
        <f>BC6</f>
        <v>0</v>
      </c>
      <c r="BJ127" s="13">
        <f>BD6</f>
        <v>0</v>
      </c>
    </row>
    <row r="128" spans="1:62" ht="15.75" thickBot="1" x14ac:dyDescent="0.3">
      <c r="A128" s="35"/>
      <c r="B128" s="60">
        <f t="shared" ref="B128:AG128" si="33">SUM(B119:B127)</f>
        <v>0</v>
      </c>
      <c r="C128" s="61">
        <f t="shared" si="33"/>
        <v>48</v>
      </c>
      <c r="D128" s="61">
        <f t="shared" si="33"/>
        <v>0</v>
      </c>
      <c r="E128" s="61">
        <f t="shared" si="33"/>
        <v>0</v>
      </c>
      <c r="F128" s="62">
        <f t="shared" si="33"/>
        <v>0</v>
      </c>
      <c r="G128" s="60">
        <f t="shared" si="33"/>
        <v>0</v>
      </c>
      <c r="H128" s="61">
        <f t="shared" si="33"/>
        <v>0</v>
      </c>
      <c r="I128" s="61">
        <f t="shared" si="33"/>
        <v>0</v>
      </c>
      <c r="J128" s="61">
        <f t="shared" si="33"/>
        <v>0</v>
      </c>
      <c r="K128" s="62">
        <f t="shared" si="33"/>
        <v>0</v>
      </c>
      <c r="L128" s="60">
        <f t="shared" si="33"/>
        <v>0</v>
      </c>
      <c r="M128" s="61">
        <f t="shared" si="33"/>
        <v>0</v>
      </c>
      <c r="N128" s="61">
        <f t="shared" si="33"/>
        <v>0</v>
      </c>
      <c r="O128" s="61">
        <f t="shared" si="33"/>
        <v>0</v>
      </c>
      <c r="P128" s="62">
        <f t="shared" si="33"/>
        <v>0</v>
      </c>
      <c r="Q128" s="60">
        <f t="shared" si="33"/>
        <v>0</v>
      </c>
      <c r="R128" s="61">
        <f t="shared" si="33"/>
        <v>0</v>
      </c>
      <c r="S128" s="61">
        <f t="shared" si="33"/>
        <v>0</v>
      </c>
      <c r="T128" s="61">
        <f t="shared" si="33"/>
        <v>0</v>
      </c>
      <c r="U128" s="62">
        <f t="shared" si="33"/>
        <v>0</v>
      </c>
      <c r="V128" s="60">
        <f t="shared" si="33"/>
        <v>0</v>
      </c>
      <c r="W128" s="61">
        <f t="shared" si="33"/>
        <v>0</v>
      </c>
      <c r="X128" s="61">
        <f t="shared" si="33"/>
        <v>0</v>
      </c>
      <c r="Y128" s="61">
        <f t="shared" si="33"/>
        <v>0</v>
      </c>
      <c r="Z128" s="62">
        <f t="shared" si="33"/>
        <v>0</v>
      </c>
      <c r="AA128" s="60">
        <f t="shared" si="33"/>
        <v>0</v>
      </c>
      <c r="AB128" s="61">
        <f t="shared" si="33"/>
        <v>0</v>
      </c>
      <c r="AC128" s="61">
        <f t="shared" si="33"/>
        <v>0</v>
      </c>
      <c r="AD128" s="61">
        <f t="shared" si="33"/>
        <v>0</v>
      </c>
      <c r="AE128" s="62">
        <f t="shared" si="33"/>
        <v>0</v>
      </c>
      <c r="AF128" s="35">
        <f>SUM(AF119:AF127)</f>
        <v>39500</v>
      </c>
      <c r="AG128" s="35">
        <f t="shared" si="32"/>
        <v>48</v>
      </c>
      <c r="AH128" s="15">
        <f>BF2</f>
        <v>0</v>
      </c>
      <c r="AI128" s="8">
        <f>BG2</f>
        <v>0</v>
      </c>
      <c r="AJ128" s="6">
        <f>BH2</f>
        <v>0</v>
      </c>
      <c r="AK128" s="6">
        <f>BI2</f>
        <v>0</v>
      </c>
      <c r="AL128" s="13">
        <f>BJ2</f>
        <v>0</v>
      </c>
      <c r="AN128" s="15">
        <f>BF3</f>
        <v>0</v>
      </c>
      <c r="AO128" s="8">
        <f>BG3</f>
        <v>0</v>
      </c>
      <c r="AP128" s="6">
        <f>BH3</f>
        <v>0</v>
      </c>
      <c r="AQ128" s="6">
        <f>BI3</f>
        <v>0</v>
      </c>
      <c r="AR128" s="13">
        <f>BJ3</f>
        <v>0</v>
      </c>
      <c r="AT128" s="15">
        <f>BF4</f>
        <v>0</v>
      </c>
      <c r="AU128" s="8">
        <f>BG4</f>
        <v>0</v>
      </c>
      <c r="AV128" s="6">
        <f>BH4</f>
        <v>0</v>
      </c>
      <c r="AW128" s="6">
        <f>BI4</f>
        <v>0</v>
      </c>
      <c r="AX128" s="13">
        <f>BJ4</f>
        <v>0</v>
      </c>
      <c r="AZ128" s="15">
        <f>BF5</f>
        <v>0</v>
      </c>
      <c r="BA128" s="8">
        <f>BG5</f>
        <v>0</v>
      </c>
      <c r="BB128" s="6">
        <f>BH5</f>
        <v>0</v>
      </c>
      <c r="BC128" s="6">
        <f>BI5</f>
        <v>0</v>
      </c>
      <c r="BD128" s="13">
        <f>BJ5</f>
        <v>0</v>
      </c>
      <c r="BF128" s="15">
        <f>BF6</f>
        <v>0</v>
      </c>
      <c r="BG128" s="8">
        <f>BG6</f>
        <v>0</v>
      </c>
      <c r="BH128" s="6">
        <f>BH6</f>
        <v>0</v>
      </c>
      <c r="BI128" s="6">
        <f>BI6</f>
        <v>0</v>
      </c>
      <c r="BJ128" s="13">
        <f>BJ6</f>
        <v>0</v>
      </c>
    </row>
    <row r="129" spans="1:62" ht="15.75" thickBo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9">
        <f>BL2</f>
        <v>0</v>
      </c>
      <c r="AI129" s="31">
        <f>BM2</f>
        <v>0</v>
      </c>
      <c r="AJ129" s="32">
        <f>BN2</f>
        <v>0</v>
      </c>
      <c r="AK129" s="32">
        <f>BO2</f>
        <v>0</v>
      </c>
      <c r="AL129" s="33">
        <f>BP2</f>
        <v>0</v>
      </c>
      <c r="AN129" s="59">
        <f>BL3</f>
        <v>0</v>
      </c>
      <c r="AO129" s="31">
        <f>BM3</f>
        <v>0</v>
      </c>
      <c r="AP129" s="32">
        <f>BN3</f>
        <v>0</v>
      </c>
      <c r="AQ129" s="32">
        <f>BO3</f>
        <v>0</v>
      </c>
      <c r="AR129" s="33">
        <f>BP3</f>
        <v>0</v>
      </c>
      <c r="AT129" s="59">
        <f>BL4</f>
        <v>0</v>
      </c>
      <c r="AU129" s="31">
        <f>BM4</f>
        <v>0</v>
      </c>
      <c r="AV129" s="32">
        <f>BN4</f>
        <v>0</v>
      </c>
      <c r="AW129" s="32">
        <f>BO4</f>
        <v>0</v>
      </c>
      <c r="AX129" s="33">
        <f>BP4</f>
        <v>0</v>
      </c>
      <c r="AZ129" s="59">
        <f>BL5</f>
        <v>0</v>
      </c>
      <c r="BA129" s="31">
        <f>BM5</f>
        <v>0</v>
      </c>
      <c r="BB129" s="32">
        <f>BN5</f>
        <v>0</v>
      </c>
      <c r="BC129" s="32">
        <f>BO5</f>
        <v>0</v>
      </c>
      <c r="BD129" s="33">
        <f>BP5</f>
        <v>0</v>
      </c>
      <c r="BF129" s="59">
        <f>BL6</f>
        <v>0</v>
      </c>
      <c r="BG129" s="31">
        <f>BM6</f>
        <v>0</v>
      </c>
      <c r="BH129" s="32">
        <f>BN6</f>
        <v>0</v>
      </c>
      <c r="BI129" s="32">
        <f>BO6</f>
        <v>0</v>
      </c>
      <c r="BJ129" s="33">
        <f>BP6</f>
        <v>0</v>
      </c>
    </row>
    <row r="130" spans="1:62" ht="16.5" thickBot="1" x14ac:dyDescent="0.3">
      <c r="A130" s="173" t="s">
        <v>249</v>
      </c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5"/>
      <c r="AH130" s="35" t="str">
        <f>C2</f>
        <v>A/C</v>
      </c>
      <c r="AI130" s="158">
        <f>SUM(AJ120:AJ129)</f>
        <v>48</v>
      </c>
      <c r="AJ130" s="159"/>
      <c r="AK130" s="158">
        <f>BT2</f>
        <v>39500</v>
      </c>
      <c r="AL130" s="159"/>
      <c r="AN130" s="35">
        <f>C3</f>
        <v>0</v>
      </c>
      <c r="AO130" s="158">
        <f>SUM(AP120:AP129)</f>
        <v>0</v>
      </c>
      <c r="AP130" s="159"/>
      <c r="AQ130" s="158">
        <f>BT3</f>
        <v>0</v>
      </c>
      <c r="AR130" s="159"/>
      <c r="AT130" s="35">
        <f>C4</f>
        <v>0</v>
      </c>
      <c r="AU130" s="158">
        <f>SUM(AV120:AV129)</f>
        <v>0</v>
      </c>
      <c r="AV130" s="159"/>
      <c r="AW130" s="158">
        <f>BT4</f>
        <v>0</v>
      </c>
      <c r="AX130" s="159"/>
      <c r="AZ130" s="35">
        <f>C5</f>
        <v>0</v>
      </c>
      <c r="BA130" s="158">
        <f>SUM(BB120:BB129)</f>
        <v>0</v>
      </c>
      <c r="BB130" s="159"/>
      <c r="BC130" s="158">
        <f>BT5</f>
        <v>0</v>
      </c>
      <c r="BD130" s="159"/>
      <c r="BF130" s="35">
        <f>C6</f>
        <v>0</v>
      </c>
      <c r="BG130" s="158">
        <f>SUM(BG120:BG129)</f>
        <v>0</v>
      </c>
      <c r="BH130" s="159"/>
      <c r="BI130" s="158">
        <f>BT6</f>
        <v>0</v>
      </c>
      <c r="BJ130" s="159"/>
    </row>
    <row r="131" spans="1:62" ht="15.75" thickBot="1" x14ac:dyDescent="0.3">
      <c r="A131" s="123" t="s">
        <v>31</v>
      </c>
      <c r="B131" s="113" t="s">
        <v>22</v>
      </c>
      <c r="C131" s="114"/>
      <c r="D131" s="114"/>
      <c r="E131" s="114"/>
      <c r="F131" s="115"/>
      <c r="G131" s="113" t="s">
        <v>20</v>
      </c>
      <c r="H131" s="114"/>
      <c r="I131" s="114"/>
      <c r="J131" s="114"/>
      <c r="K131" s="115"/>
      <c r="L131" s="113" t="s">
        <v>34</v>
      </c>
      <c r="M131" s="114"/>
      <c r="N131" s="114"/>
      <c r="O131" s="114"/>
      <c r="P131" s="115"/>
      <c r="Q131" s="113" t="s">
        <v>127</v>
      </c>
      <c r="R131" s="114"/>
      <c r="S131" s="114"/>
      <c r="T131" s="114"/>
      <c r="U131" s="115"/>
      <c r="V131" s="113" t="s">
        <v>129</v>
      </c>
      <c r="W131" s="114"/>
      <c r="X131" s="114"/>
      <c r="Y131" s="114"/>
      <c r="Z131" s="115"/>
      <c r="AA131" s="113" t="s">
        <v>26</v>
      </c>
      <c r="AB131" s="114"/>
      <c r="AC131" s="114"/>
      <c r="AD131" s="114"/>
      <c r="AE131" s="115"/>
      <c r="AF131" s="116" t="s">
        <v>24</v>
      </c>
      <c r="AG131" s="116" t="s">
        <v>86</v>
      </c>
      <c r="AH131" s="35" t="s">
        <v>25</v>
      </c>
      <c r="AI131" s="158">
        <f>A2</f>
        <v>21420</v>
      </c>
      <c r="AJ131" s="160"/>
      <c r="AK131" s="158" t="str">
        <f>BR2</f>
        <v>COD</v>
      </c>
      <c r="AL131" s="159"/>
      <c r="AN131" s="35" t="s">
        <v>25</v>
      </c>
      <c r="AO131" s="158">
        <f>A3</f>
        <v>0</v>
      </c>
      <c r="AP131" s="160"/>
      <c r="AQ131" s="158">
        <f>BR3</f>
        <v>0</v>
      </c>
      <c r="AR131" s="159"/>
      <c r="AT131" s="35" t="s">
        <v>25</v>
      </c>
      <c r="AU131" s="158">
        <f>A4</f>
        <v>0</v>
      </c>
      <c r="AV131" s="160"/>
      <c r="AW131" s="158">
        <f>BR4</f>
        <v>0</v>
      </c>
      <c r="AX131" s="159"/>
      <c r="AZ131" s="35" t="s">
        <v>25</v>
      </c>
      <c r="BA131" s="158">
        <f>A5</f>
        <v>0</v>
      </c>
      <c r="BB131" s="160"/>
      <c r="BC131" s="158">
        <f>BR5</f>
        <v>0</v>
      </c>
      <c r="BD131" s="159"/>
      <c r="BF131" s="35" t="s">
        <v>25</v>
      </c>
      <c r="BG131" s="158">
        <f>A6</f>
        <v>0</v>
      </c>
      <c r="BH131" s="160"/>
      <c r="BI131" s="158">
        <f>BR6</f>
        <v>0</v>
      </c>
      <c r="BJ131" s="159"/>
    </row>
    <row r="132" spans="1:62" ht="15.75" thickBot="1" x14ac:dyDescent="0.3">
      <c r="A132" s="124"/>
      <c r="B132" s="9" t="s">
        <v>32</v>
      </c>
      <c r="C132" s="12" t="s">
        <v>17</v>
      </c>
      <c r="D132" s="12" t="s">
        <v>19</v>
      </c>
      <c r="E132" s="12" t="s">
        <v>33</v>
      </c>
      <c r="F132" s="14" t="s">
        <v>80</v>
      </c>
      <c r="G132" s="9" t="s">
        <v>32</v>
      </c>
      <c r="H132" s="12" t="s">
        <v>17</v>
      </c>
      <c r="I132" s="12" t="s">
        <v>19</v>
      </c>
      <c r="J132" s="12" t="s">
        <v>33</v>
      </c>
      <c r="K132" s="14" t="s">
        <v>80</v>
      </c>
      <c r="L132" s="9" t="s">
        <v>32</v>
      </c>
      <c r="M132" s="12" t="s">
        <v>17</v>
      </c>
      <c r="N132" s="12" t="s">
        <v>19</v>
      </c>
      <c r="O132" s="12" t="s">
        <v>33</v>
      </c>
      <c r="P132" s="14" t="s">
        <v>80</v>
      </c>
      <c r="Q132" s="9" t="s">
        <v>32</v>
      </c>
      <c r="R132" s="12" t="s">
        <v>17</v>
      </c>
      <c r="S132" s="12" t="s">
        <v>19</v>
      </c>
      <c r="T132" s="12" t="s">
        <v>33</v>
      </c>
      <c r="U132" s="14" t="s">
        <v>80</v>
      </c>
      <c r="V132" s="9" t="s">
        <v>32</v>
      </c>
      <c r="W132" s="12" t="s">
        <v>17</v>
      </c>
      <c r="X132" s="12" t="s">
        <v>19</v>
      </c>
      <c r="Y132" s="12" t="s">
        <v>33</v>
      </c>
      <c r="Z132" s="14" t="s">
        <v>80</v>
      </c>
      <c r="AA132" s="9" t="s">
        <v>32</v>
      </c>
      <c r="AB132" s="12" t="s">
        <v>17</v>
      </c>
      <c r="AC132" s="12" t="s">
        <v>19</v>
      </c>
      <c r="AD132" s="12" t="s">
        <v>33</v>
      </c>
      <c r="AE132" s="14" t="s">
        <v>80</v>
      </c>
      <c r="AF132" s="117"/>
      <c r="AG132" s="117"/>
      <c r="AH132" s="58" t="s">
        <v>130</v>
      </c>
      <c r="AI132" s="58" t="s">
        <v>131</v>
      </c>
      <c r="AJ132" s="58" t="s">
        <v>132</v>
      </c>
      <c r="AK132" s="58" t="s">
        <v>166</v>
      </c>
      <c r="AL132" s="58" t="s">
        <v>33</v>
      </c>
      <c r="AN132" s="58" t="s">
        <v>130</v>
      </c>
      <c r="AO132" s="58" t="s">
        <v>131</v>
      </c>
      <c r="AP132" s="58" t="s">
        <v>132</v>
      </c>
      <c r="AQ132" s="58" t="s">
        <v>166</v>
      </c>
      <c r="AR132" s="58" t="s">
        <v>33</v>
      </c>
      <c r="AT132" s="58" t="s">
        <v>130</v>
      </c>
      <c r="AU132" s="58" t="s">
        <v>131</v>
      </c>
      <c r="AV132" s="58" t="s">
        <v>132</v>
      </c>
      <c r="AW132" s="58" t="s">
        <v>166</v>
      </c>
      <c r="AX132" s="58" t="s">
        <v>33</v>
      </c>
      <c r="AZ132" s="58" t="s">
        <v>130</v>
      </c>
      <c r="BA132" s="58" t="s">
        <v>131</v>
      </c>
      <c r="BB132" s="58" t="s">
        <v>132</v>
      </c>
      <c r="BC132" s="58" t="s">
        <v>166</v>
      </c>
      <c r="BD132" s="58" t="s">
        <v>33</v>
      </c>
      <c r="BF132" s="58" t="s">
        <v>130</v>
      </c>
      <c r="BG132" s="58" t="s">
        <v>131</v>
      </c>
      <c r="BH132" s="58" t="s">
        <v>132</v>
      </c>
      <c r="BI132" s="58" t="s">
        <v>166</v>
      </c>
      <c r="BJ132" s="58" t="s">
        <v>33</v>
      </c>
    </row>
    <row r="133" spans="1:62" ht="15.75" thickBot="1" x14ac:dyDescent="0.3">
      <c r="A133" s="16">
        <v>300</v>
      </c>
      <c r="B133" s="10">
        <f t="shared" ref="B133:F141" si="34">SUMIFS($J$14:$J$113,$I$14:$I$113,$A133,$K$14:$K$113,B$118,$L$14:$L$113,$B$117,$H$14:$H$113,"NG")</f>
        <v>0</v>
      </c>
      <c r="C133" s="11">
        <f t="shared" si="34"/>
        <v>0</v>
      </c>
      <c r="D133" s="11">
        <f t="shared" si="34"/>
        <v>0</v>
      </c>
      <c r="E133" s="11">
        <f t="shared" si="34"/>
        <v>0</v>
      </c>
      <c r="F133" s="17">
        <f t="shared" si="34"/>
        <v>0</v>
      </c>
      <c r="G133" s="10">
        <f t="shared" ref="G133:K141" si="35">SUMIFS($J$14:$J$113,$I$14:$I$113,$A133,$K$14:$K$113,G$118,$L$14:$L$113,$G$117,$H$14:$H$113,"NG")</f>
        <v>0</v>
      </c>
      <c r="H133" s="11">
        <f t="shared" si="35"/>
        <v>0</v>
      </c>
      <c r="I133" s="11">
        <f t="shared" si="35"/>
        <v>0</v>
      </c>
      <c r="J133" s="11">
        <f t="shared" si="35"/>
        <v>0</v>
      </c>
      <c r="K133" s="17">
        <f t="shared" si="35"/>
        <v>0</v>
      </c>
      <c r="L133" s="10">
        <f t="shared" ref="L133:P141" si="36">SUMIFS($J$14:$J$113,$I$14:$I$113,$A133,$K$14:$K$113,L$118,$L$14:$L$113,$L$117,$H$14:$H$113,"NG")</f>
        <v>0</v>
      </c>
      <c r="M133" s="11">
        <f t="shared" si="36"/>
        <v>0</v>
      </c>
      <c r="N133" s="11">
        <f t="shared" si="36"/>
        <v>0</v>
      </c>
      <c r="O133" s="11">
        <f t="shared" si="36"/>
        <v>0</v>
      </c>
      <c r="P133" s="17">
        <f t="shared" si="36"/>
        <v>0</v>
      </c>
      <c r="Q133" s="10">
        <f t="shared" ref="Q133:U141" si="37">SUMIFS($J$14:$J$113,$I$14:$I$113,$A133,$K$14:$K$113,Q$118,$L$14:$L$113,$Q$117,$H$14:$H$113,"NG")</f>
        <v>0</v>
      </c>
      <c r="R133" s="11">
        <f t="shared" si="37"/>
        <v>0</v>
      </c>
      <c r="S133" s="11">
        <f t="shared" si="37"/>
        <v>0</v>
      </c>
      <c r="T133" s="11">
        <f t="shared" si="37"/>
        <v>0</v>
      </c>
      <c r="U133" s="17">
        <f t="shared" si="37"/>
        <v>0</v>
      </c>
      <c r="V133" s="10">
        <f t="shared" ref="V133:AE141" si="38">SUMIFS($J$14:$J$113,$I$14:$I$113,$A133,$K$14:$K$113,V$118,$L$14:$L$113,$L$117,$H$14:$H$113,"NG")</f>
        <v>0</v>
      </c>
      <c r="W133" s="11">
        <f t="shared" si="38"/>
        <v>0</v>
      </c>
      <c r="X133" s="11">
        <f t="shared" si="38"/>
        <v>0</v>
      </c>
      <c r="Y133" s="11">
        <f t="shared" si="38"/>
        <v>0</v>
      </c>
      <c r="Z133" s="17">
        <f t="shared" si="38"/>
        <v>0</v>
      </c>
      <c r="AA133" s="10">
        <f t="shared" si="38"/>
        <v>0</v>
      </c>
      <c r="AB133" s="11">
        <f t="shared" si="38"/>
        <v>0</v>
      </c>
      <c r="AC133" s="11">
        <f t="shared" si="38"/>
        <v>0</v>
      </c>
      <c r="AD133" s="11">
        <f t="shared" si="38"/>
        <v>0</v>
      </c>
      <c r="AE133" s="17">
        <f t="shared" si="38"/>
        <v>0</v>
      </c>
      <c r="AF133" s="16">
        <f>SUM(B133:AE133)*A133</f>
        <v>0</v>
      </c>
      <c r="AG133" s="16">
        <f>SUM(B133:AE133)</f>
        <v>0</v>
      </c>
      <c r="AH133" s="34" t="str">
        <f>AZ14</f>
        <v/>
      </c>
      <c r="AI133" s="34" t="str">
        <f>BA14</f>
        <v/>
      </c>
      <c r="AJ133" s="34" t="str">
        <f>BB14</f>
        <v/>
      </c>
      <c r="AK133" s="35" t="str">
        <f>BC14</f>
        <v/>
      </c>
      <c r="AL133" s="35" t="str">
        <f>BD14</f>
        <v/>
      </c>
      <c r="AN133" s="34" t="str">
        <f>AZ15</f>
        <v/>
      </c>
      <c r="AO133" s="34" t="str">
        <f>BA15</f>
        <v/>
      </c>
      <c r="AP133" s="34" t="str">
        <f>BB15</f>
        <v/>
      </c>
      <c r="AQ133" s="35" t="str">
        <f>BC15</f>
        <v/>
      </c>
      <c r="AR133" s="35" t="str">
        <f>BD15</f>
        <v/>
      </c>
      <c r="AT133" s="34" t="str">
        <f>AZ16</f>
        <v/>
      </c>
      <c r="AU133" s="34" t="str">
        <f>BA16</f>
        <v/>
      </c>
      <c r="AV133" s="34" t="str">
        <f>BB16</f>
        <v/>
      </c>
      <c r="AW133" s="35" t="str">
        <f>BC16</f>
        <v/>
      </c>
      <c r="AX133" s="35" t="str">
        <f>BD16</f>
        <v/>
      </c>
      <c r="AZ133" s="34" t="str">
        <f>AZ17</f>
        <v/>
      </c>
      <c r="BA133" s="34" t="str">
        <f>BA17</f>
        <v/>
      </c>
      <c r="BB133" s="34" t="str">
        <f>BB17</f>
        <v/>
      </c>
      <c r="BC133" s="35" t="str">
        <f>BC17</f>
        <v/>
      </c>
      <c r="BD133" s="35" t="str">
        <f>BD17</f>
        <v/>
      </c>
      <c r="BF133" s="34" t="str">
        <f>AZ18</f>
        <v/>
      </c>
      <c r="BG133" s="34" t="str">
        <f>BA18</f>
        <v/>
      </c>
      <c r="BH133" s="34" t="str">
        <f>BB18</f>
        <v/>
      </c>
      <c r="BI133" s="35" t="str">
        <f>BC18</f>
        <v/>
      </c>
      <c r="BJ133" s="35" t="str">
        <f>BD18</f>
        <v/>
      </c>
    </row>
    <row r="134" spans="1:62" ht="15.75" thickBot="1" x14ac:dyDescent="0.3">
      <c r="A134" s="16">
        <v>500</v>
      </c>
      <c r="B134" s="10">
        <f t="shared" si="34"/>
        <v>0</v>
      </c>
      <c r="C134" s="11">
        <f t="shared" si="34"/>
        <v>0</v>
      </c>
      <c r="D134" s="11">
        <f t="shared" si="34"/>
        <v>0</v>
      </c>
      <c r="E134" s="11">
        <f t="shared" si="34"/>
        <v>0</v>
      </c>
      <c r="F134" s="17">
        <f t="shared" si="34"/>
        <v>0</v>
      </c>
      <c r="G134" s="10">
        <f t="shared" si="35"/>
        <v>0</v>
      </c>
      <c r="H134" s="11">
        <f t="shared" si="35"/>
        <v>0</v>
      </c>
      <c r="I134" s="11">
        <f t="shared" si="35"/>
        <v>0</v>
      </c>
      <c r="J134" s="11">
        <f t="shared" si="35"/>
        <v>0</v>
      </c>
      <c r="K134" s="17">
        <f t="shared" si="35"/>
        <v>0</v>
      </c>
      <c r="L134" s="10">
        <f t="shared" si="36"/>
        <v>0</v>
      </c>
      <c r="M134" s="11">
        <f t="shared" si="36"/>
        <v>0</v>
      </c>
      <c r="N134" s="11">
        <f t="shared" si="36"/>
        <v>0</v>
      </c>
      <c r="O134" s="11">
        <f t="shared" si="36"/>
        <v>0</v>
      </c>
      <c r="P134" s="17">
        <f t="shared" si="36"/>
        <v>0</v>
      </c>
      <c r="Q134" s="10">
        <f t="shared" si="37"/>
        <v>0</v>
      </c>
      <c r="R134" s="11">
        <f t="shared" si="37"/>
        <v>0</v>
      </c>
      <c r="S134" s="11">
        <f t="shared" si="37"/>
        <v>0</v>
      </c>
      <c r="T134" s="11">
        <f t="shared" si="37"/>
        <v>0</v>
      </c>
      <c r="U134" s="17">
        <f t="shared" si="37"/>
        <v>0</v>
      </c>
      <c r="V134" s="10">
        <f t="shared" si="38"/>
        <v>0</v>
      </c>
      <c r="W134" s="11">
        <f t="shared" si="38"/>
        <v>0</v>
      </c>
      <c r="X134" s="11">
        <f t="shared" si="38"/>
        <v>0</v>
      </c>
      <c r="Y134" s="11">
        <f t="shared" si="38"/>
        <v>0</v>
      </c>
      <c r="Z134" s="17">
        <f t="shared" si="38"/>
        <v>0</v>
      </c>
      <c r="AA134" s="10">
        <f t="shared" si="38"/>
        <v>0</v>
      </c>
      <c r="AB134" s="11">
        <f t="shared" si="38"/>
        <v>0</v>
      </c>
      <c r="AC134" s="11">
        <f t="shared" si="38"/>
        <v>0</v>
      </c>
      <c r="AD134" s="11">
        <f t="shared" si="38"/>
        <v>0</v>
      </c>
      <c r="AE134" s="17">
        <f t="shared" si="38"/>
        <v>0</v>
      </c>
      <c r="AF134" s="16">
        <f t="shared" ref="AF134:AF141" si="39">SUM(B134:AE134)*A134</f>
        <v>0</v>
      </c>
      <c r="AG134" s="16">
        <f t="shared" ref="AG134:AG142" si="40">SUM(B134:AE134)</f>
        <v>0</v>
      </c>
      <c r="AH134" s="58" t="s">
        <v>22</v>
      </c>
      <c r="AI134" s="58" t="s">
        <v>20</v>
      </c>
      <c r="AJ134" s="58" t="s">
        <v>34</v>
      </c>
      <c r="AK134" s="58" t="s">
        <v>127</v>
      </c>
      <c r="AL134" s="58" t="s">
        <v>129</v>
      </c>
      <c r="AN134" s="58" t="s">
        <v>22</v>
      </c>
      <c r="AO134" s="58" t="s">
        <v>20</v>
      </c>
      <c r="AP134" s="58" t="s">
        <v>34</v>
      </c>
      <c r="AQ134" s="58" t="s">
        <v>127</v>
      </c>
      <c r="AR134" s="58" t="s">
        <v>129</v>
      </c>
      <c r="AT134" s="58" t="s">
        <v>22</v>
      </c>
      <c r="AU134" s="58" t="s">
        <v>20</v>
      </c>
      <c r="AV134" s="58" t="s">
        <v>34</v>
      </c>
      <c r="AW134" s="58" t="s">
        <v>127</v>
      </c>
      <c r="AX134" s="58" t="s">
        <v>129</v>
      </c>
      <c r="AZ134" s="58" t="s">
        <v>22</v>
      </c>
      <c r="BA134" s="58" t="s">
        <v>20</v>
      </c>
      <c r="BB134" s="58" t="s">
        <v>34</v>
      </c>
      <c r="BC134" s="58" t="s">
        <v>127</v>
      </c>
      <c r="BD134" s="58" t="s">
        <v>129</v>
      </c>
      <c r="BF134" s="58" t="s">
        <v>22</v>
      </c>
      <c r="BG134" s="58" t="s">
        <v>20</v>
      </c>
      <c r="BH134" s="58" t="s">
        <v>34</v>
      </c>
      <c r="BI134" s="58" t="s">
        <v>127</v>
      </c>
      <c r="BJ134" s="58" t="s">
        <v>129</v>
      </c>
    </row>
    <row r="135" spans="1:62" ht="15.75" thickBot="1" x14ac:dyDescent="0.3">
      <c r="A135" s="15">
        <v>750</v>
      </c>
      <c r="B135" s="8">
        <f t="shared" si="34"/>
        <v>0</v>
      </c>
      <c r="C135" s="6">
        <f t="shared" si="34"/>
        <v>0</v>
      </c>
      <c r="D135" s="6">
        <f t="shared" si="34"/>
        <v>0</v>
      </c>
      <c r="E135" s="6">
        <f t="shared" si="34"/>
        <v>0</v>
      </c>
      <c r="F135" s="13">
        <f t="shared" si="34"/>
        <v>0</v>
      </c>
      <c r="G135" s="8">
        <f t="shared" si="35"/>
        <v>0</v>
      </c>
      <c r="H135" s="6">
        <f t="shared" si="35"/>
        <v>0</v>
      </c>
      <c r="I135" s="6">
        <f t="shared" si="35"/>
        <v>0</v>
      </c>
      <c r="J135" s="6">
        <f t="shared" si="35"/>
        <v>0</v>
      </c>
      <c r="K135" s="13">
        <f t="shared" si="35"/>
        <v>0</v>
      </c>
      <c r="L135" s="8">
        <f t="shared" si="36"/>
        <v>0</v>
      </c>
      <c r="M135" s="6">
        <f t="shared" si="36"/>
        <v>0</v>
      </c>
      <c r="N135" s="6">
        <f t="shared" si="36"/>
        <v>0</v>
      </c>
      <c r="O135" s="6">
        <f t="shared" si="36"/>
        <v>0</v>
      </c>
      <c r="P135" s="13">
        <f t="shared" si="36"/>
        <v>0</v>
      </c>
      <c r="Q135" s="8">
        <f t="shared" si="37"/>
        <v>0</v>
      </c>
      <c r="R135" s="6">
        <f t="shared" si="37"/>
        <v>0</v>
      </c>
      <c r="S135" s="6">
        <f t="shared" si="37"/>
        <v>0</v>
      </c>
      <c r="T135" s="6">
        <f t="shared" si="37"/>
        <v>0</v>
      </c>
      <c r="U135" s="13">
        <f t="shared" si="37"/>
        <v>0</v>
      </c>
      <c r="V135" s="8">
        <f t="shared" si="38"/>
        <v>0</v>
      </c>
      <c r="W135" s="6">
        <f t="shared" si="38"/>
        <v>0</v>
      </c>
      <c r="X135" s="6">
        <f t="shared" si="38"/>
        <v>0</v>
      </c>
      <c r="Y135" s="6">
        <f t="shared" si="38"/>
        <v>0</v>
      </c>
      <c r="Z135" s="13">
        <f t="shared" si="38"/>
        <v>0</v>
      </c>
      <c r="AA135" s="8">
        <f t="shared" si="38"/>
        <v>0</v>
      </c>
      <c r="AB135" s="6">
        <f t="shared" si="38"/>
        <v>0</v>
      </c>
      <c r="AC135" s="6">
        <f t="shared" si="38"/>
        <v>0</v>
      </c>
      <c r="AD135" s="6">
        <f t="shared" si="38"/>
        <v>0</v>
      </c>
      <c r="AE135" s="13">
        <f t="shared" si="38"/>
        <v>0</v>
      </c>
      <c r="AF135" s="16">
        <f t="shared" si="39"/>
        <v>0</v>
      </c>
      <c r="AG135" s="16">
        <f t="shared" si="40"/>
        <v>0</v>
      </c>
      <c r="AH135" s="34">
        <f>AU14</f>
        <v>3.5</v>
      </c>
      <c r="AI135" s="34" t="str">
        <f>AV14</f>
        <v/>
      </c>
      <c r="AJ135" s="34" t="str">
        <f>AW14</f>
        <v/>
      </c>
      <c r="AK135" s="35" t="str">
        <f>AX14</f>
        <v/>
      </c>
      <c r="AL135" s="35" t="str">
        <f>AY14</f>
        <v/>
      </c>
      <c r="AN135" s="34" t="str">
        <f>AU15</f>
        <v/>
      </c>
      <c r="AO135" s="34" t="str">
        <f>AV15</f>
        <v/>
      </c>
      <c r="AP135" s="34" t="str">
        <f>AW15</f>
        <v/>
      </c>
      <c r="AQ135" s="35" t="str">
        <f>AX15</f>
        <v/>
      </c>
      <c r="AR135" s="35" t="str">
        <f>AY15</f>
        <v/>
      </c>
      <c r="AT135" s="34" t="str">
        <f>AU16</f>
        <v/>
      </c>
      <c r="AU135" s="34" t="str">
        <f>AV16</f>
        <v/>
      </c>
      <c r="AV135" s="34" t="str">
        <f>AW16</f>
        <v/>
      </c>
      <c r="AW135" s="35" t="str">
        <f>AX16</f>
        <v/>
      </c>
      <c r="AX135" s="35" t="str">
        <f>AY16</f>
        <v/>
      </c>
      <c r="AZ135" s="34" t="str">
        <f>AU17</f>
        <v/>
      </c>
      <c r="BA135" s="34" t="str">
        <f>AV17</f>
        <v/>
      </c>
      <c r="BB135" s="34" t="str">
        <f>AW17</f>
        <v/>
      </c>
      <c r="BC135" s="35" t="str">
        <f>AX17</f>
        <v/>
      </c>
      <c r="BD135" s="35" t="str">
        <f>AY17</f>
        <v/>
      </c>
      <c r="BF135" s="34" t="str">
        <f>AU18</f>
        <v/>
      </c>
      <c r="BG135" s="34" t="str">
        <f>AV18</f>
        <v/>
      </c>
      <c r="BH135" s="34" t="str">
        <f>AW18</f>
        <v/>
      </c>
      <c r="BI135" s="35" t="str">
        <f>AX18</f>
        <v/>
      </c>
      <c r="BJ135" s="35" t="str">
        <f>AY18</f>
        <v/>
      </c>
    </row>
    <row r="136" spans="1:62" x14ac:dyDescent="0.25">
      <c r="A136" s="15">
        <v>1000</v>
      </c>
      <c r="B136" s="8">
        <f t="shared" si="34"/>
        <v>0</v>
      </c>
      <c r="C136" s="6">
        <f t="shared" si="34"/>
        <v>0</v>
      </c>
      <c r="D136" s="6">
        <f t="shared" si="34"/>
        <v>0</v>
      </c>
      <c r="E136" s="6">
        <f t="shared" si="34"/>
        <v>0</v>
      </c>
      <c r="F136" s="13">
        <f t="shared" si="34"/>
        <v>0</v>
      </c>
      <c r="G136" s="8">
        <f t="shared" si="35"/>
        <v>0</v>
      </c>
      <c r="H136" s="6">
        <f t="shared" si="35"/>
        <v>0</v>
      </c>
      <c r="I136" s="6">
        <f t="shared" si="35"/>
        <v>0</v>
      </c>
      <c r="J136" s="6">
        <f t="shared" si="35"/>
        <v>0</v>
      </c>
      <c r="K136" s="13">
        <f t="shared" si="35"/>
        <v>0</v>
      </c>
      <c r="L136" s="8">
        <f t="shared" si="36"/>
        <v>0</v>
      </c>
      <c r="M136" s="6">
        <f t="shared" si="36"/>
        <v>0</v>
      </c>
      <c r="N136" s="6">
        <f t="shared" si="36"/>
        <v>0</v>
      </c>
      <c r="O136" s="6">
        <f t="shared" si="36"/>
        <v>0</v>
      </c>
      <c r="P136" s="13">
        <f t="shared" si="36"/>
        <v>0</v>
      </c>
      <c r="Q136" s="8">
        <f t="shared" si="37"/>
        <v>0</v>
      </c>
      <c r="R136" s="6">
        <f t="shared" si="37"/>
        <v>0</v>
      </c>
      <c r="S136" s="6">
        <f t="shared" si="37"/>
        <v>0</v>
      </c>
      <c r="T136" s="6">
        <f t="shared" si="37"/>
        <v>0</v>
      </c>
      <c r="U136" s="13">
        <f t="shared" si="37"/>
        <v>0</v>
      </c>
      <c r="V136" s="8">
        <f t="shared" si="38"/>
        <v>0</v>
      </c>
      <c r="W136" s="6">
        <f t="shared" si="38"/>
        <v>0</v>
      </c>
      <c r="X136" s="6">
        <f t="shared" si="38"/>
        <v>0</v>
      </c>
      <c r="Y136" s="6">
        <f t="shared" si="38"/>
        <v>0</v>
      </c>
      <c r="Z136" s="13">
        <f t="shared" si="38"/>
        <v>0</v>
      </c>
      <c r="AA136" s="8">
        <f t="shared" si="38"/>
        <v>0</v>
      </c>
      <c r="AB136" s="6">
        <f t="shared" si="38"/>
        <v>0</v>
      </c>
      <c r="AC136" s="6">
        <f t="shared" si="38"/>
        <v>0</v>
      </c>
      <c r="AD136" s="6">
        <f t="shared" si="38"/>
        <v>0</v>
      </c>
      <c r="AE136" s="13">
        <f t="shared" si="38"/>
        <v>0</v>
      </c>
      <c r="AF136" s="16">
        <f t="shared" si="39"/>
        <v>0</v>
      </c>
      <c r="AG136" s="16">
        <f t="shared" si="40"/>
        <v>0</v>
      </c>
    </row>
    <row r="137" spans="1:62" x14ac:dyDescent="0.25">
      <c r="A137" s="15">
        <v>1500</v>
      </c>
      <c r="B137" s="8">
        <f t="shared" si="34"/>
        <v>0</v>
      </c>
      <c r="C137" s="6">
        <f t="shared" si="34"/>
        <v>0</v>
      </c>
      <c r="D137" s="6">
        <f t="shared" si="34"/>
        <v>0</v>
      </c>
      <c r="E137" s="6">
        <f t="shared" si="34"/>
        <v>0</v>
      </c>
      <c r="F137" s="13">
        <f t="shared" si="34"/>
        <v>0</v>
      </c>
      <c r="G137" s="8">
        <f t="shared" si="35"/>
        <v>0</v>
      </c>
      <c r="H137" s="6">
        <f t="shared" si="35"/>
        <v>0</v>
      </c>
      <c r="I137" s="6">
        <f t="shared" si="35"/>
        <v>0</v>
      </c>
      <c r="J137" s="6">
        <f t="shared" si="35"/>
        <v>0</v>
      </c>
      <c r="K137" s="13">
        <f t="shared" si="35"/>
        <v>0</v>
      </c>
      <c r="L137" s="8">
        <f t="shared" si="36"/>
        <v>0</v>
      </c>
      <c r="M137" s="6">
        <f t="shared" si="36"/>
        <v>0</v>
      </c>
      <c r="N137" s="6">
        <f t="shared" si="36"/>
        <v>0</v>
      </c>
      <c r="O137" s="6">
        <f t="shared" si="36"/>
        <v>0</v>
      </c>
      <c r="P137" s="13">
        <f t="shared" si="36"/>
        <v>0</v>
      </c>
      <c r="Q137" s="8">
        <f t="shared" si="37"/>
        <v>0</v>
      </c>
      <c r="R137" s="6">
        <f t="shared" si="37"/>
        <v>0</v>
      </c>
      <c r="S137" s="6">
        <f t="shared" si="37"/>
        <v>0</v>
      </c>
      <c r="T137" s="6">
        <f t="shared" si="37"/>
        <v>0</v>
      </c>
      <c r="U137" s="13">
        <f t="shared" si="37"/>
        <v>0</v>
      </c>
      <c r="V137" s="8">
        <f t="shared" si="38"/>
        <v>0</v>
      </c>
      <c r="W137" s="6">
        <f t="shared" si="38"/>
        <v>0</v>
      </c>
      <c r="X137" s="6">
        <f t="shared" si="38"/>
        <v>0</v>
      </c>
      <c r="Y137" s="6">
        <f t="shared" si="38"/>
        <v>0</v>
      </c>
      <c r="Z137" s="13">
        <f t="shared" si="38"/>
        <v>0</v>
      </c>
      <c r="AA137" s="8">
        <f t="shared" si="38"/>
        <v>0</v>
      </c>
      <c r="AB137" s="6">
        <f t="shared" si="38"/>
        <v>0</v>
      </c>
      <c r="AC137" s="6">
        <f t="shared" si="38"/>
        <v>0</v>
      </c>
      <c r="AD137" s="6">
        <f t="shared" si="38"/>
        <v>0</v>
      </c>
      <c r="AE137" s="13">
        <f t="shared" si="38"/>
        <v>0</v>
      </c>
      <c r="AF137" s="16">
        <f t="shared" si="39"/>
        <v>0</v>
      </c>
      <c r="AG137" s="16">
        <f t="shared" si="40"/>
        <v>0</v>
      </c>
      <c r="AH137" s="118" t="s">
        <v>35</v>
      </c>
      <c r="AI137" s="118"/>
      <c r="AJ137" s="118">
        <f>F7</f>
        <v>0</v>
      </c>
      <c r="AK137" s="118"/>
      <c r="AL137" s="118"/>
      <c r="AN137" s="118" t="s">
        <v>35</v>
      </c>
      <c r="AO137" s="118"/>
      <c r="AP137" s="118">
        <f>F8</f>
        <v>0</v>
      </c>
      <c r="AQ137" s="118"/>
      <c r="AR137" s="118"/>
      <c r="AT137" s="118" t="s">
        <v>35</v>
      </c>
      <c r="AU137" s="118"/>
      <c r="AV137" s="118">
        <f>F9</f>
        <v>0</v>
      </c>
      <c r="AW137" s="118"/>
      <c r="AX137" s="118"/>
      <c r="AZ137" s="118" t="s">
        <v>35</v>
      </c>
      <c r="BA137" s="118"/>
      <c r="BB137" s="118">
        <f>F10</f>
        <v>0</v>
      </c>
      <c r="BC137" s="118"/>
      <c r="BD137" s="118"/>
      <c r="BF137" s="118" t="s">
        <v>35</v>
      </c>
      <c r="BG137" s="118"/>
      <c r="BH137" s="118">
        <f>F11</f>
        <v>0</v>
      </c>
      <c r="BI137" s="118"/>
      <c r="BJ137" s="118"/>
    </row>
    <row r="138" spans="1:62" x14ac:dyDescent="0.25">
      <c r="A138" s="15">
        <v>2000</v>
      </c>
      <c r="B138" s="8">
        <f t="shared" si="34"/>
        <v>0</v>
      </c>
      <c r="C138" s="6">
        <f t="shared" si="34"/>
        <v>0</v>
      </c>
      <c r="D138" s="6">
        <f t="shared" si="34"/>
        <v>0</v>
      </c>
      <c r="E138" s="6">
        <f t="shared" si="34"/>
        <v>0</v>
      </c>
      <c r="F138" s="13">
        <f t="shared" si="34"/>
        <v>0</v>
      </c>
      <c r="G138" s="8">
        <f t="shared" si="35"/>
        <v>0</v>
      </c>
      <c r="H138" s="6">
        <f t="shared" si="35"/>
        <v>0</v>
      </c>
      <c r="I138" s="6">
        <f t="shared" si="35"/>
        <v>0</v>
      </c>
      <c r="J138" s="6">
        <f t="shared" si="35"/>
        <v>0</v>
      </c>
      <c r="K138" s="13">
        <f t="shared" si="35"/>
        <v>0</v>
      </c>
      <c r="L138" s="8">
        <f t="shared" si="36"/>
        <v>0</v>
      </c>
      <c r="M138" s="6">
        <f t="shared" si="36"/>
        <v>0</v>
      </c>
      <c r="N138" s="6">
        <f t="shared" si="36"/>
        <v>0</v>
      </c>
      <c r="O138" s="6">
        <f t="shared" si="36"/>
        <v>0</v>
      </c>
      <c r="P138" s="13">
        <f t="shared" si="36"/>
        <v>0</v>
      </c>
      <c r="Q138" s="8">
        <f t="shared" si="37"/>
        <v>0</v>
      </c>
      <c r="R138" s="6">
        <f t="shared" si="37"/>
        <v>0</v>
      </c>
      <c r="S138" s="6">
        <f t="shared" si="37"/>
        <v>0</v>
      </c>
      <c r="T138" s="6">
        <f t="shared" si="37"/>
        <v>0</v>
      </c>
      <c r="U138" s="13">
        <f t="shared" si="37"/>
        <v>0</v>
      </c>
      <c r="V138" s="8">
        <f t="shared" si="38"/>
        <v>0</v>
      </c>
      <c r="W138" s="6">
        <f t="shared" si="38"/>
        <v>0</v>
      </c>
      <c r="X138" s="6">
        <f t="shared" si="38"/>
        <v>0</v>
      </c>
      <c r="Y138" s="6">
        <f t="shared" si="38"/>
        <v>0</v>
      </c>
      <c r="Z138" s="13">
        <f t="shared" si="38"/>
        <v>0</v>
      </c>
      <c r="AA138" s="8">
        <f t="shared" si="38"/>
        <v>0</v>
      </c>
      <c r="AB138" s="6">
        <f t="shared" si="38"/>
        <v>0</v>
      </c>
      <c r="AC138" s="6">
        <f t="shared" si="38"/>
        <v>0</v>
      </c>
      <c r="AD138" s="6">
        <f t="shared" si="38"/>
        <v>0</v>
      </c>
      <c r="AE138" s="13">
        <f t="shared" si="38"/>
        <v>0</v>
      </c>
      <c r="AF138" s="16">
        <f t="shared" si="39"/>
        <v>0</v>
      </c>
      <c r="AG138" s="16">
        <f t="shared" si="40"/>
        <v>0</v>
      </c>
      <c r="AH138" s="118">
        <f>G7</f>
        <v>0</v>
      </c>
      <c r="AI138" s="118"/>
      <c r="AJ138" s="118"/>
      <c r="AK138" s="118"/>
      <c r="AL138" s="118"/>
      <c r="AN138" s="118">
        <f>G8</f>
        <v>0</v>
      </c>
      <c r="AO138" s="118">
        <f>G8</f>
        <v>0</v>
      </c>
      <c r="AP138" s="118"/>
      <c r="AQ138" s="118"/>
      <c r="AR138" s="118"/>
      <c r="AT138" s="118">
        <f>G9</f>
        <v>0</v>
      </c>
      <c r="AU138" s="118"/>
      <c r="AV138" s="118"/>
      <c r="AW138" s="118"/>
      <c r="AX138" s="118"/>
      <c r="AZ138" s="118">
        <f>G10</f>
        <v>0</v>
      </c>
      <c r="BA138" s="118"/>
      <c r="BB138" s="118"/>
      <c r="BC138" s="118"/>
      <c r="BD138" s="118"/>
      <c r="BF138" s="118">
        <f>G11</f>
        <v>0</v>
      </c>
      <c r="BG138" s="118"/>
      <c r="BH138" s="118"/>
      <c r="BI138" s="118"/>
      <c r="BJ138" s="118"/>
    </row>
    <row r="139" spans="1:62" ht="15.75" thickBot="1" x14ac:dyDescent="0.3">
      <c r="A139" s="15">
        <v>3000</v>
      </c>
      <c r="B139" s="8">
        <f t="shared" si="34"/>
        <v>0</v>
      </c>
      <c r="C139" s="6">
        <f t="shared" si="34"/>
        <v>0</v>
      </c>
      <c r="D139" s="6">
        <f t="shared" si="34"/>
        <v>0</v>
      </c>
      <c r="E139" s="6">
        <f t="shared" si="34"/>
        <v>0</v>
      </c>
      <c r="F139" s="13">
        <f t="shared" si="34"/>
        <v>0</v>
      </c>
      <c r="G139" s="8">
        <f t="shared" si="35"/>
        <v>0</v>
      </c>
      <c r="H139" s="6">
        <f t="shared" si="35"/>
        <v>0</v>
      </c>
      <c r="I139" s="6">
        <f t="shared" si="35"/>
        <v>0</v>
      </c>
      <c r="J139" s="6">
        <f t="shared" si="35"/>
        <v>0</v>
      </c>
      <c r="K139" s="13">
        <f t="shared" si="35"/>
        <v>0</v>
      </c>
      <c r="L139" s="8">
        <f t="shared" si="36"/>
        <v>0</v>
      </c>
      <c r="M139" s="6">
        <f t="shared" si="36"/>
        <v>0</v>
      </c>
      <c r="N139" s="6">
        <f t="shared" si="36"/>
        <v>0</v>
      </c>
      <c r="O139" s="6">
        <f t="shared" si="36"/>
        <v>0</v>
      </c>
      <c r="P139" s="13">
        <f t="shared" si="36"/>
        <v>0</v>
      </c>
      <c r="Q139" s="8">
        <f t="shared" si="37"/>
        <v>0</v>
      </c>
      <c r="R139" s="6">
        <f t="shared" si="37"/>
        <v>0</v>
      </c>
      <c r="S139" s="6">
        <f t="shared" si="37"/>
        <v>0</v>
      </c>
      <c r="T139" s="6">
        <f t="shared" si="37"/>
        <v>0</v>
      </c>
      <c r="U139" s="13">
        <f t="shared" si="37"/>
        <v>0</v>
      </c>
      <c r="V139" s="8">
        <f t="shared" si="38"/>
        <v>0</v>
      </c>
      <c r="W139" s="6">
        <f t="shared" si="38"/>
        <v>0</v>
      </c>
      <c r="X139" s="6">
        <f t="shared" si="38"/>
        <v>0</v>
      </c>
      <c r="Y139" s="6">
        <f t="shared" si="38"/>
        <v>0</v>
      </c>
      <c r="Z139" s="13">
        <f t="shared" si="38"/>
        <v>0</v>
      </c>
      <c r="AA139" s="8">
        <f t="shared" si="38"/>
        <v>0</v>
      </c>
      <c r="AB139" s="6">
        <f t="shared" si="38"/>
        <v>0</v>
      </c>
      <c r="AC139" s="6">
        <f t="shared" si="38"/>
        <v>0</v>
      </c>
      <c r="AD139" s="6">
        <f t="shared" si="38"/>
        <v>0</v>
      </c>
      <c r="AE139" s="13">
        <f t="shared" si="38"/>
        <v>0</v>
      </c>
      <c r="AF139" s="16">
        <f t="shared" si="39"/>
        <v>0</v>
      </c>
      <c r="AG139" s="16">
        <f t="shared" si="40"/>
        <v>0</v>
      </c>
      <c r="AH139" s="118">
        <f>H7</f>
        <v>0</v>
      </c>
      <c r="AI139" s="118"/>
      <c r="AJ139" s="118"/>
      <c r="AK139" s="118"/>
      <c r="AL139" s="118"/>
      <c r="AN139" s="118">
        <f>H8</f>
        <v>0</v>
      </c>
      <c r="AO139" s="118">
        <f>H8</f>
        <v>0</v>
      </c>
      <c r="AP139" s="118"/>
      <c r="AQ139" s="118"/>
      <c r="AR139" s="118"/>
      <c r="AT139" s="118">
        <f>H9</f>
        <v>0</v>
      </c>
      <c r="AU139" s="118"/>
      <c r="AV139" s="118"/>
      <c r="AW139" s="118"/>
      <c r="AX139" s="118"/>
      <c r="AZ139" s="118">
        <f>H10</f>
        <v>0</v>
      </c>
      <c r="BA139" s="118"/>
      <c r="BB139" s="118"/>
      <c r="BC139" s="118"/>
      <c r="BD139" s="118"/>
      <c r="BF139" s="118">
        <f>H11</f>
        <v>0</v>
      </c>
      <c r="BG139" s="118"/>
      <c r="BH139" s="118"/>
      <c r="BI139" s="118"/>
      <c r="BJ139" s="118"/>
    </row>
    <row r="140" spans="1:62" ht="15.75" thickBot="1" x14ac:dyDescent="0.3">
      <c r="A140" s="15">
        <v>5000</v>
      </c>
      <c r="B140" s="8">
        <f t="shared" si="34"/>
        <v>0</v>
      </c>
      <c r="C140" s="6">
        <f t="shared" si="34"/>
        <v>0</v>
      </c>
      <c r="D140" s="6">
        <f t="shared" si="34"/>
        <v>0</v>
      </c>
      <c r="E140" s="6">
        <f t="shared" si="34"/>
        <v>0</v>
      </c>
      <c r="F140" s="13">
        <f t="shared" si="34"/>
        <v>0</v>
      </c>
      <c r="G140" s="8">
        <f t="shared" si="35"/>
        <v>0</v>
      </c>
      <c r="H140" s="6">
        <f t="shared" si="35"/>
        <v>0</v>
      </c>
      <c r="I140" s="6">
        <f t="shared" si="35"/>
        <v>0</v>
      </c>
      <c r="J140" s="6">
        <f t="shared" si="35"/>
        <v>0</v>
      </c>
      <c r="K140" s="13">
        <f t="shared" si="35"/>
        <v>0</v>
      </c>
      <c r="L140" s="8">
        <f t="shared" si="36"/>
        <v>0</v>
      </c>
      <c r="M140" s="6">
        <f t="shared" si="36"/>
        <v>0</v>
      </c>
      <c r="N140" s="6">
        <f t="shared" si="36"/>
        <v>0</v>
      </c>
      <c r="O140" s="6">
        <f t="shared" si="36"/>
        <v>0</v>
      </c>
      <c r="P140" s="13">
        <f t="shared" si="36"/>
        <v>0</v>
      </c>
      <c r="Q140" s="8">
        <f t="shared" si="37"/>
        <v>0</v>
      </c>
      <c r="R140" s="6">
        <f t="shared" si="37"/>
        <v>0</v>
      </c>
      <c r="S140" s="6">
        <f t="shared" si="37"/>
        <v>0</v>
      </c>
      <c r="T140" s="6">
        <f t="shared" si="37"/>
        <v>0</v>
      </c>
      <c r="U140" s="13">
        <f t="shared" si="37"/>
        <v>0</v>
      </c>
      <c r="V140" s="8">
        <f t="shared" si="38"/>
        <v>0</v>
      </c>
      <c r="W140" s="6">
        <f t="shared" si="38"/>
        <v>0</v>
      </c>
      <c r="X140" s="6">
        <f t="shared" si="38"/>
        <v>0</v>
      </c>
      <c r="Y140" s="6">
        <f t="shared" si="38"/>
        <v>0</v>
      </c>
      <c r="Z140" s="13">
        <f t="shared" si="38"/>
        <v>0</v>
      </c>
      <c r="AA140" s="8">
        <f t="shared" si="38"/>
        <v>0</v>
      </c>
      <c r="AB140" s="6">
        <f t="shared" si="38"/>
        <v>0</v>
      </c>
      <c r="AC140" s="6">
        <f t="shared" si="38"/>
        <v>0</v>
      </c>
      <c r="AD140" s="6">
        <f t="shared" si="38"/>
        <v>0</v>
      </c>
      <c r="AE140" s="13">
        <f t="shared" si="38"/>
        <v>0</v>
      </c>
      <c r="AF140" s="16">
        <f t="shared" si="39"/>
        <v>0</v>
      </c>
      <c r="AG140" s="16">
        <f t="shared" si="40"/>
        <v>0</v>
      </c>
      <c r="AH140" s="30" t="s">
        <v>136</v>
      </c>
      <c r="AI140" s="30" t="s">
        <v>27</v>
      </c>
      <c r="AJ140" s="30" t="s">
        <v>28</v>
      </c>
      <c r="AK140" s="30" t="s">
        <v>29</v>
      </c>
      <c r="AL140" s="30" t="s">
        <v>30</v>
      </c>
      <c r="AN140" s="30" t="s">
        <v>136</v>
      </c>
      <c r="AO140" s="30" t="s">
        <v>27</v>
      </c>
      <c r="AP140" s="30" t="s">
        <v>28</v>
      </c>
      <c r="AQ140" s="30" t="s">
        <v>29</v>
      </c>
      <c r="AR140" s="30" t="s">
        <v>30</v>
      </c>
      <c r="AT140" s="30" t="s">
        <v>136</v>
      </c>
      <c r="AU140" s="30" t="s">
        <v>27</v>
      </c>
      <c r="AV140" s="30" t="s">
        <v>28</v>
      </c>
      <c r="AW140" s="30" t="s">
        <v>29</v>
      </c>
      <c r="AX140" s="30" t="s">
        <v>30</v>
      </c>
      <c r="AZ140" s="30" t="s">
        <v>136</v>
      </c>
      <c r="BA140" s="30" t="s">
        <v>27</v>
      </c>
      <c r="BB140" s="30" t="s">
        <v>28</v>
      </c>
      <c r="BC140" s="30" t="s">
        <v>29</v>
      </c>
      <c r="BD140" s="30" t="s">
        <v>30</v>
      </c>
      <c r="BF140" s="30" t="s">
        <v>136</v>
      </c>
      <c r="BG140" s="30" t="s">
        <v>27</v>
      </c>
      <c r="BH140" s="30" t="s">
        <v>28</v>
      </c>
      <c r="BI140" s="30" t="s">
        <v>29</v>
      </c>
      <c r="BJ140" s="30" t="s">
        <v>30</v>
      </c>
    </row>
    <row r="141" spans="1:62" ht="15.75" thickBot="1" x14ac:dyDescent="0.3">
      <c r="A141" s="59">
        <v>10000</v>
      </c>
      <c r="B141" s="31">
        <f t="shared" si="34"/>
        <v>0</v>
      </c>
      <c r="C141" s="32">
        <f t="shared" si="34"/>
        <v>0</v>
      </c>
      <c r="D141" s="32">
        <f t="shared" si="34"/>
        <v>0</v>
      </c>
      <c r="E141" s="32">
        <f t="shared" si="34"/>
        <v>0</v>
      </c>
      <c r="F141" s="33">
        <f t="shared" si="34"/>
        <v>0</v>
      </c>
      <c r="G141" s="31">
        <f t="shared" si="35"/>
        <v>0</v>
      </c>
      <c r="H141" s="32">
        <f t="shared" si="35"/>
        <v>0</v>
      </c>
      <c r="I141" s="32">
        <f t="shared" si="35"/>
        <v>0</v>
      </c>
      <c r="J141" s="32">
        <f t="shared" si="35"/>
        <v>0</v>
      </c>
      <c r="K141" s="33">
        <f t="shared" si="35"/>
        <v>0</v>
      </c>
      <c r="L141" s="31">
        <f t="shared" si="36"/>
        <v>0</v>
      </c>
      <c r="M141" s="32">
        <f t="shared" si="36"/>
        <v>0</v>
      </c>
      <c r="N141" s="32">
        <f t="shared" si="36"/>
        <v>0</v>
      </c>
      <c r="O141" s="32">
        <f t="shared" si="36"/>
        <v>0</v>
      </c>
      <c r="P141" s="33">
        <f t="shared" si="36"/>
        <v>0</v>
      </c>
      <c r="Q141" s="31">
        <f t="shared" si="37"/>
        <v>0</v>
      </c>
      <c r="R141" s="32">
        <f t="shared" si="37"/>
        <v>0</v>
      </c>
      <c r="S141" s="32">
        <f t="shared" si="37"/>
        <v>0</v>
      </c>
      <c r="T141" s="32">
        <f t="shared" si="37"/>
        <v>0</v>
      </c>
      <c r="U141" s="33">
        <f t="shared" si="37"/>
        <v>0</v>
      </c>
      <c r="V141" s="31">
        <f t="shared" si="38"/>
        <v>0</v>
      </c>
      <c r="W141" s="32">
        <f t="shared" si="38"/>
        <v>0</v>
      </c>
      <c r="X141" s="32">
        <f t="shared" si="38"/>
        <v>0</v>
      </c>
      <c r="Y141" s="32">
        <f t="shared" si="38"/>
        <v>0</v>
      </c>
      <c r="Z141" s="33">
        <f t="shared" si="38"/>
        <v>0</v>
      </c>
      <c r="AA141" s="31">
        <f t="shared" si="38"/>
        <v>0</v>
      </c>
      <c r="AB141" s="32">
        <f t="shared" si="38"/>
        <v>0</v>
      </c>
      <c r="AC141" s="32">
        <f t="shared" si="38"/>
        <v>0</v>
      </c>
      <c r="AD141" s="32">
        <f t="shared" si="38"/>
        <v>0</v>
      </c>
      <c r="AE141" s="33">
        <f t="shared" si="38"/>
        <v>0</v>
      </c>
      <c r="AF141" s="16">
        <f t="shared" si="39"/>
        <v>0</v>
      </c>
      <c r="AG141" s="43">
        <f t="shared" si="40"/>
        <v>0</v>
      </c>
      <c r="AH141" s="16">
        <f>J7</f>
        <v>0</v>
      </c>
      <c r="AI141" s="10">
        <f>K7</f>
        <v>0</v>
      </c>
      <c r="AJ141" s="11">
        <f>L7</f>
        <v>0</v>
      </c>
      <c r="AK141" s="11">
        <f>M7</f>
        <v>0</v>
      </c>
      <c r="AL141" s="17">
        <f>N7</f>
        <v>0</v>
      </c>
      <c r="AN141" s="16">
        <f>J8</f>
        <v>0</v>
      </c>
      <c r="AO141" s="10">
        <f>K8</f>
        <v>0</v>
      </c>
      <c r="AP141" s="11">
        <f>L8</f>
        <v>0</v>
      </c>
      <c r="AQ141" s="11">
        <f>M8</f>
        <v>0</v>
      </c>
      <c r="AR141" s="17">
        <f>N8</f>
        <v>0</v>
      </c>
      <c r="AT141" s="16">
        <f>J9</f>
        <v>0</v>
      </c>
      <c r="AU141" s="10">
        <f>K9</f>
        <v>0</v>
      </c>
      <c r="AV141" s="11">
        <f>L9</f>
        <v>0</v>
      </c>
      <c r="AW141" s="11">
        <f>M9</f>
        <v>0</v>
      </c>
      <c r="AX141" s="17">
        <f>N9</f>
        <v>0</v>
      </c>
      <c r="AZ141" s="16">
        <f>J10</f>
        <v>0</v>
      </c>
      <c r="BA141" s="10">
        <f>K10</f>
        <v>0</v>
      </c>
      <c r="BB141" s="11">
        <f>L10</f>
        <v>0</v>
      </c>
      <c r="BC141" s="11">
        <f>M10</f>
        <v>0</v>
      </c>
      <c r="BD141" s="17">
        <f>N10</f>
        <v>0</v>
      </c>
      <c r="BF141" s="16">
        <f>J11</f>
        <v>0</v>
      </c>
      <c r="BG141" s="10">
        <f>K11</f>
        <v>0</v>
      </c>
      <c r="BH141" s="11">
        <f>L11</f>
        <v>0</v>
      </c>
      <c r="BI141" s="11">
        <f>M11</f>
        <v>0</v>
      </c>
      <c r="BJ141" s="17">
        <f>N11</f>
        <v>0</v>
      </c>
    </row>
    <row r="142" spans="1:62" ht="15.75" thickBot="1" x14ac:dyDescent="0.3">
      <c r="A142" s="35"/>
      <c r="B142" s="60">
        <f t="shared" ref="B142:AG142" si="41">SUM(B133:B141)</f>
        <v>0</v>
      </c>
      <c r="C142" s="61">
        <f t="shared" si="41"/>
        <v>0</v>
      </c>
      <c r="D142" s="61">
        <f t="shared" si="41"/>
        <v>0</v>
      </c>
      <c r="E142" s="61">
        <f t="shared" si="41"/>
        <v>0</v>
      </c>
      <c r="F142" s="62">
        <f t="shared" si="41"/>
        <v>0</v>
      </c>
      <c r="G142" s="60">
        <f t="shared" si="41"/>
        <v>0</v>
      </c>
      <c r="H142" s="61">
        <f t="shared" si="41"/>
        <v>0</v>
      </c>
      <c r="I142" s="61">
        <f t="shared" si="41"/>
        <v>0</v>
      </c>
      <c r="J142" s="61">
        <f t="shared" si="41"/>
        <v>0</v>
      </c>
      <c r="K142" s="62">
        <f t="shared" si="41"/>
        <v>0</v>
      </c>
      <c r="L142" s="60">
        <f t="shared" si="41"/>
        <v>0</v>
      </c>
      <c r="M142" s="61">
        <f t="shared" si="41"/>
        <v>0</v>
      </c>
      <c r="N142" s="61">
        <f t="shared" si="41"/>
        <v>0</v>
      </c>
      <c r="O142" s="61">
        <f t="shared" si="41"/>
        <v>0</v>
      </c>
      <c r="P142" s="62">
        <f t="shared" si="41"/>
        <v>0</v>
      </c>
      <c r="Q142" s="60">
        <f t="shared" si="41"/>
        <v>0</v>
      </c>
      <c r="R142" s="61">
        <f t="shared" si="41"/>
        <v>0</v>
      </c>
      <c r="S142" s="61">
        <f t="shared" si="41"/>
        <v>0</v>
      </c>
      <c r="T142" s="61">
        <f t="shared" si="41"/>
        <v>0</v>
      </c>
      <c r="U142" s="62">
        <f t="shared" si="41"/>
        <v>0</v>
      </c>
      <c r="V142" s="60">
        <f t="shared" si="41"/>
        <v>0</v>
      </c>
      <c r="W142" s="61">
        <f t="shared" si="41"/>
        <v>0</v>
      </c>
      <c r="X142" s="61">
        <f t="shared" si="41"/>
        <v>0</v>
      </c>
      <c r="Y142" s="61">
        <f t="shared" si="41"/>
        <v>0</v>
      </c>
      <c r="Z142" s="62">
        <f t="shared" si="41"/>
        <v>0</v>
      </c>
      <c r="AA142" s="60">
        <f t="shared" si="41"/>
        <v>0</v>
      </c>
      <c r="AB142" s="61">
        <f t="shared" si="41"/>
        <v>0</v>
      </c>
      <c r="AC142" s="61">
        <f t="shared" si="41"/>
        <v>0</v>
      </c>
      <c r="AD142" s="61">
        <f t="shared" si="41"/>
        <v>0</v>
      </c>
      <c r="AE142" s="62">
        <f t="shared" si="41"/>
        <v>0</v>
      </c>
      <c r="AF142" s="35">
        <f t="shared" si="41"/>
        <v>0</v>
      </c>
      <c r="AG142" s="35">
        <f t="shared" si="40"/>
        <v>0</v>
      </c>
      <c r="AH142" s="15">
        <f>P7</f>
        <v>0</v>
      </c>
      <c r="AI142" s="8">
        <f>Q7</f>
        <v>0</v>
      </c>
      <c r="AJ142" s="6">
        <f>R7</f>
        <v>0</v>
      </c>
      <c r="AK142" s="6">
        <f>S7</f>
        <v>0</v>
      </c>
      <c r="AL142" s="13">
        <f>T7</f>
        <v>0</v>
      </c>
      <c r="AN142" s="15">
        <f>P8</f>
        <v>0</v>
      </c>
      <c r="AO142" s="8">
        <f>Q8</f>
        <v>0</v>
      </c>
      <c r="AP142" s="6">
        <f>R8</f>
        <v>0</v>
      </c>
      <c r="AQ142" s="6">
        <f>S8</f>
        <v>0</v>
      </c>
      <c r="AR142" s="13">
        <f>T8</f>
        <v>0</v>
      </c>
      <c r="AT142" s="15">
        <f>P9</f>
        <v>0</v>
      </c>
      <c r="AU142" s="8">
        <f>Q9</f>
        <v>0</v>
      </c>
      <c r="AV142" s="6">
        <f>R9</f>
        <v>0</v>
      </c>
      <c r="AW142" s="6">
        <f>S9</f>
        <v>0</v>
      </c>
      <c r="AX142" s="13">
        <f>T9</f>
        <v>0</v>
      </c>
      <c r="AZ142" s="15">
        <f>P10</f>
        <v>0</v>
      </c>
      <c r="BA142" s="8">
        <f>Q10</f>
        <v>0</v>
      </c>
      <c r="BB142" s="6">
        <f>R10</f>
        <v>0</v>
      </c>
      <c r="BC142" s="6">
        <f>S10</f>
        <v>0</v>
      </c>
      <c r="BD142" s="13">
        <f>T10</f>
        <v>0</v>
      </c>
      <c r="BF142" s="15">
        <f>P11</f>
        <v>0</v>
      </c>
      <c r="BG142" s="8">
        <f>Q11</f>
        <v>0</v>
      </c>
      <c r="BH142" s="6">
        <f>R11</f>
        <v>0</v>
      </c>
      <c r="BI142" s="6">
        <f>S11</f>
        <v>0</v>
      </c>
      <c r="BJ142" s="13">
        <f>T11</f>
        <v>0</v>
      </c>
    </row>
    <row r="143" spans="1:62" ht="15.75" thickBot="1" x14ac:dyDescent="0.3">
      <c r="AH143" s="15">
        <f>V7</f>
        <v>0</v>
      </c>
      <c r="AI143" s="8">
        <f>W7</f>
        <v>0</v>
      </c>
      <c r="AJ143" s="6">
        <f>X7</f>
        <v>0</v>
      </c>
      <c r="AK143" s="6">
        <f>Y7</f>
        <v>0</v>
      </c>
      <c r="AL143" s="13">
        <f>Z7</f>
        <v>0</v>
      </c>
      <c r="AN143" s="15">
        <f>V8</f>
        <v>0</v>
      </c>
      <c r="AO143" s="8">
        <f>W8</f>
        <v>0</v>
      </c>
      <c r="AP143" s="6">
        <f>X8</f>
        <v>0</v>
      </c>
      <c r="AQ143" s="6">
        <f>Y8</f>
        <v>0</v>
      </c>
      <c r="AR143" s="13">
        <f>Z8</f>
        <v>0</v>
      </c>
      <c r="AT143" s="15">
        <f>V9</f>
        <v>0</v>
      </c>
      <c r="AU143" s="8">
        <f>W9</f>
        <v>0</v>
      </c>
      <c r="AV143" s="6">
        <f>X9</f>
        <v>0</v>
      </c>
      <c r="AW143" s="6">
        <f>Y9</f>
        <v>0</v>
      </c>
      <c r="AX143" s="13">
        <f>Z9</f>
        <v>0</v>
      </c>
      <c r="AZ143" s="15">
        <f>V10</f>
        <v>0</v>
      </c>
      <c r="BA143" s="8">
        <f>W10</f>
        <v>0</v>
      </c>
      <c r="BB143" s="6">
        <f>X10</f>
        <v>0</v>
      </c>
      <c r="BC143" s="6">
        <f>Y10</f>
        <v>0</v>
      </c>
      <c r="BD143" s="13">
        <f>Z10</f>
        <v>0</v>
      </c>
      <c r="BF143" s="15">
        <f>V11</f>
        <v>0</v>
      </c>
      <c r="BG143" s="8">
        <f>W11</f>
        <v>0</v>
      </c>
      <c r="BH143" s="6">
        <f>X11</f>
        <v>0</v>
      </c>
      <c r="BI143" s="6">
        <f>Y11</f>
        <v>0</v>
      </c>
      <c r="BJ143" s="13">
        <f>Z11</f>
        <v>0</v>
      </c>
    </row>
    <row r="144" spans="1:62" ht="15.75" customHeight="1" thickBot="1" x14ac:dyDescent="0.3">
      <c r="A144" s="111" t="s">
        <v>130</v>
      </c>
      <c r="B144" s="112"/>
      <c r="D144" s="111" t="s">
        <v>131</v>
      </c>
      <c r="E144" s="112"/>
      <c r="G144" s="111" t="s">
        <v>132</v>
      </c>
      <c r="H144" s="112"/>
      <c r="J144" s="161" t="s">
        <v>250</v>
      </c>
      <c r="K144" s="162"/>
      <c r="M144" s="161" t="s">
        <v>251</v>
      </c>
      <c r="N144" s="162"/>
      <c r="P144" s="161" t="s">
        <v>252</v>
      </c>
      <c r="Q144" s="162"/>
      <c r="S144" s="123" t="s">
        <v>31</v>
      </c>
      <c r="T144" s="113" t="s">
        <v>84</v>
      </c>
      <c r="U144" s="115"/>
      <c r="V144" s="116" t="s">
        <v>24</v>
      </c>
      <c r="W144" s="116" t="s">
        <v>86</v>
      </c>
      <c r="AH144" s="15">
        <f>AB7</f>
        <v>0</v>
      </c>
      <c r="AI144" s="8">
        <f>AC7</f>
        <v>0</v>
      </c>
      <c r="AJ144" s="6">
        <f>AD7</f>
        <v>0</v>
      </c>
      <c r="AK144" s="6">
        <f>AE7</f>
        <v>0</v>
      </c>
      <c r="AL144" s="13">
        <f>AF7</f>
        <v>0</v>
      </c>
      <c r="AN144" s="15">
        <f>AB8</f>
        <v>0</v>
      </c>
      <c r="AO144" s="8">
        <f>AC8</f>
        <v>0</v>
      </c>
      <c r="AP144" s="6">
        <f>AD8</f>
        <v>0</v>
      </c>
      <c r="AQ144" s="6">
        <f>AE8</f>
        <v>0</v>
      </c>
      <c r="AR144" s="13">
        <f>AF8</f>
        <v>0</v>
      </c>
      <c r="AT144" s="15">
        <f>AB9</f>
        <v>0</v>
      </c>
      <c r="AU144" s="8">
        <f>AC9</f>
        <v>0</v>
      </c>
      <c r="AV144" s="6">
        <f>AD9</f>
        <v>0</v>
      </c>
      <c r="AW144" s="6">
        <f>AE9</f>
        <v>0</v>
      </c>
      <c r="AX144" s="13">
        <f>AF9</f>
        <v>0</v>
      </c>
      <c r="AZ144" s="15">
        <f>AB10</f>
        <v>0</v>
      </c>
      <c r="BA144" s="8">
        <f>AC10</f>
        <v>0</v>
      </c>
      <c r="BB144" s="6">
        <f>AD10</f>
        <v>0</v>
      </c>
      <c r="BC144" s="6">
        <f>AE10</f>
        <v>0</v>
      </c>
      <c r="BD144" s="13">
        <f>AF10</f>
        <v>0</v>
      </c>
      <c r="BF144" s="15">
        <f>AB11</f>
        <v>0</v>
      </c>
      <c r="BG144" s="8">
        <f>AC11</f>
        <v>0</v>
      </c>
      <c r="BH144" s="6">
        <f>AD11</f>
        <v>0</v>
      </c>
      <c r="BI144" s="6">
        <f>AE11</f>
        <v>0</v>
      </c>
      <c r="BJ144" s="13">
        <f>AF11</f>
        <v>0</v>
      </c>
    </row>
    <row r="145" spans="1:62" ht="15.75" thickBot="1" x14ac:dyDescent="0.3">
      <c r="A145" s="60" t="s">
        <v>27</v>
      </c>
      <c r="B145" s="62" t="s">
        <v>102</v>
      </c>
      <c r="D145" s="34" t="s">
        <v>27</v>
      </c>
      <c r="E145" s="79" t="s">
        <v>102</v>
      </c>
      <c r="G145" s="34" t="s">
        <v>27</v>
      </c>
      <c r="H145" s="79" t="s">
        <v>102</v>
      </c>
      <c r="J145" s="163"/>
      <c r="K145" s="164"/>
      <c r="M145" s="163"/>
      <c r="N145" s="164"/>
      <c r="P145" s="163"/>
      <c r="Q145" s="164"/>
      <c r="S145" s="124"/>
      <c r="T145" s="12" t="s">
        <v>17</v>
      </c>
      <c r="U145" s="12" t="s">
        <v>19</v>
      </c>
      <c r="V145" s="117"/>
      <c r="W145" s="117"/>
      <c r="AH145" s="15">
        <f>AH7</f>
        <v>0</v>
      </c>
      <c r="AI145" s="8">
        <f>AI7</f>
        <v>0</v>
      </c>
      <c r="AJ145" s="6">
        <f>AJ7</f>
        <v>0</v>
      </c>
      <c r="AK145" s="6">
        <f>AK7</f>
        <v>0</v>
      </c>
      <c r="AL145" s="13">
        <f>AL7</f>
        <v>0</v>
      </c>
      <c r="AN145" s="15">
        <f>AH8</f>
        <v>0</v>
      </c>
      <c r="AO145" s="8">
        <f>AI8</f>
        <v>0</v>
      </c>
      <c r="AP145" s="6">
        <f>AJ8</f>
        <v>0</v>
      </c>
      <c r="AQ145" s="6">
        <f>AK8</f>
        <v>0</v>
      </c>
      <c r="AR145" s="13">
        <f>AL8</f>
        <v>0</v>
      </c>
      <c r="AT145" s="15">
        <f>AH9</f>
        <v>0</v>
      </c>
      <c r="AU145" s="8">
        <f>AI9</f>
        <v>0</v>
      </c>
      <c r="AV145" s="6">
        <f>AJ9</f>
        <v>0</v>
      </c>
      <c r="AW145" s="6">
        <f>AK9</f>
        <v>0</v>
      </c>
      <c r="AX145" s="13">
        <f>AL9</f>
        <v>0</v>
      </c>
      <c r="AZ145" s="15">
        <f>AH10</f>
        <v>0</v>
      </c>
      <c r="BA145" s="8">
        <f>AI10</f>
        <v>0</v>
      </c>
      <c r="BB145" s="6">
        <f>AJ10</f>
        <v>0</v>
      </c>
      <c r="BC145" s="6">
        <f>AK10</f>
        <v>0</v>
      </c>
      <c r="BD145" s="13">
        <f>AL10</f>
        <v>0</v>
      </c>
      <c r="BF145" s="15">
        <f>AH11</f>
        <v>0</v>
      </c>
      <c r="BG145" s="8">
        <f>AI11</f>
        <v>0</v>
      </c>
      <c r="BH145" s="6">
        <f>AJ11</f>
        <v>0</v>
      </c>
      <c r="BI145" s="6">
        <f>AK11</f>
        <v>0</v>
      </c>
      <c r="BJ145" s="13">
        <f>AL11</f>
        <v>0</v>
      </c>
    </row>
    <row r="146" spans="1:62" x14ac:dyDescent="0.25">
      <c r="A146" s="10">
        <v>225</v>
      </c>
      <c r="B146" s="17">
        <f t="shared" ref="B146:B151" si="42">SUMIFS($J$14:$J$113,$H$14:$H$113,$A$144,$I$14:$I$113,A146)</f>
        <v>0</v>
      </c>
      <c r="D146" s="10">
        <v>1000</v>
      </c>
      <c r="E146" s="17">
        <f>SUMIFS($J$14:$J$113,$H$14:$H$113,$D$144,$I$14:$I$113,D146)</f>
        <v>0</v>
      </c>
      <c r="G146" s="10">
        <v>1000</v>
      </c>
      <c r="H146" s="17">
        <f>SUMIFS($J$14:$J$113,$H$14:$H$113,$G$144,$I$14:$I$113,G146)</f>
        <v>0</v>
      </c>
      <c r="J146" s="163"/>
      <c r="K146" s="164"/>
      <c r="M146" s="163"/>
      <c r="N146" s="164"/>
      <c r="P146" s="163"/>
      <c r="Q146" s="164"/>
      <c r="S146" s="16">
        <v>300</v>
      </c>
      <c r="T146" s="11">
        <f>SUMIFS($J$14:$J$113,$I$14:$I$113,$S146,$K$14:$K$113,T$145,$H$14:$H$113,$T$144)</f>
        <v>0</v>
      </c>
      <c r="U146" s="11">
        <f>SUMIFS($J$14:$J$113,$I$14:$I$113,$S146,$K$14:$K$113,U$145,$H$14:$H$113,$T$144)</f>
        <v>0</v>
      </c>
      <c r="V146" s="16">
        <f>SUM(T146:U146)*S146</f>
        <v>0</v>
      </c>
      <c r="W146" s="16">
        <f>T146+U146</f>
        <v>0</v>
      </c>
      <c r="AH146" s="15">
        <f>AN7</f>
        <v>0</v>
      </c>
      <c r="AI146" s="8">
        <f>AO7</f>
        <v>0</v>
      </c>
      <c r="AJ146" s="6">
        <f>AP7</f>
        <v>0</v>
      </c>
      <c r="AK146" s="6">
        <f>AQ7</f>
        <v>0</v>
      </c>
      <c r="AL146" s="13">
        <f>AR7</f>
        <v>0</v>
      </c>
      <c r="AN146" s="15">
        <f>AN8</f>
        <v>0</v>
      </c>
      <c r="AO146" s="8">
        <f>AO8</f>
        <v>0</v>
      </c>
      <c r="AP146" s="6">
        <f>AP8</f>
        <v>0</v>
      </c>
      <c r="AQ146" s="6">
        <f>AQ8</f>
        <v>0</v>
      </c>
      <c r="AR146" s="13">
        <f>AR8</f>
        <v>0</v>
      </c>
      <c r="AT146" s="15">
        <f>AN9</f>
        <v>0</v>
      </c>
      <c r="AU146" s="8">
        <f>AO9</f>
        <v>0</v>
      </c>
      <c r="AV146" s="6">
        <f>AP9</f>
        <v>0</v>
      </c>
      <c r="AW146" s="6">
        <f>AQ9</f>
        <v>0</v>
      </c>
      <c r="AX146" s="13">
        <f>AR9</f>
        <v>0</v>
      </c>
      <c r="AZ146" s="15">
        <f>AN10</f>
        <v>0</v>
      </c>
      <c r="BA146" s="8">
        <f>AO10</f>
        <v>0</v>
      </c>
      <c r="BB146" s="6">
        <f>AP10</f>
        <v>0</v>
      </c>
      <c r="BC146" s="6">
        <f>AQ10</f>
        <v>0</v>
      </c>
      <c r="BD146" s="13">
        <f>AR10</f>
        <v>0</v>
      </c>
      <c r="BF146" s="15">
        <f>AN11</f>
        <v>0</v>
      </c>
      <c r="BG146" s="8">
        <f>AO11</f>
        <v>0</v>
      </c>
      <c r="BH146" s="6">
        <f>AP11</f>
        <v>0</v>
      </c>
      <c r="BI146" s="6">
        <f>AQ11</f>
        <v>0</v>
      </c>
      <c r="BJ146" s="13">
        <f>AR11</f>
        <v>0</v>
      </c>
    </row>
    <row r="147" spans="1:62" ht="15.75" thickBot="1" x14ac:dyDescent="0.3">
      <c r="A147" s="8">
        <v>325</v>
      </c>
      <c r="B147" s="17">
        <f t="shared" si="42"/>
        <v>0</v>
      </c>
      <c r="D147" s="9">
        <v>3000</v>
      </c>
      <c r="E147" s="17">
        <f>SUMIFS($J$14:$J$113,$H$14:$H$113,$D$144,$I$14:$I$113,D147)</f>
        <v>0</v>
      </c>
      <c r="G147" s="31">
        <v>2000</v>
      </c>
      <c r="H147" s="17">
        <f>SUMIFS($J$14:$J$113,$H$14:$H$113,$G$144,$I$14:$I$113,G147)</f>
        <v>0</v>
      </c>
      <c r="J147" s="165"/>
      <c r="K147" s="166"/>
      <c r="M147" s="165"/>
      <c r="N147" s="166"/>
      <c r="P147" s="165"/>
      <c r="Q147" s="166"/>
      <c r="S147" s="16">
        <v>500</v>
      </c>
      <c r="T147" s="11">
        <f t="shared" ref="T147:U154" si="43">SUMIFS($J$14:$J$113,$I$14:$I$113,$S147,$K$14:$K$113,T$145,$H$14:$H$113,$T$144)</f>
        <v>0</v>
      </c>
      <c r="U147" s="11">
        <f t="shared" si="43"/>
        <v>0</v>
      </c>
      <c r="V147" s="16">
        <f t="shared" ref="V147:V154" si="44">SUM(T147:U147)*S147</f>
        <v>0</v>
      </c>
      <c r="W147" s="16">
        <f t="shared" ref="W147:W154" si="45">T147+U147</f>
        <v>0</v>
      </c>
      <c r="AA147" s="167" t="s">
        <v>37</v>
      </c>
      <c r="AB147" s="167"/>
      <c r="AC147" s="167"/>
      <c r="AD147" s="167" t="s">
        <v>113</v>
      </c>
      <c r="AE147" s="167"/>
      <c r="AF147" s="167"/>
      <c r="AH147" s="15">
        <f>AT7</f>
        <v>0</v>
      </c>
      <c r="AI147" s="8">
        <f>AU7</f>
        <v>0</v>
      </c>
      <c r="AJ147" s="6">
        <f>AV7</f>
        <v>0</v>
      </c>
      <c r="AK147" s="6">
        <f>AW7</f>
        <v>0</v>
      </c>
      <c r="AL147" s="13">
        <f>AX7</f>
        <v>0</v>
      </c>
      <c r="AN147" s="15">
        <f>AT8</f>
        <v>0</v>
      </c>
      <c r="AO147" s="8">
        <f>AU8</f>
        <v>0</v>
      </c>
      <c r="AP147" s="6">
        <f>AV8</f>
        <v>0</v>
      </c>
      <c r="AQ147" s="6">
        <f>AW8</f>
        <v>0</v>
      </c>
      <c r="AR147" s="13">
        <f>AX8</f>
        <v>0</v>
      </c>
      <c r="AT147" s="15">
        <f>AT9</f>
        <v>0</v>
      </c>
      <c r="AU147" s="8">
        <f>AU9</f>
        <v>0</v>
      </c>
      <c r="AV147" s="6">
        <f>AV9</f>
        <v>0</v>
      </c>
      <c r="AW147" s="6">
        <f>AW9</f>
        <v>0</v>
      </c>
      <c r="AX147" s="13">
        <f>AX9</f>
        <v>0</v>
      </c>
      <c r="AZ147" s="15">
        <f>AT10</f>
        <v>0</v>
      </c>
      <c r="BA147" s="8">
        <f>AU10</f>
        <v>0</v>
      </c>
      <c r="BB147" s="6">
        <f>AV10</f>
        <v>0</v>
      </c>
      <c r="BC147" s="6">
        <f>AW10</f>
        <v>0</v>
      </c>
      <c r="BD147" s="13">
        <f>AX10</f>
        <v>0</v>
      </c>
      <c r="BF147" s="15">
        <f>AT11</f>
        <v>0</v>
      </c>
      <c r="BG147" s="8">
        <f>AU11</f>
        <v>0</v>
      </c>
      <c r="BH147" s="6">
        <f>AV11</f>
        <v>0</v>
      </c>
      <c r="BI147" s="6">
        <f>AW11</f>
        <v>0</v>
      </c>
      <c r="BJ147" s="13">
        <f>AX11</f>
        <v>0</v>
      </c>
    </row>
    <row r="148" spans="1:62" ht="15.75" thickBot="1" x14ac:dyDescent="0.3">
      <c r="A148" s="8">
        <v>400</v>
      </c>
      <c r="B148" s="17">
        <f t="shared" si="42"/>
        <v>0</v>
      </c>
      <c r="D148" s="60" t="s">
        <v>24</v>
      </c>
      <c r="E148" s="62">
        <f>SUMPRODUCT(D146:D147,E146:E147)</f>
        <v>0</v>
      </c>
      <c r="G148" s="60" t="s">
        <v>24</v>
      </c>
      <c r="H148" s="62">
        <f>SUMPRODUCT(G146:G147,H146:H147)</f>
        <v>0</v>
      </c>
      <c r="J148" s="60" t="s">
        <v>29</v>
      </c>
      <c r="K148" s="62" t="s">
        <v>102</v>
      </c>
      <c r="M148" s="60" t="s">
        <v>29</v>
      </c>
      <c r="N148" s="62" t="s">
        <v>102</v>
      </c>
      <c r="P148" s="60" t="s">
        <v>29</v>
      </c>
      <c r="Q148" s="62" t="s">
        <v>102</v>
      </c>
      <c r="S148" s="15">
        <v>750</v>
      </c>
      <c r="T148" s="11">
        <f t="shared" si="43"/>
        <v>0</v>
      </c>
      <c r="U148" s="11">
        <f t="shared" si="43"/>
        <v>0</v>
      </c>
      <c r="V148" s="16">
        <f t="shared" si="44"/>
        <v>0</v>
      </c>
      <c r="W148" s="16">
        <f t="shared" si="45"/>
        <v>0</v>
      </c>
      <c r="AA148" s="167" t="str">
        <f>"TANKS: " &amp; SUM(B128:AE128,B146:B151,E146:E147,H146:H147,B142:AE142,W155)</f>
        <v>TANKS: 48</v>
      </c>
      <c r="AB148" s="167"/>
      <c r="AC148" s="167"/>
      <c r="AD148" s="167" t="str">
        <f>"LTRS: " &amp;SUM(AF128,B152,E148,H148,AF142,V155)</f>
        <v>LTRS: 39500</v>
      </c>
      <c r="AE148" s="167"/>
      <c r="AF148" s="167"/>
      <c r="AH148" s="15">
        <f>AZ7</f>
        <v>0</v>
      </c>
      <c r="AI148" s="8">
        <f>BA7</f>
        <v>0</v>
      </c>
      <c r="AJ148" s="6">
        <f>BB7</f>
        <v>0</v>
      </c>
      <c r="AK148" s="6">
        <f>BC7</f>
        <v>0</v>
      </c>
      <c r="AL148" s="13">
        <f>BD7</f>
        <v>0</v>
      </c>
      <c r="AN148" s="15">
        <f>AZ8</f>
        <v>0</v>
      </c>
      <c r="AO148" s="8">
        <f>BA8</f>
        <v>0</v>
      </c>
      <c r="AP148" s="6">
        <f>BB8</f>
        <v>0</v>
      </c>
      <c r="AQ148" s="6">
        <f>BC8</f>
        <v>0</v>
      </c>
      <c r="AR148" s="13">
        <f>BD8</f>
        <v>0</v>
      </c>
      <c r="AT148" s="15">
        <f>AZ9</f>
        <v>0</v>
      </c>
      <c r="AU148" s="8">
        <f>BA9</f>
        <v>0</v>
      </c>
      <c r="AV148" s="6">
        <f>BB9</f>
        <v>0</v>
      </c>
      <c r="AW148" s="6">
        <f>BC9</f>
        <v>0</v>
      </c>
      <c r="AX148" s="13">
        <f>BD9</f>
        <v>0</v>
      </c>
      <c r="AZ148" s="15">
        <f>AZ10</f>
        <v>0</v>
      </c>
      <c r="BA148" s="8">
        <f>BA10</f>
        <v>0</v>
      </c>
      <c r="BB148" s="6">
        <f>BB10</f>
        <v>0</v>
      </c>
      <c r="BC148" s="6">
        <f>BC10</f>
        <v>0</v>
      </c>
      <c r="BD148" s="13">
        <f>BD10</f>
        <v>0</v>
      </c>
      <c r="BF148" s="15">
        <f>AZ11</f>
        <v>0</v>
      </c>
      <c r="BG148" s="8">
        <f>BA11</f>
        <v>0</v>
      </c>
      <c r="BH148" s="6">
        <f>BB11</f>
        <v>0</v>
      </c>
      <c r="BI148" s="6">
        <f>BC11</f>
        <v>0</v>
      </c>
      <c r="BJ148" s="13">
        <f>BD11</f>
        <v>0</v>
      </c>
    </row>
    <row r="149" spans="1:62" x14ac:dyDescent="0.25">
      <c r="A149" s="8">
        <v>500</v>
      </c>
      <c r="B149" s="17">
        <f t="shared" si="42"/>
        <v>0</v>
      </c>
      <c r="J149" s="10" t="s">
        <v>17</v>
      </c>
      <c r="K149" s="17">
        <f>SUMIFS($J$14:$J$113,$H$14:$H$113,"CAP16_1",$K$14:$K$113,J149)</f>
        <v>0</v>
      </c>
      <c r="M149" s="10" t="s">
        <v>17</v>
      </c>
      <c r="N149" s="17">
        <f>SUMIFS($J$14:$J$113,$H$14:$H$113,"CAP16_2",$K$14:$K$113,M149)</f>
        <v>0</v>
      </c>
      <c r="P149" s="10" t="s">
        <v>17</v>
      </c>
      <c r="Q149" s="17">
        <f>SUMIFS($J$14:$J$113,$H$14:$H$113,"CAP19",$K$14:$K$113,P149)</f>
        <v>0</v>
      </c>
      <c r="S149" s="15">
        <v>1000</v>
      </c>
      <c r="T149" s="11">
        <f t="shared" si="43"/>
        <v>0</v>
      </c>
      <c r="U149" s="11">
        <f t="shared" si="43"/>
        <v>0</v>
      </c>
      <c r="V149" s="16">
        <f t="shared" si="44"/>
        <v>0</v>
      </c>
      <c r="W149" s="16">
        <f t="shared" si="45"/>
        <v>0</v>
      </c>
      <c r="AA149" s="167" t="s">
        <v>76</v>
      </c>
      <c r="AB149" s="167"/>
      <c r="AC149" s="167"/>
      <c r="AD149" s="176">
        <f>D114</f>
        <v>46008</v>
      </c>
      <c r="AE149" s="176"/>
      <c r="AF149" s="176"/>
      <c r="AH149" s="15">
        <f>BF7</f>
        <v>0</v>
      </c>
      <c r="AI149" s="8">
        <f>BG7</f>
        <v>0</v>
      </c>
      <c r="AJ149" s="6">
        <f>BH7</f>
        <v>0</v>
      </c>
      <c r="AK149" s="6">
        <f>BI7</f>
        <v>0</v>
      </c>
      <c r="AL149" s="13">
        <f>BJ7</f>
        <v>0</v>
      </c>
      <c r="AN149" s="15">
        <f>BF8</f>
        <v>0</v>
      </c>
      <c r="AO149" s="8">
        <f>BG8</f>
        <v>0</v>
      </c>
      <c r="AP149" s="6">
        <f>BH8</f>
        <v>0</v>
      </c>
      <c r="AQ149" s="6">
        <f>BI8</f>
        <v>0</v>
      </c>
      <c r="AR149" s="13">
        <f>BJ8</f>
        <v>0</v>
      </c>
      <c r="AT149" s="15">
        <f>BF9</f>
        <v>0</v>
      </c>
      <c r="AU149" s="8">
        <f>BG9</f>
        <v>0</v>
      </c>
      <c r="AV149" s="6">
        <f>BH9</f>
        <v>0</v>
      </c>
      <c r="AW149" s="6">
        <f>BI9</f>
        <v>0</v>
      </c>
      <c r="AX149" s="13">
        <f>BJ9</f>
        <v>0</v>
      </c>
      <c r="AZ149" s="15">
        <f>BF10</f>
        <v>0</v>
      </c>
      <c r="BA149" s="8">
        <f>BG10</f>
        <v>0</v>
      </c>
      <c r="BB149" s="6">
        <f>BH10</f>
        <v>0</v>
      </c>
      <c r="BC149" s="6">
        <f>BI10</f>
        <v>0</v>
      </c>
      <c r="BD149" s="13">
        <f>BJ10</f>
        <v>0</v>
      </c>
      <c r="BF149" s="15">
        <f>BF11</f>
        <v>0</v>
      </c>
      <c r="BG149" s="8">
        <f>BG11</f>
        <v>0</v>
      </c>
      <c r="BH149" s="6">
        <f>BH11</f>
        <v>0</v>
      </c>
      <c r="BI149" s="6">
        <f>BI11</f>
        <v>0</v>
      </c>
      <c r="BJ149" s="13">
        <f>BJ11</f>
        <v>0</v>
      </c>
    </row>
    <row r="150" spans="1:62" ht="15.75" thickBot="1" x14ac:dyDescent="0.3">
      <c r="A150" s="8">
        <v>750</v>
      </c>
      <c r="B150" s="17">
        <f t="shared" si="42"/>
        <v>0</v>
      </c>
      <c r="J150" s="8" t="s">
        <v>19</v>
      </c>
      <c r="K150" s="17">
        <f t="shared" ref="K150:K153" si="46">SUMIFS($J$14:$J$113,$H$14:$H$113,"CAP16_1",$K$14:$K$113,J150)</f>
        <v>0</v>
      </c>
      <c r="M150" s="8" t="s">
        <v>19</v>
      </c>
      <c r="N150" s="17">
        <f t="shared" ref="N150:N153" si="47">SUMIFS($J$14:$J$113,$H$14:$H$113,"CAP16_2",$K$14:$K$113,M150)</f>
        <v>0</v>
      </c>
      <c r="P150" s="8" t="s">
        <v>19</v>
      </c>
      <c r="Q150" s="17">
        <f t="shared" ref="Q150:Q153" si="48">SUMIFS($J$14:$J$113,$H$14:$H$113,"CAP19",$K$14:$K$113,P150)</f>
        <v>0</v>
      </c>
      <c r="S150" s="15">
        <v>1500</v>
      </c>
      <c r="T150" s="11">
        <f t="shared" si="43"/>
        <v>0</v>
      </c>
      <c r="U150" s="11">
        <f t="shared" si="43"/>
        <v>0</v>
      </c>
      <c r="V150" s="16">
        <f t="shared" si="44"/>
        <v>0</v>
      </c>
      <c r="W150" s="16">
        <f t="shared" si="45"/>
        <v>0</v>
      </c>
      <c r="AH150" s="59">
        <f>BL7</f>
        <v>0</v>
      </c>
      <c r="AI150" s="31">
        <f>BM7</f>
        <v>0</v>
      </c>
      <c r="AJ150" s="32">
        <f>BN7</f>
        <v>0</v>
      </c>
      <c r="AK150" s="32">
        <f>BO7</f>
        <v>0</v>
      </c>
      <c r="AL150" s="33">
        <f>BP7</f>
        <v>0</v>
      </c>
      <c r="AN150" s="59">
        <f>BL8</f>
        <v>0</v>
      </c>
      <c r="AO150" s="31">
        <f>BM8</f>
        <v>0</v>
      </c>
      <c r="AP150" s="32">
        <f>BN8</f>
        <v>0</v>
      </c>
      <c r="AQ150" s="32">
        <f>BO8</f>
        <v>0</v>
      </c>
      <c r="AR150" s="33">
        <f>BP8</f>
        <v>0</v>
      </c>
      <c r="AT150" s="59">
        <f>BL9</f>
        <v>0</v>
      </c>
      <c r="AU150" s="31">
        <f>BM9</f>
        <v>0</v>
      </c>
      <c r="AV150" s="32">
        <f>BN9</f>
        <v>0</v>
      </c>
      <c r="AW150" s="32">
        <f>BO9</f>
        <v>0</v>
      </c>
      <c r="AX150" s="33">
        <f>BP9</f>
        <v>0</v>
      </c>
      <c r="AZ150" s="59">
        <f>BL10</f>
        <v>0</v>
      </c>
      <c r="BA150" s="31">
        <f>BM10</f>
        <v>0</v>
      </c>
      <c r="BB150" s="32">
        <f>BN10</f>
        <v>0</v>
      </c>
      <c r="BC150" s="32">
        <f>BO10</f>
        <v>0</v>
      </c>
      <c r="BD150" s="33">
        <f>BP10</f>
        <v>0</v>
      </c>
      <c r="BF150" s="59">
        <f>BL11</f>
        <v>0</v>
      </c>
      <c r="BG150" s="31">
        <f>BM11</f>
        <v>0</v>
      </c>
      <c r="BH150" s="32">
        <f>BN11</f>
        <v>0</v>
      </c>
      <c r="BI150" s="32">
        <f>BO11</f>
        <v>0</v>
      </c>
      <c r="BJ150" s="33">
        <f>BP11</f>
        <v>0</v>
      </c>
    </row>
    <row r="151" spans="1:62" ht="15.75" thickBot="1" x14ac:dyDescent="0.3">
      <c r="A151" s="9">
        <v>1000</v>
      </c>
      <c r="B151" s="17">
        <f t="shared" si="42"/>
        <v>0</v>
      </c>
      <c r="J151" s="8" t="s">
        <v>32</v>
      </c>
      <c r="K151" s="17">
        <f t="shared" si="46"/>
        <v>0</v>
      </c>
      <c r="M151" s="8" t="s">
        <v>32</v>
      </c>
      <c r="N151" s="17">
        <f t="shared" si="47"/>
        <v>0</v>
      </c>
      <c r="P151" s="8" t="s">
        <v>32</v>
      </c>
      <c r="Q151" s="17">
        <f t="shared" si="48"/>
        <v>0</v>
      </c>
      <c r="S151" s="15">
        <v>2000</v>
      </c>
      <c r="T151" s="11">
        <f t="shared" si="43"/>
        <v>0</v>
      </c>
      <c r="U151" s="11">
        <f t="shared" si="43"/>
        <v>0</v>
      </c>
      <c r="V151" s="16">
        <f t="shared" si="44"/>
        <v>0</v>
      </c>
      <c r="W151" s="16">
        <f t="shared" si="45"/>
        <v>0</v>
      </c>
      <c r="AH151" s="35">
        <f>C7</f>
        <v>0</v>
      </c>
      <c r="AI151" s="158">
        <f>SUM(AI141:AI150)</f>
        <v>0</v>
      </c>
      <c r="AJ151" s="159"/>
      <c r="AK151" s="158">
        <f>BT7</f>
        <v>0</v>
      </c>
      <c r="AL151" s="159"/>
      <c r="AN151" s="35">
        <f>C8</f>
        <v>0</v>
      </c>
      <c r="AO151" s="158">
        <f>SUM(AO141:AO150)</f>
        <v>0</v>
      </c>
      <c r="AP151" s="159"/>
      <c r="AQ151" s="158">
        <f>BT8</f>
        <v>0</v>
      </c>
      <c r="AR151" s="159"/>
      <c r="AT151" s="35">
        <f>C9</f>
        <v>0</v>
      </c>
      <c r="AU151" s="158">
        <f>SUM(AU141:AU150)</f>
        <v>0</v>
      </c>
      <c r="AV151" s="159"/>
      <c r="AW151" s="158">
        <f>BT9</f>
        <v>0</v>
      </c>
      <c r="AX151" s="159"/>
      <c r="AZ151" s="35">
        <f>C10</f>
        <v>0</v>
      </c>
      <c r="BA151" s="158">
        <f>SUM(BA141:BA150)</f>
        <v>0</v>
      </c>
      <c r="BB151" s="159"/>
      <c r="BC151" s="158">
        <f>BT10</f>
        <v>0</v>
      </c>
      <c r="BD151" s="159"/>
      <c r="BF151" s="35">
        <f>C11</f>
        <v>0</v>
      </c>
      <c r="BG151" s="158">
        <f>SUM(BG141:BG150)</f>
        <v>0</v>
      </c>
      <c r="BH151" s="159"/>
      <c r="BI151" s="158">
        <f>BT11</f>
        <v>0</v>
      </c>
      <c r="BJ151" s="159"/>
    </row>
    <row r="152" spans="1:62" ht="15.75" thickBot="1" x14ac:dyDescent="0.3">
      <c r="A152" s="60" t="s">
        <v>24</v>
      </c>
      <c r="B152" s="62">
        <f>SUMPRODUCT(A146:A151,B146:B151)</f>
        <v>0</v>
      </c>
      <c r="J152" s="8" t="s">
        <v>33</v>
      </c>
      <c r="K152" s="17">
        <f t="shared" si="46"/>
        <v>0</v>
      </c>
      <c r="M152" s="8" t="s">
        <v>33</v>
      </c>
      <c r="N152" s="17">
        <f t="shared" si="47"/>
        <v>0</v>
      </c>
      <c r="P152" s="8" t="s">
        <v>33</v>
      </c>
      <c r="Q152" s="17">
        <f t="shared" si="48"/>
        <v>0</v>
      </c>
      <c r="S152" s="15">
        <v>3000</v>
      </c>
      <c r="T152" s="11">
        <f t="shared" si="43"/>
        <v>0</v>
      </c>
      <c r="U152" s="11">
        <f t="shared" si="43"/>
        <v>0</v>
      </c>
      <c r="V152" s="16">
        <f t="shared" si="44"/>
        <v>0</v>
      </c>
      <c r="W152" s="16">
        <f t="shared" si="45"/>
        <v>0</v>
      </c>
      <c r="AH152" s="35" t="s">
        <v>25</v>
      </c>
      <c r="AI152" s="158">
        <f>A7</f>
        <v>0</v>
      </c>
      <c r="AJ152" s="160"/>
      <c r="AK152" s="158">
        <f>BR7</f>
        <v>0</v>
      </c>
      <c r="AL152" s="159"/>
      <c r="AN152" s="35" t="s">
        <v>25</v>
      </c>
      <c r="AO152" s="158">
        <f>A8</f>
        <v>0</v>
      </c>
      <c r="AP152" s="160"/>
      <c r="AQ152" s="158">
        <f>BR8</f>
        <v>0</v>
      </c>
      <c r="AR152" s="159"/>
      <c r="AT152" s="35" t="s">
        <v>25</v>
      </c>
      <c r="AU152" s="158">
        <f>A9</f>
        <v>0</v>
      </c>
      <c r="AV152" s="160"/>
      <c r="AW152" s="158">
        <f>BR9</f>
        <v>0</v>
      </c>
      <c r="AX152" s="159"/>
      <c r="AZ152" s="35" t="s">
        <v>25</v>
      </c>
      <c r="BA152" s="158">
        <f>A10</f>
        <v>0</v>
      </c>
      <c r="BB152" s="160"/>
      <c r="BC152" s="158">
        <f>BR10</f>
        <v>0</v>
      </c>
      <c r="BD152" s="159"/>
      <c r="BF152" s="35" t="s">
        <v>25</v>
      </c>
      <c r="BG152" s="158">
        <f>A11</f>
        <v>0</v>
      </c>
      <c r="BH152" s="160"/>
      <c r="BI152" s="158">
        <f>BR11</f>
        <v>0</v>
      </c>
      <c r="BJ152" s="159"/>
    </row>
    <row r="153" spans="1:62" ht="15.75" thickBot="1" x14ac:dyDescent="0.3">
      <c r="J153" s="9" t="s">
        <v>80</v>
      </c>
      <c r="K153" s="17">
        <f t="shared" si="46"/>
        <v>0</v>
      </c>
      <c r="M153" s="9" t="s">
        <v>80</v>
      </c>
      <c r="N153" s="17">
        <f t="shared" si="47"/>
        <v>0</v>
      </c>
      <c r="P153" s="9" t="s">
        <v>80</v>
      </c>
      <c r="Q153" s="17">
        <f t="shared" si="48"/>
        <v>0</v>
      </c>
      <c r="S153" s="15">
        <v>5000</v>
      </c>
      <c r="T153" s="11">
        <f t="shared" si="43"/>
        <v>0</v>
      </c>
      <c r="U153" s="11">
        <f t="shared" si="43"/>
        <v>0</v>
      </c>
      <c r="V153" s="16">
        <f t="shared" si="44"/>
        <v>0</v>
      </c>
      <c r="W153" s="16">
        <f t="shared" si="45"/>
        <v>0</v>
      </c>
      <c r="AH153" s="58" t="s">
        <v>130</v>
      </c>
      <c r="AI153" s="58" t="s">
        <v>131</v>
      </c>
      <c r="AJ153" s="58" t="s">
        <v>132</v>
      </c>
      <c r="AK153" s="58" t="s">
        <v>166</v>
      </c>
      <c r="AL153" s="58" t="s">
        <v>33</v>
      </c>
      <c r="AN153" s="58" t="s">
        <v>130</v>
      </c>
      <c r="AO153" s="58" t="s">
        <v>131</v>
      </c>
      <c r="AP153" s="58" t="s">
        <v>132</v>
      </c>
      <c r="AQ153" s="58" t="s">
        <v>166</v>
      </c>
      <c r="AR153" s="58" t="s">
        <v>33</v>
      </c>
      <c r="AT153" s="58" t="s">
        <v>130</v>
      </c>
      <c r="AU153" s="58" t="s">
        <v>131</v>
      </c>
      <c r="AV153" s="58" t="s">
        <v>132</v>
      </c>
      <c r="AW153" s="58" t="s">
        <v>166</v>
      </c>
      <c r="AX153" s="58" t="s">
        <v>33</v>
      </c>
      <c r="AZ153" s="58" t="s">
        <v>130</v>
      </c>
      <c r="BA153" s="58" t="s">
        <v>131</v>
      </c>
      <c r="BB153" s="58" t="s">
        <v>132</v>
      </c>
      <c r="BC153" s="58" t="s">
        <v>166</v>
      </c>
      <c r="BD153" s="58" t="s">
        <v>33</v>
      </c>
      <c r="BF153" s="58" t="s">
        <v>130</v>
      </c>
      <c r="BG153" s="58" t="s">
        <v>131</v>
      </c>
      <c r="BH153" s="58" t="s">
        <v>132</v>
      </c>
      <c r="BI153" s="58" t="s">
        <v>166</v>
      </c>
      <c r="BJ153" s="58" t="s">
        <v>33</v>
      </c>
    </row>
    <row r="154" spans="1:62" ht="15.75" thickBot="1" x14ac:dyDescent="0.3">
      <c r="J154" s="60" t="s">
        <v>24</v>
      </c>
      <c r="K154" s="62">
        <f>SUM(K149:K153)</f>
        <v>0</v>
      </c>
      <c r="M154" s="60" t="s">
        <v>24</v>
      </c>
      <c r="N154" s="62">
        <f>SUM(N149:N153)</f>
        <v>0</v>
      </c>
      <c r="P154" s="60" t="s">
        <v>24</v>
      </c>
      <c r="Q154" s="62">
        <f>SUM(Q149:Q153)</f>
        <v>0</v>
      </c>
      <c r="S154" s="59">
        <v>10000</v>
      </c>
      <c r="T154" s="11">
        <f t="shared" si="43"/>
        <v>0</v>
      </c>
      <c r="U154" s="11">
        <f t="shared" si="43"/>
        <v>0</v>
      </c>
      <c r="V154" s="16">
        <f t="shared" si="44"/>
        <v>0</v>
      </c>
      <c r="W154" s="16">
        <f t="shared" si="45"/>
        <v>0</v>
      </c>
      <c r="AH154" s="34" t="str">
        <f>AZ19</f>
        <v/>
      </c>
      <c r="AI154" s="34" t="str">
        <f>BA19</f>
        <v/>
      </c>
      <c r="AJ154" s="34" t="str">
        <f>BB19</f>
        <v/>
      </c>
      <c r="AK154" s="35" t="str">
        <f>BC19</f>
        <v/>
      </c>
      <c r="AL154" s="35" t="str">
        <f>BD19</f>
        <v/>
      </c>
      <c r="AN154" s="34" t="str">
        <f>AZ20</f>
        <v/>
      </c>
      <c r="AO154" s="34" t="str">
        <f>BA20</f>
        <v/>
      </c>
      <c r="AP154" s="34" t="str">
        <f>BB20</f>
        <v/>
      </c>
      <c r="AQ154" s="35" t="str">
        <f>BC20</f>
        <v/>
      </c>
      <c r="AR154" s="35" t="str">
        <f>BD20</f>
        <v/>
      </c>
      <c r="AT154" s="34" t="str">
        <f>AZ21</f>
        <v/>
      </c>
      <c r="AU154" s="34" t="str">
        <f>BA21</f>
        <v/>
      </c>
      <c r="AV154" s="34" t="str">
        <f>BB21</f>
        <v/>
      </c>
      <c r="AW154" s="35" t="str">
        <f>BC21</f>
        <v/>
      </c>
      <c r="AX154" s="35" t="str">
        <f>BD21</f>
        <v/>
      </c>
      <c r="AZ154" s="34" t="str">
        <f>AZ22</f>
        <v/>
      </c>
      <c r="BA154" s="34" t="str">
        <f>BA22</f>
        <v/>
      </c>
      <c r="BB154" s="34" t="str">
        <f>BB22</f>
        <v/>
      </c>
      <c r="BC154" s="35" t="str">
        <f>BC22</f>
        <v/>
      </c>
      <c r="BD154" s="35" t="str">
        <f>BD22</f>
        <v/>
      </c>
      <c r="BF154" s="34" t="str">
        <f>AZ23</f>
        <v/>
      </c>
      <c r="BG154" s="34" t="str">
        <f>BA23</f>
        <v/>
      </c>
      <c r="BH154" s="34" t="str">
        <f>BB23</f>
        <v/>
      </c>
      <c r="BI154" s="35" t="str">
        <f>BC23</f>
        <v/>
      </c>
      <c r="BJ154" s="35" t="str">
        <f>BD23</f>
        <v/>
      </c>
    </row>
    <row r="155" spans="1:62" ht="15.75" thickBot="1" x14ac:dyDescent="0.3">
      <c r="S155" s="35"/>
      <c r="T155" s="61">
        <f>SUM(T146:T154)</f>
        <v>0</v>
      </c>
      <c r="U155" s="61">
        <f t="shared" ref="U155:W155" si="49">SUM(U146:U154)</f>
        <v>0</v>
      </c>
      <c r="V155" s="35">
        <f t="shared" si="49"/>
        <v>0</v>
      </c>
      <c r="W155" s="35">
        <f t="shared" si="49"/>
        <v>0</v>
      </c>
      <c r="AH155" s="58" t="s">
        <v>22</v>
      </c>
      <c r="AI155" s="58" t="s">
        <v>20</v>
      </c>
      <c r="AJ155" s="58" t="s">
        <v>34</v>
      </c>
      <c r="AK155" s="58" t="s">
        <v>127</v>
      </c>
      <c r="AL155" s="58" t="s">
        <v>129</v>
      </c>
      <c r="AN155" s="58" t="s">
        <v>22</v>
      </c>
      <c r="AO155" s="58" t="s">
        <v>20</v>
      </c>
      <c r="AP155" s="58" t="s">
        <v>34</v>
      </c>
      <c r="AQ155" s="58" t="s">
        <v>127</v>
      </c>
      <c r="AR155" s="58" t="s">
        <v>129</v>
      </c>
      <c r="AT155" s="58" t="s">
        <v>22</v>
      </c>
      <c r="AU155" s="58" t="s">
        <v>20</v>
      </c>
      <c r="AV155" s="58" t="s">
        <v>34</v>
      </c>
      <c r="AW155" s="58" t="s">
        <v>127</v>
      </c>
      <c r="AX155" s="58" t="s">
        <v>129</v>
      </c>
      <c r="AZ155" s="58" t="s">
        <v>22</v>
      </c>
      <c r="BA155" s="58" t="s">
        <v>20</v>
      </c>
      <c r="BB155" s="58" t="s">
        <v>34</v>
      </c>
      <c r="BC155" s="58" t="s">
        <v>127</v>
      </c>
      <c r="BD155" s="58" t="s">
        <v>129</v>
      </c>
      <c r="BF155" s="58" t="s">
        <v>22</v>
      </c>
      <c r="BG155" s="58" t="s">
        <v>20</v>
      </c>
      <c r="BH155" s="58" t="s">
        <v>34</v>
      </c>
      <c r="BI155" s="58" t="s">
        <v>127</v>
      </c>
      <c r="BJ155" s="58" t="s">
        <v>129</v>
      </c>
    </row>
    <row r="156" spans="1:62" ht="15.75" thickBot="1" x14ac:dyDescent="0.3">
      <c r="AH156" s="34" t="str">
        <f>AU19</f>
        <v/>
      </c>
      <c r="AI156" s="34" t="str">
        <f>AV19</f>
        <v/>
      </c>
      <c r="AJ156" s="34" t="str">
        <f>AW19</f>
        <v/>
      </c>
      <c r="AK156" s="35" t="str">
        <f>AX19</f>
        <v/>
      </c>
      <c r="AL156" s="35" t="str">
        <f>AY19</f>
        <v/>
      </c>
      <c r="AN156" s="34" t="str">
        <f>AU20</f>
        <v/>
      </c>
      <c r="AO156" s="34" t="str">
        <f>AV20</f>
        <v/>
      </c>
      <c r="AP156" s="34" t="str">
        <f>AW20</f>
        <v/>
      </c>
      <c r="AQ156" s="35" t="str">
        <f>AX20</f>
        <v/>
      </c>
      <c r="AR156" s="35" t="str">
        <f>AY20</f>
        <v/>
      </c>
      <c r="AT156" s="34" t="str">
        <f>AU21</f>
        <v/>
      </c>
      <c r="AU156" s="34" t="str">
        <f>AV21</f>
        <v/>
      </c>
      <c r="AV156" s="34" t="str">
        <f>AW21</f>
        <v/>
      </c>
      <c r="AW156" s="35" t="str">
        <f>AX21</f>
        <v/>
      </c>
      <c r="AX156" s="35" t="str">
        <f>AY21</f>
        <v/>
      </c>
      <c r="AZ156" s="34" t="str">
        <f>AU22</f>
        <v/>
      </c>
      <c r="BA156" s="34" t="str">
        <f>AV22</f>
        <v/>
      </c>
      <c r="BB156" s="34" t="str">
        <f>AW22</f>
        <v/>
      </c>
      <c r="BC156" s="35" t="str">
        <f>AX22</f>
        <v/>
      </c>
      <c r="BD156" s="35" t="str">
        <f>AY22</f>
        <v/>
      </c>
      <c r="BF156" s="34" t="str">
        <f>AU23</f>
        <v/>
      </c>
      <c r="BG156" s="34" t="str">
        <f>AV23</f>
        <v/>
      </c>
      <c r="BH156" s="34" t="str">
        <f>AW23</f>
        <v/>
      </c>
      <c r="BI156" s="35" t="str">
        <f>AX23</f>
        <v/>
      </c>
      <c r="BJ156" s="35" t="str">
        <f>AY23</f>
        <v/>
      </c>
    </row>
    <row r="157" spans="1:62" ht="13.7" customHeight="1" thickBot="1" x14ac:dyDescent="0.3"/>
    <row r="158" spans="1:62" ht="15.75" thickBot="1" x14ac:dyDescent="0.3">
      <c r="AH158" s="149" t="s">
        <v>37</v>
      </c>
      <c r="AI158" s="150"/>
      <c r="AJ158" s="150"/>
      <c r="AK158" s="151" t="str">
        <f>AD147</f>
        <v>KA41C4059</v>
      </c>
      <c r="AL158" s="151"/>
      <c r="AM158" s="152"/>
      <c r="AN158" s="157" t="str">
        <f>AA148</f>
        <v>TANKS: 48</v>
      </c>
      <c r="AO158" s="153"/>
      <c r="AP158" s="153" t="str">
        <f>AD148</f>
        <v>LTRS: 39500</v>
      </c>
      <c r="AQ158" s="153"/>
      <c r="AR158" s="154"/>
      <c r="AS158" s="150" t="s">
        <v>76</v>
      </c>
      <c r="AT158" s="150"/>
      <c r="AU158" s="155">
        <f>AD149</f>
        <v>46008</v>
      </c>
      <c r="AV158" s="155"/>
      <c r="AW158" s="156"/>
    </row>
    <row r="159" spans="1:62" ht="13.7" customHeight="1" x14ac:dyDescent="0.25"/>
    <row r="160" spans="1:62" ht="13.7" customHeight="1" thickBot="1" x14ac:dyDescent="0.3"/>
    <row r="161" spans="1:52" ht="13.7" customHeight="1" x14ac:dyDescent="0.25">
      <c r="A161" s="123" t="s">
        <v>31</v>
      </c>
      <c r="B161" s="113" t="s">
        <v>84</v>
      </c>
      <c r="C161" s="115"/>
      <c r="D161" s="113" t="s">
        <v>22</v>
      </c>
      <c r="E161" s="114"/>
      <c r="F161" s="114"/>
      <c r="G161" s="114"/>
      <c r="H161" s="115"/>
      <c r="I161" s="113" t="s">
        <v>20</v>
      </c>
      <c r="J161" s="114"/>
      <c r="K161" s="114"/>
      <c r="L161" s="114"/>
      <c r="M161" s="115"/>
      <c r="N161" s="113" t="s">
        <v>34</v>
      </c>
      <c r="O161" s="114"/>
      <c r="P161" s="114"/>
      <c r="Q161" s="114"/>
      <c r="R161" s="115"/>
      <c r="S161" s="113" t="s">
        <v>127</v>
      </c>
      <c r="T161" s="114"/>
      <c r="U161" s="114"/>
      <c r="V161" s="114"/>
      <c r="W161" s="115"/>
      <c r="X161" s="113" t="s">
        <v>129</v>
      </c>
      <c r="Y161" s="114"/>
      <c r="Z161" s="114"/>
      <c r="AA161" s="114"/>
      <c r="AB161" s="115"/>
      <c r="AC161" s="113" t="s">
        <v>26</v>
      </c>
      <c r="AD161" s="114"/>
      <c r="AE161" s="114"/>
      <c r="AF161" s="114"/>
      <c r="AG161" s="115"/>
      <c r="AH161" s="116" t="s">
        <v>24</v>
      </c>
      <c r="AI161" s="116" t="s">
        <v>86</v>
      </c>
      <c r="AJ161" s="81"/>
    </row>
    <row r="162" spans="1:52" ht="13.7" customHeight="1" thickBot="1" x14ac:dyDescent="0.3">
      <c r="A162" s="124"/>
      <c r="B162" s="12" t="s">
        <v>17</v>
      </c>
      <c r="C162" s="12" t="s">
        <v>19</v>
      </c>
      <c r="D162" s="9" t="s">
        <v>32</v>
      </c>
      <c r="E162" s="12" t="s">
        <v>17</v>
      </c>
      <c r="F162" s="12" t="s">
        <v>19</v>
      </c>
      <c r="G162" s="12" t="s">
        <v>33</v>
      </c>
      <c r="H162" s="14" t="s">
        <v>80</v>
      </c>
      <c r="I162" s="9" t="s">
        <v>32</v>
      </c>
      <c r="J162" s="12" t="s">
        <v>17</v>
      </c>
      <c r="K162" s="12" t="s">
        <v>19</v>
      </c>
      <c r="L162" s="12" t="s">
        <v>33</v>
      </c>
      <c r="M162" s="14" t="s">
        <v>80</v>
      </c>
      <c r="N162" s="9" t="s">
        <v>32</v>
      </c>
      <c r="O162" s="12" t="s">
        <v>17</v>
      </c>
      <c r="P162" s="12" t="s">
        <v>19</v>
      </c>
      <c r="Q162" s="12" t="s">
        <v>33</v>
      </c>
      <c r="R162" s="14" t="s">
        <v>80</v>
      </c>
      <c r="S162" s="9" t="s">
        <v>32</v>
      </c>
      <c r="T162" s="12" t="s">
        <v>17</v>
      </c>
      <c r="U162" s="12" t="s">
        <v>19</v>
      </c>
      <c r="V162" s="12" t="s">
        <v>33</v>
      </c>
      <c r="W162" s="14" t="s">
        <v>80</v>
      </c>
      <c r="X162" s="9" t="s">
        <v>32</v>
      </c>
      <c r="Y162" s="12" t="s">
        <v>17</v>
      </c>
      <c r="Z162" s="12" t="s">
        <v>19</v>
      </c>
      <c r="AA162" s="12" t="s">
        <v>33</v>
      </c>
      <c r="AB162" s="14" t="s">
        <v>80</v>
      </c>
      <c r="AC162" s="9" t="s">
        <v>32</v>
      </c>
      <c r="AD162" s="12" t="s">
        <v>17</v>
      </c>
      <c r="AE162" s="12" t="s">
        <v>19</v>
      </c>
      <c r="AF162" s="12" t="s">
        <v>33</v>
      </c>
      <c r="AG162" s="14" t="s">
        <v>80</v>
      </c>
      <c r="AH162" s="117"/>
      <c r="AI162" s="117"/>
      <c r="AJ162" s="81"/>
    </row>
    <row r="163" spans="1:52" ht="13.7" customHeight="1" x14ac:dyDescent="0.25">
      <c r="A163" s="16">
        <v>300</v>
      </c>
      <c r="B163" s="11">
        <f>T146</f>
        <v>0</v>
      </c>
      <c r="C163" s="11">
        <f>U146</f>
        <v>0</v>
      </c>
      <c r="D163" s="10">
        <f>B119+B133</f>
        <v>0</v>
      </c>
      <c r="E163" s="11">
        <f t="shared" ref="E163:AG171" si="50">C119+C133</f>
        <v>0</v>
      </c>
      <c r="F163" s="11">
        <f t="shared" si="50"/>
        <v>0</v>
      </c>
      <c r="G163" s="11">
        <f t="shared" si="50"/>
        <v>0</v>
      </c>
      <c r="H163" s="17">
        <f t="shared" si="50"/>
        <v>0</v>
      </c>
      <c r="I163" s="10">
        <f t="shared" si="50"/>
        <v>0</v>
      </c>
      <c r="J163" s="11">
        <f t="shared" si="50"/>
        <v>0</v>
      </c>
      <c r="K163" s="11">
        <f t="shared" si="50"/>
        <v>0</v>
      </c>
      <c r="L163" s="11">
        <f t="shared" si="50"/>
        <v>0</v>
      </c>
      <c r="M163" s="17">
        <f t="shared" si="50"/>
        <v>0</v>
      </c>
      <c r="N163" s="10">
        <f t="shared" si="50"/>
        <v>0</v>
      </c>
      <c r="O163" s="11">
        <f t="shared" si="50"/>
        <v>0</v>
      </c>
      <c r="P163" s="11">
        <f t="shared" si="50"/>
        <v>0</v>
      </c>
      <c r="Q163" s="11">
        <f t="shared" si="50"/>
        <v>0</v>
      </c>
      <c r="R163" s="17">
        <f t="shared" si="50"/>
        <v>0</v>
      </c>
      <c r="S163" s="10">
        <f t="shared" si="50"/>
        <v>0</v>
      </c>
      <c r="T163" s="11">
        <f t="shared" si="50"/>
        <v>0</v>
      </c>
      <c r="U163" s="11">
        <f t="shared" si="50"/>
        <v>0</v>
      </c>
      <c r="V163" s="11">
        <f t="shared" si="50"/>
        <v>0</v>
      </c>
      <c r="W163" s="17">
        <f t="shared" si="50"/>
        <v>0</v>
      </c>
      <c r="X163" s="10">
        <f t="shared" si="50"/>
        <v>0</v>
      </c>
      <c r="Y163" s="11">
        <f t="shared" si="50"/>
        <v>0</v>
      </c>
      <c r="Z163" s="11">
        <f t="shared" si="50"/>
        <v>0</v>
      </c>
      <c r="AA163" s="11">
        <f t="shared" si="50"/>
        <v>0</v>
      </c>
      <c r="AB163" s="17">
        <f t="shared" si="50"/>
        <v>0</v>
      </c>
      <c r="AC163" s="10">
        <f t="shared" si="50"/>
        <v>0</v>
      </c>
      <c r="AD163" s="11">
        <f t="shared" si="50"/>
        <v>0</v>
      </c>
      <c r="AE163" s="11">
        <f t="shared" si="50"/>
        <v>0</v>
      </c>
      <c r="AF163" s="11">
        <f t="shared" si="50"/>
        <v>0</v>
      </c>
      <c r="AG163" s="17">
        <f t="shared" si="50"/>
        <v>0</v>
      </c>
      <c r="AH163" s="16">
        <f>SUM(D163:AG163)*A163</f>
        <v>0</v>
      </c>
      <c r="AI163" s="16">
        <f>SUM(D163:AG163)</f>
        <v>0</v>
      </c>
      <c r="AJ163" s="82"/>
    </row>
    <row r="164" spans="1:52" ht="13.7" customHeight="1" x14ac:dyDescent="0.25">
      <c r="A164" s="16">
        <v>500</v>
      </c>
      <c r="B164" s="11">
        <f t="shared" ref="B164:C171" si="51">T147</f>
        <v>0</v>
      </c>
      <c r="C164" s="11">
        <f t="shared" si="51"/>
        <v>0</v>
      </c>
      <c r="D164" s="10">
        <f t="shared" ref="D164:D171" si="52">B120+B134</f>
        <v>0</v>
      </c>
      <c r="E164" s="11">
        <f t="shared" si="50"/>
        <v>20</v>
      </c>
      <c r="F164" s="11">
        <f t="shared" si="50"/>
        <v>0</v>
      </c>
      <c r="G164" s="11">
        <f t="shared" si="50"/>
        <v>0</v>
      </c>
      <c r="H164" s="17">
        <f t="shared" si="50"/>
        <v>0</v>
      </c>
      <c r="I164" s="10">
        <f t="shared" si="50"/>
        <v>0</v>
      </c>
      <c r="J164" s="11">
        <f t="shared" si="50"/>
        <v>0</v>
      </c>
      <c r="K164" s="11">
        <f t="shared" si="50"/>
        <v>0</v>
      </c>
      <c r="L164" s="11">
        <f t="shared" si="50"/>
        <v>0</v>
      </c>
      <c r="M164" s="17">
        <f t="shared" si="50"/>
        <v>0</v>
      </c>
      <c r="N164" s="10">
        <f t="shared" si="50"/>
        <v>0</v>
      </c>
      <c r="O164" s="11">
        <f t="shared" si="50"/>
        <v>0</v>
      </c>
      <c r="P164" s="11">
        <f t="shared" si="50"/>
        <v>0</v>
      </c>
      <c r="Q164" s="11">
        <f t="shared" si="50"/>
        <v>0</v>
      </c>
      <c r="R164" s="17">
        <f t="shared" si="50"/>
        <v>0</v>
      </c>
      <c r="S164" s="10">
        <f t="shared" si="50"/>
        <v>0</v>
      </c>
      <c r="T164" s="11">
        <f t="shared" si="50"/>
        <v>0</v>
      </c>
      <c r="U164" s="11">
        <f t="shared" si="50"/>
        <v>0</v>
      </c>
      <c r="V164" s="11">
        <f t="shared" si="50"/>
        <v>0</v>
      </c>
      <c r="W164" s="17">
        <f t="shared" si="50"/>
        <v>0</v>
      </c>
      <c r="X164" s="10">
        <f t="shared" si="50"/>
        <v>0</v>
      </c>
      <c r="Y164" s="11">
        <f t="shared" si="50"/>
        <v>0</v>
      </c>
      <c r="Z164" s="11">
        <f t="shared" si="50"/>
        <v>0</v>
      </c>
      <c r="AA164" s="11">
        <f t="shared" si="50"/>
        <v>0</v>
      </c>
      <c r="AB164" s="17">
        <f t="shared" si="50"/>
        <v>0</v>
      </c>
      <c r="AC164" s="10">
        <f t="shared" si="50"/>
        <v>0</v>
      </c>
      <c r="AD164" s="11">
        <f t="shared" si="50"/>
        <v>0</v>
      </c>
      <c r="AE164" s="11">
        <f t="shared" si="50"/>
        <v>0</v>
      </c>
      <c r="AF164" s="11">
        <f t="shared" si="50"/>
        <v>0</v>
      </c>
      <c r="AG164" s="17">
        <f t="shared" si="50"/>
        <v>0</v>
      </c>
      <c r="AH164" s="16">
        <f>SUM(D164:AG164)*A164</f>
        <v>10000</v>
      </c>
      <c r="AI164" s="16">
        <f t="shared" ref="AI164:AI172" si="53">SUM(D164:AG164)</f>
        <v>20</v>
      </c>
    </row>
    <row r="165" spans="1:52" ht="13.7" customHeight="1" x14ac:dyDescent="0.25">
      <c r="A165" s="15">
        <v>750</v>
      </c>
      <c r="B165" s="11">
        <f t="shared" si="51"/>
        <v>0</v>
      </c>
      <c r="C165" s="11">
        <f t="shared" si="51"/>
        <v>0</v>
      </c>
      <c r="D165" s="8">
        <f t="shared" si="52"/>
        <v>0</v>
      </c>
      <c r="E165" s="6">
        <f t="shared" si="50"/>
        <v>10</v>
      </c>
      <c r="F165" s="6">
        <f t="shared" si="50"/>
        <v>0</v>
      </c>
      <c r="G165" s="6">
        <f t="shared" si="50"/>
        <v>0</v>
      </c>
      <c r="H165" s="13">
        <f t="shared" si="50"/>
        <v>0</v>
      </c>
      <c r="I165" s="8">
        <f t="shared" si="50"/>
        <v>0</v>
      </c>
      <c r="J165" s="6">
        <f t="shared" si="50"/>
        <v>0</v>
      </c>
      <c r="K165" s="6">
        <f t="shared" si="50"/>
        <v>0</v>
      </c>
      <c r="L165" s="6">
        <f t="shared" si="50"/>
        <v>0</v>
      </c>
      <c r="M165" s="13">
        <f t="shared" si="50"/>
        <v>0</v>
      </c>
      <c r="N165" s="8">
        <f t="shared" si="50"/>
        <v>0</v>
      </c>
      <c r="O165" s="6">
        <f t="shared" si="50"/>
        <v>0</v>
      </c>
      <c r="P165" s="6">
        <f t="shared" si="50"/>
        <v>0</v>
      </c>
      <c r="Q165" s="6">
        <f t="shared" si="50"/>
        <v>0</v>
      </c>
      <c r="R165" s="13">
        <f t="shared" si="50"/>
        <v>0</v>
      </c>
      <c r="S165" s="8">
        <f t="shared" si="50"/>
        <v>0</v>
      </c>
      <c r="T165" s="6">
        <f t="shared" si="50"/>
        <v>0</v>
      </c>
      <c r="U165" s="6">
        <f t="shared" si="50"/>
        <v>0</v>
      </c>
      <c r="V165" s="6">
        <f t="shared" si="50"/>
        <v>0</v>
      </c>
      <c r="W165" s="13">
        <f t="shared" si="50"/>
        <v>0</v>
      </c>
      <c r="X165" s="8">
        <f t="shared" si="50"/>
        <v>0</v>
      </c>
      <c r="Y165" s="6">
        <f t="shared" si="50"/>
        <v>0</v>
      </c>
      <c r="Z165" s="6">
        <f t="shared" si="50"/>
        <v>0</v>
      </c>
      <c r="AA165" s="6">
        <f t="shared" si="50"/>
        <v>0</v>
      </c>
      <c r="AB165" s="13">
        <f t="shared" si="50"/>
        <v>0</v>
      </c>
      <c r="AC165" s="8">
        <f t="shared" si="50"/>
        <v>0</v>
      </c>
      <c r="AD165" s="6">
        <f t="shared" si="50"/>
        <v>0</v>
      </c>
      <c r="AE165" s="6">
        <f t="shared" si="50"/>
        <v>0</v>
      </c>
      <c r="AF165" s="6">
        <f t="shared" si="50"/>
        <v>0</v>
      </c>
      <c r="AG165" s="13">
        <f t="shared" si="50"/>
        <v>0</v>
      </c>
      <c r="AH165" s="16">
        <f>SUM(D165:AG165)*A165</f>
        <v>7500</v>
      </c>
      <c r="AI165" s="16">
        <f t="shared" si="53"/>
        <v>10</v>
      </c>
    </row>
    <row r="166" spans="1:52" ht="13.7" customHeight="1" x14ac:dyDescent="0.25">
      <c r="A166" s="15">
        <v>1000</v>
      </c>
      <c r="B166" s="11">
        <f t="shared" si="51"/>
        <v>0</v>
      </c>
      <c r="C166" s="11">
        <f t="shared" si="51"/>
        <v>0</v>
      </c>
      <c r="D166" s="8">
        <f t="shared" si="52"/>
        <v>0</v>
      </c>
      <c r="E166" s="6">
        <f t="shared" si="50"/>
        <v>10</v>
      </c>
      <c r="F166" s="6">
        <f t="shared" si="50"/>
        <v>0</v>
      </c>
      <c r="G166" s="6">
        <f t="shared" si="50"/>
        <v>0</v>
      </c>
      <c r="H166" s="13">
        <f t="shared" si="50"/>
        <v>0</v>
      </c>
      <c r="I166" s="8">
        <f t="shared" si="50"/>
        <v>0</v>
      </c>
      <c r="J166" s="6">
        <f t="shared" si="50"/>
        <v>0</v>
      </c>
      <c r="K166" s="6">
        <f t="shared" si="50"/>
        <v>0</v>
      </c>
      <c r="L166" s="6">
        <f t="shared" si="50"/>
        <v>0</v>
      </c>
      <c r="M166" s="13">
        <f t="shared" si="50"/>
        <v>0</v>
      </c>
      <c r="N166" s="8">
        <f t="shared" si="50"/>
        <v>0</v>
      </c>
      <c r="O166" s="6">
        <f t="shared" si="50"/>
        <v>0</v>
      </c>
      <c r="P166" s="6">
        <f t="shared" si="50"/>
        <v>0</v>
      </c>
      <c r="Q166" s="6">
        <f t="shared" si="50"/>
        <v>0</v>
      </c>
      <c r="R166" s="13">
        <f t="shared" si="50"/>
        <v>0</v>
      </c>
      <c r="S166" s="8">
        <f t="shared" si="50"/>
        <v>0</v>
      </c>
      <c r="T166" s="6">
        <f t="shared" si="50"/>
        <v>0</v>
      </c>
      <c r="U166" s="6">
        <f t="shared" si="50"/>
        <v>0</v>
      </c>
      <c r="V166" s="6">
        <f t="shared" si="50"/>
        <v>0</v>
      </c>
      <c r="W166" s="13">
        <f t="shared" si="50"/>
        <v>0</v>
      </c>
      <c r="X166" s="8">
        <f t="shared" si="50"/>
        <v>0</v>
      </c>
      <c r="Y166" s="6">
        <f t="shared" si="50"/>
        <v>0</v>
      </c>
      <c r="Z166" s="6">
        <f t="shared" si="50"/>
        <v>0</v>
      </c>
      <c r="AA166" s="6">
        <f t="shared" si="50"/>
        <v>0</v>
      </c>
      <c r="AB166" s="13">
        <f t="shared" si="50"/>
        <v>0</v>
      </c>
      <c r="AC166" s="8">
        <f t="shared" si="50"/>
        <v>0</v>
      </c>
      <c r="AD166" s="6">
        <f t="shared" si="50"/>
        <v>0</v>
      </c>
      <c r="AE166" s="6">
        <f t="shared" si="50"/>
        <v>0</v>
      </c>
      <c r="AF166" s="6">
        <f t="shared" si="50"/>
        <v>0</v>
      </c>
      <c r="AG166" s="13">
        <f t="shared" si="50"/>
        <v>0</v>
      </c>
      <c r="AH166" s="16">
        <f>SUM(D166:AG166)*A166</f>
        <v>10000</v>
      </c>
      <c r="AI166" s="16">
        <f t="shared" si="53"/>
        <v>10</v>
      </c>
    </row>
    <row r="167" spans="1:52" ht="13.7" customHeight="1" x14ac:dyDescent="0.25">
      <c r="A167" s="15">
        <v>1500</v>
      </c>
      <c r="B167" s="11">
        <f t="shared" si="51"/>
        <v>0</v>
      </c>
      <c r="C167" s="11">
        <f t="shared" si="51"/>
        <v>0</v>
      </c>
      <c r="D167" s="8">
        <f t="shared" si="52"/>
        <v>0</v>
      </c>
      <c r="E167" s="6">
        <f t="shared" si="50"/>
        <v>8</v>
      </c>
      <c r="F167" s="6">
        <f t="shared" si="50"/>
        <v>0</v>
      </c>
      <c r="G167" s="6">
        <f t="shared" si="50"/>
        <v>0</v>
      </c>
      <c r="H167" s="13">
        <f t="shared" si="50"/>
        <v>0</v>
      </c>
      <c r="I167" s="8">
        <f t="shared" si="50"/>
        <v>0</v>
      </c>
      <c r="J167" s="6">
        <f t="shared" si="50"/>
        <v>0</v>
      </c>
      <c r="K167" s="6">
        <f t="shared" si="50"/>
        <v>0</v>
      </c>
      <c r="L167" s="6">
        <f t="shared" si="50"/>
        <v>0</v>
      </c>
      <c r="M167" s="13">
        <f t="shared" si="50"/>
        <v>0</v>
      </c>
      <c r="N167" s="8">
        <f t="shared" si="50"/>
        <v>0</v>
      </c>
      <c r="O167" s="6">
        <f t="shared" si="50"/>
        <v>0</v>
      </c>
      <c r="P167" s="6">
        <f t="shared" si="50"/>
        <v>0</v>
      </c>
      <c r="Q167" s="6">
        <f t="shared" si="50"/>
        <v>0</v>
      </c>
      <c r="R167" s="13">
        <f t="shared" si="50"/>
        <v>0</v>
      </c>
      <c r="S167" s="8">
        <f t="shared" si="50"/>
        <v>0</v>
      </c>
      <c r="T167" s="6">
        <f t="shared" si="50"/>
        <v>0</v>
      </c>
      <c r="U167" s="6">
        <f t="shared" si="50"/>
        <v>0</v>
      </c>
      <c r="V167" s="6">
        <f t="shared" si="50"/>
        <v>0</v>
      </c>
      <c r="W167" s="13">
        <f t="shared" si="50"/>
        <v>0</v>
      </c>
      <c r="X167" s="8">
        <f t="shared" si="50"/>
        <v>0</v>
      </c>
      <c r="Y167" s="6">
        <f t="shared" si="50"/>
        <v>0</v>
      </c>
      <c r="Z167" s="6">
        <f t="shared" si="50"/>
        <v>0</v>
      </c>
      <c r="AA167" s="6">
        <f t="shared" si="50"/>
        <v>0</v>
      </c>
      <c r="AB167" s="13">
        <f t="shared" si="50"/>
        <v>0</v>
      </c>
      <c r="AC167" s="8">
        <f t="shared" si="50"/>
        <v>0</v>
      </c>
      <c r="AD167" s="6">
        <f t="shared" si="50"/>
        <v>0</v>
      </c>
      <c r="AE167" s="6">
        <f t="shared" si="50"/>
        <v>0</v>
      </c>
      <c r="AF167" s="6">
        <f t="shared" si="50"/>
        <v>0</v>
      </c>
      <c r="AG167" s="13">
        <f t="shared" si="50"/>
        <v>0</v>
      </c>
      <c r="AH167" s="16">
        <f>SUM(D167:AG167)*A167</f>
        <v>12000</v>
      </c>
      <c r="AI167" s="16">
        <f t="shared" si="53"/>
        <v>8</v>
      </c>
    </row>
    <row r="168" spans="1:52" ht="13.7" customHeight="1" x14ac:dyDescent="0.25">
      <c r="A168" s="15">
        <v>2000</v>
      </c>
      <c r="B168" s="11">
        <f t="shared" si="51"/>
        <v>0</v>
      </c>
      <c r="C168" s="11">
        <f t="shared" si="51"/>
        <v>0</v>
      </c>
      <c r="D168" s="8">
        <f t="shared" si="52"/>
        <v>0</v>
      </c>
      <c r="E168" s="6">
        <f t="shared" si="50"/>
        <v>0</v>
      </c>
      <c r="F168" s="6">
        <f t="shared" si="50"/>
        <v>0</v>
      </c>
      <c r="G168" s="6">
        <f t="shared" si="50"/>
        <v>0</v>
      </c>
      <c r="H168" s="13">
        <f t="shared" si="50"/>
        <v>0</v>
      </c>
      <c r="I168" s="8">
        <f t="shared" si="50"/>
        <v>0</v>
      </c>
      <c r="J168" s="6">
        <f t="shared" si="50"/>
        <v>0</v>
      </c>
      <c r="K168" s="6">
        <f t="shared" si="50"/>
        <v>0</v>
      </c>
      <c r="L168" s="6">
        <f t="shared" si="50"/>
        <v>0</v>
      </c>
      <c r="M168" s="13">
        <f t="shared" si="50"/>
        <v>0</v>
      </c>
      <c r="N168" s="8">
        <f t="shared" si="50"/>
        <v>0</v>
      </c>
      <c r="O168" s="6">
        <f t="shared" si="50"/>
        <v>0</v>
      </c>
      <c r="P168" s="6">
        <f t="shared" si="50"/>
        <v>0</v>
      </c>
      <c r="Q168" s="6">
        <f t="shared" si="50"/>
        <v>0</v>
      </c>
      <c r="R168" s="13">
        <f t="shared" si="50"/>
        <v>0</v>
      </c>
      <c r="S168" s="8">
        <f t="shared" si="50"/>
        <v>0</v>
      </c>
      <c r="T168" s="6">
        <f t="shared" si="50"/>
        <v>0</v>
      </c>
      <c r="U168" s="6">
        <f t="shared" si="50"/>
        <v>0</v>
      </c>
      <c r="V168" s="6">
        <f t="shared" si="50"/>
        <v>0</v>
      </c>
      <c r="W168" s="13">
        <f t="shared" si="50"/>
        <v>0</v>
      </c>
      <c r="X168" s="8">
        <f t="shared" si="50"/>
        <v>0</v>
      </c>
      <c r="Y168" s="6">
        <f t="shared" si="50"/>
        <v>0</v>
      </c>
      <c r="Z168" s="6">
        <f t="shared" si="50"/>
        <v>0</v>
      </c>
      <c r="AA168" s="6">
        <f t="shared" si="50"/>
        <v>0</v>
      </c>
      <c r="AB168" s="13">
        <f t="shared" si="50"/>
        <v>0</v>
      </c>
      <c r="AC168" s="8">
        <f t="shared" si="50"/>
        <v>0</v>
      </c>
      <c r="AD168" s="6">
        <f t="shared" si="50"/>
        <v>0</v>
      </c>
      <c r="AE168" s="6">
        <f t="shared" si="50"/>
        <v>0</v>
      </c>
      <c r="AF168" s="6">
        <f t="shared" si="50"/>
        <v>0</v>
      </c>
      <c r="AG168" s="13">
        <f t="shared" si="50"/>
        <v>0</v>
      </c>
      <c r="AH168" s="16">
        <f>SUM(D168:AG168)*A168</f>
        <v>0</v>
      </c>
      <c r="AI168" s="16">
        <f t="shared" si="53"/>
        <v>0</v>
      </c>
    </row>
    <row r="169" spans="1:52" ht="13.7" customHeight="1" x14ac:dyDescent="0.25">
      <c r="A169" s="15">
        <v>3000</v>
      </c>
      <c r="B169" s="11">
        <f t="shared" si="51"/>
        <v>0</v>
      </c>
      <c r="C169" s="11">
        <f t="shared" si="51"/>
        <v>0</v>
      </c>
      <c r="D169" s="8">
        <f t="shared" si="52"/>
        <v>0</v>
      </c>
      <c r="E169" s="6">
        <f t="shared" si="50"/>
        <v>0</v>
      </c>
      <c r="F169" s="6">
        <f t="shared" si="50"/>
        <v>0</v>
      </c>
      <c r="G169" s="6">
        <f t="shared" si="50"/>
        <v>0</v>
      </c>
      <c r="H169" s="13">
        <f t="shared" si="50"/>
        <v>0</v>
      </c>
      <c r="I169" s="8">
        <f t="shared" si="50"/>
        <v>0</v>
      </c>
      <c r="J169" s="6">
        <f t="shared" si="50"/>
        <v>0</v>
      </c>
      <c r="K169" s="6">
        <f t="shared" si="50"/>
        <v>0</v>
      </c>
      <c r="L169" s="6">
        <f t="shared" si="50"/>
        <v>0</v>
      </c>
      <c r="M169" s="13">
        <f t="shared" si="50"/>
        <v>0</v>
      </c>
      <c r="N169" s="8">
        <f t="shared" si="50"/>
        <v>0</v>
      </c>
      <c r="O169" s="6">
        <f t="shared" si="50"/>
        <v>0</v>
      </c>
      <c r="P169" s="6">
        <f t="shared" si="50"/>
        <v>0</v>
      </c>
      <c r="Q169" s="6">
        <f t="shared" si="50"/>
        <v>0</v>
      </c>
      <c r="R169" s="13">
        <f t="shared" si="50"/>
        <v>0</v>
      </c>
      <c r="S169" s="8">
        <f t="shared" si="50"/>
        <v>0</v>
      </c>
      <c r="T169" s="6">
        <f t="shared" si="50"/>
        <v>0</v>
      </c>
      <c r="U169" s="6">
        <f t="shared" si="50"/>
        <v>0</v>
      </c>
      <c r="V169" s="6">
        <f t="shared" si="50"/>
        <v>0</v>
      </c>
      <c r="W169" s="13">
        <f t="shared" si="50"/>
        <v>0</v>
      </c>
      <c r="X169" s="8">
        <f t="shared" si="50"/>
        <v>0</v>
      </c>
      <c r="Y169" s="6">
        <f t="shared" si="50"/>
        <v>0</v>
      </c>
      <c r="Z169" s="6">
        <f t="shared" si="50"/>
        <v>0</v>
      </c>
      <c r="AA169" s="6">
        <f t="shared" si="50"/>
        <v>0</v>
      </c>
      <c r="AB169" s="13">
        <f t="shared" si="50"/>
        <v>0</v>
      </c>
      <c r="AC169" s="8">
        <f t="shared" si="50"/>
        <v>0</v>
      </c>
      <c r="AD169" s="6">
        <f t="shared" si="50"/>
        <v>0</v>
      </c>
      <c r="AE169" s="6">
        <f t="shared" si="50"/>
        <v>0</v>
      </c>
      <c r="AF169" s="6">
        <f t="shared" si="50"/>
        <v>0</v>
      </c>
      <c r="AG169" s="13">
        <f t="shared" si="50"/>
        <v>0</v>
      </c>
      <c r="AH169" s="16">
        <f>SUM(D169:AG169)*A169</f>
        <v>0</v>
      </c>
      <c r="AI169" s="16">
        <f t="shared" si="53"/>
        <v>0</v>
      </c>
    </row>
    <row r="170" spans="1:52" ht="13.7" customHeight="1" x14ac:dyDescent="0.25">
      <c r="A170" s="15">
        <v>5000</v>
      </c>
      <c r="B170" s="11">
        <f t="shared" si="51"/>
        <v>0</v>
      </c>
      <c r="C170" s="11">
        <f t="shared" si="51"/>
        <v>0</v>
      </c>
      <c r="D170" s="8">
        <f t="shared" si="52"/>
        <v>0</v>
      </c>
      <c r="E170" s="6">
        <f t="shared" si="50"/>
        <v>0</v>
      </c>
      <c r="F170" s="6">
        <f t="shared" si="50"/>
        <v>0</v>
      </c>
      <c r="G170" s="6">
        <f t="shared" si="50"/>
        <v>0</v>
      </c>
      <c r="H170" s="13">
        <f t="shared" si="50"/>
        <v>0</v>
      </c>
      <c r="I170" s="8">
        <f t="shared" si="50"/>
        <v>0</v>
      </c>
      <c r="J170" s="6">
        <f t="shared" si="50"/>
        <v>0</v>
      </c>
      <c r="K170" s="6">
        <f t="shared" si="50"/>
        <v>0</v>
      </c>
      <c r="L170" s="6">
        <f t="shared" si="50"/>
        <v>0</v>
      </c>
      <c r="M170" s="13">
        <f t="shared" si="50"/>
        <v>0</v>
      </c>
      <c r="N170" s="8">
        <f t="shared" si="50"/>
        <v>0</v>
      </c>
      <c r="O170" s="6">
        <f t="shared" si="50"/>
        <v>0</v>
      </c>
      <c r="P170" s="6">
        <f t="shared" si="50"/>
        <v>0</v>
      </c>
      <c r="Q170" s="6">
        <f t="shared" si="50"/>
        <v>0</v>
      </c>
      <c r="R170" s="13">
        <f t="shared" si="50"/>
        <v>0</v>
      </c>
      <c r="S170" s="8">
        <f t="shared" si="50"/>
        <v>0</v>
      </c>
      <c r="T170" s="6">
        <f t="shared" si="50"/>
        <v>0</v>
      </c>
      <c r="U170" s="6">
        <f t="shared" si="50"/>
        <v>0</v>
      </c>
      <c r="V170" s="6">
        <f t="shared" si="50"/>
        <v>0</v>
      </c>
      <c r="W170" s="13">
        <f t="shared" si="50"/>
        <v>0</v>
      </c>
      <c r="X170" s="8">
        <f t="shared" si="50"/>
        <v>0</v>
      </c>
      <c r="Y170" s="6">
        <f t="shared" si="50"/>
        <v>0</v>
      </c>
      <c r="Z170" s="6">
        <f t="shared" si="50"/>
        <v>0</v>
      </c>
      <c r="AA170" s="6">
        <f t="shared" si="50"/>
        <v>0</v>
      </c>
      <c r="AB170" s="13">
        <f t="shared" si="50"/>
        <v>0</v>
      </c>
      <c r="AC170" s="8">
        <f t="shared" si="50"/>
        <v>0</v>
      </c>
      <c r="AD170" s="6">
        <f t="shared" si="50"/>
        <v>0</v>
      </c>
      <c r="AE170" s="6">
        <f t="shared" si="50"/>
        <v>0</v>
      </c>
      <c r="AF170" s="6">
        <f t="shared" si="50"/>
        <v>0</v>
      </c>
      <c r="AG170" s="13">
        <f t="shared" si="50"/>
        <v>0</v>
      </c>
      <c r="AH170" s="16">
        <f>SUM(D170:AG170)*A170</f>
        <v>0</v>
      </c>
      <c r="AI170" s="16">
        <f t="shared" si="53"/>
        <v>0</v>
      </c>
    </row>
    <row r="171" spans="1:52" ht="15" customHeight="1" thickBot="1" x14ac:dyDescent="0.3">
      <c r="A171" s="59">
        <v>10000</v>
      </c>
      <c r="B171" s="11">
        <f t="shared" si="51"/>
        <v>0</v>
      </c>
      <c r="C171" s="11">
        <f t="shared" si="51"/>
        <v>0</v>
      </c>
      <c r="D171" s="31">
        <f t="shared" si="52"/>
        <v>0</v>
      </c>
      <c r="E171" s="32">
        <f t="shared" si="50"/>
        <v>0</v>
      </c>
      <c r="F171" s="32">
        <f t="shared" si="50"/>
        <v>0</v>
      </c>
      <c r="G171" s="32">
        <f t="shared" si="50"/>
        <v>0</v>
      </c>
      <c r="H171" s="33">
        <f t="shared" si="50"/>
        <v>0</v>
      </c>
      <c r="I171" s="31">
        <f t="shared" si="50"/>
        <v>0</v>
      </c>
      <c r="J171" s="32">
        <f t="shared" si="50"/>
        <v>0</v>
      </c>
      <c r="K171" s="32">
        <f t="shared" si="50"/>
        <v>0</v>
      </c>
      <c r="L171" s="32">
        <f t="shared" si="50"/>
        <v>0</v>
      </c>
      <c r="M171" s="33">
        <f t="shared" si="50"/>
        <v>0</v>
      </c>
      <c r="N171" s="31">
        <f t="shared" si="50"/>
        <v>0</v>
      </c>
      <c r="O171" s="32">
        <f t="shared" si="50"/>
        <v>0</v>
      </c>
      <c r="P171" s="32">
        <f t="shared" si="50"/>
        <v>0</v>
      </c>
      <c r="Q171" s="32">
        <f t="shared" si="50"/>
        <v>0</v>
      </c>
      <c r="R171" s="33">
        <f t="shared" si="50"/>
        <v>0</v>
      </c>
      <c r="S171" s="31">
        <f t="shared" si="50"/>
        <v>0</v>
      </c>
      <c r="T171" s="32">
        <f t="shared" si="50"/>
        <v>0</v>
      </c>
      <c r="U171" s="32">
        <f t="shared" si="50"/>
        <v>0</v>
      </c>
      <c r="V171" s="32">
        <f t="shared" si="50"/>
        <v>0</v>
      </c>
      <c r="W171" s="33">
        <f t="shared" si="50"/>
        <v>0</v>
      </c>
      <c r="X171" s="31">
        <f t="shared" si="50"/>
        <v>0</v>
      </c>
      <c r="Y171" s="32">
        <f t="shared" si="50"/>
        <v>0</v>
      </c>
      <c r="Z171" s="32">
        <f t="shared" si="50"/>
        <v>0</v>
      </c>
      <c r="AA171" s="32">
        <f t="shared" si="50"/>
        <v>0</v>
      </c>
      <c r="AB171" s="33">
        <f t="shared" ref="AB171:AG171" si="54">Z127+Z141</f>
        <v>0</v>
      </c>
      <c r="AC171" s="31">
        <f t="shared" si="54"/>
        <v>0</v>
      </c>
      <c r="AD171" s="32">
        <f t="shared" si="54"/>
        <v>0</v>
      </c>
      <c r="AE171" s="32">
        <f t="shared" si="54"/>
        <v>0</v>
      </c>
      <c r="AF171" s="32">
        <f t="shared" si="54"/>
        <v>0</v>
      </c>
      <c r="AG171" s="33">
        <f t="shared" si="54"/>
        <v>0</v>
      </c>
      <c r="AH171" s="16">
        <f>SUM(D171:AG171)*A171</f>
        <v>0</v>
      </c>
      <c r="AI171" s="43">
        <f t="shared" si="53"/>
        <v>0</v>
      </c>
    </row>
    <row r="172" spans="1:52" ht="15" customHeight="1" thickBot="1" x14ac:dyDescent="0.3">
      <c r="A172" s="35"/>
      <c r="B172" s="61">
        <f>SUM(B163:B171)</f>
        <v>0</v>
      </c>
      <c r="C172" s="61">
        <f t="shared" ref="C172" si="55">SUM(C163:C171)</f>
        <v>0</v>
      </c>
      <c r="D172" s="60">
        <f t="shared" ref="D172:AI172" si="56">SUM(D163:D171)</f>
        <v>0</v>
      </c>
      <c r="E172" s="61">
        <f t="shared" si="56"/>
        <v>48</v>
      </c>
      <c r="F172" s="61">
        <f t="shared" si="56"/>
        <v>0</v>
      </c>
      <c r="G172" s="61">
        <f t="shared" si="56"/>
        <v>0</v>
      </c>
      <c r="H172" s="62">
        <f t="shared" si="56"/>
        <v>0</v>
      </c>
      <c r="I172" s="60">
        <f t="shared" si="56"/>
        <v>0</v>
      </c>
      <c r="J172" s="61">
        <f t="shared" si="56"/>
        <v>0</v>
      </c>
      <c r="K172" s="61">
        <f t="shared" si="56"/>
        <v>0</v>
      </c>
      <c r="L172" s="61">
        <f t="shared" si="56"/>
        <v>0</v>
      </c>
      <c r="M172" s="62">
        <f t="shared" si="56"/>
        <v>0</v>
      </c>
      <c r="N172" s="60">
        <f t="shared" si="56"/>
        <v>0</v>
      </c>
      <c r="O172" s="61">
        <f t="shared" si="56"/>
        <v>0</v>
      </c>
      <c r="P172" s="61">
        <f t="shared" si="56"/>
        <v>0</v>
      </c>
      <c r="Q172" s="61">
        <f t="shared" si="56"/>
        <v>0</v>
      </c>
      <c r="R172" s="62">
        <f t="shared" si="56"/>
        <v>0</v>
      </c>
      <c r="S172" s="60">
        <f t="shared" si="56"/>
        <v>0</v>
      </c>
      <c r="T172" s="61">
        <f t="shared" si="56"/>
        <v>0</v>
      </c>
      <c r="U172" s="61">
        <f t="shared" si="56"/>
        <v>0</v>
      </c>
      <c r="V172" s="61">
        <f t="shared" si="56"/>
        <v>0</v>
      </c>
      <c r="W172" s="62">
        <f t="shared" si="56"/>
        <v>0</v>
      </c>
      <c r="X172" s="60">
        <f t="shared" si="56"/>
        <v>0</v>
      </c>
      <c r="Y172" s="61">
        <f t="shared" si="56"/>
        <v>0</v>
      </c>
      <c r="Z172" s="61">
        <f t="shared" si="56"/>
        <v>0</v>
      </c>
      <c r="AA172" s="61">
        <f t="shared" si="56"/>
        <v>0</v>
      </c>
      <c r="AB172" s="62">
        <f t="shared" si="56"/>
        <v>0</v>
      </c>
      <c r="AC172" s="60">
        <f t="shared" si="56"/>
        <v>0</v>
      </c>
      <c r="AD172" s="61">
        <f t="shared" si="56"/>
        <v>0</v>
      </c>
      <c r="AE172" s="61">
        <f t="shared" si="56"/>
        <v>0</v>
      </c>
      <c r="AF172" s="61">
        <f t="shared" si="56"/>
        <v>0</v>
      </c>
      <c r="AG172" s="62">
        <f t="shared" si="56"/>
        <v>0</v>
      </c>
      <c r="AH172" s="35">
        <f>SUM(AH163:AH171)</f>
        <v>39500</v>
      </c>
      <c r="AI172" s="35">
        <f t="shared" si="53"/>
        <v>48</v>
      </c>
    </row>
    <row r="173" spans="1:52" ht="15.75" customHeight="1" x14ac:dyDescent="0.25"/>
    <row r="174" spans="1:52" ht="15.75" customHeight="1" x14ac:dyDescent="0.25"/>
    <row r="175" spans="1:52" ht="15" customHeight="1" x14ac:dyDescent="0.25">
      <c r="AX175" s="44"/>
      <c r="AY175" s="44"/>
      <c r="AZ175" s="44"/>
    </row>
    <row r="176" spans="1:52" ht="15" customHeight="1" x14ac:dyDescent="0.25">
      <c r="AX176" s="44"/>
      <c r="AY176" s="44"/>
      <c r="AZ176" s="44"/>
    </row>
    <row r="177" spans="50:54" ht="15" customHeight="1" x14ac:dyDescent="0.25">
      <c r="AX177" s="44"/>
      <c r="AY177" s="44"/>
      <c r="AZ177" s="44"/>
    </row>
    <row r="178" spans="50:54" ht="15" customHeight="1" x14ac:dyDescent="0.25">
      <c r="AX178" s="44"/>
      <c r="AY178" s="44"/>
      <c r="AZ178" s="44"/>
    </row>
    <row r="179" spans="50:54" ht="15" customHeight="1" x14ac:dyDescent="0.25">
      <c r="AX179" s="44"/>
      <c r="AY179" s="44"/>
      <c r="AZ179" s="44"/>
    </row>
    <row r="180" spans="50:54" ht="15" customHeight="1" x14ac:dyDescent="0.25">
      <c r="AX180" s="44"/>
      <c r="AY180" s="44"/>
      <c r="AZ180" s="44"/>
    </row>
    <row r="181" spans="50:54" ht="15" customHeight="1" x14ac:dyDescent="0.25">
      <c r="AX181" s="44"/>
    </row>
    <row r="182" spans="50:54" ht="15" customHeight="1" x14ac:dyDescent="0.25">
      <c r="AX182" s="44"/>
    </row>
    <row r="183" spans="50:54" ht="15" customHeight="1" x14ac:dyDescent="0.25">
      <c r="AX183" s="44"/>
    </row>
    <row r="184" spans="50:54" ht="15.75" customHeight="1" x14ac:dyDescent="0.25"/>
    <row r="186" spans="50:54" x14ac:dyDescent="0.25">
      <c r="BB186" s="44"/>
    </row>
    <row r="187" spans="50:54" ht="15" customHeight="1" x14ac:dyDescent="0.25"/>
    <row r="188" spans="50:54" ht="15" customHeight="1" x14ac:dyDescent="0.25"/>
    <row r="189" spans="50:54" ht="15" customHeight="1" x14ac:dyDescent="0.25"/>
  </sheetData>
  <mergeCells count="134">
    <mergeCell ref="AN158:AO158"/>
    <mergeCell ref="AP158:AR158"/>
    <mergeCell ref="AS158:AT158"/>
    <mergeCell ref="AU158:AW158"/>
    <mergeCell ref="A161:A162"/>
    <mergeCell ref="B161:C161"/>
    <mergeCell ref="D161:H161"/>
    <mergeCell ref="I161:M161"/>
    <mergeCell ref="N161:R161"/>
    <mergeCell ref="S161:W161"/>
    <mergeCell ref="X161:AB161"/>
    <mergeCell ref="AC161:AG161"/>
    <mergeCell ref="AH161:AH162"/>
    <mergeCell ref="AI161:AI162"/>
    <mergeCell ref="AO151:AP151"/>
    <mergeCell ref="AQ151:AR151"/>
    <mergeCell ref="AU151:AV151"/>
    <mergeCell ref="AW151:AX151"/>
    <mergeCell ref="BA151:BB151"/>
    <mergeCell ref="BC151:BD151"/>
    <mergeCell ref="BG151:BH151"/>
    <mergeCell ref="BI151:BJ151"/>
    <mergeCell ref="AI152:AJ152"/>
    <mergeCell ref="AK152:AL152"/>
    <mergeCell ref="AO152:AP152"/>
    <mergeCell ref="AQ152:AR152"/>
    <mergeCell ref="AU152:AV152"/>
    <mergeCell ref="AW152:AX152"/>
    <mergeCell ref="BA152:BB152"/>
    <mergeCell ref="BC152:BD152"/>
    <mergeCell ref="BG152:BH152"/>
    <mergeCell ref="BI152:BJ152"/>
    <mergeCell ref="AN139:AR139"/>
    <mergeCell ref="AT139:AX139"/>
    <mergeCell ref="AZ139:BD139"/>
    <mergeCell ref="BF139:BJ139"/>
    <mergeCell ref="A144:B144"/>
    <mergeCell ref="G144:H144"/>
    <mergeCell ref="J144:K147"/>
    <mergeCell ref="M144:N147"/>
    <mergeCell ref="P144:Q147"/>
    <mergeCell ref="S144:S145"/>
    <mergeCell ref="V144:V145"/>
    <mergeCell ref="W144:W145"/>
    <mergeCell ref="AA147:AC147"/>
    <mergeCell ref="AD147:AF147"/>
    <mergeCell ref="AN137:AO137"/>
    <mergeCell ref="AP137:AR137"/>
    <mergeCell ref="AT137:AU137"/>
    <mergeCell ref="AV137:AX137"/>
    <mergeCell ref="AZ137:BA137"/>
    <mergeCell ref="BB137:BD137"/>
    <mergeCell ref="BF137:BG137"/>
    <mergeCell ref="BH137:BJ137"/>
    <mergeCell ref="AH138:AL138"/>
    <mergeCell ref="AN138:AR138"/>
    <mergeCell ref="AT138:AX138"/>
    <mergeCell ref="AZ138:BD138"/>
    <mergeCell ref="BF138:BJ138"/>
    <mergeCell ref="AK131:AL131"/>
    <mergeCell ref="AO131:AP131"/>
    <mergeCell ref="AQ131:AR131"/>
    <mergeCell ref="AU131:AV131"/>
    <mergeCell ref="AW131:AX131"/>
    <mergeCell ref="BA131:BB131"/>
    <mergeCell ref="BC131:BD131"/>
    <mergeCell ref="BG131:BH131"/>
    <mergeCell ref="BI131:BJ131"/>
    <mergeCell ref="AK130:AL130"/>
    <mergeCell ref="AO130:AP130"/>
    <mergeCell ref="AQ130:AR130"/>
    <mergeCell ref="AU130:AV130"/>
    <mergeCell ref="AW130:AX130"/>
    <mergeCell ref="BA130:BB130"/>
    <mergeCell ref="BC130:BD130"/>
    <mergeCell ref="BG130:BH130"/>
    <mergeCell ref="BI130:BJ130"/>
    <mergeCell ref="AN117:AR117"/>
    <mergeCell ref="AT117:AX117"/>
    <mergeCell ref="AZ117:BD117"/>
    <mergeCell ref="BF117:BJ117"/>
    <mergeCell ref="AH118:AL118"/>
    <mergeCell ref="AN118:AR118"/>
    <mergeCell ref="AT118:AX118"/>
    <mergeCell ref="AZ118:BD118"/>
    <mergeCell ref="BF118:BJ118"/>
    <mergeCell ref="AJ116:AL116"/>
    <mergeCell ref="AN116:AO116"/>
    <mergeCell ref="AP116:AR116"/>
    <mergeCell ref="AT116:AU116"/>
    <mergeCell ref="AV116:AX116"/>
    <mergeCell ref="AZ116:BA116"/>
    <mergeCell ref="BB116:BD116"/>
    <mergeCell ref="BF116:BG116"/>
    <mergeCell ref="BH116:BJ116"/>
    <mergeCell ref="T144:U144"/>
    <mergeCell ref="A116:AG116"/>
    <mergeCell ref="AH116:AI116"/>
    <mergeCell ref="A117:A118"/>
    <mergeCell ref="B117:F117"/>
    <mergeCell ref="G117:K117"/>
    <mergeCell ref="L117:P117"/>
    <mergeCell ref="Q117:U117"/>
    <mergeCell ref="V117:Z117"/>
    <mergeCell ref="AA117:AE117"/>
    <mergeCell ref="AF117:AF118"/>
    <mergeCell ref="AG117:AG118"/>
    <mergeCell ref="AH117:AL117"/>
    <mergeCell ref="A130:AG130"/>
    <mergeCell ref="AI130:AJ130"/>
    <mergeCell ref="A114:C114"/>
    <mergeCell ref="D114:G114"/>
    <mergeCell ref="L131:P131"/>
    <mergeCell ref="Q131:U131"/>
    <mergeCell ref="V131:Z131"/>
    <mergeCell ref="AA131:AE131"/>
    <mergeCell ref="AF131:AF132"/>
    <mergeCell ref="AG131:AG132"/>
    <mergeCell ref="AA148:AC148"/>
    <mergeCell ref="AD148:AF148"/>
    <mergeCell ref="AA149:AC149"/>
    <mergeCell ref="AD149:AF149"/>
    <mergeCell ref="AI131:AJ131"/>
    <mergeCell ref="AH137:AI137"/>
    <mergeCell ref="AJ137:AL137"/>
    <mergeCell ref="AH139:AL139"/>
    <mergeCell ref="AI151:AJ151"/>
    <mergeCell ref="AK151:AL151"/>
    <mergeCell ref="AH158:AJ158"/>
    <mergeCell ref="AK158:AM158"/>
    <mergeCell ref="D144:E144"/>
    <mergeCell ref="B131:F131"/>
    <mergeCell ref="G131:K131"/>
    <mergeCell ref="A131:A132"/>
  </mergeCells>
  <pageMargins left="0" right="0" top="0" bottom="0" header="0.31496062992125984" footer="0.31496062992125984"/>
  <pageSetup paperSize="9" scale="85" orientation="landscape" verticalDpi="300" r:id="rId1"/>
  <headerFooter>
    <oddFooter>&amp;LPRINTED ON &amp;D AT &amp;T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Y189"/>
  <sheetViews>
    <sheetView showZeros="0" zoomScaleNormal="100" workbookViewId="0">
      <selection sqref="A1:XFD1048576"/>
    </sheetView>
  </sheetViews>
  <sheetFormatPr defaultColWidth="9.140625" defaultRowHeight="15" x14ac:dyDescent="0.25"/>
  <cols>
    <col min="1" max="1" width="6.28515625" style="28" customWidth="1"/>
    <col min="2" max="2" width="5.85546875" style="28" customWidth="1"/>
    <col min="3" max="3" width="4.42578125" style="28" customWidth="1"/>
    <col min="4" max="4" width="6.28515625" style="28" customWidth="1"/>
    <col min="5" max="5" width="5.85546875" style="28" customWidth="1"/>
    <col min="6" max="6" width="4.42578125" style="28" customWidth="1"/>
    <col min="7" max="7" width="6.28515625" style="28" customWidth="1"/>
    <col min="8" max="8" width="5.85546875" style="28" customWidth="1"/>
    <col min="9" max="9" width="4.42578125" style="28" customWidth="1"/>
    <col min="10" max="10" width="6.28515625" style="28" customWidth="1"/>
    <col min="11" max="12" width="4.42578125" style="28" customWidth="1"/>
    <col min="13" max="13" width="6.28515625" style="28" customWidth="1"/>
    <col min="14" max="15" width="4.42578125" style="28" customWidth="1"/>
    <col min="16" max="16" width="6.28515625" style="28" customWidth="1"/>
    <col min="17" max="18" width="4.42578125" style="28" customWidth="1"/>
    <col min="19" max="19" width="6.28515625" style="28" customWidth="1"/>
    <col min="20" max="21" width="4.7109375" style="28" customWidth="1"/>
    <col min="22" max="22" width="6.28515625" style="28" customWidth="1"/>
    <col min="23" max="23" width="5.42578125" style="28" customWidth="1"/>
    <col min="24" max="31" width="4.42578125" style="28" customWidth="1"/>
    <col min="32" max="33" width="6.28515625" style="28" customWidth="1"/>
    <col min="34" max="62" width="5.85546875" style="28" customWidth="1"/>
    <col min="63" max="63" width="5.140625" style="28" bestFit="1" customWidth="1"/>
    <col min="64" max="64" width="5.7109375" style="28" bestFit="1" customWidth="1"/>
    <col min="65" max="65" width="5" style="28" bestFit="1" customWidth="1"/>
    <col min="66" max="67" width="4.140625" style="28" bestFit="1" customWidth="1"/>
    <col min="68" max="68" width="4.28515625" style="28" bestFit="1" customWidth="1"/>
    <col min="69" max="69" width="5.140625" style="28" bestFit="1" customWidth="1"/>
    <col min="70" max="70" width="7.42578125" style="28" bestFit="1" customWidth="1"/>
    <col min="71" max="71" width="12.5703125" style="28" bestFit="1" customWidth="1"/>
    <col min="72" max="72" width="6.140625" style="28" bestFit="1" customWidth="1"/>
    <col min="73" max="16384" width="9.140625" style="28"/>
  </cols>
  <sheetData>
    <row r="1" spans="1:77" ht="16.5" customHeight="1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15</v>
      </c>
      <c r="J1" s="24" t="s">
        <v>133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133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133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12</v>
      </c>
      <c r="AB1" s="24" t="s">
        <v>133</v>
      </c>
      <c r="AC1" s="24" t="s">
        <v>8</v>
      </c>
      <c r="AD1" s="24" t="s">
        <v>9</v>
      </c>
      <c r="AE1" s="24" t="s">
        <v>10</v>
      </c>
      <c r="AF1" s="24" t="s">
        <v>11</v>
      </c>
      <c r="AG1" s="24" t="s">
        <v>12</v>
      </c>
      <c r="AH1" s="24" t="s">
        <v>133</v>
      </c>
      <c r="AI1" s="24" t="s">
        <v>8</v>
      </c>
      <c r="AJ1" s="24" t="s">
        <v>9</v>
      </c>
      <c r="AK1" s="24" t="s">
        <v>10</v>
      </c>
      <c r="AL1" s="24" t="s">
        <v>11</v>
      </c>
      <c r="AM1" s="24" t="s">
        <v>12</v>
      </c>
      <c r="AN1" s="24" t="s">
        <v>133</v>
      </c>
      <c r="AO1" s="24" t="s">
        <v>8</v>
      </c>
      <c r="AP1" s="24" t="s">
        <v>9</v>
      </c>
      <c r="AQ1" s="24" t="s">
        <v>10</v>
      </c>
      <c r="AR1" s="24" t="s">
        <v>11</v>
      </c>
      <c r="AS1" s="24" t="s">
        <v>12</v>
      </c>
      <c r="AT1" s="24" t="s">
        <v>133</v>
      </c>
      <c r="AU1" s="24" t="s">
        <v>8</v>
      </c>
      <c r="AV1" s="24" t="s">
        <v>9</v>
      </c>
      <c r="AW1" s="24" t="s">
        <v>10</v>
      </c>
      <c r="AX1" s="24" t="s">
        <v>11</v>
      </c>
      <c r="AY1" s="24" t="s">
        <v>12</v>
      </c>
      <c r="AZ1" s="24" t="s">
        <v>133</v>
      </c>
      <c r="BA1" s="24" t="s">
        <v>8</v>
      </c>
      <c r="BB1" s="24" t="s">
        <v>9</v>
      </c>
      <c r="BC1" s="24" t="s">
        <v>10</v>
      </c>
      <c r="BD1" s="24" t="s">
        <v>11</v>
      </c>
      <c r="BE1" s="24" t="s">
        <v>12</v>
      </c>
      <c r="BF1" s="24" t="s">
        <v>133</v>
      </c>
      <c r="BG1" s="24" t="s">
        <v>8</v>
      </c>
      <c r="BH1" s="24" t="s">
        <v>9</v>
      </c>
      <c r="BI1" s="24" t="s">
        <v>10</v>
      </c>
      <c r="BJ1" s="24" t="s">
        <v>11</v>
      </c>
      <c r="BK1" s="24" t="s">
        <v>12</v>
      </c>
      <c r="BL1" s="24" t="s">
        <v>133</v>
      </c>
      <c r="BM1" s="24" t="s">
        <v>8</v>
      </c>
      <c r="BN1" s="24" t="s">
        <v>9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36</v>
      </c>
      <c r="BU1" s="26"/>
      <c r="BV1" s="27"/>
      <c r="BW1" s="27"/>
      <c r="BX1" s="27"/>
      <c r="BY1" s="27"/>
    </row>
    <row r="2" spans="1:77" s="56" customFormat="1" ht="78" thickBot="1" x14ac:dyDescent="0.3">
      <c r="A2" s="188">
        <v>21420</v>
      </c>
      <c r="B2" s="189">
        <v>46031</v>
      </c>
      <c r="C2" s="41" t="s">
        <v>239</v>
      </c>
      <c r="D2" s="41" t="s">
        <v>90</v>
      </c>
      <c r="E2" s="41" t="s">
        <v>42</v>
      </c>
      <c r="F2" s="41" t="s">
        <v>121</v>
      </c>
      <c r="G2" s="41" t="s">
        <v>122</v>
      </c>
      <c r="H2" s="41" t="s">
        <v>123</v>
      </c>
      <c r="I2" s="41"/>
      <c r="J2" s="41" t="s">
        <v>134</v>
      </c>
      <c r="K2" s="188">
        <v>1500</v>
      </c>
      <c r="L2" s="188">
        <v>8</v>
      </c>
      <c r="M2" s="41" t="s">
        <v>17</v>
      </c>
      <c r="N2" s="41" t="s">
        <v>22</v>
      </c>
      <c r="O2" s="188">
        <v>3.5</v>
      </c>
      <c r="P2" s="41" t="s">
        <v>134</v>
      </c>
      <c r="Q2" s="188">
        <v>1000</v>
      </c>
      <c r="R2" s="188">
        <v>10</v>
      </c>
      <c r="S2" s="41" t="s">
        <v>17</v>
      </c>
      <c r="T2" s="41" t="s">
        <v>22</v>
      </c>
      <c r="U2" s="188">
        <v>3.5</v>
      </c>
      <c r="V2" s="41" t="s">
        <v>134</v>
      </c>
      <c r="W2" s="188">
        <v>750</v>
      </c>
      <c r="X2" s="188">
        <v>10</v>
      </c>
      <c r="Y2" s="41" t="s">
        <v>17</v>
      </c>
      <c r="Z2" s="41" t="s">
        <v>22</v>
      </c>
      <c r="AA2" s="188">
        <v>3.5</v>
      </c>
      <c r="AB2" s="41" t="s">
        <v>134</v>
      </c>
      <c r="AC2" s="188">
        <v>500</v>
      </c>
      <c r="AD2" s="188">
        <v>20</v>
      </c>
      <c r="AE2" s="41" t="s">
        <v>17</v>
      </c>
      <c r="AF2" s="41" t="s">
        <v>22</v>
      </c>
      <c r="AG2" s="188">
        <v>3.5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 t="s">
        <v>91</v>
      </c>
      <c r="BS2" s="41" t="s">
        <v>253</v>
      </c>
      <c r="BT2" s="108">
        <f t="shared" ref="BT2" si="0">K2*L2+Q2*R2+W2*X2+AC2*AD2+AI2*AJ2+AO2*AP2+AU2*AV2+BA2*BB2+BG2*BH2+BM2*BN2</f>
        <v>39500</v>
      </c>
    </row>
    <row r="3" spans="1:77" s="56" customFormat="1" ht="15.75" thickBot="1" x14ac:dyDescent="0.3">
      <c r="A3" s="80"/>
      <c r="B3" s="49"/>
      <c r="C3" s="20"/>
      <c r="D3" s="20"/>
      <c r="E3" s="20"/>
      <c r="F3" s="20"/>
      <c r="G3" s="20"/>
      <c r="H3" s="20"/>
      <c r="I3" s="20"/>
      <c r="J3" s="48"/>
      <c r="K3" s="48"/>
      <c r="L3" s="48"/>
      <c r="M3" s="20"/>
      <c r="N3" s="20"/>
      <c r="O3" s="48"/>
      <c r="P3" s="48"/>
      <c r="Q3" s="48"/>
      <c r="R3" s="48"/>
      <c r="S3" s="20"/>
      <c r="T3" s="20"/>
      <c r="U3" s="48"/>
      <c r="V3" s="48"/>
      <c r="W3" s="48"/>
      <c r="X3" s="48"/>
      <c r="Y3" s="48"/>
      <c r="Z3" s="20"/>
      <c r="AA3" s="48"/>
      <c r="AB3" s="48"/>
      <c r="AC3" s="48"/>
      <c r="AD3" s="48"/>
      <c r="AE3" s="20"/>
      <c r="AF3" s="20"/>
      <c r="AG3" s="48"/>
      <c r="AH3" s="48"/>
      <c r="AI3" s="48"/>
      <c r="AJ3" s="48"/>
      <c r="AK3" s="20"/>
      <c r="AL3" s="20"/>
      <c r="AM3" s="48"/>
      <c r="AN3" s="48"/>
      <c r="AO3" s="48"/>
      <c r="AP3" s="48"/>
      <c r="AQ3" s="20"/>
      <c r="AR3" s="20"/>
      <c r="AS3" s="48"/>
      <c r="AT3" s="48"/>
      <c r="AU3" s="48"/>
      <c r="AV3" s="48"/>
      <c r="AW3" s="20"/>
      <c r="AX3" s="20"/>
      <c r="AY3" s="48"/>
      <c r="AZ3" s="48"/>
      <c r="BA3" s="48"/>
      <c r="BB3" s="48"/>
      <c r="BC3" s="20"/>
      <c r="BD3" s="20"/>
      <c r="BE3" s="48"/>
      <c r="BF3" s="48"/>
      <c r="BG3" s="48"/>
      <c r="BH3" s="48"/>
      <c r="BI3" s="20"/>
      <c r="BJ3" s="20"/>
      <c r="BK3" s="48"/>
      <c r="BL3" s="48"/>
      <c r="BM3" s="48"/>
      <c r="BN3" s="48"/>
      <c r="BO3" s="20"/>
      <c r="BP3" s="20"/>
      <c r="BQ3" s="48"/>
      <c r="BR3" s="20"/>
      <c r="BS3" s="20"/>
      <c r="BT3" s="55"/>
      <c r="BU3" s="20"/>
      <c r="BV3" s="20"/>
      <c r="BW3" s="20"/>
      <c r="BX3" s="20"/>
      <c r="BY3" s="20"/>
    </row>
    <row r="4" spans="1:77" s="56" customFormat="1" ht="15.75" thickBot="1" x14ac:dyDescent="0.3">
      <c r="A4" s="80"/>
      <c r="B4" s="49"/>
      <c r="C4" s="20"/>
      <c r="D4" s="20"/>
      <c r="E4" s="20"/>
      <c r="F4" s="20"/>
      <c r="G4" s="20"/>
      <c r="H4" s="20"/>
      <c r="I4" s="20"/>
      <c r="J4" s="48"/>
      <c r="K4" s="48"/>
      <c r="L4" s="48"/>
      <c r="M4" s="20"/>
      <c r="N4" s="20"/>
      <c r="O4" s="48"/>
      <c r="P4" s="48"/>
      <c r="Q4" s="48"/>
      <c r="R4" s="48"/>
      <c r="S4" s="20"/>
      <c r="T4" s="20"/>
      <c r="U4" s="48"/>
      <c r="V4" s="48"/>
      <c r="W4" s="48"/>
      <c r="X4" s="48"/>
      <c r="Y4" s="48"/>
      <c r="Z4" s="20"/>
      <c r="AA4" s="48"/>
      <c r="AB4" s="48"/>
      <c r="AC4" s="48"/>
      <c r="AD4" s="48"/>
      <c r="AE4" s="20"/>
      <c r="AF4" s="20"/>
      <c r="AG4" s="48"/>
      <c r="AH4" s="48"/>
      <c r="AI4" s="48"/>
      <c r="AJ4" s="48"/>
      <c r="AK4" s="20"/>
      <c r="AL4" s="20"/>
      <c r="AM4" s="48"/>
      <c r="AN4" s="48"/>
      <c r="AO4" s="48"/>
      <c r="AP4" s="48"/>
      <c r="AQ4" s="20"/>
      <c r="AR4" s="20"/>
      <c r="AS4" s="48"/>
      <c r="AT4" s="48"/>
      <c r="AU4" s="48"/>
      <c r="AV4" s="48"/>
      <c r="AW4" s="20"/>
      <c r="AX4" s="20"/>
      <c r="AY4" s="48"/>
      <c r="AZ4" s="48"/>
      <c r="BA4" s="48"/>
      <c r="BB4" s="48"/>
      <c r="BC4" s="20"/>
      <c r="BD4" s="20"/>
      <c r="BE4" s="48"/>
      <c r="BF4" s="48"/>
      <c r="BG4" s="48"/>
      <c r="BH4" s="48"/>
      <c r="BI4" s="20"/>
      <c r="BJ4" s="20"/>
      <c r="BK4" s="48"/>
      <c r="BL4" s="48"/>
      <c r="BM4" s="48"/>
      <c r="BN4" s="48"/>
      <c r="BO4" s="20"/>
      <c r="BP4" s="20"/>
      <c r="BQ4" s="48"/>
      <c r="BR4" s="20"/>
      <c r="BS4" s="20"/>
      <c r="BT4" s="55"/>
      <c r="BU4" s="20"/>
      <c r="BV4" s="20"/>
      <c r="BW4" s="20"/>
      <c r="BX4" s="20"/>
      <c r="BY4" s="20"/>
    </row>
    <row r="5" spans="1:77" s="56" customFormat="1" ht="15.75" thickBot="1" x14ac:dyDescent="0.3">
      <c r="A5" s="80"/>
      <c r="B5" s="49"/>
      <c r="C5" s="20"/>
      <c r="D5" s="20"/>
      <c r="E5" s="20"/>
      <c r="F5" s="20"/>
      <c r="G5" s="20"/>
      <c r="H5" s="20"/>
      <c r="I5" s="20"/>
      <c r="J5" s="48"/>
      <c r="K5" s="48"/>
      <c r="L5" s="48"/>
      <c r="M5" s="20"/>
      <c r="N5" s="20"/>
      <c r="O5" s="48"/>
      <c r="P5" s="48"/>
      <c r="Q5" s="48"/>
      <c r="R5" s="48"/>
      <c r="S5" s="20"/>
      <c r="T5" s="20"/>
      <c r="U5" s="48"/>
      <c r="V5" s="48"/>
      <c r="W5" s="48"/>
      <c r="X5" s="48"/>
      <c r="Y5" s="48"/>
      <c r="Z5" s="20"/>
      <c r="AA5" s="48"/>
      <c r="AB5" s="48"/>
      <c r="AC5" s="48"/>
      <c r="AD5" s="48"/>
      <c r="AE5" s="20"/>
      <c r="AF5" s="20"/>
      <c r="AG5" s="48"/>
      <c r="AH5" s="48"/>
      <c r="AI5" s="48"/>
      <c r="AJ5" s="48"/>
      <c r="AK5" s="20"/>
      <c r="AL5" s="20"/>
      <c r="AM5" s="48"/>
      <c r="AN5" s="48"/>
      <c r="AO5" s="48"/>
      <c r="AP5" s="48"/>
      <c r="AQ5" s="20"/>
      <c r="AR5" s="20"/>
      <c r="AS5" s="48"/>
      <c r="AT5" s="48"/>
      <c r="AU5" s="48"/>
      <c r="AV5" s="48"/>
      <c r="AW5" s="20"/>
      <c r="AX5" s="20"/>
      <c r="AY5" s="48"/>
      <c r="AZ5" s="48"/>
      <c r="BA5" s="48"/>
      <c r="BB5" s="48"/>
      <c r="BC5" s="20"/>
      <c r="BD5" s="20"/>
      <c r="BE5" s="48"/>
      <c r="BF5" s="48"/>
      <c r="BG5" s="48"/>
      <c r="BH5" s="48"/>
      <c r="BI5" s="20"/>
      <c r="BJ5" s="20"/>
      <c r="BK5" s="48"/>
      <c r="BL5" s="48"/>
      <c r="BM5" s="48"/>
      <c r="BN5" s="48"/>
      <c r="BO5" s="20"/>
      <c r="BP5" s="20"/>
      <c r="BQ5" s="48"/>
      <c r="BR5" s="20"/>
      <c r="BS5" s="20"/>
      <c r="BT5" s="55"/>
      <c r="BU5" s="20"/>
      <c r="BV5" s="20"/>
      <c r="BW5" s="20"/>
      <c r="BX5" s="20"/>
      <c r="BY5" s="20"/>
    </row>
    <row r="6" spans="1:77" s="56" customFormat="1" ht="15.75" thickBot="1" x14ac:dyDescent="0.3">
      <c r="A6" s="80"/>
      <c r="B6" s="49"/>
      <c r="C6" s="20"/>
      <c r="D6" s="20"/>
      <c r="E6" s="20"/>
      <c r="F6" s="20"/>
      <c r="G6" s="20"/>
      <c r="H6" s="20"/>
      <c r="I6" s="20"/>
      <c r="J6" s="48"/>
      <c r="K6" s="48"/>
      <c r="L6" s="48"/>
      <c r="M6" s="20"/>
      <c r="N6" s="20"/>
      <c r="O6" s="48"/>
      <c r="P6" s="48"/>
      <c r="Q6" s="48"/>
      <c r="R6" s="48"/>
      <c r="S6" s="20"/>
      <c r="T6" s="20"/>
      <c r="U6" s="48"/>
      <c r="V6" s="48"/>
      <c r="W6" s="48"/>
      <c r="X6" s="48"/>
      <c r="Y6" s="48"/>
      <c r="Z6" s="20"/>
      <c r="AA6" s="48"/>
      <c r="AB6" s="48"/>
      <c r="AC6" s="48"/>
      <c r="AD6" s="48"/>
      <c r="AE6" s="20"/>
      <c r="AF6" s="20"/>
      <c r="AG6" s="48"/>
      <c r="AH6" s="48"/>
      <c r="AI6" s="48"/>
      <c r="AJ6" s="48"/>
      <c r="AK6" s="20"/>
      <c r="AL6" s="20"/>
      <c r="AM6" s="48"/>
      <c r="AN6" s="48"/>
      <c r="AO6" s="48"/>
      <c r="AP6" s="48"/>
      <c r="AQ6" s="20"/>
      <c r="AR6" s="20"/>
      <c r="AS6" s="48"/>
      <c r="AT6" s="48"/>
      <c r="AU6" s="48"/>
      <c r="AV6" s="48"/>
      <c r="AW6" s="20"/>
      <c r="AX6" s="20"/>
      <c r="AY6" s="48"/>
      <c r="AZ6" s="48"/>
      <c r="BA6" s="48"/>
      <c r="BB6" s="48"/>
      <c r="BC6" s="20"/>
      <c r="BD6" s="20"/>
      <c r="BE6" s="48"/>
      <c r="BF6" s="48"/>
      <c r="BG6" s="48"/>
      <c r="BH6" s="48"/>
      <c r="BI6" s="20"/>
      <c r="BJ6" s="20"/>
      <c r="BK6" s="48"/>
      <c r="BL6" s="48"/>
      <c r="BM6" s="48"/>
      <c r="BN6" s="48"/>
      <c r="BO6" s="20"/>
      <c r="BP6" s="20"/>
      <c r="BQ6" s="48"/>
      <c r="BR6" s="20"/>
      <c r="BS6" s="20"/>
      <c r="BT6" s="55"/>
      <c r="BU6" s="20"/>
      <c r="BV6" s="20"/>
      <c r="BW6" s="20"/>
      <c r="BX6" s="20"/>
      <c r="BY6" s="20"/>
    </row>
    <row r="7" spans="1:77" s="56" customFormat="1" ht="15.75" thickBot="1" x14ac:dyDescent="0.3">
      <c r="A7" s="80"/>
      <c r="B7" s="49"/>
      <c r="C7" s="20"/>
      <c r="D7" s="20"/>
      <c r="E7" s="20"/>
      <c r="F7" s="20"/>
      <c r="G7" s="20"/>
      <c r="H7" s="20"/>
      <c r="I7" s="20"/>
      <c r="J7" s="48"/>
      <c r="K7" s="48"/>
      <c r="L7" s="48"/>
      <c r="M7" s="20"/>
      <c r="N7" s="20"/>
      <c r="O7" s="48"/>
      <c r="P7" s="48"/>
      <c r="Q7" s="48"/>
      <c r="R7" s="48"/>
      <c r="S7" s="20"/>
      <c r="T7" s="20"/>
      <c r="U7" s="48"/>
      <c r="V7" s="48"/>
      <c r="W7" s="48"/>
      <c r="X7" s="48"/>
      <c r="Y7" s="48"/>
      <c r="Z7" s="20"/>
      <c r="AA7" s="48"/>
      <c r="AB7" s="48"/>
      <c r="AC7" s="48"/>
      <c r="AD7" s="48"/>
      <c r="AE7" s="20"/>
      <c r="AF7" s="20"/>
      <c r="AG7" s="48"/>
      <c r="AH7" s="48"/>
      <c r="AI7" s="48"/>
      <c r="AJ7" s="48"/>
      <c r="AK7" s="20"/>
      <c r="AL7" s="20"/>
      <c r="AM7" s="48"/>
      <c r="AN7" s="48"/>
      <c r="AO7" s="48"/>
      <c r="AP7" s="48"/>
      <c r="AQ7" s="20"/>
      <c r="AR7" s="20"/>
      <c r="AS7" s="48"/>
      <c r="AT7" s="48"/>
      <c r="AU7" s="48"/>
      <c r="AV7" s="48"/>
      <c r="AW7" s="20"/>
      <c r="AX7" s="20"/>
      <c r="AY7" s="48"/>
      <c r="AZ7" s="48"/>
      <c r="BA7" s="48"/>
      <c r="BB7" s="48"/>
      <c r="BC7" s="20"/>
      <c r="BD7" s="20"/>
      <c r="BE7" s="48"/>
      <c r="BF7" s="48"/>
      <c r="BG7" s="48"/>
      <c r="BH7" s="48"/>
      <c r="BI7" s="20"/>
      <c r="BJ7" s="20"/>
      <c r="BK7" s="48"/>
      <c r="BL7" s="48"/>
      <c r="BM7" s="48"/>
      <c r="BN7" s="48"/>
      <c r="BO7" s="20"/>
      <c r="BP7" s="20"/>
      <c r="BQ7" s="48"/>
      <c r="BR7" s="20"/>
      <c r="BS7" s="20"/>
      <c r="BT7" s="55"/>
      <c r="BU7" s="20"/>
      <c r="BV7" s="20"/>
      <c r="BW7" s="20"/>
      <c r="BX7" s="20"/>
      <c r="BY7" s="20"/>
    </row>
    <row r="8" spans="1:77" s="56" customFormat="1" ht="15.75" thickBot="1" x14ac:dyDescent="0.3">
      <c r="A8" s="80"/>
      <c r="B8" s="49"/>
      <c r="C8" s="20"/>
      <c r="D8" s="20"/>
      <c r="E8" s="20"/>
      <c r="F8" s="20"/>
      <c r="G8" s="20"/>
      <c r="H8" s="20"/>
      <c r="I8" s="20"/>
      <c r="J8" s="48"/>
      <c r="K8" s="48"/>
      <c r="L8" s="48"/>
      <c r="M8" s="20"/>
      <c r="N8" s="20"/>
      <c r="O8" s="48"/>
      <c r="P8" s="48"/>
      <c r="Q8" s="48"/>
      <c r="R8" s="48"/>
      <c r="S8" s="20"/>
      <c r="T8" s="20"/>
      <c r="U8" s="48"/>
      <c r="V8" s="48"/>
      <c r="W8" s="48"/>
      <c r="X8" s="48"/>
      <c r="Y8" s="48"/>
      <c r="Z8" s="20"/>
      <c r="AA8" s="48"/>
      <c r="AB8" s="48"/>
      <c r="AC8" s="48"/>
      <c r="AD8" s="48"/>
      <c r="AE8" s="20"/>
      <c r="AF8" s="20"/>
      <c r="AG8" s="48"/>
      <c r="AH8" s="48"/>
      <c r="AI8" s="48"/>
      <c r="AJ8" s="48"/>
      <c r="AK8" s="20"/>
      <c r="AL8" s="20"/>
      <c r="AM8" s="48"/>
      <c r="AN8" s="48"/>
      <c r="AO8" s="48"/>
      <c r="AP8" s="48"/>
      <c r="AQ8" s="20"/>
      <c r="AR8" s="20"/>
      <c r="AS8" s="48"/>
      <c r="AT8" s="48"/>
      <c r="AU8" s="48"/>
      <c r="AV8" s="48"/>
      <c r="AW8" s="20"/>
      <c r="AX8" s="20"/>
      <c r="AY8" s="48"/>
      <c r="AZ8" s="48"/>
      <c r="BA8" s="48"/>
      <c r="BB8" s="48"/>
      <c r="BC8" s="20"/>
      <c r="BD8" s="20"/>
      <c r="BE8" s="48"/>
      <c r="BF8" s="48"/>
      <c r="BG8" s="48"/>
      <c r="BH8" s="48"/>
      <c r="BI8" s="20"/>
      <c r="BJ8" s="20"/>
      <c r="BK8" s="48"/>
      <c r="BL8" s="48"/>
      <c r="BM8" s="48"/>
      <c r="BN8" s="48"/>
      <c r="BO8" s="20"/>
      <c r="BP8" s="20"/>
      <c r="BQ8" s="48"/>
      <c r="BR8" s="20"/>
      <c r="BS8" s="20"/>
      <c r="BT8" s="55"/>
      <c r="BU8" s="20"/>
      <c r="BV8" s="20"/>
      <c r="BW8" s="20"/>
      <c r="BX8" s="20"/>
      <c r="BY8" s="20"/>
    </row>
    <row r="9" spans="1:77" s="56" customFormat="1" ht="15.75" thickBot="1" x14ac:dyDescent="0.3">
      <c r="A9" s="80"/>
      <c r="B9" s="49"/>
      <c r="C9" s="20"/>
      <c r="D9" s="20"/>
      <c r="E9" s="20"/>
      <c r="F9" s="20"/>
      <c r="G9" s="20"/>
      <c r="H9" s="20"/>
      <c r="I9" s="20"/>
      <c r="J9" s="48"/>
      <c r="K9" s="48"/>
      <c r="L9" s="48"/>
      <c r="M9" s="20"/>
      <c r="N9" s="20"/>
      <c r="O9" s="48"/>
      <c r="P9" s="48"/>
      <c r="Q9" s="48"/>
      <c r="R9" s="48"/>
      <c r="S9" s="20"/>
      <c r="T9" s="20"/>
      <c r="U9" s="48"/>
      <c r="V9" s="48"/>
      <c r="W9" s="48"/>
      <c r="X9" s="48"/>
      <c r="Y9" s="48"/>
      <c r="Z9" s="20"/>
      <c r="AA9" s="48"/>
      <c r="AB9" s="48"/>
      <c r="AC9" s="48"/>
      <c r="AD9" s="48"/>
      <c r="AE9" s="20"/>
      <c r="AF9" s="20"/>
      <c r="AG9" s="48"/>
      <c r="AH9" s="48"/>
      <c r="AI9" s="48"/>
      <c r="AJ9" s="48"/>
      <c r="AK9" s="20"/>
      <c r="AL9" s="20"/>
      <c r="AM9" s="48"/>
      <c r="AN9" s="48"/>
      <c r="AO9" s="48"/>
      <c r="AP9" s="48"/>
      <c r="AQ9" s="20"/>
      <c r="AR9" s="20"/>
      <c r="AS9" s="48"/>
      <c r="AT9" s="48"/>
      <c r="AU9" s="48"/>
      <c r="AV9" s="48"/>
      <c r="AW9" s="20"/>
      <c r="AX9" s="20"/>
      <c r="AY9" s="48"/>
      <c r="AZ9" s="48"/>
      <c r="BA9" s="48"/>
      <c r="BB9" s="48"/>
      <c r="BC9" s="20"/>
      <c r="BD9" s="20"/>
      <c r="BE9" s="48"/>
      <c r="BF9" s="48"/>
      <c r="BG9" s="48"/>
      <c r="BH9" s="48"/>
      <c r="BI9" s="20"/>
      <c r="BJ9" s="20"/>
      <c r="BK9" s="48"/>
      <c r="BL9" s="48"/>
      <c r="BM9" s="48"/>
      <c r="BN9" s="48"/>
      <c r="BO9" s="20"/>
      <c r="BP9" s="20"/>
      <c r="BQ9" s="48"/>
      <c r="BR9" s="20"/>
      <c r="BS9" s="20"/>
      <c r="BT9" s="55"/>
      <c r="BU9" s="20"/>
      <c r="BV9" s="20"/>
      <c r="BW9" s="20"/>
      <c r="BX9" s="20"/>
      <c r="BY9" s="20"/>
    </row>
    <row r="10" spans="1:77" s="56" customFormat="1" ht="15.75" thickBot="1" x14ac:dyDescent="0.3">
      <c r="A10" s="80"/>
      <c r="B10" s="49"/>
      <c r="C10" s="20"/>
      <c r="D10" s="20"/>
      <c r="E10" s="20"/>
      <c r="F10" s="20"/>
      <c r="G10" s="20"/>
      <c r="H10" s="20"/>
      <c r="I10" s="20"/>
      <c r="J10" s="48"/>
      <c r="K10" s="48"/>
      <c r="L10" s="48"/>
      <c r="M10" s="20"/>
      <c r="N10" s="20"/>
      <c r="O10" s="48"/>
      <c r="P10" s="48"/>
      <c r="Q10" s="48"/>
      <c r="R10" s="48"/>
      <c r="S10" s="20"/>
      <c r="T10" s="20"/>
      <c r="U10" s="48"/>
      <c r="V10" s="48"/>
      <c r="W10" s="48"/>
      <c r="X10" s="48"/>
      <c r="Y10" s="48"/>
      <c r="Z10" s="20"/>
      <c r="AA10" s="48"/>
      <c r="AB10" s="48"/>
      <c r="AC10" s="48"/>
      <c r="AD10" s="48"/>
      <c r="AE10" s="20"/>
      <c r="AF10" s="20"/>
      <c r="AG10" s="48"/>
      <c r="AH10" s="48"/>
      <c r="AI10" s="48"/>
      <c r="AJ10" s="48"/>
      <c r="AK10" s="20"/>
      <c r="AL10" s="20"/>
      <c r="AM10" s="48"/>
      <c r="AN10" s="48"/>
      <c r="AO10" s="48"/>
      <c r="AP10" s="48"/>
      <c r="AQ10" s="20"/>
      <c r="AR10" s="20"/>
      <c r="AS10" s="48"/>
      <c r="AT10" s="48"/>
      <c r="AU10" s="48"/>
      <c r="AV10" s="48"/>
      <c r="AW10" s="20"/>
      <c r="AX10" s="20"/>
      <c r="AY10" s="48"/>
      <c r="AZ10" s="48"/>
      <c r="BA10" s="48"/>
      <c r="BB10" s="48"/>
      <c r="BC10" s="20"/>
      <c r="BD10" s="20"/>
      <c r="BE10" s="48"/>
      <c r="BF10" s="48"/>
      <c r="BG10" s="48"/>
      <c r="BH10" s="48"/>
      <c r="BI10" s="20"/>
      <c r="BJ10" s="20"/>
      <c r="BK10" s="48"/>
      <c r="BL10" s="48"/>
      <c r="BM10" s="48"/>
      <c r="BN10" s="48"/>
      <c r="BO10" s="20"/>
      <c r="BP10" s="20"/>
      <c r="BQ10" s="48"/>
      <c r="BR10" s="20"/>
      <c r="BS10" s="20"/>
      <c r="BT10" s="55"/>
      <c r="BU10" s="20"/>
      <c r="BV10" s="20"/>
      <c r="BW10" s="20"/>
      <c r="BX10" s="20"/>
      <c r="BY10" s="20"/>
    </row>
    <row r="11" spans="1:77" s="56" customFormat="1" ht="15.75" thickBot="1" x14ac:dyDescent="0.3">
      <c r="A11" s="80"/>
      <c r="B11" s="49"/>
      <c r="C11" s="20"/>
      <c r="D11" s="20"/>
      <c r="E11" s="20"/>
      <c r="F11" s="20"/>
      <c r="G11" s="20"/>
      <c r="H11" s="20"/>
      <c r="I11" s="20"/>
      <c r="J11" s="48"/>
      <c r="K11" s="48"/>
      <c r="L11" s="48"/>
      <c r="M11" s="20"/>
      <c r="N11" s="20"/>
      <c r="O11" s="48"/>
      <c r="P11" s="48"/>
      <c r="Q11" s="48"/>
      <c r="R11" s="48"/>
      <c r="S11" s="20"/>
      <c r="T11" s="20"/>
      <c r="U11" s="48"/>
      <c r="V11" s="48"/>
      <c r="W11" s="48"/>
      <c r="X11" s="48"/>
      <c r="Y11" s="48"/>
      <c r="Z11" s="20"/>
      <c r="AA11" s="48"/>
      <c r="AB11" s="48"/>
      <c r="AC11" s="48"/>
      <c r="AD11" s="48"/>
      <c r="AE11" s="20"/>
      <c r="AF11" s="20"/>
      <c r="AG11" s="48"/>
      <c r="AH11" s="48"/>
      <c r="AI11" s="48"/>
      <c r="AJ11" s="48"/>
      <c r="AK11" s="20"/>
      <c r="AL11" s="20"/>
      <c r="AM11" s="48"/>
      <c r="AN11" s="48"/>
      <c r="AO11" s="48"/>
      <c r="AP11" s="48"/>
      <c r="AQ11" s="20"/>
      <c r="AR11" s="20"/>
      <c r="AS11" s="48"/>
      <c r="AT11" s="48"/>
      <c r="AU11" s="48"/>
      <c r="AV11" s="48"/>
      <c r="AW11" s="20"/>
      <c r="AX11" s="20"/>
      <c r="AY11" s="48"/>
      <c r="AZ11" s="48"/>
      <c r="BA11" s="48"/>
      <c r="BB11" s="48"/>
      <c r="BC11" s="20"/>
      <c r="BD11" s="20"/>
      <c r="BE11" s="48"/>
      <c r="BF11" s="48"/>
      <c r="BG11" s="48"/>
      <c r="BH11" s="48"/>
      <c r="BI11" s="20"/>
      <c r="BJ11" s="20"/>
      <c r="BK11" s="48"/>
      <c r="BL11" s="48"/>
      <c r="BM11" s="48"/>
      <c r="BN11" s="48"/>
      <c r="BO11" s="20"/>
      <c r="BP11" s="20"/>
      <c r="BQ11" s="48"/>
      <c r="BR11" s="20"/>
      <c r="BS11" s="20"/>
      <c r="BT11" s="55"/>
      <c r="BU11" s="20"/>
      <c r="BV11" s="20"/>
      <c r="BW11" s="20"/>
      <c r="BX11" s="20"/>
      <c r="BY11" s="20"/>
    </row>
    <row r="12" spans="1:77" s="40" customFormat="1" ht="15.75" thickBot="1" x14ac:dyDescent="0.3">
      <c r="A12" s="75"/>
      <c r="B12" s="2"/>
      <c r="C12" s="1"/>
      <c r="D12" s="1"/>
      <c r="E12" s="1"/>
      <c r="F12" s="25"/>
      <c r="G12" s="1"/>
      <c r="H12" s="1"/>
      <c r="I12" s="1"/>
      <c r="J12" s="3"/>
      <c r="K12" s="3"/>
      <c r="L12" s="3"/>
      <c r="M12" s="1"/>
      <c r="N12" s="1"/>
      <c r="O12" s="3"/>
      <c r="P12" s="3"/>
      <c r="Q12" s="3"/>
      <c r="R12" s="3"/>
      <c r="S12" s="1"/>
      <c r="T12" s="1"/>
      <c r="U12" s="3"/>
      <c r="V12" s="3"/>
      <c r="W12" s="1"/>
      <c r="X12" s="1"/>
      <c r="Y12" s="1"/>
      <c r="Z12" s="1"/>
      <c r="AA12" s="1"/>
      <c r="AB12" s="3"/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3"/>
      <c r="AO12" s="1"/>
      <c r="AP12" s="1"/>
      <c r="AQ12" s="1"/>
      <c r="AR12" s="1"/>
      <c r="AS12" s="1"/>
      <c r="AT12" s="3"/>
      <c r="AU12" s="1"/>
      <c r="AV12" s="1"/>
      <c r="AW12" s="1"/>
      <c r="AX12" s="1"/>
      <c r="AY12" s="1"/>
      <c r="AZ12" s="3"/>
      <c r="BA12" s="1"/>
      <c r="BB12" s="1"/>
      <c r="BC12" s="1"/>
      <c r="BD12" s="1"/>
      <c r="BE12" s="1"/>
      <c r="BF12" s="3"/>
      <c r="BG12" s="1"/>
      <c r="BH12" s="1"/>
      <c r="BI12" s="1"/>
      <c r="BJ12" s="1"/>
      <c r="BK12" s="1"/>
      <c r="BL12" s="3"/>
      <c r="BM12" s="1"/>
      <c r="BN12" s="1"/>
      <c r="BO12" s="1"/>
      <c r="BP12" s="1"/>
      <c r="BQ12" s="1"/>
      <c r="BR12" s="19"/>
      <c r="BS12" s="1"/>
      <c r="BT12" s="37"/>
      <c r="BU12" s="1"/>
      <c r="BV12" s="1"/>
      <c r="BW12" s="1"/>
      <c r="BX12" s="1"/>
      <c r="BY12" s="39"/>
    </row>
    <row r="13" spans="1:77" s="40" customFormat="1" ht="15.75" thickBot="1" x14ac:dyDescent="0.3">
      <c r="A13" s="48"/>
      <c r="B13" s="49"/>
      <c r="C13" s="20"/>
      <c r="D13" s="20"/>
      <c r="E13" s="20"/>
      <c r="F13" s="20"/>
      <c r="G13" s="20"/>
      <c r="H13" s="20"/>
      <c r="I13" s="20"/>
      <c r="J13" s="48"/>
      <c r="K13" s="48"/>
      <c r="L13" s="48"/>
      <c r="M13" s="20"/>
      <c r="N13" s="20"/>
      <c r="O13" s="48"/>
      <c r="P13" s="48"/>
      <c r="Q13" s="20"/>
      <c r="R13" s="20"/>
      <c r="S13" s="20"/>
      <c r="T13" s="20"/>
      <c r="U13" s="20"/>
      <c r="V13" s="48"/>
      <c r="W13" s="20"/>
      <c r="X13" s="20"/>
      <c r="Y13" s="20"/>
      <c r="Z13" s="20"/>
      <c r="AA13" s="20"/>
      <c r="AB13" s="48"/>
      <c r="AC13" s="20"/>
      <c r="AD13" s="20"/>
      <c r="AE13" s="20"/>
      <c r="AF13" s="20"/>
      <c r="AG13" s="20"/>
      <c r="AH13" s="48"/>
      <c r="AI13" s="20"/>
      <c r="AJ13" s="20"/>
      <c r="AK13" s="20"/>
      <c r="AL13" s="20"/>
      <c r="AM13" s="20"/>
      <c r="AN13" s="48"/>
      <c r="AO13" s="20"/>
      <c r="AP13" s="20"/>
      <c r="AQ13" s="20"/>
      <c r="AR13" s="20"/>
      <c r="AS13" s="20"/>
      <c r="AT13" s="48"/>
      <c r="AU13" s="20"/>
      <c r="AV13" s="20"/>
      <c r="AW13" s="20"/>
      <c r="AX13" s="20"/>
      <c r="AY13" s="20"/>
      <c r="AZ13" s="48"/>
      <c r="BA13" s="20"/>
      <c r="BB13" s="20"/>
      <c r="BC13" s="20"/>
      <c r="BD13" s="20"/>
      <c r="BE13" s="20"/>
      <c r="BF13" s="48"/>
      <c r="BG13" s="20"/>
      <c r="BH13" s="20"/>
      <c r="BI13" s="20"/>
      <c r="BJ13" s="20"/>
      <c r="BK13" s="20"/>
      <c r="BL13" s="48"/>
      <c r="BM13" s="20"/>
      <c r="BN13" s="20"/>
      <c r="BO13" s="20"/>
      <c r="BP13" s="20"/>
      <c r="BQ13" s="20"/>
      <c r="BR13" s="20"/>
      <c r="BS13" s="20"/>
      <c r="BT13" s="50"/>
      <c r="BU13" s="20"/>
      <c r="BV13" s="20"/>
      <c r="BW13" s="20"/>
      <c r="BX13" s="20"/>
      <c r="BY13" s="39"/>
    </row>
    <row r="14" spans="1:77" hidden="1" x14ac:dyDescent="0.25">
      <c r="H14" s="4" t="str">
        <f t="shared" ref="H14:L23" si="1">J2</f>
        <v>AG</v>
      </c>
      <c r="I14" s="4">
        <f t="shared" si="1"/>
        <v>1500</v>
      </c>
      <c r="J14" s="4">
        <f t="shared" si="1"/>
        <v>8</v>
      </c>
      <c r="K14" s="4" t="str">
        <f t="shared" si="1"/>
        <v>Y</v>
      </c>
      <c r="L14" s="4" t="str">
        <f t="shared" si="1"/>
        <v>3L</v>
      </c>
      <c r="O14" s="28" t="str">
        <f>J2</f>
        <v>AG</v>
      </c>
      <c r="P14" s="4" t="str">
        <f t="shared" ref="P14:R23" si="2">N2</f>
        <v>3L</v>
      </c>
      <c r="Q14" s="4">
        <f t="shared" si="2"/>
        <v>3.5</v>
      </c>
      <c r="R14" s="4" t="str">
        <f t="shared" si="2"/>
        <v>AG</v>
      </c>
      <c r="S14" s="4" t="str">
        <f t="shared" ref="S14:U23" si="3">T2</f>
        <v>3L</v>
      </c>
      <c r="T14" s="4">
        <f t="shared" si="3"/>
        <v>3.5</v>
      </c>
      <c r="U14" s="4" t="str">
        <f t="shared" si="3"/>
        <v>AG</v>
      </c>
      <c r="V14" s="4" t="str">
        <f t="shared" ref="V14:X23" si="4">Z2</f>
        <v>3L</v>
      </c>
      <c r="W14" s="4">
        <f t="shared" si="4"/>
        <v>3.5</v>
      </c>
      <c r="X14" s="4" t="str">
        <f t="shared" si="4"/>
        <v>AG</v>
      </c>
      <c r="Y14" s="4" t="str">
        <f t="shared" ref="Y14:AA23" si="5">AF2</f>
        <v>3L</v>
      </c>
      <c r="Z14" s="4">
        <f t="shared" si="5"/>
        <v>3.5</v>
      </c>
      <c r="AA14" s="4">
        <f t="shared" si="5"/>
        <v>0</v>
      </c>
      <c r="AB14" s="4">
        <f t="shared" ref="AB14:AD23" si="6">AL2</f>
        <v>0</v>
      </c>
      <c r="AC14" s="4">
        <f t="shared" si="6"/>
        <v>0</v>
      </c>
      <c r="AD14" s="4">
        <f t="shared" si="6"/>
        <v>0</v>
      </c>
      <c r="AE14" s="4">
        <f t="shared" ref="AE14:AG23" si="7">AR2</f>
        <v>0</v>
      </c>
      <c r="AF14" s="4">
        <f t="shared" si="7"/>
        <v>0</v>
      </c>
      <c r="AG14" s="4">
        <f t="shared" si="7"/>
        <v>0</v>
      </c>
      <c r="AH14" s="4">
        <f t="shared" ref="AH14:AJ23" si="8">AX2</f>
        <v>0</v>
      </c>
      <c r="AI14" s="4">
        <f t="shared" si="8"/>
        <v>0</v>
      </c>
      <c r="AJ14" s="4">
        <f t="shared" si="8"/>
        <v>0</v>
      </c>
      <c r="AK14" s="4">
        <f t="shared" ref="AK14:AM23" si="9">BD2</f>
        <v>0</v>
      </c>
      <c r="AL14" s="4">
        <f t="shared" si="9"/>
        <v>0</v>
      </c>
      <c r="AM14" s="4">
        <f t="shared" si="9"/>
        <v>0</v>
      </c>
      <c r="AN14" s="4">
        <f t="shared" ref="AN14:AP23" si="10">BJ2</f>
        <v>0</v>
      </c>
      <c r="AO14" s="4">
        <f t="shared" si="10"/>
        <v>0</v>
      </c>
      <c r="AP14" s="4">
        <f t="shared" si="10"/>
        <v>0</v>
      </c>
      <c r="AQ14" s="4">
        <f t="shared" ref="AQ14:AR23" si="11">BP2</f>
        <v>0</v>
      </c>
      <c r="AR14" s="4">
        <f t="shared" si="11"/>
        <v>0</v>
      </c>
      <c r="AT14" s="28">
        <v>1</v>
      </c>
      <c r="AU14" s="29">
        <f>IF($P$14="3L",$Q$14,IF($S$14="3L",$T$14,IF($V$14="3L",$W$14,IF($Y$14="3L",$Z$14,IF($AB$14="3L",$AC$14,IF($AE$14="3L",$AF$14,IF($AH$14="3L",$AI$14,IF($AK$14="3L",$AL$14,IF($AN$14="3L",$AO$14,IF($AQ$14="3L",$AR$14,""))))))))))</f>
        <v>3.5</v>
      </c>
      <c r="AV14" s="29" t="str">
        <f>IF($P$14="4L",$Q$14,IF($S$14="4L",$T$14,IF($V$14="4L",$W$14,IF($Y$14="4L",$Z$14,IF($AB$14="4L",$AC$14,IF($AE$14="4L",$AF$14,IF($AH$14="4L",$AI$14,IF($AK$14="4L",$AL$14,IF($AN$14="4L",$AO$14,IF($AQ$14="4L",$AR$14,""))))))))))</f>
        <v/>
      </c>
      <c r="AW14" s="29" t="str">
        <f>IF($P$14="5L",$Q$14,IF($S$14="5L",$T$14,IF($V$14="5L",$W$14,IF($Y$14="5L",$Z$14,IF($AB$14="5L",$AC$14,IF($AE$14="5L",$AF$14,IF($AH$14="5L",$AI$14,IF($AK$14="5L",$AL$14,IF($AN$14="5L",$AO$14,IF($AQ$14="5L",$AR$14,""))))))))))</f>
        <v/>
      </c>
      <c r="AX14" s="29" t="str">
        <f>IF($P$14="6L",$Q$14,IF($S$14="6L",$T$14,IF($V$14="6L",$W$14,IF($Y$14="6L",$Z$14,IF($AB$14="6L",$AC$14,IF($AE$14="6L",$AF$14,IF($AH$14="6L",$AI$14,IF($AK$14="6L",$AL$14,IF($AN$14="6L",$AO$14,IF($AQ$14="6L",$AR$14,""))))))))))</f>
        <v/>
      </c>
      <c r="AY14" s="29" t="str">
        <f>IF($P$14="7L",$Q$14,IF($S$14="7L",$T$14,IF($V$14="7L",$W$14,IF($Y$14="7L",$Z$14,IF($AB$14="7L",$AC$14,IF($AE$14="7L",$AF$14,IF($AH$14="7L",$AI$14,IF($AK$14="7L",$AL$14,IF($AN$14="7L",$AO$14,IF($AQ$14="7L",$AR$14,""))))))))))</f>
        <v/>
      </c>
      <c r="AZ14" s="29" t="str">
        <f t="shared" ref="AZ14:AZ23" si="12">IF($O$14="LOFT",$Q$14,IF($R$14="LOFT",$T$14,IF($U$14="LOFT",$W$14,IF($X$14="LOFT",$Z$14,IF($AA$14="LOFT",$AC$14,IF($AD$14="LOFT",$AF$14,IF($AG$14="LOFT",$AI$14,IF($AJ$14="LOFT",$AL$14,IF($AM$14="LOFT",$AO$14,IF($AP$14="LOFT",$AR$14,""))))))))))</f>
        <v/>
      </c>
      <c r="BA14" s="29" t="str">
        <f t="shared" ref="BA14:BA23" si="13">IF($O$14="UT",$Q$14,IF($R$14="UT",$T$14,IF($U$14="UT",$W$14,IF($X$14="UT",$Z$14,IF($AA$14="UT",$AC$14,IF($AD$14="UT",$AF$14,IF($AG$14="UT",$AI$14,IF($AJ$14="UT",$AL$14,IF($AM$14="UT",$AO$14,IF($AP$14="UT",$AR$14,""))))))))))</f>
        <v/>
      </c>
      <c r="BB14" s="29" t="str">
        <f t="shared" ref="BB14:BB23" si="14">IF($O$14="HT",$Q$14,IF($R$14="HT",$T$14,IF($U$14="HT",$W$14,IF($X$14="HT",$Z$14,IF($AA$14="HT",$AC$14,IF($AD$14="HT",$AF$14,IF($AG$14="HT",$AI$14,IF($AJ$14="HT",$AL$14,IF($AM$14="HT",$AO$14,IF($AP$14="HT",$AR$14,""))))))))))</f>
        <v/>
      </c>
      <c r="BC14" s="29" t="str">
        <f t="shared" ref="BC14:BC23" si="15">IF($O$14="PURE",$Q$14,IF($R$14="PURE",$T$14,IF($U$14="PURE",$W$14,IF($X$14="PURE",$Z$14,IF($AA$14="PURE",$AC$14,IF($AD$14="PURE",$AF$14,IF($AG$14="PURE",$AI$14,IF($AJ$14="PURE",$AL$14,IF($AM$14="PURE",$AO$14,IF($AP$14="PURE",$AR$14,""))))))))))</f>
        <v/>
      </c>
      <c r="BD14" s="29" t="str">
        <f>IF($P$14="FUM",$Q$14,IF($S$14="FUM",$T$14,IF($V$14="FUM",$W$14,IF($Y$14="FUM",$Z$14,IF($AB$14="FUM",$AC$14,IF($AE$14="FUM",$AF$14,IF($AH$14="FUM",$AI$14,IF($AK$14="FUM",$AL$14,IF($AN$14="FUM",$AO$14,IF($AQ$14="FUM",$AR$14,""))))))))))</f>
        <v/>
      </c>
    </row>
    <row r="15" spans="1:77" hidden="1" x14ac:dyDescent="0.25">
      <c r="H15" s="4">
        <f t="shared" si="1"/>
        <v>0</v>
      </c>
      <c r="I15" s="4">
        <f t="shared" si="1"/>
        <v>0</v>
      </c>
      <c r="J15" s="4">
        <f t="shared" si="1"/>
        <v>0</v>
      </c>
      <c r="K15" s="4">
        <f t="shared" si="1"/>
        <v>0</v>
      </c>
      <c r="L15" s="4">
        <f t="shared" si="1"/>
        <v>0</v>
      </c>
      <c r="O15" s="28">
        <f t="shared" ref="O15:O23" si="16">J3</f>
        <v>0</v>
      </c>
      <c r="P15" s="4">
        <f t="shared" si="2"/>
        <v>0</v>
      </c>
      <c r="Q15" s="4">
        <f t="shared" si="2"/>
        <v>0</v>
      </c>
      <c r="R15" s="4">
        <f t="shared" si="2"/>
        <v>0</v>
      </c>
      <c r="S15" s="4">
        <f t="shared" si="3"/>
        <v>0</v>
      </c>
      <c r="T15" s="4">
        <f t="shared" si="3"/>
        <v>0</v>
      </c>
      <c r="U15" s="4">
        <f t="shared" si="3"/>
        <v>0</v>
      </c>
      <c r="V15" s="4">
        <f t="shared" si="4"/>
        <v>0</v>
      </c>
      <c r="W15" s="4">
        <f t="shared" si="4"/>
        <v>0</v>
      </c>
      <c r="X15" s="4">
        <f t="shared" si="4"/>
        <v>0</v>
      </c>
      <c r="Y15" s="4">
        <f t="shared" si="5"/>
        <v>0</v>
      </c>
      <c r="Z15" s="4">
        <f t="shared" si="5"/>
        <v>0</v>
      </c>
      <c r="AA15" s="4">
        <f t="shared" si="5"/>
        <v>0</v>
      </c>
      <c r="AB15" s="4">
        <f t="shared" si="6"/>
        <v>0</v>
      </c>
      <c r="AC15" s="4">
        <f t="shared" si="6"/>
        <v>0</v>
      </c>
      <c r="AD15" s="4">
        <f t="shared" si="6"/>
        <v>0</v>
      </c>
      <c r="AE15" s="4">
        <f t="shared" si="7"/>
        <v>0</v>
      </c>
      <c r="AF15" s="4">
        <f t="shared" si="7"/>
        <v>0</v>
      </c>
      <c r="AG15" s="4">
        <f t="shared" si="7"/>
        <v>0</v>
      </c>
      <c r="AH15" s="4">
        <f t="shared" si="8"/>
        <v>0</v>
      </c>
      <c r="AI15" s="4">
        <f t="shared" si="8"/>
        <v>0</v>
      </c>
      <c r="AJ15" s="4">
        <f t="shared" si="8"/>
        <v>0</v>
      </c>
      <c r="AK15" s="4">
        <f t="shared" si="9"/>
        <v>0</v>
      </c>
      <c r="AL15" s="4">
        <f t="shared" si="9"/>
        <v>0</v>
      </c>
      <c r="AM15" s="4">
        <f t="shared" si="9"/>
        <v>0</v>
      </c>
      <c r="AN15" s="4">
        <f t="shared" si="10"/>
        <v>0</v>
      </c>
      <c r="AO15" s="4">
        <f t="shared" si="10"/>
        <v>0</v>
      </c>
      <c r="AP15" s="4">
        <f t="shared" si="10"/>
        <v>0</v>
      </c>
      <c r="AQ15" s="4">
        <f t="shared" si="11"/>
        <v>0</v>
      </c>
      <c r="AR15" s="4">
        <f t="shared" si="11"/>
        <v>0</v>
      </c>
      <c r="AT15" s="28">
        <v>2</v>
      </c>
      <c r="AU15" s="29" t="str">
        <f>IF($P$15="3L",$Q$15,IF($S$15="3L",$T$15,IF($V$15="3L",$W$15,IF($Y$15="3L",$Z$15,IF($AB$15="3L",$AC$15,IF($AE$15="3L",$AF$15,IF($AH$15="3L",$AI$15,IF($AK$15="3L",$AL$15,IF($AN$15="3L",$AO$15,IF($AQ$15="3L",$AR$15,""))))))))))</f>
        <v/>
      </c>
      <c r="AV15" s="29" t="str">
        <f>IF($P$15="4L",$Q$15,IF($S$15="4L",$T$15,IF($V$15="4L",$W$15,IF($Y$15="4L",$Z$15,IF($AB$15="4L",$AC$15,IF($AE$15="4L",$AF$15,IF($AH$15="4L",$AI$15,IF($AK$15="4L",$AL$15,IF($AN$15="4L",$AO$15,IF($AQ$15="4L",$AR$15,""))))))))))</f>
        <v/>
      </c>
      <c r="AW15" s="29" t="str">
        <f>IF($P$15="5L",$Q$15,IF($S$15="5L",$T$15,IF($V$15="5L",$W$15,IF($Y$15="5L",$Z$15,IF($AB$15="5L",$AC$15,IF($AE$15="5L",$AF$15,IF($AH$15="5L",$AI$15,IF($AK$15="5L",$AL$15,IF($AN$15="5L",$AO$15,IF($AQ$15="5L",$AR$15,""))))))))))</f>
        <v/>
      </c>
      <c r="AX15" s="29" t="str">
        <f>IF($P$15="6L",$Q$15,IF($S$15="6L",$T$15,IF($V$15="6L",$W$15,IF($Y$15="6L",$Z$15,IF($AB$15="6L",$AC$15,IF($AE$15="6L",$AF$15,IF($AH$15="6L",$AI$15,IF($AK$15="6L",$AL$15,IF($AN$15="6L",$AO$15,IF($AQ$15="6L",$AR$15,""))))))))))</f>
        <v/>
      </c>
      <c r="AY15" s="29" t="str">
        <f>IF($P$15="7L",$Q$15,IF($S$15="7L",$T$15,IF($V$15="7L",$W$15,IF($Y$15="7L",$Z$15,IF($AB$15="7L",$AC$15,IF($AE$15="7L",$AF$15,IF($AH$15="7L",$AI$15,IF($AK$15="7L",$AL$15,IF($AN$15="7L",$AO$15,IF($AQ$15="7L",$AR$15,""))))))))))</f>
        <v/>
      </c>
      <c r="AZ15" s="29" t="str">
        <f t="shared" si="12"/>
        <v/>
      </c>
      <c r="BA15" s="29" t="str">
        <f t="shared" si="13"/>
        <v/>
      </c>
      <c r="BB15" s="29" t="str">
        <f t="shared" si="14"/>
        <v/>
      </c>
      <c r="BC15" s="29" t="str">
        <f t="shared" si="15"/>
        <v/>
      </c>
      <c r="BD15" s="29" t="str">
        <f>IF($P$15="FUM",$Q$15,IF($S$15="FUM",$T$15,IF($V$15="FUM",$W$15,IF($Y$15="FUM",$Z$15,IF($AB$15="FUM",$AC$15,IF($AE$15="FUM",$AF$15,IF($AH$15="FUM",$AI$15,IF($AK$15="FUM",$AL$15,IF($AN$15="FUM",$AO$15,IF($AQ$15="FUM",$AR$15,""))))))))))</f>
        <v/>
      </c>
    </row>
    <row r="16" spans="1:77" hidden="1" x14ac:dyDescent="0.25">
      <c r="H16" s="4">
        <f t="shared" si="1"/>
        <v>0</v>
      </c>
      <c r="I16" s="4">
        <f t="shared" si="1"/>
        <v>0</v>
      </c>
      <c r="J16" s="4">
        <f t="shared" si="1"/>
        <v>0</v>
      </c>
      <c r="K16" s="4">
        <f t="shared" si="1"/>
        <v>0</v>
      </c>
      <c r="L16" s="4">
        <f t="shared" si="1"/>
        <v>0</v>
      </c>
      <c r="O16" s="28">
        <f t="shared" si="16"/>
        <v>0</v>
      </c>
      <c r="P16" s="4">
        <f t="shared" si="2"/>
        <v>0</v>
      </c>
      <c r="Q16" s="4">
        <f t="shared" si="2"/>
        <v>0</v>
      </c>
      <c r="R16" s="4">
        <f t="shared" si="2"/>
        <v>0</v>
      </c>
      <c r="S16" s="4">
        <f t="shared" si="3"/>
        <v>0</v>
      </c>
      <c r="T16" s="4">
        <f t="shared" si="3"/>
        <v>0</v>
      </c>
      <c r="U16" s="4">
        <f t="shared" si="3"/>
        <v>0</v>
      </c>
      <c r="V16" s="4">
        <f t="shared" si="4"/>
        <v>0</v>
      </c>
      <c r="W16" s="4">
        <f t="shared" si="4"/>
        <v>0</v>
      </c>
      <c r="X16" s="4">
        <f t="shared" si="4"/>
        <v>0</v>
      </c>
      <c r="Y16" s="4">
        <f t="shared" si="5"/>
        <v>0</v>
      </c>
      <c r="Z16" s="4">
        <f t="shared" si="5"/>
        <v>0</v>
      </c>
      <c r="AA16" s="4">
        <f t="shared" si="5"/>
        <v>0</v>
      </c>
      <c r="AB16" s="4">
        <f t="shared" si="6"/>
        <v>0</v>
      </c>
      <c r="AC16" s="4">
        <f t="shared" si="6"/>
        <v>0</v>
      </c>
      <c r="AD16" s="4">
        <f t="shared" si="6"/>
        <v>0</v>
      </c>
      <c r="AE16" s="4">
        <f t="shared" si="7"/>
        <v>0</v>
      </c>
      <c r="AF16" s="4">
        <f t="shared" si="7"/>
        <v>0</v>
      </c>
      <c r="AG16" s="4">
        <f t="shared" si="7"/>
        <v>0</v>
      </c>
      <c r="AH16" s="4">
        <f t="shared" si="8"/>
        <v>0</v>
      </c>
      <c r="AI16" s="4">
        <f t="shared" si="8"/>
        <v>0</v>
      </c>
      <c r="AJ16" s="4">
        <f t="shared" si="8"/>
        <v>0</v>
      </c>
      <c r="AK16" s="4">
        <f t="shared" si="9"/>
        <v>0</v>
      </c>
      <c r="AL16" s="4">
        <f t="shared" si="9"/>
        <v>0</v>
      </c>
      <c r="AM16" s="4">
        <f t="shared" si="9"/>
        <v>0</v>
      </c>
      <c r="AN16" s="4">
        <f t="shared" si="10"/>
        <v>0</v>
      </c>
      <c r="AO16" s="4">
        <f t="shared" si="10"/>
        <v>0</v>
      </c>
      <c r="AP16" s="4">
        <f t="shared" si="10"/>
        <v>0</v>
      </c>
      <c r="AQ16" s="4">
        <f t="shared" si="11"/>
        <v>0</v>
      </c>
      <c r="AR16" s="4">
        <f t="shared" si="11"/>
        <v>0</v>
      </c>
      <c r="AT16" s="28">
        <v>3</v>
      </c>
      <c r="AU16" s="29" t="str">
        <f>IF($P$16="3L",$Q$16,IF($S$16="3L",$T$16,IF($V$16="3L",$W$16,IF($Y$16="3L",$Z$16,IF($AB$16="3L",$AC$16,IF($AE$16="3L",$AF$16,IF($AH$16="3L",$AI$16,IF($AK$16="3L",$AL$16,IF($AN$16="3L",$AO$16,IF($AQ$16="3L",$AR$16,""))))))))))</f>
        <v/>
      </c>
      <c r="AV16" s="29" t="str">
        <f>IF($P$16="4L",$Q$16,IF($S$16="4L",$T$16,IF($V$16="4L",$W$16,IF($Y$16="4L",$Z$16,IF($AB$16="4L",$AC$16,IF($AE$16="4L",$AF$16,IF($AH$16="4L",$AI$16,IF($AK$16="4L",$AL$16,IF($AN$16="4L",$AO$16,IF($AQ$16="4L",$AR$16,""))))))))))</f>
        <v/>
      </c>
      <c r="AW16" s="29" t="str">
        <f>IF($P$16="5L",$Q$16,IF($S$16="5L",$T$16,IF($V$16="5L",$W$16,IF($Y$16="5L",$Z$16,IF($AB$16="5L",$AC$16,IF($AE$16="5L",$AF$16,IF($AH$16="5L",$AI$16,IF($AK$16="5L",$AL$16,IF($AN$16="5L",$AO$16,IF($AQ$16="5L",$AR$16,""))))))))))</f>
        <v/>
      </c>
      <c r="AX16" s="29" t="str">
        <f>IF($P$16="6L",$Q$16,IF($S$16="6L",$T$16,IF($V$16="6L",$W$16,IF($Y$16="6L",$Z$16,IF($AB$16="6L",$AC$16,IF($AE$16="6L",$AF$16,IF($AH$16="6L",$AI$16,IF($AK$16="6L",$AL$16,IF($AN$16="6L",$AO$16,IF($AQ$16="6L",$AR$16,""))))))))))</f>
        <v/>
      </c>
      <c r="AY16" s="29" t="str">
        <f>IF($P$16="7L",$Q$16,IF($S$16="7L",$T$16,IF($V$16="7L",$W$16,IF($Y$16="7L",$Z$16,IF($AB$16="7L",$AC$16,IF($AE$16="7L",$AF$16,IF($AH$16="7L",$AI$16,IF($AK$16="7L",$AL$16,IF($AN$16="7L",$AO$16,IF($AQ$16="7L",$AR$16,""))))))))))</f>
        <v/>
      </c>
      <c r="AZ16" s="29" t="str">
        <f t="shared" si="12"/>
        <v/>
      </c>
      <c r="BA16" s="29" t="str">
        <f t="shared" si="13"/>
        <v/>
      </c>
      <c r="BB16" s="29" t="str">
        <f t="shared" si="14"/>
        <v/>
      </c>
      <c r="BC16" s="29" t="str">
        <f t="shared" si="15"/>
        <v/>
      </c>
      <c r="BD16" s="29" t="str">
        <f>IF($P$16="FUM",$Q$16,IF($S$16="FUM",$T$16,IF($V$16="FUM",$W$16,IF($Y$16="FUM",$Z$16,IF($AB$16="FUM",$AC$16,IF($AE$16="FUM",$AF$16,IF($AH$16="FUM",$AI$16,IF($AK$16="FUM",$AL$16,IF($AN$16="FUM",$AO$16,IF($AQ$16="FUM",$AR$16,""))))))))))</f>
        <v/>
      </c>
    </row>
    <row r="17" spans="8:56" hidden="1" x14ac:dyDescent="0.25">
      <c r="H17" s="4">
        <f t="shared" si="1"/>
        <v>0</v>
      </c>
      <c r="I17" s="4">
        <f t="shared" si="1"/>
        <v>0</v>
      </c>
      <c r="J17" s="4">
        <f t="shared" si="1"/>
        <v>0</v>
      </c>
      <c r="K17" s="4">
        <f t="shared" si="1"/>
        <v>0</v>
      </c>
      <c r="L17" s="4">
        <f t="shared" si="1"/>
        <v>0</v>
      </c>
      <c r="O17" s="28">
        <f t="shared" si="16"/>
        <v>0</v>
      </c>
      <c r="P17" s="4">
        <f t="shared" si="2"/>
        <v>0</v>
      </c>
      <c r="Q17" s="4">
        <f t="shared" si="2"/>
        <v>0</v>
      </c>
      <c r="R17" s="4">
        <f t="shared" si="2"/>
        <v>0</v>
      </c>
      <c r="S17" s="4">
        <f t="shared" si="3"/>
        <v>0</v>
      </c>
      <c r="T17" s="4">
        <f t="shared" si="3"/>
        <v>0</v>
      </c>
      <c r="U17" s="4">
        <f t="shared" si="3"/>
        <v>0</v>
      </c>
      <c r="V17" s="4">
        <f t="shared" si="4"/>
        <v>0</v>
      </c>
      <c r="W17" s="4">
        <f t="shared" si="4"/>
        <v>0</v>
      </c>
      <c r="X17" s="4">
        <f t="shared" si="4"/>
        <v>0</v>
      </c>
      <c r="Y17" s="4">
        <f t="shared" si="5"/>
        <v>0</v>
      </c>
      <c r="Z17" s="4">
        <f t="shared" si="5"/>
        <v>0</v>
      </c>
      <c r="AA17" s="4">
        <f t="shared" si="5"/>
        <v>0</v>
      </c>
      <c r="AB17" s="4">
        <f t="shared" si="6"/>
        <v>0</v>
      </c>
      <c r="AC17" s="4">
        <f t="shared" si="6"/>
        <v>0</v>
      </c>
      <c r="AD17" s="4">
        <f t="shared" si="6"/>
        <v>0</v>
      </c>
      <c r="AE17" s="4">
        <f t="shared" si="7"/>
        <v>0</v>
      </c>
      <c r="AF17" s="4">
        <f t="shared" si="7"/>
        <v>0</v>
      </c>
      <c r="AG17" s="4">
        <f t="shared" si="7"/>
        <v>0</v>
      </c>
      <c r="AH17" s="4">
        <f t="shared" si="8"/>
        <v>0</v>
      </c>
      <c r="AI17" s="4">
        <f t="shared" si="8"/>
        <v>0</v>
      </c>
      <c r="AJ17" s="4">
        <f t="shared" si="8"/>
        <v>0</v>
      </c>
      <c r="AK17" s="4">
        <f t="shared" si="9"/>
        <v>0</v>
      </c>
      <c r="AL17" s="4">
        <f t="shared" si="9"/>
        <v>0</v>
      </c>
      <c r="AM17" s="4">
        <f t="shared" si="9"/>
        <v>0</v>
      </c>
      <c r="AN17" s="4">
        <f t="shared" si="10"/>
        <v>0</v>
      </c>
      <c r="AO17" s="4">
        <f t="shared" si="10"/>
        <v>0</v>
      </c>
      <c r="AP17" s="4">
        <f t="shared" si="10"/>
        <v>0</v>
      </c>
      <c r="AQ17" s="4">
        <f t="shared" si="11"/>
        <v>0</v>
      </c>
      <c r="AR17" s="4">
        <f t="shared" si="11"/>
        <v>0</v>
      </c>
      <c r="AT17" s="28">
        <v>4</v>
      </c>
      <c r="AU17" s="29" t="str">
        <f>IF($P$17="3L",$Q$17,IF($S$17="3L",$T$17,IF($V$17="3L",$W$17,IF($Y$17="3L",$Z$17,IF($AB$17="3L",$AC$17,IF($AE$17="3L",$AF$17,IF($AH$17="3L",$AI$17,IF($AK$17="3L",$AL$17,IF($AN$17="3L",$AO$17,IF($AQ$17="3L",$AR$17,""))))))))))</f>
        <v/>
      </c>
      <c r="AV17" s="29" t="str">
        <f>IF($P$17="4L",$Q$17,IF($S$17="4L",$T$17,IF($V$17="4L",$W$17,IF($Y$17="4L",$Z$17,IF($AB$17="4L",$AC$17,IF($AE$17="4L",$AF$17,IF($AH$17="4L",$AI$17,IF($AK$17="4L",$AL$17,IF($AN$17="4L",$AO$17,IF($AQ$17="4L",$AR$17,""))))))))))</f>
        <v/>
      </c>
      <c r="AW17" s="29" t="str">
        <f>IF($P$17="5L",$Q$17,IF($S$17="5L",$T$17,IF($V$17="5L",$W$17,IF($Y$17="5L",$Z$17,IF($AB$17="5L",$AC$17,IF($AE$17="5L",$AF$17,IF($AH$17="5L",$AI$17,IF($AK$17="5L",$AL$17,IF($AN$17="5L",$AO$17,IF($AQ$17="5L",$AR$17,""))))))))))</f>
        <v/>
      </c>
      <c r="AX17" s="29" t="str">
        <f>IF($P$17="6L",$Q$17,IF($S$17="6L",$T$17,IF($V$17="6L",$W$17,IF($Y$17="6L",$Z$17,IF($AB$17="6L",$AC$17,IF($AE$17="6L",$AF$17,IF($AH$17="6L",$AI$17,IF($AK$17="6L",$AL$17,IF($AN$17="6L",$AO$17,IF($AQ$17="6L",$AR$17,""))))))))))</f>
        <v/>
      </c>
      <c r="AY17" s="29" t="str">
        <f>IF($P$17="7L",$Q$17,IF($S$17="7L",$T$17,IF($V$17="7L",$W$17,IF($Y$17="7L",$Z$17,IF($AB$17="7L",$AC$17,IF($AE$17="7L",$AF$17,IF($AH$17="7L",$AI$17,IF($AK$17="7L",$AL$17,IF($AN$17="7L",$AO$17,IF($AQ$17="7L",$AR$17,""))))))))))</f>
        <v/>
      </c>
      <c r="AZ17" s="29" t="str">
        <f t="shared" si="12"/>
        <v/>
      </c>
      <c r="BA17" s="29" t="str">
        <f t="shared" si="13"/>
        <v/>
      </c>
      <c r="BB17" s="29" t="str">
        <f t="shared" si="14"/>
        <v/>
      </c>
      <c r="BC17" s="29" t="str">
        <f t="shared" si="15"/>
        <v/>
      </c>
      <c r="BD17" s="29" t="str">
        <f>IF($P$17="FUM",$Q$17,IF($S$17="FUM",$T$17,IF($V$17="FUM",$W$17,IF($Y$17="FUM",$Z$17,IF($AB$17="FUM",$AC$17,IF($AE$17="FUM",$AF$17,IF($AH$17="FUM",$AI$17,IF($AK$17="FUM",$AL$17,IF($AN$17="FUM",$AO$17,IF($AQ$17="FUM",$AR$17,""))))))))))</f>
        <v/>
      </c>
    </row>
    <row r="18" spans="8:56" hidden="1" x14ac:dyDescent="0.25">
      <c r="H18" s="4">
        <f t="shared" si="1"/>
        <v>0</v>
      </c>
      <c r="I18" s="4">
        <f t="shared" si="1"/>
        <v>0</v>
      </c>
      <c r="J18" s="4">
        <f t="shared" si="1"/>
        <v>0</v>
      </c>
      <c r="K18" s="4">
        <f t="shared" si="1"/>
        <v>0</v>
      </c>
      <c r="L18" s="4">
        <f t="shared" si="1"/>
        <v>0</v>
      </c>
      <c r="O18" s="28">
        <f t="shared" si="16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3"/>
        <v>0</v>
      </c>
      <c r="T18" s="4">
        <f t="shared" si="3"/>
        <v>0</v>
      </c>
      <c r="U18" s="4">
        <f t="shared" si="3"/>
        <v>0</v>
      </c>
      <c r="V18" s="4">
        <f t="shared" si="4"/>
        <v>0</v>
      </c>
      <c r="W18" s="4">
        <f t="shared" si="4"/>
        <v>0</v>
      </c>
      <c r="X18" s="4">
        <f t="shared" si="4"/>
        <v>0</v>
      </c>
      <c r="Y18" s="4">
        <f t="shared" si="5"/>
        <v>0</v>
      </c>
      <c r="Z18" s="4">
        <f t="shared" si="5"/>
        <v>0</v>
      </c>
      <c r="AA18" s="4">
        <f t="shared" si="5"/>
        <v>0</v>
      </c>
      <c r="AB18" s="4">
        <f t="shared" si="6"/>
        <v>0</v>
      </c>
      <c r="AC18" s="4">
        <f t="shared" si="6"/>
        <v>0</v>
      </c>
      <c r="AD18" s="4">
        <f t="shared" si="6"/>
        <v>0</v>
      </c>
      <c r="AE18" s="4">
        <f t="shared" si="7"/>
        <v>0</v>
      </c>
      <c r="AF18" s="4">
        <f t="shared" si="7"/>
        <v>0</v>
      </c>
      <c r="AG18" s="4">
        <f t="shared" si="7"/>
        <v>0</v>
      </c>
      <c r="AH18" s="4">
        <f t="shared" si="8"/>
        <v>0</v>
      </c>
      <c r="AI18" s="4">
        <f t="shared" si="8"/>
        <v>0</v>
      </c>
      <c r="AJ18" s="4">
        <f t="shared" si="8"/>
        <v>0</v>
      </c>
      <c r="AK18" s="4">
        <f t="shared" si="9"/>
        <v>0</v>
      </c>
      <c r="AL18" s="4">
        <f t="shared" si="9"/>
        <v>0</v>
      </c>
      <c r="AM18" s="4">
        <f t="shared" si="9"/>
        <v>0</v>
      </c>
      <c r="AN18" s="4">
        <f t="shared" si="10"/>
        <v>0</v>
      </c>
      <c r="AO18" s="4">
        <f t="shared" si="10"/>
        <v>0</v>
      </c>
      <c r="AP18" s="4">
        <f t="shared" si="10"/>
        <v>0</v>
      </c>
      <c r="AQ18" s="4">
        <f t="shared" si="11"/>
        <v>0</v>
      </c>
      <c r="AR18" s="4">
        <f t="shared" si="11"/>
        <v>0</v>
      </c>
      <c r="AT18" s="28">
        <v>5</v>
      </c>
      <c r="AU18" s="29" t="str">
        <f>IF($P$18="3L",$Q$18,IF($S$18="3L",$T$18,IF($V$18="3L",$W$18,IF($Y$18="3L",$Z$18,IF($AB$18="3L",$AC$18,IF($AE$18="3L",$AF$18,IF($AH$18="3L",$AI$18,IF($AK$18="3L",$AL$18,IF($AN$18="3L",$AO$18,IF($AQ$18="3L",$AR$18,""))))))))))</f>
        <v/>
      </c>
      <c r="AV18" s="29" t="str">
        <f>IF($P$18="4L",$Q$18,IF($S$18="4L",$T$18,IF($V$18="4L",$W$18,IF($Y$18="4L",$Z$18,IF($AB$18="4L",$AC$18,IF($AE$18="4L",$AF$18,IF($AH$18="4L",$AI$18,IF($AK$18="4L",$AL$18,IF($AN$18="4L",$AO$18,IF($AQ$18="4L",$AR$18,""))))))))))</f>
        <v/>
      </c>
      <c r="AW18" s="29" t="str">
        <f>IF($P$18="5L",$Q$18,IF($S$18="5L",$T$18,IF($V$18="5L",$W$18,IF($Y$18="5L",$Z$18,IF($AB$18="5L",$AC$18,IF($AE$18="5L",$AF$18,IF($AH$18="5L",$AI$18,IF($AK$18="5L",$AL$18,IF($AN$18="5L",$AO$18,IF($AQ$18="5L",$AR$18,""))))))))))</f>
        <v/>
      </c>
      <c r="AX18" s="29" t="str">
        <f>IF($P$18="6L",$Q$18,IF($S$18="6L",$T$18,IF($V$18="6L",$W$18,IF($Y$18="6L",$Z$18,IF($AB$18="6L",$AC$18,IF($AE$18="6L",$AF$18,IF($AH$18="6L",$AI$18,IF($AK$18="6L",$AL$18,IF($AN$18="6L",$AO$18,IF($AQ$18="6L",$AR$18,""))))))))))</f>
        <v/>
      </c>
      <c r="AY18" s="29" t="str">
        <f>IF($P$18="7L",$Q$18,IF($S$18="7L",$T$18,IF($V$18="7L",$W$18,IF($Y$18="7L",$Z$18,IF($AB$18="7L",$AC$18,IF($AE$18="7L",$AF$18,IF($AH$18="7L",$AI$18,IF($AK$18="7L",$AL$18,IF($AN$18="7L",$AO$18,IF($AQ$18="7L",$AR$18,""))))))))))</f>
        <v/>
      </c>
      <c r="AZ18" s="29" t="str">
        <f t="shared" si="12"/>
        <v/>
      </c>
      <c r="BA18" s="29" t="str">
        <f t="shared" si="13"/>
        <v/>
      </c>
      <c r="BB18" s="29" t="str">
        <f t="shared" si="14"/>
        <v/>
      </c>
      <c r="BC18" s="29" t="str">
        <f t="shared" si="15"/>
        <v/>
      </c>
      <c r="BD18" s="29" t="str">
        <f>IF($P$18="FUM",$Q$18,IF($S$18="FUM",$T$18,IF($V$18="FUM",$W$18,IF($Y$18="FUM",$Z$18,IF($AB$18="FUM",$AC$18,IF($AE$18="FUM",$AF$18,IF($AH$18="FUM",$AI$18,IF($AK$18="FUM",$AL$18,IF($AN$18="FUM",$AO$18,IF($AQ$18="FUM",$AR$18,""))))))))))</f>
        <v/>
      </c>
    </row>
    <row r="19" spans="8:56" hidden="1" x14ac:dyDescent="0.25"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0</v>
      </c>
      <c r="L19" s="4">
        <f t="shared" si="1"/>
        <v>0</v>
      </c>
      <c r="O19" s="28">
        <f t="shared" si="16"/>
        <v>0</v>
      </c>
      <c r="P19" s="4">
        <f t="shared" si="2"/>
        <v>0</v>
      </c>
      <c r="Q19" s="4">
        <f t="shared" si="2"/>
        <v>0</v>
      </c>
      <c r="R19" s="4">
        <f t="shared" si="2"/>
        <v>0</v>
      </c>
      <c r="S19" s="4">
        <f t="shared" si="3"/>
        <v>0</v>
      </c>
      <c r="T19" s="4">
        <f t="shared" si="3"/>
        <v>0</v>
      </c>
      <c r="U19" s="4">
        <f t="shared" si="3"/>
        <v>0</v>
      </c>
      <c r="V19" s="4">
        <f t="shared" si="4"/>
        <v>0</v>
      </c>
      <c r="W19" s="4">
        <f t="shared" si="4"/>
        <v>0</v>
      </c>
      <c r="X19" s="4">
        <f t="shared" si="4"/>
        <v>0</v>
      </c>
      <c r="Y19" s="4">
        <f t="shared" si="5"/>
        <v>0</v>
      </c>
      <c r="Z19" s="4">
        <f t="shared" si="5"/>
        <v>0</v>
      </c>
      <c r="AA19" s="4">
        <f t="shared" si="5"/>
        <v>0</v>
      </c>
      <c r="AB19" s="4">
        <f t="shared" si="6"/>
        <v>0</v>
      </c>
      <c r="AC19" s="4">
        <f t="shared" si="6"/>
        <v>0</v>
      </c>
      <c r="AD19" s="4">
        <f t="shared" si="6"/>
        <v>0</v>
      </c>
      <c r="AE19" s="4">
        <f t="shared" si="7"/>
        <v>0</v>
      </c>
      <c r="AF19" s="4">
        <f t="shared" si="7"/>
        <v>0</v>
      </c>
      <c r="AG19" s="4">
        <f t="shared" si="7"/>
        <v>0</v>
      </c>
      <c r="AH19" s="4">
        <f t="shared" si="8"/>
        <v>0</v>
      </c>
      <c r="AI19" s="4">
        <f t="shared" si="8"/>
        <v>0</v>
      </c>
      <c r="AJ19" s="4">
        <f t="shared" si="8"/>
        <v>0</v>
      </c>
      <c r="AK19" s="4">
        <f t="shared" si="9"/>
        <v>0</v>
      </c>
      <c r="AL19" s="4">
        <f t="shared" si="9"/>
        <v>0</v>
      </c>
      <c r="AM19" s="4">
        <f t="shared" si="9"/>
        <v>0</v>
      </c>
      <c r="AN19" s="4">
        <f t="shared" si="10"/>
        <v>0</v>
      </c>
      <c r="AO19" s="4">
        <f t="shared" si="10"/>
        <v>0</v>
      </c>
      <c r="AP19" s="4">
        <f t="shared" si="10"/>
        <v>0</v>
      </c>
      <c r="AQ19" s="4">
        <f t="shared" si="11"/>
        <v>0</v>
      </c>
      <c r="AR19" s="4">
        <f t="shared" si="11"/>
        <v>0</v>
      </c>
      <c r="AT19" s="28">
        <v>6</v>
      </c>
      <c r="AU19" s="29" t="str">
        <f>IF($P$19="3L",$Q$19,IF($S$19="3L",$T$19,IF($V$19="3L",$W$19,IF($Y$19="3L",$Z$19,IF($AB$19="3L",$AC$19,IF($AE$19="3L",$AF$19,IF($AH$19="3L",$AI$19,IF($AK$19="3L",$AL$19,IF($AN$19="3L",$AO$19,IF($AQ$19="3L",$AR$19,""))))))))))</f>
        <v/>
      </c>
      <c r="AV19" s="29" t="str">
        <f>IF($P$19="4L",$Q$19,IF($S$19="4L",$T$19,IF($V$19="4L",$W$19,IF($Y$19="4L",$Z$19,IF($AB$19="4L",$AC$19,IF($AE$19="4L",$AF$19,IF($AH$19="4L",$AI$19,IF($AK$19="4L",$AL$19,IF($AN$19="4L",$AO$19,IF($AQ$19="4L",$AR$19,""))))))))))</f>
        <v/>
      </c>
      <c r="AW19" s="29" t="str">
        <f>IF($P$19="5L",$Q$19,IF($S$19="5L",$T$19,IF($V$19="5L",$W$19,IF($Y$19="5L",$Z$19,IF($AB$19="5L",$AC$19,IF($AE$19="5L",$AF$19,IF($AH$19="5L",$AI$19,IF($AK$19="5L",$AL$19,IF($AN$19="5L",$AO$19,IF($AQ$19="5L",$AR$19,""))))))))))</f>
        <v/>
      </c>
      <c r="AX19" s="29" t="str">
        <f>IF($P$19="6L",$Q$19,IF($S$19="6L",$T$19,IF($V$19="6L",$W$19,IF($Y$19="6L",$Z$19,IF($AB$19="6L",$AC$19,IF($AE$19="6L",$AF$19,IF($AH$19="6L",$AI$19,IF($AK$19="6L",$AL$19,IF($AN$19="6L",$AO$19,IF($AQ$19="6L",$AR$19,""))))))))))</f>
        <v/>
      </c>
      <c r="AY19" s="29" t="str">
        <f>IF($P$19="7L",$Q$19,IF($S$19="7L",$T$19,IF($V$19="7L",$W$19,IF($Y$19="7L",$Z$19,IF($AB$19="7L",$AC$19,IF($AE$19="7L",$AF$19,IF($AH$19="7L",$AI$19,IF($AK$19="7L",$AL$19,IF($AN$19="7L",$AO$19,IF($AQ$19="7L",$AR$19,""))))))))))</f>
        <v/>
      </c>
      <c r="AZ19" s="29" t="str">
        <f t="shared" si="12"/>
        <v/>
      </c>
      <c r="BA19" s="29" t="str">
        <f t="shared" si="13"/>
        <v/>
      </c>
      <c r="BB19" s="29" t="str">
        <f t="shared" si="14"/>
        <v/>
      </c>
      <c r="BC19" s="29" t="str">
        <f t="shared" si="15"/>
        <v/>
      </c>
      <c r="BD19" s="29" t="str">
        <f>IF($P$19="FUM",$Q$19,IF($S$19="FUM",$T$19,IF($V$19="FUM",$W$19,IF($Y$19="FUM",$Z$19,IF($AB$19="FUM",$AC$19,IF($AE$19="FUM",$AF$19,IF($AH$19="FUM",$AI$19,IF($AK$19="FUM",$AL$19,IF($AN$19="FUM",$AO$19,IF($AQ$19="FUM",$AR$19,""))))))))))</f>
        <v/>
      </c>
    </row>
    <row r="20" spans="8:56" hidden="1" x14ac:dyDescent="0.25"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0</v>
      </c>
      <c r="O20" s="28">
        <f t="shared" si="16"/>
        <v>0</v>
      </c>
      <c r="P20" s="4">
        <f t="shared" si="2"/>
        <v>0</v>
      </c>
      <c r="Q20" s="4">
        <f t="shared" si="2"/>
        <v>0</v>
      </c>
      <c r="R20" s="4">
        <f t="shared" si="2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4"/>
        <v>0</v>
      </c>
      <c r="W20" s="4">
        <f t="shared" si="4"/>
        <v>0</v>
      </c>
      <c r="X20" s="4">
        <f t="shared" si="4"/>
        <v>0</v>
      </c>
      <c r="Y20" s="4">
        <f t="shared" si="5"/>
        <v>0</v>
      </c>
      <c r="Z20" s="4">
        <f t="shared" si="5"/>
        <v>0</v>
      </c>
      <c r="AA20" s="4">
        <f t="shared" si="5"/>
        <v>0</v>
      </c>
      <c r="AB20" s="4">
        <f t="shared" si="6"/>
        <v>0</v>
      </c>
      <c r="AC20" s="4">
        <f t="shared" si="6"/>
        <v>0</v>
      </c>
      <c r="AD20" s="4">
        <f t="shared" si="6"/>
        <v>0</v>
      </c>
      <c r="AE20" s="4">
        <f t="shared" si="7"/>
        <v>0</v>
      </c>
      <c r="AF20" s="4">
        <f t="shared" si="7"/>
        <v>0</v>
      </c>
      <c r="AG20" s="4">
        <f t="shared" si="7"/>
        <v>0</v>
      </c>
      <c r="AH20" s="4">
        <f t="shared" si="8"/>
        <v>0</v>
      </c>
      <c r="AI20" s="4">
        <f t="shared" si="8"/>
        <v>0</v>
      </c>
      <c r="AJ20" s="4">
        <f t="shared" si="8"/>
        <v>0</v>
      </c>
      <c r="AK20" s="4">
        <f t="shared" si="9"/>
        <v>0</v>
      </c>
      <c r="AL20" s="4">
        <f t="shared" si="9"/>
        <v>0</v>
      </c>
      <c r="AM20" s="4">
        <f t="shared" si="9"/>
        <v>0</v>
      </c>
      <c r="AN20" s="4">
        <f t="shared" si="10"/>
        <v>0</v>
      </c>
      <c r="AO20" s="4">
        <f t="shared" si="10"/>
        <v>0</v>
      </c>
      <c r="AP20" s="4">
        <f t="shared" si="10"/>
        <v>0</v>
      </c>
      <c r="AQ20" s="4">
        <f t="shared" si="11"/>
        <v>0</v>
      </c>
      <c r="AR20" s="4">
        <f t="shared" si="11"/>
        <v>0</v>
      </c>
      <c r="AT20" s="28">
        <v>7</v>
      </c>
      <c r="AU20" s="29" t="str">
        <f>IF($P$20="3L",$Q$20,IF($S$20="3L",$T$20,IF($V$20="3L",$W$20,IF($Y$20="3L",$Z$20,IF($AB$20="3L",$AC$20,IF($AE$20="3L",$AF$20,IF($AH$20="3L",$AI$20,IF($AK$20="3L",$AL$20,IF($AN$20="3L",$AO$20,IF($AQ$20="3L",$AR$20,""))))))))))</f>
        <v/>
      </c>
      <c r="AV20" s="29" t="str">
        <f>IF($P$20="4L",$Q$20,IF($S$20="4L",$T$20,IF($V$20="4L",$W$20,IF($Y$20="4L",$Z$20,IF($AB$20="4L",$AC$20,IF($AE$20="4L",$AF$20,IF($AH$20="4L",$AI$20,IF($AK$20="4L",$AL$20,IF($AN$20="4L",$AO$20,IF($AQ$20="4L",$AR$20,""))))))))))</f>
        <v/>
      </c>
      <c r="AW20" s="29" t="str">
        <f>IF($P$20="5L",$Q$20,IF($S$20="5L",$T$20,IF($V$20="5L",$W$20,IF($Y$20="5L",$Z$20,IF($AB$20="5L",$AC$20,IF($AE$20="5L",$AF$20,IF($AH$20="5L",$AI$20,IF($AK$20="5L",$AL$20,IF($AN$20="5L",$AO$20,IF($AQ$20="5L",$AR$20,""))))))))))</f>
        <v/>
      </c>
      <c r="AX20" s="29" t="str">
        <f>IF($P$20="6L",$Q$20,IF($S$20="6L",$T$20,IF($V$20="6L",$W$20,IF($Y$20="6L",$Z$20,IF($AB$20="6L",$AC$20,IF($AE$20="6L",$AF$20,IF($AH$20="6L",$AI$20,IF($AK$20="6L",$AL$20,IF($AN$20="6L",$AO$20,IF($AQ$20="6L",$AR$20,""))))))))))</f>
        <v/>
      </c>
      <c r="AY20" s="29" t="str">
        <f>IF($P$20="7L",$Q$20,IF($S$20="7L",$T$20,IF($V$20="7L",$W$20,IF($Y$20="7L",$Z$20,IF($AB$20="7L",$AC$20,IF($AE$20="7L",$AF$20,IF($AH$20="7L",$AI$20,IF($AK$20="7L",$AL$20,IF($AN$20="7L",$AO$20,IF($AQ$20="7L",$AR$20,""))))))))))</f>
        <v/>
      </c>
      <c r="AZ20" s="29" t="str">
        <f t="shared" si="12"/>
        <v/>
      </c>
      <c r="BA20" s="29" t="str">
        <f t="shared" si="13"/>
        <v/>
      </c>
      <c r="BB20" s="29" t="str">
        <f t="shared" si="14"/>
        <v/>
      </c>
      <c r="BC20" s="29" t="str">
        <f t="shared" si="15"/>
        <v/>
      </c>
      <c r="BD20" s="29" t="str">
        <f>IF($P$20="FUM",$Q$20,IF($S$20="FUM",$T$20,IF($V$20="FUM",$W$20,IF($Y$20="FUM",$Z$20,IF($AB$20="FUM",$AC$20,IF($AE$20="FUM",$AF$20,IF($AH$20="FUM",$AI$20,IF($AK$20="FUM",$AL$20,IF($AN$20="FUM",$AO$20,IF($AQ$20="FUM",$AR$20,""))))))))))</f>
        <v/>
      </c>
    </row>
    <row r="21" spans="8:56" hidden="1" x14ac:dyDescent="0.25">
      <c r="H21" s="4">
        <f t="shared" si="1"/>
        <v>0</v>
      </c>
      <c r="I21" s="4">
        <f t="shared" si="1"/>
        <v>0</v>
      </c>
      <c r="J21" s="4">
        <f t="shared" si="1"/>
        <v>0</v>
      </c>
      <c r="K21" s="4">
        <f t="shared" si="1"/>
        <v>0</v>
      </c>
      <c r="L21" s="4">
        <f t="shared" si="1"/>
        <v>0</v>
      </c>
      <c r="O21" s="28">
        <f t="shared" si="16"/>
        <v>0</v>
      </c>
      <c r="P21" s="4">
        <f t="shared" si="2"/>
        <v>0</v>
      </c>
      <c r="Q21" s="4">
        <f t="shared" si="2"/>
        <v>0</v>
      </c>
      <c r="R21" s="4">
        <f t="shared" si="2"/>
        <v>0</v>
      </c>
      <c r="S21" s="4">
        <f t="shared" si="3"/>
        <v>0</v>
      </c>
      <c r="T21" s="4">
        <f t="shared" si="3"/>
        <v>0</v>
      </c>
      <c r="U21" s="4">
        <f t="shared" si="3"/>
        <v>0</v>
      </c>
      <c r="V21" s="4">
        <f t="shared" si="4"/>
        <v>0</v>
      </c>
      <c r="W21" s="4">
        <f t="shared" si="4"/>
        <v>0</v>
      </c>
      <c r="X21" s="4">
        <f t="shared" si="4"/>
        <v>0</v>
      </c>
      <c r="Y21" s="4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6"/>
        <v>0</v>
      </c>
      <c r="AC21" s="4">
        <f t="shared" si="6"/>
        <v>0</v>
      </c>
      <c r="AD21" s="4">
        <f t="shared" si="6"/>
        <v>0</v>
      </c>
      <c r="AE21" s="4">
        <f t="shared" si="7"/>
        <v>0</v>
      </c>
      <c r="AF21" s="4">
        <f t="shared" si="7"/>
        <v>0</v>
      </c>
      <c r="AG21" s="4">
        <f t="shared" si="7"/>
        <v>0</v>
      </c>
      <c r="AH21" s="4">
        <f t="shared" si="8"/>
        <v>0</v>
      </c>
      <c r="AI21" s="4">
        <f t="shared" si="8"/>
        <v>0</v>
      </c>
      <c r="AJ21" s="4">
        <f t="shared" si="8"/>
        <v>0</v>
      </c>
      <c r="AK21" s="4">
        <f t="shared" si="9"/>
        <v>0</v>
      </c>
      <c r="AL21" s="4">
        <f t="shared" si="9"/>
        <v>0</v>
      </c>
      <c r="AM21" s="4">
        <f t="shared" si="9"/>
        <v>0</v>
      </c>
      <c r="AN21" s="4">
        <f t="shared" si="10"/>
        <v>0</v>
      </c>
      <c r="AO21" s="4">
        <f t="shared" si="10"/>
        <v>0</v>
      </c>
      <c r="AP21" s="4">
        <f t="shared" si="10"/>
        <v>0</v>
      </c>
      <c r="AQ21" s="4">
        <f t="shared" si="11"/>
        <v>0</v>
      </c>
      <c r="AR21" s="4">
        <f t="shared" si="11"/>
        <v>0</v>
      </c>
      <c r="AT21" s="28">
        <v>8</v>
      </c>
      <c r="AU21" s="29" t="str">
        <f>IF($P$21="3L",$Q$21,IF($S$21="3L",$T$21,IF($V$21="3L",$W$21,IF($Y$21="3L",$Z$21,IF($AB$21="3L",$AC$21,IF($AE$21="3L",$AF$21,IF($AH$21="3L",$AI$21,IF($AK$21="3L",$AL$21,IF($AN$21="3L",$AO$21,IF($AQ$21="3L",$AR$21,""))))))))))</f>
        <v/>
      </c>
      <c r="AV21" s="29" t="str">
        <f>IF($P$21="4L",$Q$21,IF($S$21="4L",$T$21,IF($V$21="4L",$W$21,IF($Y$21="4L",$Z$21,IF($AB$21="4L",$AC$21,IF($AE$21="4L",$AF$21,IF($AH$21="4L",$AI$21,IF($AK$21="4L",$AL$21,IF($AN$21="4L",$AO$21,IF($AQ$21="4L",$AR$21,""))))))))))</f>
        <v/>
      </c>
      <c r="AW21" s="29" t="str">
        <f>IF($P$21="5L",$Q$21,IF($S$21="5L",$T$21,IF($V$21="5L",$W$21,IF($Y$21="5L",$Z$21,IF($AB$21="5L",$AC$21,IF($AE$21="5L",$AF$21,IF($AH$21="5L",$AI$21,IF($AK$21="5L",$AL$21,IF($AN$21="5L",$AO$21,IF($AQ$21="5L",$AR$21,""))))))))))</f>
        <v/>
      </c>
      <c r="AX21" s="29" t="str">
        <f>IF($P$21="6L",$Q$21,IF($S$21="6L",$T$21,IF($V$21="6L",$W$21,IF($Y$21="6L",$Z$21,IF($AB$21="6L",$AC$21,IF($AE$21="6L",$AF$21,IF($AH$21="6L",$AI$21,IF($AK$21="6L",$AL$21,IF($AN$21="6L",$AO$21,IF($AQ$21="6L",$AR$21,""))))))))))</f>
        <v/>
      </c>
      <c r="AY21" s="29" t="str">
        <f>IF($P$21="7L",$Q$21,IF($S$21="7L",$T$21,IF($V$21="7L",$W$21,IF($Y$21="7L",$Z$21,IF($AB$21="7L",$AC$21,IF($AE$21="7L",$AF$21,IF($AH$21="7L",$AI$21,IF($AK$21="7L",$AL$21,IF($AN$21="7L",$AO$21,IF($AQ$21="7L",$AR$21,""))))))))))</f>
        <v/>
      </c>
      <c r="AZ21" s="29" t="str">
        <f t="shared" si="12"/>
        <v/>
      </c>
      <c r="BA21" s="29" t="str">
        <f t="shared" si="13"/>
        <v/>
      </c>
      <c r="BB21" s="29" t="str">
        <f t="shared" si="14"/>
        <v/>
      </c>
      <c r="BC21" s="29" t="str">
        <f t="shared" si="15"/>
        <v/>
      </c>
      <c r="BD21" s="29" t="str">
        <f>IF($P$21="FUM",$Q$21,IF($S$21="FUM",$T$21,IF($V$21="FUM",$W$21,IF($Y$21="FUM",$Z$21,IF($AB$21="FUM",$AC$21,IF($AE$21="FUM",$AF$21,IF($AH$21="FUM",$AI$21,IF($AK$21="FUM",$AL$21,IF($AN$21="FUM",$AO$21,IF($AQ$21="FUM",$AR$21,""))))))))))</f>
        <v/>
      </c>
    </row>
    <row r="22" spans="8:56" hidden="1" x14ac:dyDescent="0.25">
      <c r="H22" s="4">
        <f t="shared" si="1"/>
        <v>0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O22" s="28">
        <f t="shared" si="16"/>
        <v>0</v>
      </c>
      <c r="P22" s="4">
        <f t="shared" si="2"/>
        <v>0</v>
      </c>
      <c r="Q22" s="4">
        <f t="shared" si="2"/>
        <v>0</v>
      </c>
      <c r="R22" s="4">
        <f t="shared" si="2"/>
        <v>0</v>
      </c>
      <c r="S22" s="4">
        <f t="shared" si="3"/>
        <v>0</v>
      </c>
      <c r="T22" s="4">
        <f t="shared" si="3"/>
        <v>0</v>
      </c>
      <c r="U22" s="4">
        <f t="shared" si="3"/>
        <v>0</v>
      </c>
      <c r="V22" s="4">
        <f t="shared" si="4"/>
        <v>0</v>
      </c>
      <c r="W22" s="4">
        <f t="shared" si="4"/>
        <v>0</v>
      </c>
      <c r="X22" s="4">
        <f t="shared" si="4"/>
        <v>0</v>
      </c>
      <c r="Y22" s="4">
        <f t="shared" si="5"/>
        <v>0</v>
      </c>
      <c r="Z22" s="4">
        <f t="shared" si="5"/>
        <v>0</v>
      </c>
      <c r="AA22" s="4">
        <f t="shared" si="5"/>
        <v>0</v>
      </c>
      <c r="AB22" s="4">
        <f t="shared" si="6"/>
        <v>0</v>
      </c>
      <c r="AC22" s="4">
        <f t="shared" si="6"/>
        <v>0</v>
      </c>
      <c r="AD22" s="4">
        <f t="shared" si="6"/>
        <v>0</v>
      </c>
      <c r="AE22" s="4">
        <f t="shared" si="7"/>
        <v>0</v>
      </c>
      <c r="AF22" s="4">
        <f t="shared" si="7"/>
        <v>0</v>
      </c>
      <c r="AG22" s="4">
        <f t="shared" si="7"/>
        <v>0</v>
      </c>
      <c r="AH22" s="4">
        <f t="shared" si="8"/>
        <v>0</v>
      </c>
      <c r="AI22" s="4">
        <f t="shared" si="8"/>
        <v>0</v>
      </c>
      <c r="AJ22" s="4">
        <f t="shared" si="8"/>
        <v>0</v>
      </c>
      <c r="AK22" s="4">
        <f t="shared" si="9"/>
        <v>0</v>
      </c>
      <c r="AL22" s="4">
        <f t="shared" si="9"/>
        <v>0</v>
      </c>
      <c r="AM22" s="4">
        <f t="shared" si="9"/>
        <v>0</v>
      </c>
      <c r="AN22" s="4">
        <f t="shared" si="10"/>
        <v>0</v>
      </c>
      <c r="AO22" s="4">
        <f t="shared" si="10"/>
        <v>0</v>
      </c>
      <c r="AP22" s="4">
        <f t="shared" si="10"/>
        <v>0</v>
      </c>
      <c r="AQ22" s="4">
        <f t="shared" si="11"/>
        <v>0</v>
      </c>
      <c r="AR22" s="4">
        <f t="shared" si="11"/>
        <v>0</v>
      </c>
      <c r="AT22" s="28">
        <v>9</v>
      </c>
      <c r="AU22" s="29" t="str">
        <f>IF($P$22="3L",$Q$22,IF($S$22="3L",$T$22,IF($V$22="3L",$W$22,IF($Y$22="3L",$Z$22,IF($AB$22="3L",$AC$22,IF($AE$22="3L",$AF$22,IF($AH$22="3L",$AI$22,IF($AK$22="3L",$AL$22,IF($AN$22="3L",$AO$22,IF($AQ$22="3L",$AR$22,""))))))))))</f>
        <v/>
      </c>
      <c r="AV22" s="29" t="str">
        <f>IF($P$22="4L",$Q$22,IF($S$22="4L",$T$22,IF($V$22="4L",$W$22,IF($Y$22="4L",$Z$22,IF($AB$22="4L",$AC$22,IF($AE$22="4L",$AF$22,IF($AH$22="4L",$AI$22,IF($AK$22="4L",$AL$22,IF($AN$22="4L",$AO$22,IF($AQ$22="4L",$AR$22,""))))))))))</f>
        <v/>
      </c>
      <c r="AW22" s="29" t="str">
        <f>IF($P$22="5L",$Q$22,IF($S$22="5L",$T$22,IF($V$22="5L",$W$22,IF($Y$22="5L",$Z$22,IF($AB$22="5L",$AC$22,IF($AE$22="5L",$AF$22,IF($AH$22="5L",$AI$22,IF($AK$22="5L",$AL$22,IF($AN$22="5L",$AO$22,IF($AQ$22="5L",$AR$22,""))))))))))</f>
        <v/>
      </c>
      <c r="AX22" s="29" t="str">
        <f>IF($P$22="6L",$Q$22,IF($S$22="6L",$T$22,IF($V$22="6L",$W$22,IF($Y$22="6L",$Z$22,IF($AB$22="6L",$AC$22,IF($AE$22="6L",$AF$22,IF($AH$22="6L",$AI$22,IF($AK$22="6L",$AL$22,IF($AN$22="6L",$AO$22,IF($AQ$22="6L",$AR$22,""))))))))))</f>
        <v/>
      </c>
      <c r="AY22" s="29" t="str">
        <f>IF($P$22="7L",$Q$22,IF($S$22="7L",$T$22,IF($V$22="7L",$W$22,IF($Y$22="7L",$Z$22,IF($AB$22="7L",$AC$22,IF($AE$22="7L",$AF$22,IF($AH$22="7L",$AI$22,IF($AK$22="7L",$AL$22,IF($AN$22="7L",$AO$22,IF($AQ$22="7L",$AR$22,""))))))))))</f>
        <v/>
      </c>
      <c r="AZ22" s="29" t="str">
        <f t="shared" si="12"/>
        <v/>
      </c>
      <c r="BA22" s="29" t="str">
        <f t="shared" si="13"/>
        <v/>
      </c>
      <c r="BB22" s="29" t="str">
        <f t="shared" si="14"/>
        <v/>
      </c>
      <c r="BC22" s="29" t="str">
        <f t="shared" si="15"/>
        <v/>
      </c>
      <c r="BD22" s="29" t="str">
        <f>IF($P$22="FUM",$Q$22,IF($S$22="FUM",$T$22,IF($V$22="FUM",$W$22,IF($Y$22="FUM",$Z$22,IF($AB$22="FUM",$AC$22,IF($AE$22="FUM",$AF$22,IF($AH$22="FUM",$AI$22,IF($AK$22="FUM",$AL$22,IF($AN$22="FUM",$AO$22,IF($AQ$22="FUM",$AR$22,""))))))))))</f>
        <v/>
      </c>
    </row>
    <row r="23" spans="8:56" hidden="1" x14ac:dyDescent="0.25">
      <c r="H23" s="4">
        <f t="shared" si="1"/>
        <v>0</v>
      </c>
      <c r="I23" s="4">
        <f t="shared" si="1"/>
        <v>0</v>
      </c>
      <c r="J23" s="4">
        <f t="shared" si="1"/>
        <v>0</v>
      </c>
      <c r="K23" s="4">
        <f t="shared" si="1"/>
        <v>0</v>
      </c>
      <c r="L23" s="4">
        <f t="shared" si="1"/>
        <v>0</v>
      </c>
      <c r="O23" s="28">
        <f t="shared" si="16"/>
        <v>0</v>
      </c>
      <c r="P23" s="4">
        <f t="shared" si="2"/>
        <v>0</v>
      </c>
      <c r="Q23" s="4">
        <f t="shared" si="2"/>
        <v>0</v>
      </c>
      <c r="R23" s="4">
        <f t="shared" si="2"/>
        <v>0</v>
      </c>
      <c r="S23" s="4">
        <f t="shared" si="3"/>
        <v>0</v>
      </c>
      <c r="T23" s="4">
        <f t="shared" si="3"/>
        <v>0</v>
      </c>
      <c r="U23" s="4">
        <f t="shared" si="3"/>
        <v>0</v>
      </c>
      <c r="V23" s="4">
        <f t="shared" si="4"/>
        <v>0</v>
      </c>
      <c r="W23" s="4">
        <f t="shared" si="4"/>
        <v>0</v>
      </c>
      <c r="X23" s="4">
        <f t="shared" si="4"/>
        <v>0</v>
      </c>
      <c r="Y23" s="4">
        <f t="shared" si="5"/>
        <v>0</v>
      </c>
      <c r="Z23" s="4">
        <f t="shared" si="5"/>
        <v>0</v>
      </c>
      <c r="AA23" s="4">
        <f t="shared" si="5"/>
        <v>0</v>
      </c>
      <c r="AB23" s="4">
        <f t="shared" si="6"/>
        <v>0</v>
      </c>
      <c r="AC23" s="4">
        <f t="shared" si="6"/>
        <v>0</v>
      </c>
      <c r="AD23" s="4">
        <f t="shared" si="6"/>
        <v>0</v>
      </c>
      <c r="AE23" s="4">
        <f t="shared" si="7"/>
        <v>0</v>
      </c>
      <c r="AF23" s="4">
        <f t="shared" si="7"/>
        <v>0</v>
      </c>
      <c r="AG23" s="4">
        <f t="shared" si="7"/>
        <v>0</v>
      </c>
      <c r="AH23" s="4">
        <f t="shared" si="8"/>
        <v>0</v>
      </c>
      <c r="AI23" s="4">
        <f t="shared" si="8"/>
        <v>0</v>
      </c>
      <c r="AJ23" s="4">
        <f t="shared" si="8"/>
        <v>0</v>
      </c>
      <c r="AK23" s="4">
        <f t="shared" si="9"/>
        <v>0</v>
      </c>
      <c r="AL23" s="4">
        <f t="shared" si="9"/>
        <v>0</v>
      </c>
      <c r="AM23" s="4">
        <f t="shared" si="9"/>
        <v>0</v>
      </c>
      <c r="AN23" s="4">
        <f t="shared" si="10"/>
        <v>0</v>
      </c>
      <c r="AO23" s="4">
        <f t="shared" si="10"/>
        <v>0</v>
      </c>
      <c r="AP23" s="4">
        <f t="shared" si="10"/>
        <v>0</v>
      </c>
      <c r="AQ23" s="4">
        <f t="shared" si="11"/>
        <v>0</v>
      </c>
      <c r="AR23" s="4">
        <f t="shared" si="11"/>
        <v>0</v>
      </c>
      <c r="AT23" s="28">
        <v>10</v>
      </c>
      <c r="AU23" s="29" t="str">
        <f>IF($P$23="3L",$Q$23,IF($S$23="3L",$T$23,IF($V$23="3L",$W$23,IF($Y$23="3L",$Z$23,IF($AB$23="3L",$AC$23,IF($AE$23="3L",$AF$23,IF($AH$23="3L",$AI$23,IF($AK$23="3L",$AL$23,IF($AN$23="3L",$AO$23,IF($AQ$23="3L",$AR$23,""))))))))))</f>
        <v/>
      </c>
      <c r="AV23" s="29" t="str">
        <f>IF($P$23="4L",$Q$23,IF($S$23="4L",$T$23,IF($V$23="4L",$W$23,IF($Y$23="4L",$Z$23,IF($AB$23="4L",$AC$23,IF($AE$23="4L",$AF$23,IF($AH$23="4L",$AI$23,IF($AK$23="4L",$AL$23,IF($AN$23="4L",$AO$23,IF($AQ$23="4L",$AR$23,""))))))))))</f>
        <v/>
      </c>
      <c r="AW23" s="29" t="str">
        <f>IF($P$23="5L",$Q$23,IF($S$23="5L",$T$23,IF($V$23="5L",$W$23,IF($Y$23="5L",$Z$23,IF($AB$23="5L",$AC$23,IF($AE$23="5L",$AF$23,IF($AH$23="5L",$AI$23,IF($AK$23="5L",$AL$23,IF($AN$23="5L",$AO$23,IF($AQ$23="5L",$AR$23,""))))))))))</f>
        <v/>
      </c>
      <c r="AX23" s="29" t="str">
        <f>IF($P$23="6L",$Q$23,IF($S$23="6L",$T$23,IF($V$23="6L",$W$23,IF($Y$23="6L",$Z$23,IF($AB$23="6L",$AC$23,IF($AE$23="6L",$AF$23,IF($AH$23="6L",$AI$23,IF($AK$23="6L",$AL$23,IF($AN$23="6L",$AO$23,IF($AQ$23="6L",$AR$23,""))))))))))</f>
        <v/>
      </c>
      <c r="AY23" s="29" t="str">
        <f>IF($P$23="7L",$Q$23,IF($S$23="7L",$T$23,IF($V$23="7L",$W$23,IF($Y$23="7L",$Z$23,IF($AB$23="7L",$AC$23,IF($AE$23="7L",$AF$23,IF($AH$23="7L",$AI$23,IF($AK$23="7L",$AL$23,IF($AN$23="7L",$AO$23,IF($AQ$23="7L",$AR$23,""))))))))))</f>
        <v/>
      </c>
      <c r="AZ23" s="29" t="str">
        <f t="shared" si="12"/>
        <v/>
      </c>
      <c r="BA23" s="29" t="str">
        <f t="shared" si="13"/>
        <v/>
      </c>
      <c r="BB23" s="29" t="str">
        <f t="shared" si="14"/>
        <v/>
      </c>
      <c r="BC23" s="29" t="str">
        <f t="shared" si="15"/>
        <v/>
      </c>
      <c r="BD23" s="29" t="str">
        <f>IF($P$23="FUM",$Q$23,IF($S$23="FUM",$T$23,IF($V$23="FUM",$W$23,IF($Y$23="FUM",$Z$23,IF($AB$23="FUM",$AC$23,IF($AE$23="FUM",$AF$23,IF($AH$23="FUM",$AI$23,IF($AK$23="FUM",$AL$23,IF($AN$23="FUM",$AO$23,IF($AQ$23="FUM",$AR$23,""))))))))))</f>
        <v/>
      </c>
    </row>
    <row r="24" spans="8:56" hidden="1" x14ac:dyDescent="0.25">
      <c r="H24" s="4" t="str">
        <f t="shared" ref="H24:L33" si="17">P2</f>
        <v>AG</v>
      </c>
      <c r="I24" s="4">
        <f t="shared" si="17"/>
        <v>1000</v>
      </c>
      <c r="J24" s="4">
        <f t="shared" si="17"/>
        <v>10</v>
      </c>
      <c r="K24" s="4" t="str">
        <f t="shared" si="17"/>
        <v>Y</v>
      </c>
      <c r="L24" s="4" t="str">
        <f t="shared" si="17"/>
        <v>3L</v>
      </c>
    </row>
    <row r="25" spans="8:56" hidden="1" x14ac:dyDescent="0.25">
      <c r="H25" s="4">
        <f t="shared" si="17"/>
        <v>0</v>
      </c>
      <c r="I25" s="4">
        <f t="shared" si="17"/>
        <v>0</v>
      </c>
      <c r="J25" s="4">
        <f t="shared" si="17"/>
        <v>0</v>
      </c>
      <c r="K25" s="4">
        <f t="shared" si="17"/>
        <v>0</v>
      </c>
      <c r="L25" s="4">
        <f t="shared" si="17"/>
        <v>0</v>
      </c>
    </row>
    <row r="26" spans="8:56" hidden="1" x14ac:dyDescent="0.25">
      <c r="H26" s="4">
        <f t="shared" si="17"/>
        <v>0</v>
      </c>
      <c r="I26" s="4">
        <f t="shared" si="17"/>
        <v>0</v>
      </c>
      <c r="J26" s="4">
        <f t="shared" si="17"/>
        <v>0</v>
      </c>
      <c r="K26" s="4">
        <f t="shared" si="17"/>
        <v>0</v>
      </c>
      <c r="L26" s="4">
        <f t="shared" si="17"/>
        <v>0</v>
      </c>
    </row>
    <row r="27" spans="8:56" hidden="1" x14ac:dyDescent="0.25">
      <c r="H27" s="4">
        <f t="shared" si="17"/>
        <v>0</v>
      </c>
      <c r="I27" s="4">
        <f t="shared" si="17"/>
        <v>0</v>
      </c>
      <c r="J27" s="4">
        <f t="shared" si="17"/>
        <v>0</v>
      </c>
      <c r="K27" s="4">
        <f t="shared" si="17"/>
        <v>0</v>
      </c>
      <c r="L27" s="4">
        <f t="shared" si="17"/>
        <v>0</v>
      </c>
    </row>
    <row r="28" spans="8:56" hidden="1" x14ac:dyDescent="0.25">
      <c r="H28" s="4">
        <f t="shared" si="17"/>
        <v>0</v>
      </c>
      <c r="I28" s="4">
        <f t="shared" si="17"/>
        <v>0</v>
      </c>
      <c r="J28" s="4">
        <f t="shared" si="17"/>
        <v>0</v>
      </c>
      <c r="K28" s="4">
        <f t="shared" si="17"/>
        <v>0</v>
      </c>
      <c r="L28" s="4">
        <f t="shared" si="17"/>
        <v>0</v>
      </c>
    </row>
    <row r="29" spans="8:56" hidden="1" x14ac:dyDescent="0.25"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</row>
    <row r="30" spans="8:56" hidden="1" x14ac:dyDescent="0.25">
      <c r="H30" s="4">
        <f t="shared" si="17"/>
        <v>0</v>
      </c>
      <c r="I30" s="4">
        <f t="shared" si="17"/>
        <v>0</v>
      </c>
      <c r="J30" s="4">
        <f t="shared" si="17"/>
        <v>0</v>
      </c>
      <c r="K30" s="4">
        <f t="shared" si="17"/>
        <v>0</v>
      </c>
      <c r="L30" s="4">
        <f t="shared" si="17"/>
        <v>0</v>
      </c>
    </row>
    <row r="31" spans="8:56" hidden="1" x14ac:dyDescent="0.25">
      <c r="H31" s="4">
        <f t="shared" si="17"/>
        <v>0</v>
      </c>
      <c r="I31" s="4">
        <f t="shared" si="17"/>
        <v>0</v>
      </c>
      <c r="J31" s="4">
        <f t="shared" si="17"/>
        <v>0</v>
      </c>
      <c r="K31" s="4">
        <f t="shared" si="17"/>
        <v>0</v>
      </c>
      <c r="L31" s="4">
        <f t="shared" si="17"/>
        <v>0</v>
      </c>
    </row>
    <row r="32" spans="8:56" hidden="1" x14ac:dyDescent="0.25">
      <c r="H32" s="4">
        <f t="shared" si="17"/>
        <v>0</v>
      </c>
      <c r="I32" s="4">
        <f t="shared" si="17"/>
        <v>0</v>
      </c>
      <c r="J32" s="4">
        <f t="shared" si="17"/>
        <v>0</v>
      </c>
      <c r="K32" s="4">
        <f t="shared" si="17"/>
        <v>0</v>
      </c>
      <c r="L32" s="4">
        <f t="shared" si="17"/>
        <v>0</v>
      </c>
    </row>
    <row r="33" spans="8:12" hidden="1" x14ac:dyDescent="0.25">
      <c r="H33" s="4">
        <f t="shared" si="17"/>
        <v>0</v>
      </c>
      <c r="I33" s="4">
        <f t="shared" si="17"/>
        <v>0</v>
      </c>
      <c r="J33" s="4">
        <f t="shared" si="17"/>
        <v>0</v>
      </c>
      <c r="K33" s="4">
        <f t="shared" si="17"/>
        <v>0</v>
      </c>
      <c r="L33" s="4">
        <f t="shared" si="17"/>
        <v>0</v>
      </c>
    </row>
    <row r="34" spans="8:12" hidden="1" x14ac:dyDescent="0.25">
      <c r="H34" s="4" t="str">
        <f t="shared" ref="H34:L43" si="18">V2</f>
        <v>AG</v>
      </c>
      <c r="I34" s="4">
        <f t="shared" si="18"/>
        <v>750</v>
      </c>
      <c r="J34" s="4">
        <f t="shared" si="18"/>
        <v>10</v>
      </c>
      <c r="K34" s="4" t="str">
        <f t="shared" si="18"/>
        <v>Y</v>
      </c>
      <c r="L34" s="4" t="str">
        <f t="shared" si="18"/>
        <v>3L</v>
      </c>
    </row>
    <row r="35" spans="8:12" hidden="1" x14ac:dyDescent="0.25">
      <c r="H35" s="4">
        <f t="shared" si="18"/>
        <v>0</v>
      </c>
      <c r="I35" s="4">
        <f t="shared" si="18"/>
        <v>0</v>
      </c>
      <c r="J35" s="4">
        <f t="shared" si="18"/>
        <v>0</v>
      </c>
      <c r="K35" s="4">
        <f t="shared" si="18"/>
        <v>0</v>
      </c>
      <c r="L35" s="4">
        <f t="shared" si="18"/>
        <v>0</v>
      </c>
    </row>
    <row r="36" spans="8:12" hidden="1" x14ac:dyDescent="0.25">
      <c r="H36" s="4">
        <f t="shared" si="18"/>
        <v>0</v>
      </c>
      <c r="I36" s="4">
        <f t="shared" si="18"/>
        <v>0</v>
      </c>
      <c r="J36" s="4">
        <f t="shared" si="18"/>
        <v>0</v>
      </c>
      <c r="K36" s="4">
        <f t="shared" si="18"/>
        <v>0</v>
      </c>
      <c r="L36" s="4">
        <f t="shared" si="18"/>
        <v>0</v>
      </c>
    </row>
    <row r="37" spans="8:12" hidden="1" x14ac:dyDescent="0.25">
      <c r="H37" s="4">
        <f t="shared" si="18"/>
        <v>0</v>
      </c>
      <c r="I37" s="4">
        <f t="shared" si="18"/>
        <v>0</v>
      </c>
      <c r="J37" s="4">
        <f t="shared" si="18"/>
        <v>0</v>
      </c>
      <c r="K37" s="4">
        <f t="shared" si="18"/>
        <v>0</v>
      </c>
      <c r="L37" s="4">
        <f t="shared" si="18"/>
        <v>0</v>
      </c>
    </row>
    <row r="38" spans="8:12" hidden="1" x14ac:dyDescent="0.25">
      <c r="H38" s="4">
        <f t="shared" si="18"/>
        <v>0</v>
      </c>
      <c r="I38" s="4">
        <f t="shared" si="18"/>
        <v>0</v>
      </c>
      <c r="J38" s="4">
        <f t="shared" si="18"/>
        <v>0</v>
      </c>
      <c r="K38" s="4">
        <f t="shared" si="18"/>
        <v>0</v>
      </c>
      <c r="L38" s="4">
        <f t="shared" si="18"/>
        <v>0</v>
      </c>
    </row>
    <row r="39" spans="8:12" hidden="1" x14ac:dyDescent="0.25">
      <c r="H39" s="4">
        <f t="shared" si="18"/>
        <v>0</v>
      </c>
      <c r="I39" s="4">
        <f t="shared" si="18"/>
        <v>0</v>
      </c>
      <c r="J39" s="4">
        <f t="shared" si="18"/>
        <v>0</v>
      </c>
      <c r="K39" s="4">
        <f t="shared" si="18"/>
        <v>0</v>
      </c>
      <c r="L39" s="4">
        <f t="shared" si="18"/>
        <v>0</v>
      </c>
    </row>
    <row r="40" spans="8:12" hidden="1" x14ac:dyDescent="0.25">
      <c r="H40" s="4">
        <f t="shared" si="18"/>
        <v>0</v>
      </c>
      <c r="I40" s="4">
        <f t="shared" si="18"/>
        <v>0</v>
      </c>
      <c r="J40" s="4">
        <f t="shared" si="18"/>
        <v>0</v>
      </c>
      <c r="K40" s="4">
        <f t="shared" si="18"/>
        <v>0</v>
      </c>
      <c r="L40" s="4">
        <f t="shared" si="18"/>
        <v>0</v>
      </c>
    </row>
    <row r="41" spans="8:12" hidden="1" x14ac:dyDescent="0.25">
      <c r="H41" s="4">
        <f t="shared" si="18"/>
        <v>0</v>
      </c>
      <c r="I41" s="4">
        <f t="shared" si="18"/>
        <v>0</v>
      </c>
      <c r="J41" s="4">
        <f t="shared" si="18"/>
        <v>0</v>
      </c>
      <c r="K41" s="4">
        <f t="shared" si="18"/>
        <v>0</v>
      </c>
      <c r="L41" s="4">
        <f t="shared" si="18"/>
        <v>0</v>
      </c>
    </row>
    <row r="42" spans="8:12" hidden="1" x14ac:dyDescent="0.25">
      <c r="H42" s="4">
        <f t="shared" si="18"/>
        <v>0</v>
      </c>
      <c r="I42" s="4">
        <f t="shared" si="18"/>
        <v>0</v>
      </c>
      <c r="J42" s="4">
        <f t="shared" si="18"/>
        <v>0</v>
      </c>
      <c r="K42" s="4">
        <f t="shared" si="18"/>
        <v>0</v>
      </c>
      <c r="L42" s="4">
        <f t="shared" si="18"/>
        <v>0</v>
      </c>
    </row>
    <row r="43" spans="8:12" hidden="1" x14ac:dyDescent="0.25">
      <c r="H43" s="4">
        <f t="shared" si="18"/>
        <v>0</v>
      </c>
      <c r="I43" s="4">
        <f t="shared" si="18"/>
        <v>0</v>
      </c>
      <c r="J43" s="4">
        <f t="shared" si="18"/>
        <v>0</v>
      </c>
      <c r="K43" s="4">
        <f t="shared" si="18"/>
        <v>0</v>
      </c>
      <c r="L43" s="4">
        <f t="shared" si="18"/>
        <v>0</v>
      </c>
    </row>
    <row r="44" spans="8:12" hidden="1" x14ac:dyDescent="0.25">
      <c r="H44" s="4" t="str">
        <f t="shared" ref="H44:L53" si="19">AB2</f>
        <v>AG</v>
      </c>
      <c r="I44" s="4">
        <f t="shared" si="19"/>
        <v>500</v>
      </c>
      <c r="J44" s="4">
        <f t="shared" si="19"/>
        <v>20</v>
      </c>
      <c r="K44" s="4" t="str">
        <f t="shared" si="19"/>
        <v>Y</v>
      </c>
      <c r="L44" s="4" t="str">
        <f t="shared" si="19"/>
        <v>3L</v>
      </c>
    </row>
    <row r="45" spans="8:12" hidden="1" x14ac:dyDescent="0.25">
      <c r="H45" s="4">
        <f t="shared" si="19"/>
        <v>0</v>
      </c>
      <c r="I45" s="4">
        <f t="shared" si="19"/>
        <v>0</v>
      </c>
      <c r="J45" s="4">
        <f t="shared" si="19"/>
        <v>0</v>
      </c>
      <c r="K45" s="4">
        <f t="shared" si="19"/>
        <v>0</v>
      </c>
      <c r="L45" s="4">
        <f t="shared" si="19"/>
        <v>0</v>
      </c>
    </row>
    <row r="46" spans="8:12" hidden="1" x14ac:dyDescent="0.25">
      <c r="H46" s="4">
        <f t="shared" si="19"/>
        <v>0</v>
      </c>
      <c r="I46" s="4">
        <f t="shared" si="19"/>
        <v>0</v>
      </c>
      <c r="J46" s="4">
        <f t="shared" si="19"/>
        <v>0</v>
      </c>
      <c r="K46" s="4">
        <f t="shared" si="19"/>
        <v>0</v>
      </c>
      <c r="L46" s="4">
        <f t="shared" si="19"/>
        <v>0</v>
      </c>
    </row>
    <row r="47" spans="8:12" hidden="1" x14ac:dyDescent="0.25">
      <c r="H47" s="4">
        <f t="shared" si="19"/>
        <v>0</v>
      </c>
      <c r="I47" s="4">
        <f t="shared" si="19"/>
        <v>0</v>
      </c>
      <c r="J47" s="4">
        <f t="shared" si="19"/>
        <v>0</v>
      </c>
      <c r="K47" s="4">
        <f t="shared" si="19"/>
        <v>0</v>
      </c>
      <c r="L47" s="4">
        <f t="shared" si="19"/>
        <v>0</v>
      </c>
    </row>
    <row r="48" spans="8:12" hidden="1" x14ac:dyDescent="0.25">
      <c r="H48" s="4">
        <f t="shared" si="19"/>
        <v>0</v>
      </c>
      <c r="I48" s="4">
        <f t="shared" si="19"/>
        <v>0</v>
      </c>
      <c r="J48" s="4">
        <f t="shared" si="19"/>
        <v>0</v>
      </c>
      <c r="K48" s="4">
        <f t="shared" si="19"/>
        <v>0</v>
      </c>
      <c r="L48" s="4">
        <f t="shared" si="19"/>
        <v>0</v>
      </c>
    </row>
    <row r="49" spans="8:12" hidden="1" x14ac:dyDescent="0.25">
      <c r="H49" s="4">
        <f t="shared" si="19"/>
        <v>0</v>
      </c>
      <c r="I49" s="4">
        <f t="shared" si="19"/>
        <v>0</v>
      </c>
      <c r="J49" s="4">
        <f t="shared" si="19"/>
        <v>0</v>
      </c>
      <c r="K49" s="4">
        <f t="shared" si="19"/>
        <v>0</v>
      </c>
      <c r="L49" s="4">
        <f t="shared" si="19"/>
        <v>0</v>
      </c>
    </row>
    <row r="50" spans="8:12" hidden="1" x14ac:dyDescent="0.25">
      <c r="H50" s="4">
        <f t="shared" si="19"/>
        <v>0</v>
      </c>
      <c r="I50" s="4">
        <f t="shared" si="19"/>
        <v>0</v>
      </c>
      <c r="J50" s="4">
        <f t="shared" si="19"/>
        <v>0</v>
      </c>
      <c r="K50" s="4">
        <f t="shared" si="19"/>
        <v>0</v>
      </c>
      <c r="L50" s="4">
        <f t="shared" si="19"/>
        <v>0</v>
      </c>
    </row>
    <row r="51" spans="8:12" hidden="1" x14ac:dyDescent="0.25">
      <c r="H51" s="4">
        <f t="shared" si="19"/>
        <v>0</v>
      </c>
      <c r="I51" s="4">
        <f t="shared" si="19"/>
        <v>0</v>
      </c>
      <c r="J51" s="4">
        <f t="shared" si="19"/>
        <v>0</v>
      </c>
      <c r="K51" s="4">
        <f t="shared" si="19"/>
        <v>0</v>
      </c>
      <c r="L51" s="4">
        <f t="shared" si="19"/>
        <v>0</v>
      </c>
    </row>
    <row r="52" spans="8:12" hidden="1" x14ac:dyDescent="0.25">
      <c r="H52" s="4">
        <f t="shared" si="19"/>
        <v>0</v>
      </c>
      <c r="I52" s="4">
        <f t="shared" si="19"/>
        <v>0</v>
      </c>
      <c r="J52" s="4">
        <f t="shared" si="19"/>
        <v>0</v>
      </c>
      <c r="K52" s="4">
        <f t="shared" si="19"/>
        <v>0</v>
      </c>
      <c r="L52" s="4">
        <f t="shared" si="19"/>
        <v>0</v>
      </c>
    </row>
    <row r="53" spans="8:12" hidden="1" x14ac:dyDescent="0.25">
      <c r="H53" s="4">
        <f t="shared" si="19"/>
        <v>0</v>
      </c>
      <c r="I53" s="4">
        <f t="shared" si="19"/>
        <v>0</v>
      </c>
      <c r="J53" s="4">
        <f t="shared" si="19"/>
        <v>0</v>
      </c>
      <c r="K53" s="4">
        <f t="shared" si="19"/>
        <v>0</v>
      </c>
      <c r="L53" s="4">
        <f t="shared" si="19"/>
        <v>0</v>
      </c>
    </row>
    <row r="54" spans="8:12" hidden="1" x14ac:dyDescent="0.25">
      <c r="H54" s="4">
        <f t="shared" ref="H54:L63" si="20">AH2</f>
        <v>0</v>
      </c>
      <c r="I54" s="4">
        <f t="shared" si="20"/>
        <v>0</v>
      </c>
      <c r="J54" s="4">
        <f t="shared" si="20"/>
        <v>0</v>
      </c>
      <c r="K54" s="4">
        <f t="shared" si="20"/>
        <v>0</v>
      </c>
      <c r="L54" s="4">
        <f t="shared" si="20"/>
        <v>0</v>
      </c>
    </row>
    <row r="55" spans="8:12" hidden="1" x14ac:dyDescent="0.25">
      <c r="H55" s="4">
        <f t="shared" si="20"/>
        <v>0</v>
      </c>
      <c r="I55" s="4">
        <f t="shared" si="20"/>
        <v>0</v>
      </c>
      <c r="J55" s="4">
        <f t="shared" si="20"/>
        <v>0</v>
      </c>
      <c r="K55" s="4">
        <f t="shared" si="20"/>
        <v>0</v>
      </c>
      <c r="L55" s="4">
        <f t="shared" si="20"/>
        <v>0</v>
      </c>
    </row>
    <row r="56" spans="8:12" hidden="1" x14ac:dyDescent="0.25">
      <c r="H56" s="4">
        <f t="shared" si="20"/>
        <v>0</v>
      </c>
      <c r="I56" s="4">
        <f t="shared" si="20"/>
        <v>0</v>
      </c>
      <c r="J56" s="4">
        <f t="shared" si="20"/>
        <v>0</v>
      </c>
      <c r="K56" s="4">
        <f t="shared" si="20"/>
        <v>0</v>
      </c>
      <c r="L56" s="4">
        <f t="shared" si="20"/>
        <v>0</v>
      </c>
    </row>
    <row r="57" spans="8:12" hidden="1" x14ac:dyDescent="0.25">
      <c r="H57" s="4">
        <f t="shared" si="20"/>
        <v>0</v>
      </c>
      <c r="I57" s="4">
        <f t="shared" si="20"/>
        <v>0</v>
      </c>
      <c r="J57" s="4">
        <f t="shared" si="20"/>
        <v>0</v>
      </c>
      <c r="K57" s="4">
        <f t="shared" si="20"/>
        <v>0</v>
      </c>
      <c r="L57" s="4">
        <f t="shared" si="20"/>
        <v>0</v>
      </c>
    </row>
    <row r="58" spans="8:12" hidden="1" x14ac:dyDescent="0.25">
      <c r="H58" s="4">
        <f t="shared" si="20"/>
        <v>0</v>
      </c>
      <c r="I58" s="4">
        <f t="shared" si="20"/>
        <v>0</v>
      </c>
      <c r="J58" s="4">
        <f t="shared" si="20"/>
        <v>0</v>
      </c>
      <c r="K58" s="4">
        <f t="shared" si="20"/>
        <v>0</v>
      </c>
      <c r="L58" s="4">
        <f t="shared" si="20"/>
        <v>0</v>
      </c>
    </row>
    <row r="59" spans="8:12" hidden="1" x14ac:dyDescent="0.25">
      <c r="H59" s="4">
        <f t="shared" si="20"/>
        <v>0</v>
      </c>
      <c r="I59" s="4">
        <f t="shared" si="20"/>
        <v>0</v>
      </c>
      <c r="J59" s="4">
        <f t="shared" si="20"/>
        <v>0</v>
      </c>
      <c r="K59" s="4">
        <f t="shared" si="20"/>
        <v>0</v>
      </c>
      <c r="L59" s="4">
        <f t="shared" si="20"/>
        <v>0</v>
      </c>
    </row>
    <row r="60" spans="8:12" hidden="1" x14ac:dyDescent="0.25">
      <c r="H60" s="4">
        <f t="shared" si="20"/>
        <v>0</v>
      </c>
      <c r="I60" s="4">
        <f t="shared" si="20"/>
        <v>0</v>
      </c>
      <c r="J60" s="4">
        <f t="shared" si="20"/>
        <v>0</v>
      </c>
      <c r="K60" s="4">
        <f t="shared" si="20"/>
        <v>0</v>
      </c>
      <c r="L60" s="4">
        <f t="shared" si="20"/>
        <v>0</v>
      </c>
    </row>
    <row r="61" spans="8:12" hidden="1" x14ac:dyDescent="0.25">
      <c r="H61" s="4">
        <f t="shared" si="20"/>
        <v>0</v>
      </c>
      <c r="I61" s="4">
        <f t="shared" si="20"/>
        <v>0</v>
      </c>
      <c r="J61" s="4">
        <f t="shared" si="20"/>
        <v>0</v>
      </c>
      <c r="K61" s="4">
        <f t="shared" si="20"/>
        <v>0</v>
      </c>
      <c r="L61" s="4">
        <f t="shared" si="20"/>
        <v>0</v>
      </c>
    </row>
    <row r="62" spans="8:12" hidden="1" x14ac:dyDescent="0.25">
      <c r="H62" s="4">
        <f t="shared" si="20"/>
        <v>0</v>
      </c>
      <c r="I62" s="4">
        <f t="shared" si="20"/>
        <v>0</v>
      </c>
      <c r="J62" s="4">
        <f t="shared" si="20"/>
        <v>0</v>
      </c>
      <c r="K62" s="4">
        <f t="shared" si="20"/>
        <v>0</v>
      </c>
      <c r="L62" s="4">
        <f t="shared" si="20"/>
        <v>0</v>
      </c>
    </row>
    <row r="63" spans="8:12" hidden="1" x14ac:dyDescent="0.25">
      <c r="H63" s="4">
        <f t="shared" si="20"/>
        <v>0</v>
      </c>
      <c r="I63" s="4">
        <f t="shared" si="20"/>
        <v>0</v>
      </c>
      <c r="J63" s="4">
        <f t="shared" si="20"/>
        <v>0</v>
      </c>
      <c r="K63" s="4">
        <f t="shared" si="20"/>
        <v>0</v>
      </c>
      <c r="L63" s="4">
        <f t="shared" si="20"/>
        <v>0</v>
      </c>
    </row>
    <row r="64" spans="8:12" hidden="1" x14ac:dyDescent="0.25">
      <c r="H64" s="4">
        <f t="shared" ref="H64:L73" si="21">AN2</f>
        <v>0</v>
      </c>
      <c r="I64" s="4">
        <f t="shared" si="21"/>
        <v>0</v>
      </c>
      <c r="J64" s="4">
        <f t="shared" si="21"/>
        <v>0</v>
      </c>
      <c r="K64" s="4">
        <f t="shared" si="21"/>
        <v>0</v>
      </c>
      <c r="L64" s="4">
        <f t="shared" si="21"/>
        <v>0</v>
      </c>
    </row>
    <row r="65" spans="8:12" hidden="1" x14ac:dyDescent="0.25">
      <c r="H65" s="4">
        <f t="shared" si="21"/>
        <v>0</v>
      </c>
      <c r="I65" s="4">
        <f t="shared" si="21"/>
        <v>0</v>
      </c>
      <c r="J65" s="4">
        <f t="shared" si="21"/>
        <v>0</v>
      </c>
      <c r="K65" s="4">
        <f t="shared" si="21"/>
        <v>0</v>
      </c>
      <c r="L65" s="4">
        <f t="shared" si="21"/>
        <v>0</v>
      </c>
    </row>
    <row r="66" spans="8:12" hidden="1" x14ac:dyDescent="0.25">
      <c r="H66" s="4">
        <f t="shared" si="21"/>
        <v>0</v>
      </c>
      <c r="I66" s="4">
        <f t="shared" si="21"/>
        <v>0</v>
      </c>
      <c r="J66" s="4">
        <f t="shared" si="21"/>
        <v>0</v>
      </c>
      <c r="K66" s="4">
        <f t="shared" si="21"/>
        <v>0</v>
      </c>
      <c r="L66" s="4">
        <f t="shared" si="21"/>
        <v>0</v>
      </c>
    </row>
    <row r="67" spans="8:12" hidden="1" x14ac:dyDescent="0.25">
      <c r="H67" s="4">
        <f t="shared" si="21"/>
        <v>0</v>
      </c>
      <c r="I67" s="4">
        <f t="shared" si="21"/>
        <v>0</v>
      </c>
      <c r="J67" s="4">
        <f t="shared" si="21"/>
        <v>0</v>
      </c>
      <c r="K67" s="4">
        <f t="shared" si="21"/>
        <v>0</v>
      </c>
      <c r="L67" s="4">
        <f t="shared" si="21"/>
        <v>0</v>
      </c>
    </row>
    <row r="68" spans="8:12" hidden="1" x14ac:dyDescent="0.25">
      <c r="H68" s="4">
        <f t="shared" si="21"/>
        <v>0</v>
      </c>
      <c r="I68" s="4">
        <f t="shared" si="21"/>
        <v>0</v>
      </c>
      <c r="J68" s="4">
        <f t="shared" si="21"/>
        <v>0</v>
      </c>
      <c r="K68" s="4">
        <f t="shared" si="21"/>
        <v>0</v>
      </c>
      <c r="L68" s="4">
        <f t="shared" si="21"/>
        <v>0</v>
      </c>
    </row>
    <row r="69" spans="8:12" hidden="1" x14ac:dyDescent="0.25">
      <c r="H69" s="4">
        <f t="shared" si="21"/>
        <v>0</v>
      </c>
      <c r="I69" s="4">
        <f t="shared" si="21"/>
        <v>0</v>
      </c>
      <c r="J69" s="4">
        <f t="shared" si="21"/>
        <v>0</v>
      </c>
      <c r="K69" s="4">
        <f t="shared" si="21"/>
        <v>0</v>
      </c>
      <c r="L69" s="4">
        <f t="shared" si="21"/>
        <v>0</v>
      </c>
    </row>
    <row r="70" spans="8:12" hidden="1" x14ac:dyDescent="0.25">
      <c r="H70" s="4">
        <f t="shared" si="21"/>
        <v>0</v>
      </c>
      <c r="I70" s="4">
        <f t="shared" si="21"/>
        <v>0</v>
      </c>
      <c r="J70" s="4">
        <f t="shared" si="21"/>
        <v>0</v>
      </c>
      <c r="K70" s="4">
        <f t="shared" si="21"/>
        <v>0</v>
      </c>
      <c r="L70" s="4">
        <f t="shared" si="21"/>
        <v>0</v>
      </c>
    </row>
    <row r="71" spans="8:12" hidden="1" x14ac:dyDescent="0.25">
      <c r="H71" s="4">
        <f t="shared" si="21"/>
        <v>0</v>
      </c>
      <c r="I71" s="4">
        <f t="shared" si="21"/>
        <v>0</v>
      </c>
      <c r="J71" s="4">
        <f t="shared" si="21"/>
        <v>0</v>
      </c>
      <c r="K71" s="4">
        <f t="shared" si="21"/>
        <v>0</v>
      </c>
      <c r="L71" s="4">
        <f t="shared" si="21"/>
        <v>0</v>
      </c>
    </row>
    <row r="72" spans="8:12" hidden="1" x14ac:dyDescent="0.25">
      <c r="H72" s="4">
        <f t="shared" si="21"/>
        <v>0</v>
      </c>
      <c r="I72" s="4">
        <f t="shared" si="21"/>
        <v>0</v>
      </c>
      <c r="J72" s="4">
        <f t="shared" si="21"/>
        <v>0</v>
      </c>
      <c r="K72" s="4">
        <f t="shared" si="21"/>
        <v>0</v>
      </c>
      <c r="L72" s="4">
        <f t="shared" si="21"/>
        <v>0</v>
      </c>
    </row>
    <row r="73" spans="8:12" hidden="1" x14ac:dyDescent="0.25">
      <c r="H73" s="4">
        <f t="shared" si="21"/>
        <v>0</v>
      </c>
      <c r="I73" s="4">
        <f t="shared" si="21"/>
        <v>0</v>
      </c>
      <c r="J73" s="4">
        <f t="shared" si="21"/>
        <v>0</v>
      </c>
      <c r="K73" s="4">
        <f t="shared" si="21"/>
        <v>0</v>
      </c>
      <c r="L73" s="4">
        <f t="shared" si="21"/>
        <v>0</v>
      </c>
    </row>
    <row r="74" spans="8:12" hidden="1" x14ac:dyDescent="0.25">
      <c r="H74" s="4">
        <f t="shared" ref="H74:L83" si="22">AT2</f>
        <v>0</v>
      </c>
      <c r="I74" s="4">
        <f t="shared" si="22"/>
        <v>0</v>
      </c>
      <c r="J74" s="4">
        <f t="shared" si="22"/>
        <v>0</v>
      </c>
      <c r="K74" s="4">
        <f t="shared" si="22"/>
        <v>0</v>
      </c>
      <c r="L74" s="4">
        <f t="shared" si="22"/>
        <v>0</v>
      </c>
    </row>
    <row r="75" spans="8:12" hidden="1" x14ac:dyDescent="0.25">
      <c r="H75" s="4">
        <f t="shared" si="22"/>
        <v>0</v>
      </c>
      <c r="I75" s="4">
        <f t="shared" si="22"/>
        <v>0</v>
      </c>
      <c r="J75" s="4">
        <f t="shared" si="22"/>
        <v>0</v>
      </c>
      <c r="K75" s="4">
        <f t="shared" si="22"/>
        <v>0</v>
      </c>
      <c r="L75" s="4">
        <f t="shared" si="22"/>
        <v>0</v>
      </c>
    </row>
    <row r="76" spans="8:12" hidden="1" x14ac:dyDescent="0.25"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0</v>
      </c>
    </row>
    <row r="77" spans="8:12" hidden="1" x14ac:dyDescent="0.25">
      <c r="H77" s="4">
        <f t="shared" si="22"/>
        <v>0</v>
      </c>
      <c r="I77" s="4">
        <f t="shared" si="22"/>
        <v>0</v>
      </c>
      <c r="J77" s="4">
        <f t="shared" si="22"/>
        <v>0</v>
      </c>
      <c r="K77" s="4">
        <f t="shared" si="22"/>
        <v>0</v>
      </c>
      <c r="L77" s="4">
        <f t="shared" si="22"/>
        <v>0</v>
      </c>
    </row>
    <row r="78" spans="8:12" hidden="1" x14ac:dyDescent="0.25">
      <c r="H78" s="4">
        <f t="shared" si="22"/>
        <v>0</v>
      </c>
      <c r="I78" s="4">
        <f t="shared" si="22"/>
        <v>0</v>
      </c>
      <c r="J78" s="4">
        <f t="shared" si="22"/>
        <v>0</v>
      </c>
      <c r="K78" s="4">
        <f t="shared" si="22"/>
        <v>0</v>
      </c>
      <c r="L78" s="4">
        <f t="shared" si="22"/>
        <v>0</v>
      </c>
    </row>
    <row r="79" spans="8:12" hidden="1" x14ac:dyDescent="0.25">
      <c r="H79" s="4">
        <f t="shared" si="22"/>
        <v>0</v>
      </c>
      <c r="I79" s="4">
        <f t="shared" si="22"/>
        <v>0</v>
      </c>
      <c r="J79" s="4">
        <f t="shared" si="22"/>
        <v>0</v>
      </c>
      <c r="K79" s="4">
        <f t="shared" si="22"/>
        <v>0</v>
      </c>
      <c r="L79" s="4">
        <f t="shared" si="22"/>
        <v>0</v>
      </c>
    </row>
    <row r="80" spans="8:12" hidden="1" x14ac:dyDescent="0.25">
      <c r="H80" s="4">
        <f t="shared" si="22"/>
        <v>0</v>
      </c>
      <c r="I80" s="4">
        <f t="shared" si="22"/>
        <v>0</v>
      </c>
      <c r="J80" s="4">
        <f t="shared" si="22"/>
        <v>0</v>
      </c>
      <c r="K80" s="4">
        <f t="shared" si="22"/>
        <v>0</v>
      </c>
      <c r="L80" s="4">
        <f t="shared" si="22"/>
        <v>0</v>
      </c>
    </row>
    <row r="81" spans="8:12" hidden="1" x14ac:dyDescent="0.25">
      <c r="H81" s="4">
        <f t="shared" si="22"/>
        <v>0</v>
      </c>
      <c r="I81" s="4">
        <f t="shared" si="22"/>
        <v>0</v>
      </c>
      <c r="J81" s="4">
        <f t="shared" si="22"/>
        <v>0</v>
      </c>
      <c r="K81" s="4">
        <f t="shared" si="22"/>
        <v>0</v>
      </c>
      <c r="L81" s="4">
        <f t="shared" si="22"/>
        <v>0</v>
      </c>
    </row>
    <row r="82" spans="8:12" hidden="1" x14ac:dyDescent="0.25"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</row>
    <row r="83" spans="8:12" hidden="1" x14ac:dyDescent="0.25">
      <c r="H83" s="4">
        <f t="shared" si="22"/>
        <v>0</v>
      </c>
      <c r="I83" s="4">
        <f t="shared" si="22"/>
        <v>0</v>
      </c>
      <c r="J83" s="4">
        <f t="shared" si="22"/>
        <v>0</v>
      </c>
      <c r="K83" s="4">
        <f t="shared" si="22"/>
        <v>0</v>
      </c>
      <c r="L83" s="4">
        <f t="shared" si="22"/>
        <v>0</v>
      </c>
    </row>
    <row r="84" spans="8:12" hidden="1" x14ac:dyDescent="0.25">
      <c r="H84" s="4">
        <f t="shared" ref="H84:L93" si="23">AZ2</f>
        <v>0</v>
      </c>
      <c r="I84" s="4">
        <f t="shared" si="23"/>
        <v>0</v>
      </c>
      <c r="J84" s="4">
        <f t="shared" si="23"/>
        <v>0</v>
      </c>
      <c r="K84" s="4">
        <f t="shared" si="23"/>
        <v>0</v>
      </c>
      <c r="L84" s="4">
        <f t="shared" si="23"/>
        <v>0</v>
      </c>
    </row>
    <row r="85" spans="8:12" hidden="1" x14ac:dyDescent="0.25">
      <c r="H85" s="4">
        <f t="shared" si="23"/>
        <v>0</v>
      </c>
      <c r="I85" s="4">
        <f t="shared" si="23"/>
        <v>0</v>
      </c>
      <c r="J85" s="4">
        <f t="shared" si="23"/>
        <v>0</v>
      </c>
      <c r="K85" s="4">
        <f t="shared" si="23"/>
        <v>0</v>
      </c>
      <c r="L85" s="4">
        <f t="shared" si="23"/>
        <v>0</v>
      </c>
    </row>
    <row r="86" spans="8:12" hidden="1" x14ac:dyDescent="0.25">
      <c r="H86" s="4">
        <f t="shared" si="23"/>
        <v>0</v>
      </c>
      <c r="I86" s="4">
        <f t="shared" si="23"/>
        <v>0</v>
      </c>
      <c r="J86" s="4">
        <f t="shared" si="23"/>
        <v>0</v>
      </c>
      <c r="K86" s="4">
        <f t="shared" si="23"/>
        <v>0</v>
      </c>
      <c r="L86" s="4">
        <f t="shared" si="23"/>
        <v>0</v>
      </c>
    </row>
    <row r="87" spans="8:12" hidden="1" x14ac:dyDescent="0.25">
      <c r="H87" s="4">
        <f t="shared" si="23"/>
        <v>0</v>
      </c>
      <c r="I87" s="4">
        <f t="shared" si="23"/>
        <v>0</v>
      </c>
      <c r="J87" s="4">
        <f t="shared" si="23"/>
        <v>0</v>
      </c>
      <c r="K87" s="4">
        <f t="shared" si="23"/>
        <v>0</v>
      </c>
      <c r="L87" s="4">
        <f t="shared" si="23"/>
        <v>0</v>
      </c>
    </row>
    <row r="88" spans="8:12" hidden="1" x14ac:dyDescent="0.25">
      <c r="H88" s="4">
        <f t="shared" si="23"/>
        <v>0</v>
      </c>
      <c r="I88" s="4">
        <f t="shared" si="23"/>
        <v>0</v>
      </c>
      <c r="J88" s="4">
        <f t="shared" si="23"/>
        <v>0</v>
      </c>
      <c r="K88" s="4">
        <f t="shared" si="23"/>
        <v>0</v>
      </c>
      <c r="L88" s="4">
        <f t="shared" si="23"/>
        <v>0</v>
      </c>
    </row>
    <row r="89" spans="8:12" hidden="1" x14ac:dyDescent="0.25">
      <c r="H89" s="4">
        <f t="shared" si="23"/>
        <v>0</v>
      </c>
      <c r="I89" s="4">
        <f t="shared" si="23"/>
        <v>0</v>
      </c>
      <c r="J89" s="4">
        <f t="shared" si="23"/>
        <v>0</v>
      </c>
      <c r="K89" s="4">
        <f t="shared" si="23"/>
        <v>0</v>
      </c>
      <c r="L89" s="4">
        <f t="shared" si="23"/>
        <v>0</v>
      </c>
    </row>
    <row r="90" spans="8:12" hidden="1" x14ac:dyDescent="0.25">
      <c r="H90" s="4">
        <f t="shared" si="23"/>
        <v>0</v>
      </c>
      <c r="I90" s="4">
        <f t="shared" si="23"/>
        <v>0</v>
      </c>
      <c r="J90" s="4">
        <f t="shared" si="23"/>
        <v>0</v>
      </c>
      <c r="K90" s="4">
        <f t="shared" si="23"/>
        <v>0</v>
      </c>
      <c r="L90" s="4">
        <f t="shared" si="23"/>
        <v>0</v>
      </c>
    </row>
    <row r="91" spans="8:12" hidden="1" x14ac:dyDescent="0.25">
      <c r="H91" s="4">
        <f t="shared" si="23"/>
        <v>0</v>
      </c>
      <c r="I91" s="4">
        <f t="shared" si="23"/>
        <v>0</v>
      </c>
      <c r="J91" s="4">
        <f t="shared" si="23"/>
        <v>0</v>
      </c>
      <c r="K91" s="4">
        <f t="shared" si="23"/>
        <v>0</v>
      </c>
      <c r="L91" s="4">
        <f t="shared" si="23"/>
        <v>0</v>
      </c>
    </row>
    <row r="92" spans="8:12" hidden="1" x14ac:dyDescent="0.25">
      <c r="H92" s="4">
        <f t="shared" si="23"/>
        <v>0</v>
      </c>
      <c r="I92" s="4">
        <f t="shared" si="23"/>
        <v>0</v>
      </c>
      <c r="J92" s="4">
        <f t="shared" si="23"/>
        <v>0</v>
      </c>
      <c r="K92" s="4">
        <f t="shared" si="23"/>
        <v>0</v>
      </c>
      <c r="L92" s="4">
        <f t="shared" si="23"/>
        <v>0</v>
      </c>
    </row>
    <row r="93" spans="8:12" hidden="1" x14ac:dyDescent="0.25">
      <c r="H93" s="4">
        <f t="shared" si="23"/>
        <v>0</v>
      </c>
      <c r="I93" s="4">
        <f t="shared" si="23"/>
        <v>0</v>
      </c>
      <c r="J93" s="4">
        <f t="shared" si="23"/>
        <v>0</v>
      </c>
      <c r="K93" s="4">
        <f t="shared" si="23"/>
        <v>0</v>
      </c>
      <c r="L93" s="4">
        <f t="shared" si="23"/>
        <v>0</v>
      </c>
    </row>
    <row r="94" spans="8:12" hidden="1" x14ac:dyDescent="0.25">
      <c r="H94" s="4">
        <f t="shared" ref="H94:L103" si="24">BF2</f>
        <v>0</v>
      </c>
      <c r="I94" s="4">
        <f t="shared" si="24"/>
        <v>0</v>
      </c>
      <c r="J94" s="4">
        <f t="shared" si="24"/>
        <v>0</v>
      </c>
      <c r="K94" s="4">
        <f t="shared" si="24"/>
        <v>0</v>
      </c>
      <c r="L94" s="4">
        <f t="shared" si="24"/>
        <v>0</v>
      </c>
    </row>
    <row r="95" spans="8:12" hidden="1" x14ac:dyDescent="0.25">
      <c r="H95" s="4">
        <f t="shared" si="24"/>
        <v>0</v>
      </c>
      <c r="I95" s="4">
        <f t="shared" si="24"/>
        <v>0</v>
      </c>
      <c r="J95" s="4">
        <f t="shared" si="24"/>
        <v>0</v>
      </c>
      <c r="K95" s="4">
        <f t="shared" si="24"/>
        <v>0</v>
      </c>
      <c r="L95" s="4">
        <f t="shared" si="24"/>
        <v>0</v>
      </c>
    </row>
    <row r="96" spans="8:12" hidden="1" x14ac:dyDescent="0.25">
      <c r="H96" s="4">
        <f t="shared" si="24"/>
        <v>0</v>
      </c>
      <c r="I96" s="4">
        <f t="shared" si="24"/>
        <v>0</v>
      </c>
      <c r="J96" s="4">
        <f t="shared" si="24"/>
        <v>0</v>
      </c>
      <c r="K96" s="4">
        <f t="shared" si="24"/>
        <v>0</v>
      </c>
      <c r="L96" s="4">
        <f t="shared" si="24"/>
        <v>0</v>
      </c>
    </row>
    <row r="97" spans="8:12" hidden="1" x14ac:dyDescent="0.25">
      <c r="H97" s="4">
        <f t="shared" si="24"/>
        <v>0</v>
      </c>
      <c r="I97" s="4">
        <f t="shared" si="24"/>
        <v>0</v>
      </c>
      <c r="J97" s="4">
        <f t="shared" si="24"/>
        <v>0</v>
      </c>
      <c r="K97" s="4">
        <f t="shared" si="24"/>
        <v>0</v>
      </c>
      <c r="L97" s="4">
        <f t="shared" si="24"/>
        <v>0</v>
      </c>
    </row>
    <row r="98" spans="8:12" hidden="1" x14ac:dyDescent="0.25">
      <c r="H98" s="4">
        <f t="shared" si="24"/>
        <v>0</v>
      </c>
      <c r="I98" s="4">
        <f t="shared" si="24"/>
        <v>0</v>
      </c>
      <c r="J98" s="4">
        <f t="shared" si="24"/>
        <v>0</v>
      </c>
      <c r="K98" s="4">
        <f t="shared" si="24"/>
        <v>0</v>
      </c>
      <c r="L98" s="4">
        <f t="shared" si="24"/>
        <v>0</v>
      </c>
    </row>
    <row r="99" spans="8:12" hidden="1" x14ac:dyDescent="0.25">
      <c r="H99" s="4">
        <f t="shared" si="24"/>
        <v>0</v>
      </c>
      <c r="I99" s="4">
        <f t="shared" si="24"/>
        <v>0</v>
      </c>
      <c r="J99" s="4">
        <f t="shared" si="24"/>
        <v>0</v>
      </c>
      <c r="K99" s="4">
        <f t="shared" si="24"/>
        <v>0</v>
      </c>
      <c r="L99" s="4">
        <f t="shared" si="24"/>
        <v>0</v>
      </c>
    </row>
    <row r="100" spans="8:12" hidden="1" x14ac:dyDescent="0.25">
      <c r="H100" s="4">
        <f t="shared" si="24"/>
        <v>0</v>
      </c>
      <c r="I100" s="4">
        <f t="shared" si="24"/>
        <v>0</v>
      </c>
      <c r="J100" s="4">
        <f t="shared" si="24"/>
        <v>0</v>
      </c>
      <c r="K100" s="4">
        <f t="shared" si="24"/>
        <v>0</v>
      </c>
      <c r="L100" s="4">
        <f t="shared" si="24"/>
        <v>0</v>
      </c>
    </row>
    <row r="101" spans="8:12" hidden="1" x14ac:dyDescent="0.25">
      <c r="H101" s="4">
        <f t="shared" si="24"/>
        <v>0</v>
      </c>
      <c r="I101" s="4">
        <f t="shared" si="24"/>
        <v>0</v>
      </c>
      <c r="J101" s="4">
        <f t="shared" si="24"/>
        <v>0</v>
      </c>
      <c r="K101" s="4">
        <f t="shared" si="24"/>
        <v>0</v>
      </c>
      <c r="L101" s="4">
        <f t="shared" si="24"/>
        <v>0</v>
      </c>
    </row>
    <row r="102" spans="8:12" hidden="1" x14ac:dyDescent="0.25">
      <c r="H102" s="4">
        <f t="shared" si="24"/>
        <v>0</v>
      </c>
      <c r="I102" s="4">
        <f t="shared" si="24"/>
        <v>0</v>
      </c>
      <c r="J102" s="4">
        <f t="shared" si="24"/>
        <v>0</v>
      </c>
      <c r="K102" s="4">
        <f t="shared" si="24"/>
        <v>0</v>
      </c>
      <c r="L102" s="4">
        <f t="shared" si="24"/>
        <v>0</v>
      </c>
    </row>
    <row r="103" spans="8:12" hidden="1" x14ac:dyDescent="0.25">
      <c r="H103" s="4">
        <f t="shared" si="24"/>
        <v>0</v>
      </c>
      <c r="I103" s="4">
        <f t="shared" si="24"/>
        <v>0</v>
      </c>
      <c r="J103" s="4">
        <f t="shared" si="24"/>
        <v>0</v>
      </c>
      <c r="K103" s="4">
        <f t="shared" si="24"/>
        <v>0</v>
      </c>
      <c r="L103" s="4">
        <f t="shared" si="24"/>
        <v>0</v>
      </c>
    </row>
    <row r="104" spans="8:12" hidden="1" x14ac:dyDescent="0.25">
      <c r="H104" s="4">
        <f t="shared" ref="H104:L113" si="25">BL2</f>
        <v>0</v>
      </c>
      <c r="I104" s="4">
        <f t="shared" si="25"/>
        <v>0</v>
      </c>
      <c r="J104" s="4">
        <f t="shared" si="25"/>
        <v>0</v>
      </c>
      <c r="K104" s="4">
        <f t="shared" si="25"/>
        <v>0</v>
      </c>
      <c r="L104" s="4">
        <f t="shared" si="25"/>
        <v>0</v>
      </c>
    </row>
    <row r="105" spans="8:12" hidden="1" x14ac:dyDescent="0.25">
      <c r="H105" s="4">
        <f t="shared" si="25"/>
        <v>0</v>
      </c>
      <c r="I105" s="4">
        <f t="shared" si="25"/>
        <v>0</v>
      </c>
      <c r="J105" s="4">
        <f t="shared" si="25"/>
        <v>0</v>
      </c>
      <c r="K105" s="4">
        <f t="shared" si="25"/>
        <v>0</v>
      </c>
      <c r="L105" s="4">
        <f t="shared" si="25"/>
        <v>0</v>
      </c>
    </row>
    <row r="106" spans="8:12" hidden="1" x14ac:dyDescent="0.25">
      <c r="H106" s="4">
        <f t="shared" si="25"/>
        <v>0</v>
      </c>
      <c r="I106" s="4">
        <f t="shared" si="25"/>
        <v>0</v>
      </c>
      <c r="J106" s="4">
        <f t="shared" si="25"/>
        <v>0</v>
      </c>
      <c r="K106" s="4">
        <f t="shared" si="25"/>
        <v>0</v>
      </c>
      <c r="L106" s="4">
        <f t="shared" si="25"/>
        <v>0</v>
      </c>
    </row>
    <row r="107" spans="8:12" hidden="1" x14ac:dyDescent="0.25">
      <c r="H107" s="4">
        <f t="shared" si="25"/>
        <v>0</v>
      </c>
      <c r="I107" s="4">
        <f t="shared" si="25"/>
        <v>0</v>
      </c>
      <c r="J107" s="4">
        <f t="shared" si="25"/>
        <v>0</v>
      </c>
      <c r="K107" s="4">
        <f t="shared" si="25"/>
        <v>0</v>
      </c>
      <c r="L107" s="4">
        <f t="shared" si="25"/>
        <v>0</v>
      </c>
    </row>
    <row r="108" spans="8:12" hidden="1" x14ac:dyDescent="0.25">
      <c r="H108" s="4">
        <f t="shared" si="25"/>
        <v>0</v>
      </c>
      <c r="I108" s="4">
        <f t="shared" si="25"/>
        <v>0</v>
      </c>
      <c r="J108" s="4">
        <f t="shared" si="25"/>
        <v>0</v>
      </c>
      <c r="K108" s="4">
        <f t="shared" si="25"/>
        <v>0</v>
      </c>
      <c r="L108" s="4">
        <f t="shared" si="25"/>
        <v>0</v>
      </c>
    </row>
    <row r="109" spans="8:12" hidden="1" x14ac:dyDescent="0.25">
      <c r="H109" s="4">
        <f t="shared" si="25"/>
        <v>0</v>
      </c>
      <c r="I109" s="4">
        <f t="shared" si="25"/>
        <v>0</v>
      </c>
      <c r="J109" s="4">
        <f t="shared" si="25"/>
        <v>0</v>
      </c>
      <c r="K109" s="4">
        <f t="shared" si="25"/>
        <v>0</v>
      </c>
      <c r="L109" s="4">
        <f t="shared" si="25"/>
        <v>0</v>
      </c>
    </row>
    <row r="110" spans="8:12" hidden="1" x14ac:dyDescent="0.25">
      <c r="H110" s="4">
        <f t="shared" si="25"/>
        <v>0</v>
      </c>
      <c r="I110" s="4">
        <f t="shared" si="25"/>
        <v>0</v>
      </c>
      <c r="J110" s="4">
        <f t="shared" si="25"/>
        <v>0</v>
      </c>
      <c r="K110" s="4">
        <f t="shared" si="25"/>
        <v>0</v>
      </c>
      <c r="L110" s="4">
        <f t="shared" si="25"/>
        <v>0</v>
      </c>
    </row>
    <row r="111" spans="8:12" hidden="1" x14ac:dyDescent="0.25">
      <c r="H111" s="4">
        <f t="shared" si="25"/>
        <v>0</v>
      </c>
      <c r="I111" s="4">
        <f t="shared" si="25"/>
        <v>0</v>
      </c>
      <c r="J111" s="4">
        <f t="shared" si="25"/>
        <v>0</v>
      </c>
      <c r="K111" s="4">
        <f t="shared" si="25"/>
        <v>0</v>
      </c>
      <c r="L111" s="4">
        <f t="shared" si="25"/>
        <v>0</v>
      </c>
    </row>
    <row r="112" spans="8:12" hidden="1" x14ac:dyDescent="0.25">
      <c r="H112" s="4">
        <f t="shared" si="25"/>
        <v>0</v>
      </c>
      <c r="I112" s="4">
        <f t="shared" si="25"/>
        <v>0</v>
      </c>
      <c r="J112" s="4">
        <f t="shared" si="25"/>
        <v>0</v>
      </c>
      <c r="K112" s="4">
        <f t="shared" si="25"/>
        <v>0</v>
      </c>
      <c r="L112" s="4">
        <f t="shared" si="25"/>
        <v>0</v>
      </c>
    </row>
    <row r="113" spans="1:62" hidden="1" x14ac:dyDescent="0.25">
      <c r="H113" s="45">
        <f t="shared" si="25"/>
        <v>0</v>
      </c>
      <c r="I113" s="45">
        <f t="shared" si="25"/>
        <v>0</v>
      </c>
      <c r="J113" s="4">
        <f t="shared" si="25"/>
        <v>0</v>
      </c>
      <c r="K113" s="4">
        <f t="shared" si="25"/>
        <v>0</v>
      </c>
      <c r="L113" s="4">
        <f t="shared" si="25"/>
        <v>0</v>
      </c>
    </row>
    <row r="114" spans="1:62" x14ac:dyDescent="0.25">
      <c r="A114" s="168" t="s">
        <v>85</v>
      </c>
      <c r="B114" s="169"/>
      <c r="C114" s="170"/>
      <c r="D114" s="171">
        <v>46008</v>
      </c>
      <c r="E114" s="172"/>
      <c r="F114" s="172"/>
      <c r="G114" s="172"/>
      <c r="H114" s="46"/>
      <c r="I114" s="54"/>
    </row>
    <row r="115" spans="1:62" ht="15.75" thickBot="1" x14ac:dyDescent="0.3">
      <c r="A115" s="110"/>
      <c r="B115" s="110"/>
      <c r="C115" s="110"/>
      <c r="D115" s="110"/>
      <c r="E115" s="110"/>
      <c r="F115" s="110"/>
      <c r="G115" s="110"/>
      <c r="H115" s="54"/>
      <c r="I115" s="54"/>
    </row>
    <row r="116" spans="1:62" ht="16.5" thickBot="1" x14ac:dyDescent="0.3">
      <c r="A116" s="173" t="s">
        <v>248</v>
      </c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5"/>
      <c r="AH116" s="118" t="s">
        <v>35</v>
      </c>
      <c r="AI116" s="118"/>
      <c r="AJ116" s="118" t="str">
        <f>F2</f>
        <v>AP08</v>
      </c>
      <c r="AK116" s="118"/>
      <c r="AL116" s="118"/>
      <c r="AN116" s="118" t="s">
        <v>35</v>
      </c>
      <c r="AO116" s="118"/>
      <c r="AP116" s="118">
        <f>F3</f>
        <v>0</v>
      </c>
      <c r="AQ116" s="118"/>
      <c r="AR116" s="118"/>
      <c r="AT116" s="118" t="s">
        <v>35</v>
      </c>
      <c r="AU116" s="118"/>
      <c r="AV116" s="118">
        <f>F4</f>
        <v>0</v>
      </c>
      <c r="AW116" s="118"/>
      <c r="AX116" s="118"/>
      <c r="AZ116" s="118" t="s">
        <v>35</v>
      </c>
      <c r="BA116" s="118"/>
      <c r="BB116" s="118">
        <f>F5</f>
        <v>0</v>
      </c>
      <c r="BC116" s="118"/>
      <c r="BD116" s="118"/>
      <c r="BF116" s="118" t="s">
        <v>35</v>
      </c>
      <c r="BG116" s="118"/>
      <c r="BH116" s="118">
        <f>F6</f>
        <v>0</v>
      </c>
      <c r="BI116" s="118"/>
      <c r="BJ116" s="118"/>
    </row>
    <row r="117" spans="1:62" x14ac:dyDescent="0.25">
      <c r="A117" s="123" t="s">
        <v>31</v>
      </c>
      <c r="B117" s="113" t="s">
        <v>22</v>
      </c>
      <c r="C117" s="114"/>
      <c r="D117" s="114"/>
      <c r="E117" s="114"/>
      <c r="F117" s="115"/>
      <c r="G117" s="113" t="s">
        <v>20</v>
      </c>
      <c r="H117" s="114"/>
      <c r="I117" s="114"/>
      <c r="J117" s="114"/>
      <c r="K117" s="115"/>
      <c r="L117" s="113" t="s">
        <v>34</v>
      </c>
      <c r="M117" s="114"/>
      <c r="N117" s="114"/>
      <c r="O117" s="114"/>
      <c r="P117" s="115"/>
      <c r="Q117" s="113" t="s">
        <v>127</v>
      </c>
      <c r="R117" s="114"/>
      <c r="S117" s="114"/>
      <c r="T117" s="114"/>
      <c r="U117" s="115"/>
      <c r="V117" s="113" t="s">
        <v>129</v>
      </c>
      <c r="W117" s="114"/>
      <c r="X117" s="114"/>
      <c r="Y117" s="114"/>
      <c r="Z117" s="115"/>
      <c r="AA117" s="113" t="s">
        <v>26</v>
      </c>
      <c r="AB117" s="114"/>
      <c r="AC117" s="114"/>
      <c r="AD117" s="114"/>
      <c r="AE117" s="115"/>
      <c r="AF117" s="116" t="s">
        <v>24</v>
      </c>
      <c r="AG117" s="116" t="s">
        <v>86</v>
      </c>
      <c r="AH117" s="118" t="str">
        <f>G2</f>
        <v>PAWAN PUTRA AGENCY</v>
      </c>
      <c r="AI117" s="118"/>
      <c r="AJ117" s="118"/>
      <c r="AK117" s="118"/>
      <c r="AL117" s="118"/>
      <c r="AN117" s="118">
        <f>G3</f>
        <v>0</v>
      </c>
      <c r="AO117" s="118"/>
      <c r="AP117" s="118"/>
      <c r="AQ117" s="118"/>
      <c r="AR117" s="118"/>
      <c r="AT117" s="118">
        <f>G4</f>
        <v>0</v>
      </c>
      <c r="AU117" s="118"/>
      <c r="AV117" s="118"/>
      <c r="AW117" s="118"/>
      <c r="AX117" s="118"/>
      <c r="AZ117" s="118">
        <f>G5</f>
        <v>0</v>
      </c>
      <c r="BA117" s="118"/>
      <c r="BB117" s="118"/>
      <c r="BC117" s="118"/>
      <c r="BD117" s="118"/>
      <c r="BF117" s="118">
        <f>G6</f>
        <v>0</v>
      </c>
      <c r="BG117" s="118"/>
      <c r="BH117" s="118"/>
      <c r="BI117" s="118"/>
      <c r="BJ117" s="118"/>
    </row>
    <row r="118" spans="1:62" ht="15.75" thickBot="1" x14ac:dyDescent="0.3">
      <c r="A118" s="124"/>
      <c r="B118" s="9" t="s">
        <v>32</v>
      </c>
      <c r="C118" s="12" t="s">
        <v>17</v>
      </c>
      <c r="D118" s="12" t="s">
        <v>19</v>
      </c>
      <c r="E118" s="12" t="s">
        <v>33</v>
      </c>
      <c r="F118" s="14" t="s">
        <v>80</v>
      </c>
      <c r="G118" s="9" t="s">
        <v>32</v>
      </c>
      <c r="H118" s="12" t="s">
        <v>17</v>
      </c>
      <c r="I118" s="12" t="s">
        <v>19</v>
      </c>
      <c r="J118" s="12" t="s">
        <v>33</v>
      </c>
      <c r="K118" s="14" t="s">
        <v>80</v>
      </c>
      <c r="L118" s="9" t="s">
        <v>32</v>
      </c>
      <c r="M118" s="12" t="s">
        <v>17</v>
      </c>
      <c r="N118" s="12" t="s">
        <v>19</v>
      </c>
      <c r="O118" s="12" t="s">
        <v>33</v>
      </c>
      <c r="P118" s="14" t="s">
        <v>80</v>
      </c>
      <c r="Q118" s="9" t="s">
        <v>32</v>
      </c>
      <c r="R118" s="12" t="s">
        <v>17</v>
      </c>
      <c r="S118" s="12" t="s">
        <v>19</v>
      </c>
      <c r="T118" s="12" t="s">
        <v>33</v>
      </c>
      <c r="U118" s="14" t="s">
        <v>80</v>
      </c>
      <c r="V118" s="9" t="s">
        <v>32</v>
      </c>
      <c r="W118" s="12" t="s">
        <v>17</v>
      </c>
      <c r="X118" s="12" t="s">
        <v>19</v>
      </c>
      <c r="Y118" s="12" t="s">
        <v>33</v>
      </c>
      <c r="Z118" s="14" t="s">
        <v>80</v>
      </c>
      <c r="AA118" s="9" t="s">
        <v>32</v>
      </c>
      <c r="AB118" s="12" t="s">
        <v>17</v>
      </c>
      <c r="AC118" s="12" t="s">
        <v>19</v>
      </c>
      <c r="AD118" s="12" t="s">
        <v>33</v>
      </c>
      <c r="AE118" s="14" t="s">
        <v>80</v>
      </c>
      <c r="AF118" s="117"/>
      <c r="AG118" s="117"/>
      <c r="AH118" s="118" t="str">
        <f>H2</f>
        <v>TIRUPATHI</v>
      </c>
      <c r="AI118" s="118"/>
      <c r="AJ118" s="118"/>
      <c r="AK118" s="118"/>
      <c r="AL118" s="118"/>
      <c r="AN118" s="118">
        <f>H3</f>
        <v>0</v>
      </c>
      <c r="AO118" s="118"/>
      <c r="AP118" s="118"/>
      <c r="AQ118" s="118"/>
      <c r="AR118" s="118"/>
      <c r="AT118" s="118">
        <f>H4</f>
        <v>0</v>
      </c>
      <c r="AU118" s="118"/>
      <c r="AV118" s="118"/>
      <c r="AW118" s="118"/>
      <c r="AX118" s="118"/>
      <c r="AZ118" s="118">
        <f>H5</f>
        <v>0</v>
      </c>
      <c r="BA118" s="118"/>
      <c r="BB118" s="118"/>
      <c r="BC118" s="118"/>
      <c r="BD118" s="118"/>
      <c r="BF118" s="118">
        <f>H6</f>
        <v>0</v>
      </c>
      <c r="BG118" s="118"/>
      <c r="BH118" s="118"/>
      <c r="BI118" s="118"/>
      <c r="BJ118" s="118"/>
    </row>
    <row r="119" spans="1:62" ht="15.75" thickBot="1" x14ac:dyDescent="0.3">
      <c r="A119" s="16">
        <v>300</v>
      </c>
      <c r="B119" s="10">
        <f t="shared" ref="B119:F127" si="26">SUMIFS($J$14:$J$113,$I$14:$I$113,$A119,$K$14:$K$113,B$118,$L$14:$L$113,$B$117,$H$14:$H$113,"AG")</f>
        <v>0</v>
      </c>
      <c r="C119" s="11">
        <f t="shared" si="26"/>
        <v>0</v>
      </c>
      <c r="D119" s="11">
        <f t="shared" si="26"/>
        <v>0</v>
      </c>
      <c r="E119" s="11">
        <f t="shared" si="26"/>
        <v>0</v>
      </c>
      <c r="F119" s="17">
        <f t="shared" si="26"/>
        <v>0</v>
      </c>
      <c r="G119" s="10">
        <f t="shared" ref="G119:K127" si="27">SUMIFS($J$14:$J$113,$I$14:$I$113,$A119,$K$14:$K$113,G$118,$L$14:$L$113,$G$117,$H$14:$H$113,"AG")</f>
        <v>0</v>
      </c>
      <c r="H119" s="11">
        <f t="shared" si="27"/>
        <v>0</v>
      </c>
      <c r="I119" s="11">
        <f t="shared" si="27"/>
        <v>0</v>
      </c>
      <c r="J119" s="11">
        <f t="shared" si="27"/>
        <v>0</v>
      </c>
      <c r="K119" s="17">
        <f t="shared" si="27"/>
        <v>0</v>
      </c>
      <c r="L119" s="10">
        <f t="shared" ref="L119:P127" si="28">SUMIFS($J$14:$J$113,$I$14:$I$113,$A119,$K$14:$K$113,L$118,$L$14:$L$113,$L$117,$H$14:$H$113,"AG")</f>
        <v>0</v>
      </c>
      <c r="M119" s="11">
        <f t="shared" si="28"/>
        <v>0</v>
      </c>
      <c r="N119" s="11">
        <f t="shared" si="28"/>
        <v>0</v>
      </c>
      <c r="O119" s="11">
        <f t="shared" si="28"/>
        <v>0</v>
      </c>
      <c r="P119" s="17">
        <f t="shared" si="28"/>
        <v>0</v>
      </c>
      <c r="Q119" s="10">
        <f t="shared" ref="Q119:U127" si="29">SUMIFS($J$14:$J$113,$I$14:$I$113,$A119,$K$14:$K$113,Q$118,$L$14:$L$113,$Q$117,$H$14:$H$113,"AG")</f>
        <v>0</v>
      </c>
      <c r="R119" s="11">
        <f t="shared" si="29"/>
        <v>0</v>
      </c>
      <c r="S119" s="11">
        <f t="shared" si="29"/>
        <v>0</v>
      </c>
      <c r="T119" s="11">
        <f t="shared" si="29"/>
        <v>0</v>
      </c>
      <c r="U119" s="17">
        <f t="shared" si="29"/>
        <v>0</v>
      </c>
      <c r="V119" s="10">
        <f t="shared" ref="V119:AE127" si="30">SUMIFS($J$14:$J$113,$I$14:$I$113,$A119,$K$14:$K$113,V$118,$L$14:$L$113,$L$117,$H$14:$H$113,"AG")</f>
        <v>0</v>
      </c>
      <c r="W119" s="11">
        <f t="shared" si="30"/>
        <v>0</v>
      </c>
      <c r="X119" s="11">
        <f t="shared" si="30"/>
        <v>0</v>
      </c>
      <c r="Y119" s="11">
        <f t="shared" si="30"/>
        <v>0</v>
      </c>
      <c r="Z119" s="17">
        <f t="shared" si="30"/>
        <v>0</v>
      </c>
      <c r="AA119" s="10">
        <f t="shared" si="30"/>
        <v>0</v>
      </c>
      <c r="AB119" s="11">
        <f t="shared" si="30"/>
        <v>0</v>
      </c>
      <c r="AC119" s="11">
        <f t="shared" si="30"/>
        <v>0</v>
      </c>
      <c r="AD119" s="11">
        <f t="shared" si="30"/>
        <v>0</v>
      </c>
      <c r="AE119" s="17">
        <f t="shared" si="30"/>
        <v>0</v>
      </c>
      <c r="AF119" s="16">
        <f>SUM(B119:AE119)*A119</f>
        <v>0</v>
      </c>
      <c r="AG119" s="16">
        <f>SUM(B119:AE119)</f>
        <v>0</v>
      </c>
      <c r="AH119" s="30" t="s">
        <v>136</v>
      </c>
      <c r="AI119" s="30" t="s">
        <v>27</v>
      </c>
      <c r="AJ119" s="30" t="s">
        <v>28</v>
      </c>
      <c r="AK119" s="30" t="s">
        <v>29</v>
      </c>
      <c r="AL119" s="30" t="s">
        <v>30</v>
      </c>
      <c r="AN119" s="30" t="s">
        <v>136</v>
      </c>
      <c r="AO119" s="30" t="s">
        <v>27</v>
      </c>
      <c r="AP119" s="30" t="s">
        <v>28</v>
      </c>
      <c r="AQ119" s="30" t="s">
        <v>29</v>
      </c>
      <c r="AR119" s="30" t="s">
        <v>30</v>
      </c>
      <c r="AT119" s="30" t="s">
        <v>136</v>
      </c>
      <c r="AU119" s="30" t="s">
        <v>27</v>
      </c>
      <c r="AV119" s="30" t="s">
        <v>28</v>
      </c>
      <c r="AW119" s="30" t="s">
        <v>29</v>
      </c>
      <c r="AX119" s="30" t="s">
        <v>30</v>
      </c>
      <c r="AZ119" s="30" t="s">
        <v>136</v>
      </c>
      <c r="BA119" s="30" t="s">
        <v>27</v>
      </c>
      <c r="BB119" s="30" t="s">
        <v>28</v>
      </c>
      <c r="BC119" s="30" t="s">
        <v>29</v>
      </c>
      <c r="BD119" s="30" t="s">
        <v>30</v>
      </c>
      <c r="BF119" s="30" t="s">
        <v>136</v>
      </c>
      <c r="BG119" s="30" t="s">
        <v>27</v>
      </c>
      <c r="BH119" s="30" t="s">
        <v>28</v>
      </c>
      <c r="BI119" s="30" t="s">
        <v>29</v>
      </c>
      <c r="BJ119" s="30" t="s">
        <v>30</v>
      </c>
    </row>
    <row r="120" spans="1:62" x14ac:dyDescent="0.25">
      <c r="A120" s="16">
        <v>500</v>
      </c>
      <c r="B120" s="10">
        <f t="shared" si="26"/>
        <v>0</v>
      </c>
      <c r="C120" s="11">
        <f t="shared" si="26"/>
        <v>20</v>
      </c>
      <c r="D120" s="11">
        <f t="shared" si="26"/>
        <v>0</v>
      </c>
      <c r="E120" s="11">
        <f t="shared" si="26"/>
        <v>0</v>
      </c>
      <c r="F120" s="17">
        <f t="shared" si="26"/>
        <v>0</v>
      </c>
      <c r="G120" s="10">
        <f t="shared" si="27"/>
        <v>0</v>
      </c>
      <c r="H120" s="11">
        <f t="shared" si="27"/>
        <v>0</v>
      </c>
      <c r="I120" s="11">
        <f t="shared" si="27"/>
        <v>0</v>
      </c>
      <c r="J120" s="11">
        <f t="shared" si="27"/>
        <v>0</v>
      </c>
      <c r="K120" s="17">
        <f t="shared" si="27"/>
        <v>0</v>
      </c>
      <c r="L120" s="10">
        <f t="shared" si="28"/>
        <v>0</v>
      </c>
      <c r="M120" s="11">
        <f t="shared" si="28"/>
        <v>0</v>
      </c>
      <c r="N120" s="11">
        <f t="shared" si="28"/>
        <v>0</v>
      </c>
      <c r="O120" s="11">
        <f t="shared" si="28"/>
        <v>0</v>
      </c>
      <c r="P120" s="17">
        <f t="shared" si="28"/>
        <v>0</v>
      </c>
      <c r="Q120" s="10">
        <f t="shared" si="29"/>
        <v>0</v>
      </c>
      <c r="R120" s="11">
        <f t="shared" si="29"/>
        <v>0</v>
      </c>
      <c r="S120" s="11">
        <f t="shared" si="29"/>
        <v>0</v>
      </c>
      <c r="T120" s="11">
        <f t="shared" si="29"/>
        <v>0</v>
      </c>
      <c r="U120" s="17">
        <f t="shared" si="29"/>
        <v>0</v>
      </c>
      <c r="V120" s="10">
        <f t="shared" si="30"/>
        <v>0</v>
      </c>
      <c r="W120" s="11">
        <f t="shared" si="30"/>
        <v>0</v>
      </c>
      <c r="X120" s="11">
        <f t="shared" si="30"/>
        <v>0</v>
      </c>
      <c r="Y120" s="11">
        <f t="shared" si="30"/>
        <v>0</v>
      </c>
      <c r="Z120" s="17">
        <f t="shared" si="30"/>
        <v>0</v>
      </c>
      <c r="AA120" s="10">
        <f t="shared" si="30"/>
        <v>0</v>
      </c>
      <c r="AB120" s="11">
        <f t="shared" si="30"/>
        <v>0</v>
      </c>
      <c r="AC120" s="11">
        <f t="shared" si="30"/>
        <v>0</v>
      </c>
      <c r="AD120" s="11">
        <f t="shared" si="30"/>
        <v>0</v>
      </c>
      <c r="AE120" s="17">
        <f t="shared" si="30"/>
        <v>0</v>
      </c>
      <c r="AF120" s="16">
        <f t="shared" ref="AF120:AF127" si="31">SUM(B120:AE120)*A120</f>
        <v>10000</v>
      </c>
      <c r="AG120" s="16">
        <f t="shared" ref="AG120:AG128" si="32">SUM(B120:AE120)</f>
        <v>20</v>
      </c>
      <c r="AH120" s="16" t="str">
        <f>J2</f>
        <v>AG</v>
      </c>
      <c r="AI120" s="10">
        <f>K2</f>
        <v>1500</v>
      </c>
      <c r="AJ120" s="11">
        <f>L2</f>
        <v>8</v>
      </c>
      <c r="AK120" s="11" t="str">
        <f>M2</f>
        <v>Y</v>
      </c>
      <c r="AL120" s="17" t="str">
        <f>N2</f>
        <v>3L</v>
      </c>
      <c r="AN120" s="16">
        <f>J3</f>
        <v>0</v>
      </c>
      <c r="AO120" s="10">
        <f>K3</f>
        <v>0</v>
      </c>
      <c r="AP120" s="11">
        <f>L3</f>
        <v>0</v>
      </c>
      <c r="AQ120" s="11">
        <f>M3</f>
        <v>0</v>
      </c>
      <c r="AR120" s="17">
        <f>N3</f>
        <v>0</v>
      </c>
      <c r="AT120" s="16">
        <f>J4</f>
        <v>0</v>
      </c>
      <c r="AU120" s="10">
        <f>K4</f>
        <v>0</v>
      </c>
      <c r="AV120" s="11">
        <f>L4</f>
        <v>0</v>
      </c>
      <c r="AW120" s="11">
        <f>M4</f>
        <v>0</v>
      </c>
      <c r="AX120" s="17">
        <f>N4</f>
        <v>0</v>
      </c>
      <c r="AZ120" s="16">
        <f>J5</f>
        <v>0</v>
      </c>
      <c r="BA120" s="10">
        <f>K5</f>
        <v>0</v>
      </c>
      <c r="BB120" s="11">
        <f>L5</f>
        <v>0</v>
      </c>
      <c r="BC120" s="11">
        <f>M5</f>
        <v>0</v>
      </c>
      <c r="BD120" s="17">
        <f>N5</f>
        <v>0</v>
      </c>
      <c r="BF120" s="16">
        <f>J6</f>
        <v>0</v>
      </c>
      <c r="BG120" s="10">
        <f>K6</f>
        <v>0</v>
      </c>
      <c r="BH120" s="11">
        <f>L6</f>
        <v>0</v>
      </c>
      <c r="BI120" s="11">
        <f>M6</f>
        <v>0</v>
      </c>
      <c r="BJ120" s="17">
        <f>N6</f>
        <v>0</v>
      </c>
    </row>
    <row r="121" spans="1:62" x14ac:dyDescent="0.25">
      <c r="A121" s="15">
        <v>750</v>
      </c>
      <c r="B121" s="8">
        <f t="shared" si="26"/>
        <v>0</v>
      </c>
      <c r="C121" s="6">
        <f t="shared" si="26"/>
        <v>10</v>
      </c>
      <c r="D121" s="6">
        <f t="shared" si="26"/>
        <v>0</v>
      </c>
      <c r="E121" s="6">
        <f t="shared" si="26"/>
        <v>0</v>
      </c>
      <c r="F121" s="13">
        <f t="shared" si="26"/>
        <v>0</v>
      </c>
      <c r="G121" s="8">
        <f t="shared" si="27"/>
        <v>0</v>
      </c>
      <c r="H121" s="6">
        <f t="shared" si="27"/>
        <v>0</v>
      </c>
      <c r="I121" s="6">
        <f t="shared" si="27"/>
        <v>0</v>
      </c>
      <c r="J121" s="6">
        <f t="shared" si="27"/>
        <v>0</v>
      </c>
      <c r="K121" s="13">
        <f t="shared" si="27"/>
        <v>0</v>
      </c>
      <c r="L121" s="8">
        <f t="shared" si="28"/>
        <v>0</v>
      </c>
      <c r="M121" s="6">
        <f t="shared" si="28"/>
        <v>0</v>
      </c>
      <c r="N121" s="6">
        <f t="shared" si="28"/>
        <v>0</v>
      </c>
      <c r="O121" s="6">
        <f t="shared" si="28"/>
        <v>0</v>
      </c>
      <c r="P121" s="13">
        <f t="shared" si="28"/>
        <v>0</v>
      </c>
      <c r="Q121" s="8">
        <f t="shared" si="29"/>
        <v>0</v>
      </c>
      <c r="R121" s="6">
        <f t="shared" si="29"/>
        <v>0</v>
      </c>
      <c r="S121" s="6">
        <f t="shared" si="29"/>
        <v>0</v>
      </c>
      <c r="T121" s="6">
        <f t="shared" si="29"/>
        <v>0</v>
      </c>
      <c r="U121" s="13">
        <f t="shared" si="29"/>
        <v>0</v>
      </c>
      <c r="V121" s="8">
        <f t="shared" si="30"/>
        <v>0</v>
      </c>
      <c r="W121" s="6">
        <f t="shared" si="30"/>
        <v>0</v>
      </c>
      <c r="X121" s="6">
        <f t="shared" si="30"/>
        <v>0</v>
      </c>
      <c r="Y121" s="6">
        <f t="shared" si="30"/>
        <v>0</v>
      </c>
      <c r="Z121" s="13">
        <f t="shared" si="30"/>
        <v>0</v>
      </c>
      <c r="AA121" s="8">
        <f t="shared" si="30"/>
        <v>0</v>
      </c>
      <c r="AB121" s="6">
        <f t="shared" si="30"/>
        <v>0</v>
      </c>
      <c r="AC121" s="6">
        <f t="shared" si="30"/>
        <v>0</v>
      </c>
      <c r="AD121" s="6">
        <f t="shared" si="30"/>
        <v>0</v>
      </c>
      <c r="AE121" s="13">
        <f t="shared" si="30"/>
        <v>0</v>
      </c>
      <c r="AF121" s="16">
        <f t="shared" si="31"/>
        <v>7500</v>
      </c>
      <c r="AG121" s="16">
        <f t="shared" si="32"/>
        <v>10</v>
      </c>
      <c r="AH121" s="15" t="str">
        <f>P2</f>
        <v>AG</v>
      </c>
      <c r="AI121" s="8">
        <f>Q2</f>
        <v>1000</v>
      </c>
      <c r="AJ121" s="6">
        <f>R2</f>
        <v>10</v>
      </c>
      <c r="AK121" s="6" t="str">
        <f>S2</f>
        <v>Y</v>
      </c>
      <c r="AL121" s="13" t="str">
        <f>T2</f>
        <v>3L</v>
      </c>
      <c r="AN121" s="15">
        <f>P3</f>
        <v>0</v>
      </c>
      <c r="AO121" s="8">
        <f>Q3</f>
        <v>0</v>
      </c>
      <c r="AP121" s="6">
        <f>R3</f>
        <v>0</v>
      </c>
      <c r="AQ121" s="6">
        <f>S3</f>
        <v>0</v>
      </c>
      <c r="AR121" s="13">
        <f>T3</f>
        <v>0</v>
      </c>
      <c r="AT121" s="15">
        <f>P4</f>
        <v>0</v>
      </c>
      <c r="AU121" s="8">
        <f>Q4</f>
        <v>0</v>
      </c>
      <c r="AV121" s="6">
        <f>R4</f>
        <v>0</v>
      </c>
      <c r="AW121" s="6">
        <f>S4</f>
        <v>0</v>
      </c>
      <c r="AX121" s="13">
        <f>T4</f>
        <v>0</v>
      </c>
      <c r="AZ121" s="15">
        <f>P5</f>
        <v>0</v>
      </c>
      <c r="BA121" s="8">
        <f>Q5</f>
        <v>0</v>
      </c>
      <c r="BB121" s="6">
        <f>R5</f>
        <v>0</v>
      </c>
      <c r="BC121" s="6">
        <f>S5</f>
        <v>0</v>
      </c>
      <c r="BD121" s="13">
        <f>T5</f>
        <v>0</v>
      </c>
      <c r="BF121" s="15">
        <f>P6</f>
        <v>0</v>
      </c>
      <c r="BG121" s="8">
        <f>Q6</f>
        <v>0</v>
      </c>
      <c r="BH121" s="6">
        <f>R6</f>
        <v>0</v>
      </c>
      <c r="BI121" s="6">
        <f>S6</f>
        <v>0</v>
      </c>
      <c r="BJ121" s="13">
        <f>T6</f>
        <v>0</v>
      </c>
    </row>
    <row r="122" spans="1:62" x14ac:dyDescent="0.25">
      <c r="A122" s="15">
        <v>1000</v>
      </c>
      <c r="B122" s="8">
        <f t="shared" si="26"/>
        <v>0</v>
      </c>
      <c r="C122" s="6">
        <f t="shared" si="26"/>
        <v>10</v>
      </c>
      <c r="D122" s="6">
        <f t="shared" si="26"/>
        <v>0</v>
      </c>
      <c r="E122" s="6">
        <f t="shared" si="26"/>
        <v>0</v>
      </c>
      <c r="F122" s="13">
        <f t="shared" si="26"/>
        <v>0</v>
      </c>
      <c r="G122" s="8">
        <f t="shared" si="27"/>
        <v>0</v>
      </c>
      <c r="H122" s="6">
        <f t="shared" si="27"/>
        <v>0</v>
      </c>
      <c r="I122" s="6">
        <f t="shared" si="27"/>
        <v>0</v>
      </c>
      <c r="J122" s="6">
        <f t="shared" si="27"/>
        <v>0</v>
      </c>
      <c r="K122" s="13">
        <f t="shared" si="27"/>
        <v>0</v>
      </c>
      <c r="L122" s="8">
        <f t="shared" si="28"/>
        <v>0</v>
      </c>
      <c r="M122" s="6">
        <f t="shared" si="28"/>
        <v>0</v>
      </c>
      <c r="N122" s="6">
        <f t="shared" si="28"/>
        <v>0</v>
      </c>
      <c r="O122" s="6">
        <f t="shared" si="28"/>
        <v>0</v>
      </c>
      <c r="P122" s="13">
        <f t="shared" si="28"/>
        <v>0</v>
      </c>
      <c r="Q122" s="8">
        <f t="shared" si="29"/>
        <v>0</v>
      </c>
      <c r="R122" s="6">
        <f t="shared" si="29"/>
        <v>0</v>
      </c>
      <c r="S122" s="6">
        <f t="shared" si="29"/>
        <v>0</v>
      </c>
      <c r="T122" s="6">
        <f t="shared" si="29"/>
        <v>0</v>
      </c>
      <c r="U122" s="13">
        <f t="shared" si="29"/>
        <v>0</v>
      </c>
      <c r="V122" s="8">
        <f t="shared" si="30"/>
        <v>0</v>
      </c>
      <c r="W122" s="6">
        <f t="shared" si="30"/>
        <v>0</v>
      </c>
      <c r="X122" s="6">
        <f t="shared" si="30"/>
        <v>0</v>
      </c>
      <c r="Y122" s="6">
        <f t="shared" si="30"/>
        <v>0</v>
      </c>
      <c r="Z122" s="13">
        <f t="shared" si="30"/>
        <v>0</v>
      </c>
      <c r="AA122" s="8">
        <f t="shared" si="30"/>
        <v>0</v>
      </c>
      <c r="AB122" s="6">
        <f t="shared" si="30"/>
        <v>0</v>
      </c>
      <c r="AC122" s="6">
        <f t="shared" si="30"/>
        <v>0</v>
      </c>
      <c r="AD122" s="6">
        <f t="shared" si="30"/>
        <v>0</v>
      </c>
      <c r="AE122" s="13">
        <f t="shared" si="30"/>
        <v>0</v>
      </c>
      <c r="AF122" s="16">
        <f t="shared" si="31"/>
        <v>10000</v>
      </c>
      <c r="AG122" s="16">
        <f t="shared" si="32"/>
        <v>10</v>
      </c>
      <c r="AH122" s="15" t="str">
        <f>V2</f>
        <v>AG</v>
      </c>
      <c r="AI122" s="8">
        <f>W2</f>
        <v>750</v>
      </c>
      <c r="AJ122" s="6">
        <f>X2</f>
        <v>10</v>
      </c>
      <c r="AK122" s="6" t="str">
        <f>Y2</f>
        <v>Y</v>
      </c>
      <c r="AL122" s="13" t="str">
        <f>Z2</f>
        <v>3L</v>
      </c>
      <c r="AN122" s="15">
        <f>V3</f>
        <v>0</v>
      </c>
      <c r="AO122" s="8">
        <f>W3</f>
        <v>0</v>
      </c>
      <c r="AP122" s="6">
        <f>X3</f>
        <v>0</v>
      </c>
      <c r="AQ122" s="6">
        <f>Y3</f>
        <v>0</v>
      </c>
      <c r="AR122" s="13">
        <f>Z3</f>
        <v>0</v>
      </c>
      <c r="AT122" s="15">
        <f>V4</f>
        <v>0</v>
      </c>
      <c r="AU122" s="8">
        <f>W4</f>
        <v>0</v>
      </c>
      <c r="AV122" s="6">
        <f>X4</f>
        <v>0</v>
      </c>
      <c r="AW122" s="6">
        <f>Y4</f>
        <v>0</v>
      </c>
      <c r="AX122" s="13">
        <f>Z4</f>
        <v>0</v>
      </c>
      <c r="AZ122" s="15">
        <f>V5</f>
        <v>0</v>
      </c>
      <c r="BA122" s="8">
        <f>W5</f>
        <v>0</v>
      </c>
      <c r="BB122" s="6">
        <f>X5</f>
        <v>0</v>
      </c>
      <c r="BC122" s="6">
        <f>Y5</f>
        <v>0</v>
      </c>
      <c r="BD122" s="13">
        <f>Z5</f>
        <v>0</v>
      </c>
      <c r="BF122" s="15">
        <f>V6</f>
        <v>0</v>
      </c>
      <c r="BG122" s="8">
        <f>W6</f>
        <v>0</v>
      </c>
      <c r="BH122" s="6">
        <f>X6</f>
        <v>0</v>
      </c>
      <c r="BI122" s="6">
        <f>Y6</f>
        <v>0</v>
      </c>
      <c r="BJ122" s="13">
        <f>Z6</f>
        <v>0</v>
      </c>
    </row>
    <row r="123" spans="1:62" x14ac:dyDescent="0.25">
      <c r="A123" s="15">
        <v>1500</v>
      </c>
      <c r="B123" s="8">
        <f t="shared" si="26"/>
        <v>0</v>
      </c>
      <c r="C123" s="6">
        <f t="shared" si="26"/>
        <v>8</v>
      </c>
      <c r="D123" s="6">
        <f t="shared" si="26"/>
        <v>0</v>
      </c>
      <c r="E123" s="6">
        <f t="shared" si="26"/>
        <v>0</v>
      </c>
      <c r="F123" s="13">
        <f t="shared" si="26"/>
        <v>0</v>
      </c>
      <c r="G123" s="8">
        <f t="shared" si="27"/>
        <v>0</v>
      </c>
      <c r="H123" s="6">
        <f t="shared" si="27"/>
        <v>0</v>
      </c>
      <c r="I123" s="6">
        <f t="shared" si="27"/>
        <v>0</v>
      </c>
      <c r="J123" s="6">
        <f t="shared" si="27"/>
        <v>0</v>
      </c>
      <c r="K123" s="13">
        <f t="shared" si="27"/>
        <v>0</v>
      </c>
      <c r="L123" s="8">
        <f t="shared" si="28"/>
        <v>0</v>
      </c>
      <c r="M123" s="6">
        <f t="shared" si="28"/>
        <v>0</v>
      </c>
      <c r="N123" s="6">
        <f t="shared" si="28"/>
        <v>0</v>
      </c>
      <c r="O123" s="6">
        <f t="shared" si="28"/>
        <v>0</v>
      </c>
      <c r="P123" s="13">
        <f t="shared" si="28"/>
        <v>0</v>
      </c>
      <c r="Q123" s="8">
        <f t="shared" si="29"/>
        <v>0</v>
      </c>
      <c r="R123" s="6">
        <f t="shared" si="29"/>
        <v>0</v>
      </c>
      <c r="S123" s="6">
        <f t="shared" si="29"/>
        <v>0</v>
      </c>
      <c r="T123" s="6">
        <f t="shared" si="29"/>
        <v>0</v>
      </c>
      <c r="U123" s="13">
        <f t="shared" si="29"/>
        <v>0</v>
      </c>
      <c r="V123" s="8">
        <f t="shared" si="30"/>
        <v>0</v>
      </c>
      <c r="W123" s="6">
        <f t="shared" si="30"/>
        <v>0</v>
      </c>
      <c r="X123" s="6">
        <f t="shared" si="30"/>
        <v>0</v>
      </c>
      <c r="Y123" s="6">
        <f t="shared" si="30"/>
        <v>0</v>
      </c>
      <c r="Z123" s="13">
        <f t="shared" si="30"/>
        <v>0</v>
      </c>
      <c r="AA123" s="8">
        <f t="shared" si="30"/>
        <v>0</v>
      </c>
      <c r="AB123" s="6">
        <f t="shared" si="30"/>
        <v>0</v>
      </c>
      <c r="AC123" s="6">
        <f t="shared" si="30"/>
        <v>0</v>
      </c>
      <c r="AD123" s="6">
        <f t="shared" si="30"/>
        <v>0</v>
      </c>
      <c r="AE123" s="13">
        <f t="shared" si="30"/>
        <v>0</v>
      </c>
      <c r="AF123" s="16">
        <f t="shared" si="31"/>
        <v>12000</v>
      </c>
      <c r="AG123" s="16">
        <f t="shared" si="32"/>
        <v>8</v>
      </c>
      <c r="AH123" s="15" t="str">
        <f>AB2</f>
        <v>AG</v>
      </c>
      <c r="AI123" s="8">
        <f>AC2</f>
        <v>500</v>
      </c>
      <c r="AJ123" s="6">
        <f>AD2</f>
        <v>20</v>
      </c>
      <c r="AK123" s="6" t="str">
        <f>AE2</f>
        <v>Y</v>
      </c>
      <c r="AL123" s="13" t="str">
        <f>AF2</f>
        <v>3L</v>
      </c>
      <c r="AN123" s="15">
        <f>AB3</f>
        <v>0</v>
      </c>
      <c r="AO123" s="8">
        <f>AC3</f>
        <v>0</v>
      </c>
      <c r="AP123" s="6">
        <f>AD3</f>
        <v>0</v>
      </c>
      <c r="AQ123" s="6">
        <f>AE3</f>
        <v>0</v>
      </c>
      <c r="AR123" s="13">
        <f>AF3</f>
        <v>0</v>
      </c>
      <c r="AT123" s="15">
        <f>AB4</f>
        <v>0</v>
      </c>
      <c r="AU123" s="8">
        <f>AC4</f>
        <v>0</v>
      </c>
      <c r="AV123" s="6">
        <f>AD4</f>
        <v>0</v>
      </c>
      <c r="AW123" s="6">
        <f>AE4</f>
        <v>0</v>
      </c>
      <c r="AX123" s="13">
        <f>AF4</f>
        <v>0</v>
      </c>
      <c r="AZ123" s="15">
        <f>AB5</f>
        <v>0</v>
      </c>
      <c r="BA123" s="8">
        <f>AC5</f>
        <v>0</v>
      </c>
      <c r="BB123" s="6">
        <f>AD5</f>
        <v>0</v>
      </c>
      <c r="BC123" s="6">
        <f>AE5</f>
        <v>0</v>
      </c>
      <c r="BD123" s="13">
        <f>AF5</f>
        <v>0</v>
      </c>
      <c r="BF123" s="15">
        <f>AB6</f>
        <v>0</v>
      </c>
      <c r="BG123" s="8">
        <f>AC6</f>
        <v>0</v>
      </c>
      <c r="BH123" s="6">
        <f>AD6</f>
        <v>0</v>
      </c>
      <c r="BI123" s="6">
        <f>AE6</f>
        <v>0</v>
      </c>
      <c r="BJ123" s="13">
        <f>AF6</f>
        <v>0</v>
      </c>
    </row>
    <row r="124" spans="1:62" x14ac:dyDescent="0.25">
      <c r="A124" s="15">
        <v>2000</v>
      </c>
      <c r="B124" s="8">
        <f t="shared" si="26"/>
        <v>0</v>
      </c>
      <c r="C124" s="6">
        <f t="shared" si="26"/>
        <v>0</v>
      </c>
      <c r="D124" s="6">
        <f t="shared" si="26"/>
        <v>0</v>
      </c>
      <c r="E124" s="6">
        <f t="shared" si="26"/>
        <v>0</v>
      </c>
      <c r="F124" s="13">
        <f t="shared" si="26"/>
        <v>0</v>
      </c>
      <c r="G124" s="8">
        <f t="shared" si="27"/>
        <v>0</v>
      </c>
      <c r="H124" s="6">
        <f t="shared" si="27"/>
        <v>0</v>
      </c>
      <c r="I124" s="6">
        <f t="shared" si="27"/>
        <v>0</v>
      </c>
      <c r="J124" s="6">
        <f t="shared" si="27"/>
        <v>0</v>
      </c>
      <c r="K124" s="13">
        <f t="shared" si="27"/>
        <v>0</v>
      </c>
      <c r="L124" s="8">
        <f t="shared" si="28"/>
        <v>0</v>
      </c>
      <c r="M124" s="6">
        <f t="shared" si="28"/>
        <v>0</v>
      </c>
      <c r="N124" s="6">
        <f t="shared" si="28"/>
        <v>0</v>
      </c>
      <c r="O124" s="6">
        <f t="shared" si="28"/>
        <v>0</v>
      </c>
      <c r="P124" s="13">
        <f t="shared" si="28"/>
        <v>0</v>
      </c>
      <c r="Q124" s="8">
        <f t="shared" si="29"/>
        <v>0</v>
      </c>
      <c r="R124" s="6">
        <f t="shared" si="29"/>
        <v>0</v>
      </c>
      <c r="S124" s="6">
        <f t="shared" si="29"/>
        <v>0</v>
      </c>
      <c r="T124" s="6">
        <f t="shared" si="29"/>
        <v>0</v>
      </c>
      <c r="U124" s="13">
        <f t="shared" si="29"/>
        <v>0</v>
      </c>
      <c r="V124" s="8">
        <f t="shared" si="30"/>
        <v>0</v>
      </c>
      <c r="W124" s="6">
        <f t="shared" si="30"/>
        <v>0</v>
      </c>
      <c r="X124" s="6">
        <f t="shared" si="30"/>
        <v>0</v>
      </c>
      <c r="Y124" s="6">
        <f t="shared" si="30"/>
        <v>0</v>
      </c>
      <c r="Z124" s="13">
        <f t="shared" si="30"/>
        <v>0</v>
      </c>
      <c r="AA124" s="8">
        <f t="shared" si="30"/>
        <v>0</v>
      </c>
      <c r="AB124" s="6">
        <f t="shared" si="30"/>
        <v>0</v>
      </c>
      <c r="AC124" s="6">
        <f t="shared" si="30"/>
        <v>0</v>
      </c>
      <c r="AD124" s="6">
        <f t="shared" si="30"/>
        <v>0</v>
      </c>
      <c r="AE124" s="13">
        <f t="shared" si="30"/>
        <v>0</v>
      </c>
      <c r="AF124" s="16">
        <f t="shared" si="31"/>
        <v>0</v>
      </c>
      <c r="AG124" s="16">
        <f t="shared" si="32"/>
        <v>0</v>
      </c>
      <c r="AH124" s="15">
        <f>AH2</f>
        <v>0</v>
      </c>
      <c r="AI124" s="8">
        <f>AI2</f>
        <v>0</v>
      </c>
      <c r="AJ124" s="6">
        <f>AJ2</f>
        <v>0</v>
      </c>
      <c r="AK124" s="6">
        <f>AK2</f>
        <v>0</v>
      </c>
      <c r="AL124" s="13">
        <f>AL2</f>
        <v>0</v>
      </c>
      <c r="AN124" s="15">
        <f>AH3</f>
        <v>0</v>
      </c>
      <c r="AO124" s="8">
        <f>AI3</f>
        <v>0</v>
      </c>
      <c r="AP124" s="6">
        <f>AJ3</f>
        <v>0</v>
      </c>
      <c r="AQ124" s="6">
        <f>AK3</f>
        <v>0</v>
      </c>
      <c r="AR124" s="13">
        <f>AL3</f>
        <v>0</v>
      </c>
      <c r="AT124" s="15">
        <f>AH4</f>
        <v>0</v>
      </c>
      <c r="AU124" s="8">
        <f>AI4</f>
        <v>0</v>
      </c>
      <c r="AV124" s="6">
        <f>AJ4</f>
        <v>0</v>
      </c>
      <c r="AW124" s="6">
        <f>AK4</f>
        <v>0</v>
      </c>
      <c r="AX124" s="13">
        <f>AL4</f>
        <v>0</v>
      </c>
      <c r="AZ124" s="15">
        <f>AH5</f>
        <v>0</v>
      </c>
      <c r="BA124" s="8">
        <f>AI5</f>
        <v>0</v>
      </c>
      <c r="BB124" s="6">
        <f>AJ5</f>
        <v>0</v>
      </c>
      <c r="BC124" s="6">
        <f>AK5</f>
        <v>0</v>
      </c>
      <c r="BD124" s="13">
        <f>AL5</f>
        <v>0</v>
      </c>
      <c r="BF124" s="15">
        <f>AH6</f>
        <v>0</v>
      </c>
      <c r="BG124" s="8">
        <f>AI6</f>
        <v>0</v>
      </c>
      <c r="BH124" s="6">
        <f>AJ6</f>
        <v>0</v>
      </c>
      <c r="BI124" s="6">
        <f>AK6</f>
        <v>0</v>
      </c>
      <c r="BJ124" s="13">
        <f>AL6</f>
        <v>0</v>
      </c>
    </row>
    <row r="125" spans="1:62" x14ac:dyDescent="0.25">
      <c r="A125" s="15">
        <v>3000</v>
      </c>
      <c r="B125" s="8">
        <f t="shared" si="26"/>
        <v>0</v>
      </c>
      <c r="C125" s="6">
        <f t="shared" si="26"/>
        <v>0</v>
      </c>
      <c r="D125" s="6">
        <f t="shared" si="26"/>
        <v>0</v>
      </c>
      <c r="E125" s="6">
        <f t="shared" si="26"/>
        <v>0</v>
      </c>
      <c r="F125" s="13">
        <f t="shared" si="26"/>
        <v>0</v>
      </c>
      <c r="G125" s="8">
        <f t="shared" si="27"/>
        <v>0</v>
      </c>
      <c r="H125" s="6">
        <f t="shared" si="27"/>
        <v>0</v>
      </c>
      <c r="I125" s="6">
        <f t="shared" si="27"/>
        <v>0</v>
      </c>
      <c r="J125" s="6">
        <f t="shared" si="27"/>
        <v>0</v>
      </c>
      <c r="K125" s="13">
        <f t="shared" si="27"/>
        <v>0</v>
      </c>
      <c r="L125" s="8">
        <f t="shared" si="28"/>
        <v>0</v>
      </c>
      <c r="M125" s="6">
        <f t="shared" si="28"/>
        <v>0</v>
      </c>
      <c r="N125" s="6">
        <f t="shared" si="28"/>
        <v>0</v>
      </c>
      <c r="O125" s="6">
        <f t="shared" si="28"/>
        <v>0</v>
      </c>
      <c r="P125" s="13">
        <f t="shared" si="28"/>
        <v>0</v>
      </c>
      <c r="Q125" s="8">
        <f t="shared" si="29"/>
        <v>0</v>
      </c>
      <c r="R125" s="6">
        <f t="shared" si="29"/>
        <v>0</v>
      </c>
      <c r="S125" s="6">
        <f t="shared" si="29"/>
        <v>0</v>
      </c>
      <c r="T125" s="6">
        <f t="shared" si="29"/>
        <v>0</v>
      </c>
      <c r="U125" s="13">
        <f t="shared" si="29"/>
        <v>0</v>
      </c>
      <c r="V125" s="8">
        <f t="shared" si="30"/>
        <v>0</v>
      </c>
      <c r="W125" s="6">
        <f t="shared" si="30"/>
        <v>0</v>
      </c>
      <c r="X125" s="6">
        <f t="shared" si="30"/>
        <v>0</v>
      </c>
      <c r="Y125" s="6">
        <f t="shared" si="30"/>
        <v>0</v>
      </c>
      <c r="Z125" s="13">
        <f t="shared" si="30"/>
        <v>0</v>
      </c>
      <c r="AA125" s="8">
        <f t="shared" si="30"/>
        <v>0</v>
      </c>
      <c r="AB125" s="6">
        <f t="shared" si="30"/>
        <v>0</v>
      </c>
      <c r="AC125" s="6">
        <f t="shared" si="30"/>
        <v>0</v>
      </c>
      <c r="AD125" s="6">
        <f t="shared" si="30"/>
        <v>0</v>
      </c>
      <c r="AE125" s="13">
        <f t="shared" si="30"/>
        <v>0</v>
      </c>
      <c r="AF125" s="16">
        <f t="shared" si="31"/>
        <v>0</v>
      </c>
      <c r="AG125" s="16">
        <f t="shared" si="32"/>
        <v>0</v>
      </c>
      <c r="AH125" s="15">
        <f>AN2</f>
        <v>0</v>
      </c>
      <c r="AI125" s="8">
        <f>AO2</f>
        <v>0</v>
      </c>
      <c r="AJ125" s="6">
        <f>AP2</f>
        <v>0</v>
      </c>
      <c r="AK125" s="6">
        <f>AQ2</f>
        <v>0</v>
      </c>
      <c r="AL125" s="13">
        <f>AR2</f>
        <v>0</v>
      </c>
      <c r="AN125" s="15">
        <f>AN3</f>
        <v>0</v>
      </c>
      <c r="AO125" s="8">
        <f>AO3</f>
        <v>0</v>
      </c>
      <c r="AP125" s="6">
        <f>AP3</f>
        <v>0</v>
      </c>
      <c r="AQ125" s="6">
        <f>AQ3</f>
        <v>0</v>
      </c>
      <c r="AR125" s="13">
        <f>AR3</f>
        <v>0</v>
      </c>
      <c r="AT125" s="15">
        <f>AN4</f>
        <v>0</v>
      </c>
      <c r="AU125" s="8">
        <f>AO4</f>
        <v>0</v>
      </c>
      <c r="AV125" s="6">
        <f>AP4</f>
        <v>0</v>
      </c>
      <c r="AW125" s="6">
        <f>AQ4</f>
        <v>0</v>
      </c>
      <c r="AX125" s="13">
        <f>AR4</f>
        <v>0</v>
      </c>
      <c r="AZ125" s="15">
        <f>AN5</f>
        <v>0</v>
      </c>
      <c r="BA125" s="8">
        <f>AO5</f>
        <v>0</v>
      </c>
      <c r="BB125" s="6">
        <f>AP5</f>
        <v>0</v>
      </c>
      <c r="BC125" s="6">
        <f>AQ5</f>
        <v>0</v>
      </c>
      <c r="BD125" s="13">
        <f>AR5</f>
        <v>0</v>
      </c>
      <c r="BF125" s="15">
        <f>AN6</f>
        <v>0</v>
      </c>
      <c r="BG125" s="8">
        <f>AO6</f>
        <v>0</v>
      </c>
      <c r="BH125" s="6">
        <f>AP6</f>
        <v>0</v>
      </c>
      <c r="BI125" s="6">
        <f>AQ6</f>
        <v>0</v>
      </c>
      <c r="BJ125" s="13">
        <f>AR6</f>
        <v>0</v>
      </c>
    </row>
    <row r="126" spans="1:62" x14ac:dyDescent="0.25">
      <c r="A126" s="15">
        <v>5000</v>
      </c>
      <c r="B126" s="8">
        <f t="shared" si="26"/>
        <v>0</v>
      </c>
      <c r="C126" s="6">
        <f t="shared" si="26"/>
        <v>0</v>
      </c>
      <c r="D126" s="6">
        <f t="shared" si="26"/>
        <v>0</v>
      </c>
      <c r="E126" s="6">
        <f t="shared" si="26"/>
        <v>0</v>
      </c>
      <c r="F126" s="13">
        <f t="shared" si="26"/>
        <v>0</v>
      </c>
      <c r="G126" s="8">
        <f t="shared" si="27"/>
        <v>0</v>
      </c>
      <c r="H126" s="6">
        <f t="shared" si="27"/>
        <v>0</v>
      </c>
      <c r="I126" s="6">
        <f t="shared" si="27"/>
        <v>0</v>
      </c>
      <c r="J126" s="6">
        <f t="shared" si="27"/>
        <v>0</v>
      </c>
      <c r="K126" s="13">
        <f t="shared" si="27"/>
        <v>0</v>
      </c>
      <c r="L126" s="8">
        <f t="shared" si="28"/>
        <v>0</v>
      </c>
      <c r="M126" s="6">
        <f t="shared" si="28"/>
        <v>0</v>
      </c>
      <c r="N126" s="6">
        <f t="shared" si="28"/>
        <v>0</v>
      </c>
      <c r="O126" s="6">
        <f t="shared" si="28"/>
        <v>0</v>
      </c>
      <c r="P126" s="13">
        <f t="shared" si="28"/>
        <v>0</v>
      </c>
      <c r="Q126" s="8">
        <f t="shared" si="29"/>
        <v>0</v>
      </c>
      <c r="R126" s="6">
        <f t="shared" si="29"/>
        <v>0</v>
      </c>
      <c r="S126" s="6">
        <f t="shared" si="29"/>
        <v>0</v>
      </c>
      <c r="T126" s="6">
        <f t="shared" si="29"/>
        <v>0</v>
      </c>
      <c r="U126" s="13">
        <f t="shared" si="29"/>
        <v>0</v>
      </c>
      <c r="V126" s="8">
        <f t="shared" si="30"/>
        <v>0</v>
      </c>
      <c r="W126" s="6">
        <f t="shared" si="30"/>
        <v>0</v>
      </c>
      <c r="X126" s="6">
        <f t="shared" si="30"/>
        <v>0</v>
      </c>
      <c r="Y126" s="6">
        <f t="shared" si="30"/>
        <v>0</v>
      </c>
      <c r="Z126" s="13">
        <f t="shared" si="30"/>
        <v>0</v>
      </c>
      <c r="AA126" s="8">
        <f t="shared" si="30"/>
        <v>0</v>
      </c>
      <c r="AB126" s="6">
        <f t="shared" si="30"/>
        <v>0</v>
      </c>
      <c r="AC126" s="6">
        <f t="shared" si="30"/>
        <v>0</v>
      </c>
      <c r="AD126" s="6">
        <f t="shared" si="30"/>
        <v>0</v>
      </c>
      <c r="AE126" s="13">
        <f t="shared" si="30"/>
        <v>0</v>
      </c>
      <c r="AF126" s="16">
        <f t="shared" si="31"/>
        <v>0</v>
      </c>
      <c r="AG126" s="16">
        <f t="shared" si="32"/>
        <v>0</v>
      </c>
      <c r="AH126" s="15">
        <f>AT2</f>
        <v>0</v>
      </c>
      <c r="AI126" s="8">
        <f>AU2</f>
        <v>0</v>
      </c>
      <c r="AJ126" s="6">
        <f>AV2</f>
        <v>0</v>
      </c>
      <c r="AK126" s="6">
        <f>AW2</f>
        <v>0</v>
      </c>
      <c r="AL126" s="13">
        <f>AX2</f>
        <v>0</v>
      </c>
      <c r="AN126" s="15">
        <f>AT3</f>
        <v>0</v>
      </c>
      <c r="AO126" s="8">
        <f>AU3</f>
        <v>0</v>
      </c>
      <c r="AP126" s="6">
        <f>AV3</f>
        <v>0</v>
      </c>
      <c r="AQ126" s="6">
        <f>AW3</f>
        <v>0</v>
      </c>
      <c r="AR126" s="13">
        <f>AX3</f>
        <v>0</v>
      </c>
      <c r="AT126" s="15">
        <f>AT4</f>
        <v>0</v>
      </c>
      <c r="AU126" s="8">
        <f>AU4</f>
        <v>0</v>
      </c>
      <c r="AV126" s="6">
        <f>AV4</f>
        <v>0</v>
      </c>
      <c r="AW126" s="6">
        <f>AW4</f>
        <v>0</v>
      </c>
      <c r="AX126" s="13">
        <f>AX4</f>
        <v>0</v>
      </c>
      <c r="AZ126" s="15">
        <f>AT5</f>
        <v>0</v>
      </c>
      <c r="BA126" s="8">
        <f>AU5</f>
        <v>0</v>
      </c>
      <c r="BB126" s="6">
        <f>AV5</f>
        <v>0</v>
      </c>
      <c r="BC126" s="6">
        <f>AW5</f>
        <v>0</v>
      </c>
      <c r="BD126" s="13">
        <f>AX5</f>
        <v>0</v>
      </c>
      <c r="BF126" s="15">
        <f>AT6</f>
        <v>0</v>
      </c>
      <c r="BG126" s="8">
        <f>AU6</f>
        <v>0</v>
      </c>
      <c r="BH126" s="6">
        <f>AV6</f>
        <v>0</v>
      </c>
      <c r="BI126" s="6">
        <f>AW6</f>
        <v>0</v>
      </c>
      <c r="BJ126" s="13">
        <f>AX6</f>
        <v>0</v>
      </c>
    </row>
    <row r="127" spans="1:62" ht="15.75" thickBot="1" x14ac:dyDescent="0.3">
      <c r="A127" s="59">
        <v>10000</v>
      </c>
      <c r="B127" s="31">
        <f t="shared" si="26"/>
        <v>0</v>
      </c>
      <c r="C127" s="32">
        <f t="shared" si="26"/>
        <v>0</v>
      </c>
      <c r="D127" s="32">
        <f t="shared" si="26"/>
        <v>0</v>
      </c>
      <c r="E127" s="32">
        <f t="shared" si="26"/>
        <v>0</v>
      </c>
      <c r="F127" s="33">
        <f t="shared" si="26"/>
        <v>0</v>
      </c>
      <c r="G127" s="31">
        <f t="shared" si="27"/>
        <v>0</v>
      </c>
      <c r="H127" s="32">
        <f t="shared" si="27"/>
        <v>0</v>
      </c>
      <c r="I127" s="32">
        <f t="shared" si="27"/>
        <v>0</v>
      </c>
      <c r="J127" s="32">
        <f t="shared" si="27"/>
        <v>0</v>
      </c>
      <c r="K127" s="33">
        <f t="shared" si="27"/>
        <v>0</v>
      </c>
      <c r="L127" s="31">
        <f t="shared" si="28"/>
        <v>0</v>
      </c>
      <c r="M127" s="32">
        <f t="shared" si="28"/>
        <v>0</v>
      </c>
      <c r="N127" s="32">
        <f t="shared" si="28"/>
        <v>0</v>
      </c>
      <c r="O127" s="32">
        <f t="shared" si="28"/>
        <v>0</v>
      </c>
      <c r="P127" s="33">
        <f t="shared" si="28"/>
        <v>0</v>
      </c>
      <c r="Q127" s="31">
        <f t="shared" si="29"/>
        <v>0</v>
      </c>
      <c r="R127" s="32">
        <f t="shared" si="29"/>
        <v>0</v>
      </c>
      <c r="S127" s="32">
        <f t="shared" si="29"/>
        <v>0</v>
      </c>
      <c r="T127" s="32">
        <f t="shared" si="29"/>
        <v>0</v>
      </c>
      <c r="U127" s="33">
        <f t="shared" si="29"/>
        <v>0</v>
      </c>
      <c r="V127" s="31">
        <f t="shared" si="30"/>
        <v>0</v>
      </c>
      <c r="W127" s="32">
        <f t="shared" si="30"/>
        <v>0</v>
      </c>
      <c r="X127" s="32">
        <f t="shared" si="30"/>
        <v>0</v>
      </c>
      <c r="Y127" s="32">
        <f t="shared" si="30"/>
        <v>0</v>
      </c>
      <c r="Z127" s="33">
        <f t="shared" si="30"/>
        <v>0</v>
      </c>
      <c r="AA127" s="31">
        <f t="shared" si="30"/>
        <v>0</v>
      </c>
      <c r="AB127" s="32">
        <f t="shared" si="30"/>
        <v>0</v>
      </c>
      <c r="AC127" s="32">
        <f t="shared" si="30"/>
        <v>0</v>
      </c>
      <c r="AD127" s="32">
        <f t="shared" si="30"/>
        <v>0</v>
      </c>
      <c r="AE127" s="33">
        <f t="shared" si="30"/>
        <v>0</v>
      </c>
      <c r="AF127" s="16">
        <f t="shared" si="31"/>
        <v>0</v>
      </c>
      <c r="AG127" s="43">
        <f t="shared" si="32"/>
        <v>0</v>
      </c>
      <c r="AH127" s="15">
        <f>AZ2</f>
        <v>0</v>
      </c>
      <c r="AI127" s="8">
        <f>BA2</f>
        <v>0</v>
      </c>
      <c r="AJ127" s="6">
        <f>BB2</f>
        <v>0</v>
      </c>
      <c r="AK127" s="6">
        <f>BC2</f>
        <v>0</v>
      </c>
      <c r="AL127" s="13">
        <f>BD2</f>
        <v>0</v>
      </c>
      <c r="AN127" s="15">
        <f>AZ3</f>
        <v>0</v>
      </c>
      <c r="AO127" s="8">
        <f>BA3</f>
        <v>0</v>
      </c>
      <c r="AP127" s="6">
        <f>BB3</f>
        <v>0</v>
      </c>
      <c r="AQ127" s="6">
        <f>BC3</f>
        <v>0</v>
      </c>
      <c r="AR127" s="13">
        <f>BD3</f>
        <v>0</v>
      </c>
      <c r="AT127" s="15">
        <f>AZ4</f>
        <v>0</v>
      </c>
      <c r="AU127" s="8">
        <f>BA4</f>
        <v>0</v>
      </c>
      <c r="AV127" s="6">
        <f>BB4</f>
        <v>0</v>
      </c>
      <c r="AW127" s="6">
        <f>BC4</f>
        <v>0</v>
      </c>
      <c r="AX127" s="13">
        <f>BD4</f>
        <v>0</v>
      </c>
      <c r="AZ127" s="15">
        <f>AZ5</f>
        <v>0</v>
      </c>
      <c r="BA127" s="8">
        <f>BA5</f>
        <v>0</v>
      </c>
      <c r="BB127" s="6">
        <f>BB5</f>
        <v>0</v>
      </c>
      <c r="BC127" s="6">
        <f>BC5</f>
        <v>0</v>
      </c>
      <c r="BD127" s="13">
        <f>BD5</f>
        <v>0</v>
      </c>
      <c r="BF127" s="15">
        <f>AZ6</f>
        <v>0</v>
      </c>
      <c r="BG127" s="8">
        <f>BA6</f>
        <v>0</v>
      </c>
      <c r="BH127" s="6">
        <f>BB6</f>
        <v>0</v>
      </c>
      <c r="BI127" s="6">
        <f>BC6</f>
        <v>0</v>
      </c>
      <c r="BJ127" s="13">
        <f>BD6</f>
        <v>0</v>
      </c>
    </row>
    <row r="128" spans="1:62" ht="15.75" thickBot="1" x14ac:dyDescent="0.3">
      <c r="A128" s="35"/>
      <c r="B128" s="60">
        <f t="shared" ref="B128:AG128" si="33">SUM(B119:B127)</f>
        <v>0</v>
      </c>
      <c r="C128" s="61">
        <f t="shared" si="33"/>
        <v>48</v>
      </c>
      <c r="D128" s="61">
        <f t="shared" si="33"/>
        <v>0</v>
      </c>
      <c r="E128" s="61">
        <f t="shared" si="33"/>
        <v>0</v>
      </c>
      <c r="F128" s="62">
        <f t="shared" si="33"/>
        <v>0</v>
      </c>
      <c r="G128" s="60">
        <f t="shared" si="33"/>
        <v>0</v>
      </c>
      <c r="H128" s="61">
        <f t="shared" si="33"/>
        <v>0</v>
      </c>
      <c r="I128" s="61">
        <f t="shared" si="33"/>
        <v>0</v>
      </c>
      <c r="J128" s="61">
        <f t="shared" si="33"/>
        <v>0</v>
      </c>
      <c r="K128" s="62">
        <f t="shared" si="33"/>
        <v>0</v>
      </c>
      <c r="L128" s="60">
        <f t="shared" si="33"/>
        <v>0</v>
      </c>
      <c r="M128" s="61">
        <f t="shared" si="33"/>
        <v>0</v>
      </c>
      <c r="N128" s="61">
        <f t="shared" si="33"/>
        <v>0</v>
      </c>
      <c r="O128" s="61">
        <f t="shared" si="33"/>
        <v>0</v>
      </c>
      <c r="P128" s="62">
        <f t="shared" si="33"/>
        <v>0</v>
      </c>
      <c r="Q128" s="60">
        <f t="shared" si="33"/>
        <v>0</v>
      </c>
      <c r="R128" s="61">
        <f t="shared" si="33"/>
        <v>0</v>
      </c>
      <c r="S128" s="61">
        <f t="shared" si="33"/>
        <v>0</v>
      </c>
      <c r="T128" s="61">
        <f t="shared" si="33"/>
        <v>0</v>
      </c>
      <c r="U128" s="62">
        <f t="shared" si="33"/>
        <v>0</v>
      </c>
      <c r="V128" s="60">
        <f t="shared" si="33"/>
        <v>0</v>
      </c>
      <c r="W128" s="61">
        <f t="shared" si="33"/>
        <v>0</v>
      </c>
      <c r="X128" s="61">
        <f t="shared" si="33"/>
        <v>0</v>
      </c>
      <c r="Y128" s="61">
        <f t="shared" si="33"/>
        <v>0</v>
      </c>
      <c r="Z128" s="62">
        <f t="shared" si="33"/>
        <v>0</v>
      </c>
      <c r="AA128" s="60">
        <f t="shared" si="33"/>
        <v>0</v>
      </c>
      <c r="AB128" s="61">
        <f t="shared" si="33"/>
        <v>0</v>
      </c>
      <c r="AC128" s="61">
        <f t="shared" si="33"/>
        <v>0</v>
      </c>
      <c r="AD128" s="61">
        <f t="shared" si="33"/>
        <v>0</v>
      </c>
      <c r="AE128" s="62">
        <f t="shared" si="33"/>
        <v>0</v>
      </c>
      <c r="AF128" s="35">
        <f>SUM(AF119:AF127)</f>
        <v>39500</v>
      </c>
      <c r="AG128" s="35">
        <f t="shared" si="32"/>
        <v>48</v>
      </c>
      <c r="AH128" s="15">
        <f>BF2</f>
        <v>0</v>
      </c>
      <c r="AI128" s="8">
        <f>BG2</f>
        <v>0</v>
      </c>
      <c r="AJ128" s="6">
        <f>BH2</f>
        <v>0</v>
      </c>
      <c r="AK128" s="6">
        <f>BI2</f>
        <v>0</v>
      </c>
      <c r="AL128" s="13">
        <f>BJ2</f>
        <v>0</v>
      </c>
      <c r="AN128" s="15">
        <f>BF3</f>
        <v>0</v>
      </c>
      <c r="AO128" s="8">
        <f>BG3</f>
        <v>0</v>
      </c>
      <c r="AP128" s="6">
        <f>BH3</f>
        <v>0</v>
      </c>
      <c r="AQ128" s="6">
        <f>BI3</f>
        <v>0</v>
      </c>
      <c r="AR128" s="13">
        <f>BJ3</f>
        <v>0</v>
      </c>
      <c r="AT128" s="15">
        <f>BF4</f>
        <v>0</v>
      </c>
      <c r="AU128" s="8">
        <f>BG4</f>
        <v>0</v>
      </c>
      <c r="AV128" s="6">
        <f>BH4</f>
        <v>0</v>
      </c>
      <c r="AW128" s="6">
        <f>BI4</f>
        <v>0</v>
      </c>
      <c r="AX128" s="13">
        <f>BJ4</f>
        <v>0</v>
      </c>
      <c r="AZ128" s="15">
        <f>BF5</f>
        <v>0</v>
      </c>
      <c r="BA128" s="8">
        <f>BG5</f>
        <v>0</v>
      </c>
      <c r="BB128" s="6">
        <f>BH5</f>
        <v>0</v>
      </c>
      <c r="BC128" s="6">
        <f>BI5</f>
        <v>0</v>
      </c>
      <c r="BD128" s="13">
        <f>BJ5</f>
        <v>0</v>
      </c>
      <c r="BF128" s="15">
        <f>BF6</f>
        <v>0</v>
      </c>
      <c r="BG128" s="8">
        <f>BG6</f>
        <v>0</v>
      </c>
      <c r="BH128" s="6">
        <f>BH6</f>
        <v>0</v>
      </c>
      <c r="BI128" s="6">
        <f>BI6</f>
        <v>0</v>
      </c>
      <c r="BJ128" s="13">
        <f>BJ6</f>
        <v>0</v>
      </c>
    </row>
    <row r="129" spans="1:62" ht="15.75" thickBo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9">
        <f>BL2</f>
        <v>0</v>
      </c>
      <c r="AI129" s="31">
        <f>BM2</f>
        <v>0</v>
      </c>
      <c r="AJ129" s="32">
        <f>BN2</f>
        <v>0</v>
      </c>
      <c r="AK129" s="32">
        <f>BO2</f>
        <v>0</v>
      </c>
      <c r="AL129" s="33">
        <f>BP2</f>
        <v>0</v>
      </c>
      <c r="AN129" s="59">
        <f>BL3</f>
        <v>0</v>
      </c>
      <c r="AO129" s="31">
        <f>BM3</f>
        <v>0</v>
      </c>
      <c r="AP129" s="32">
        <f>BN3</f>
        <v>0</v>
      </c>
      <c r="AQ129" s="32">
        <f>BO3</f>
        <v>0</v>
      </c>
      <c r="AR129" s="33">
        <f>BP3</f>
        <v>0</v>
      </c>
      <c r="AT129" s="59">
        <f>BL4</f>
        <v>0</v>
      </c>
      <c r="AU129" s="31">
        <f>BM4</f>
        <v>0</v>
      </c>
      <c r="AV129" s="32">
        <f>BN4</f>
        <v>0</v>
      </c>
      <c r="AW129" s="32">
        <f>BO4</f>
        <v>0</v>
      </c>
      <c r="AX129" s="33">
        <f>BP4</f>
        <v>0</v>
      </c>
      <c r="AZ129" s="59">
        <f>BL5</f>
        <v>0</v>
      </c>
      <c r="BA129" s="31">
        <f>BM5</f>
        <v>0</v>
      </c>
      <c r="BB129" s="32">
        <f>BN5</f>
        <v>0</v>
      </c>
      <c r="BC129" s="32">
        <f>BO5</f>
        <v>0</v>
      </c>
      <c r="BD129" s="33">
        <f>BP5</f>
        <v>0</v>
      </c>
      <c r="BF129" s="59">
        <f>BL6</f>
        <v>0</v>
      </c>
      <c r="BG129" s="31">
        <f>BM6</f>
        <v>0</v>
      </c>
      <c r="BH129" s="32">
        <f>BN6</f>
        <v>0</v>
      </c>
      <c r="BI129" s="32">
        <f>BO6</f>
        <v>0</v>
      </c>
      <c r="BJ129" s="33">
        <f>BP6</f>
        <v>0</v>
      </c>
    </row>
    <row r="130" spans="1:62" ht="16.5" thickBot="1" x14ac:dyDescent="0.3">
      <c r="A130" s="173" t="s">
        <v>249</v>
      </c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5"/>
      <c r="AH130" s="35" t="str">
        <f>C2</f>
        <v>A/C</v>
      </c>
      <c r="AI130" s="158">
        <f>SUM(AJ120:AJ129)</f>
        <v>48</v>
      </c>
      <c r="AJ130" s="159"/>
      <c r="AK130" s="158">
        <f>BT2</f>
        <v>39500</v>
      </c>
      <c r="AL130" s="159"/>
      <c r="AN130" s="35">
        <f>C3</f>
        <v>0</v>
      </c>
      <c r="AO130" s="158">
        <f>SUM(AP120:AP129)</f>
        <v>0</v>
      </c>
      <c r="AP130" s="159"/>
      <c r="AQ130" s="158">
        <f>BT3</f>
        <v>0</v>
      </c>
      <c r="AR130" s="159"/>
      <c r="AT130" s="35">
        <f>C4</f>
        <v>0</v>
      </c>
      <c r="AU130" s="158">
        <f>SUM(AV120:AV129)</f>
        <v>0</v>
      </c>
      <c r="AV130" s="159"/>
      <c r="AW130" s="158">
        <f>BT4</f>
        <v>0</v>
      </c>
      <c r="AX130" s="159"/>
      <c r="AZ130" s="35">
        <f>C5</f>
        <v>0</v>
      </c>
      <c r="BA130" s="158">
        <f>SUM(BB120:BB129)</f>
        <v>0</v>
      </c>
      <c r="BB130" s="159"/>
      <c r="BC130" s="158">
        <f>BT5</f>
        <v>0</v>
      </c>
      <c r="BD130" s="159"/>
      <c r="BF130" s="35">
        <f>C6</f>
        <v>0</v>
      </c>
      <c r="BG130" s="158">
        <f>SUM(BG120:BG129)</f>
        <v>0</v>
      </c>
      <c r="BH130" s="159"/>
      <c r="BI130" s="158">
        <f>BT6</f>
        <v>0</v>
      </c>
      <c r="BJ130" s="159"/>
    </row>
    <row r="131" spans="1:62" ht="15.75" thickBot="1" x14ac:dyDescent="0.3">
      <c r="A131" s="123" t="s">
        <v>31</v>
      </c>
      <c r="B131" s="113" t="s">
        <v>22</v>
      </c>
      <c r="C131" s="114"/>
      <c r="D131" s="114"/>
      <c r="E131" s="114"/>
      <c r="F131" s="115"/>
      <c r="G131" s="113" t="s">
        <v>20</v>
      </c>
      <c r="H131" s="114"/>
      <c r="I131" s="114"/>
      <c r="J131" s="114"/>
      <c r="K131" s="115"/>
      <c r="L131" s="113" t="s">
        <v>34</v>
      </c>
      <c r="M131" s="114"/>
      <c r="N131" s="114"/>
      <c r="O131" s="114"/>
      <c r="P131" s="115"/>
      <c r="Q131" s="113" t="s">
        <v>127</v>
      </c>
      <c r="R131" s="114"/>
      <c r="S131" s="114"/>
      <c r="T131" s="114"/>
      <c r="U131" s="115"/>
      <c r="V131" s="113" t="s">
        <v>129</v>
      </c>
      <c r="W131" s="114"/>
      <c r="X131" s="114"/>
      <c r="Y131" s="114"/>
      <c r="Z131" s="115"/>
      <c r="AA131" s="113" t="s">
        <v>26</v>
      </c>
      <c r="AB131" s="114"/>
      <c r="AC131" s="114"/>
      <c r="AD131" s="114"/>
      <c r="AE131" s="115"/>
      <c r="AF131" s="116" t="s">
        <v>24</v>
      </c>
      <c r="AG131" s="116" t="s">
        <v>86</v>
      </c>
      <c r="AH131" s="35" t="s">
        <v>25</v>
      </c>
      <c r="AI131" s="158">
        <f>A2</f>
        <v>21420</v>
      </c>
      <c r="AJ131" s="160"/>
      <c r="AK131" s="158" t="str">
        <f>BR2</f>
        <v>COD</v>
      </c>
      <c r="AL131" s="159"/>
      <c r="AN131" s="35" t="s">
        <v>25</v>
      </c>
      <c r="AO131" s="158">
        <f>A3</f>
        <v>0</v>
      </c>
      <c r="AP131" s="160"/>
      <c r="AQ131" s="158">
        <f>BR3</f>
        <v>0</v>
      </c>
      <c r="AR131" s="159"/>
      <c r="AT131" s="35" t="s">
        <v>25</v>
      </c>
      <c r="AU131" s="158">
        <f>A4</f>
        <v>0</v>
      </c>
      <c r="AV131" s="160"/>
      <c r="AW131" s="158">
        <f>BR4</f>
        <v>0</v>
      </c>
      <c r="AX131" s="159"/>
      <c r="AZ131" s="35" t="s">
        <v>25</v>
      </c>
      <c r="BA131" s="158">
        <f>A5</f>
        <v>0</v>
      </c>
      <c r="BB131" s="160"/>
      <c r="BC131" s="158">
        <f>BR5</f>
        <v>0</v>
      </c>
      <c r="BD131" s="159"/>
      <c r="BF131" s="35" t="s">
        <v>25</v>
      </c>
      <c r="BG131" s="158">
        <f>A6</f>
        <v>0</v>
      </c>
      <c r="BH131" s="160"/>
      <c r="BI131" s="158">
        <f>BR6</f>
        <v>0</v>
      </c>
      <c r="BJ131" s="159"/>
    </row>
    <row r="132" spans="1:62" ht="15.75" thickBot="1" x14ac:dyDescent="0.3">
      <c r="A132" s="124"/>
      <c r="B132" s="9" t="s">
        <v>32</v>
      </c>
      <c r="C132" s="12" t="s">
        <v>17</v>
      </c>
      <c r="D132" s="12" t="s">
        <v>19</v>
      </c>
      <c r="E132" s="12" t="s">
        <v>33</v>
      </c>
      <c r="F132" s="14" t="s">
        <v>80</v>
      </c>
      <c r="G132" s="9" t="s">
        <v>32</v>
      </c>
      <c r="H132" s="12" t="s">
        <v>17</v>
      </c>
      <c r="I132" s="12" t="s">
        <v>19</v>
      </c>
      <c r="J132" s="12" t="s">
        <v>33</v>
      </c>
      <c r="K132" s="14" t="s">
        <v>80</v>
      </c>
      <c r="L132" s="9" t="s">
        <v>32</v>
      </c>
      <c r="M132" s="12" t="s">
        <v>17</v>
      </c>
      <c r="N132" s="12" t="s">
        <v>19</v>
      </c>
      <c r="O132" s="12" t="s">
        <v>33</v>
      </c>
      <c r="P132" s="14" t="s">
        <v>80</v>
      </c>
      <c r="Q132" s="9" t="s">
        <v>32</v>
      </c>
      <c r="R132" s="12" t="s">
        <v>17</v>
      </c>
      <c r="S132" s="12" t="s">
        <v>19</v>
      </c>
      <c r="T132" s="12" t="s">
        <v>33</v>
      </c>
      <c r="U132" s="14" t="s">
        <v>80</v>
      </c>
      <c r="V132" s="9" t="s">
        <v>32</v>
      </c>
      <c r="W132" s="12" t="s">
        <v>17</v>
      </c>
      <c r="X132" s="12" t="s">
        <v>19</v>
      </c>
      <c r="Y132" s="12" t="s">
        <v>33</v>
      </c>
      <c r="Z132" s="14" t="s">
        <v>80</v>
      </c>
      <c r="AA132" s="9" t="s">
        <v>32</v>
      </c>
      <c r="AB132" s="12" t="s">
        <v>17</v>
      </c>
      <c r="AC132" s="12" t="s">
        <v>19</v>
      </c>
      <c r="AD132" s="12" t="s">
        <v>33</v>
      </c>
      <c r="AE132" s="14" t="s">
        <v>80</v>
      </c>
      <c r="AF132" s="117"/>
      <c r="AG132" s="117"/>
      <c r="AH132" s="58" t="s">
        <v>130</v>
      </c>
      <c r="AI132" s="58" t="s">
        <v>131</v>
      </c>
      <c r="AJ132" s="58" t="s">
        <v>132</v>
      </c>
      <c r="AK132" s="58" t="s">
        <v>166</v>
      </c>
      <c r="AL132" s="58" t="s">
        <v>33</v>
      </c>
      <c r="AN132" s="58" t="s">
        <v>130</v>
      </c>
      <c r="AO132" s="58" t="s">
        <v>131</v>
      </c>
      <c r="AP132" s="58" t="s">
        <v>132</v>
      </c>
      <c r="AQ132" s="58" t="s">
        <v>166</v>
      </c>
      <c r="AR132" s="58" t="s">
        <v>33</v>
      </c>
      <c r="AT132" s="58" t="s">
        <v>130</v>
      </c>
      <c r="AU132" s="58" t="s">
        <v>131</v>
      </c>
      <c r="AV132" s="58" t="s">
        <v>132</v>
      </c>
      <c r="AW132" s="58" t="s">
        <v>166</v>
      </c>
      <c r="AX132" s="58" t="s">
        <v>33</v>
      </c>
      <c r="AZ132" s="58" t="s">
        <v>130</v>
      </c>
      <c r="BA132" s="58" t="s">
        <v>131</v>
      </c>
      <c r="BB132" s="58" t="s">
        <v>132</v>
      </c>
      <c r="BC132" s="58" t="s">
        <v>166</v>
      </c>
      <c r="BD132" s="58" t="s">
        <v>33</v>
      </c>
      <c r="BF132" s="58" t="s">
        <v>130</v>
      </c>
      <c r="BG132" s="58" t="s">
        <v>131</v>
      </c>
      <c r="BH132" s="58" t="s">
        <v>132</v>
      </c>
      <c r="BI132" s="58" t="s">
        <v>166</v>
      </c>
      <c r="BJ132" s="58" t="s">
        <v>33</v>
      </c>
    </row>
    <row r="133" spans="1:62" ht="15.75" thickBot="1" x14ac:dyDescent="0.3">
      <c r="A133" s="16">
        <v>300</v>
      </c>
      <c r="B133" s="10">
        <f t="shared" ref="B133:F141" si="34">SUMIFS($J$14:$J$113,$I$14:$I$113,$A133,$K$14:$K$113,B$118,$L$14:$L$113,$B$117,$H$14:$H$113,"NG")</f>
        <v>0</v>
      </c>
      <c r="C133" s="11">
        <f t="shared" si="34"/>
        <v>0</v>
      </c>
      <c r="D133" s="11">
        <f t="shared" si="34"/>
        <v>0</v>
      </c>
      <c r="E133" s="11">
        <f t="shared" si="34"/>
        <v>0</v>
      </c>
      <c r="F133" s="17">
        <f t="shared" si="34"/>
        <v>0</v>
      </c>
      <c r="G133" s="10">
        <f t="shared" ref="G133:K141" si="35">SUMIFS($J$14:$J$113,$I$14:$I$113,$A133,$K$14:$K$113,G$118,$L$14:$L$113,$G$117,$H$14:$H$113,"NG")</f>
        <v>0</v>
      </c>
      <c r="H133" s="11">
        <f t="shared" si="35"/>
        <v>0</v>
      </c>
      <c r="I133" s="11">
        <f t="shared" si="35"/>
        <v>0</v>
      </c>
      <c r="J133" s="11">
        <f t="shared" si="35"/>
        <v>0</v>
      </c>
      <c r="K133" s="17">
        <f t="shared" si="35"/>
        <v>0</v>
      </c>
      <c r="L133" s="10">
        <f t="shared" ref="L133:P141" si="36">SUMIFS($J$14:$J$113,$I$14:$I$113,$A133,$K$14:$K$113,L$118,$L$14:$L$113,$L$117,$H$14:$H$113,"NG")</f>
        <v>0</v>
      </c>
      <c r="M133" s="11">
        <f t="shared" si="36"/>
        <v>0</v>
      </c>
      <c r="N133" s="11">
        <f t="shared" si="36"/>
        <v>0</v>
      </c>
      <c r="O133" s="11">
        <f t="shared" si="36"/>
        <v>0</v>
      </c>
      <c r="P133" s="17">
        <f t="shared" si="36"/>
        <v>0</v>
      </c>
      <c r="Q133" s="10">
        <f t="shared" ref="Q133:U141" si="37">SUMIFS($J$14:$J$113,$I$14:$I$113,$A133,$K$14:$K$113,Q$118,$L$14:$L$113,$Q$117,$H$14:$H$113,"NG")</f>
        <v>0</v>
      </c>
      <c r="R133" s="11">
        <f t="shared" si="37"/>
        <v>0</v>
      </c>
      <c r="S133" s="11">
        <f t="shared" si="37"/>
        <v>0</v>
      </c>
      <c r="T133" s="11">
        <f t="shared" si="37"/>
        <v>0</v>
      </c>
      <c r="U133" s="17">
        <f t="shared" si="37"/>
        <v>0</v>
      </c>
      <c r="V133" s="10">
        <f t="shared" ref="V133:AE141" si="38">SUMIFS($J$14:$J$113,$I$14:$I$113,$A133,$K$14:$K$113,V$118,$L$14:$L$113,$L$117,$H$14:$H$113,"NG")</f>
        <v>0</v>
      </c>
      <c r="W133" s="11">
        <f t="shared" si="38"/>
        <v>0</v>
      </c>
      <c r="X133" s="11">
        <f t="shared" si="38"/>
        <v>0</v>
      </c>
      <c r="Y133" s="11">
        <f t="shared" si="38"/>
        <v>0</v>
      </c>
      <c r="Z133" s="17">
        <f t="shared" si="38"/>
        <v>0</v>
      </c>
      <c r="AA133" s="10">
        <f t="shared" si="38"/>
        <v>0</v>
      </c>
      <c r="AB133" s="11">
        <f t="shared" si="38"/>
        <v>0</v>
      </c>
      <c r="AC133" s="11">
        <f t="shared" si="38"/>
        <v>0</v>
      </c>
      <c r="AD133" s="11">
        <f t="shared" si="38"/>
        <v>0</v>
      </c>
      <c r="AE133" s="17">
        <f t="shared" si="38"/>
        <v>0</v>
      </c>
      <c r="AF133" s="16">
        <f>SUM(B133:AE133)*A133</f>
        <v>0</v>
      </c>
      <c r="AG133" s="16">
        <f>SUM(B133:AE133)</f>
        <v>0</v>
      </c>
      <c r="AH133" s="34" t="str">
        <f>AZ14</f>
        <v/>
      </c>
      <c r="AI133" s="34" t="str">
        <f>BA14</f>
        <v/>
      </c>
      <c r="AJ133" s="34" t="str">
        <f>BB14</f>
        <v/>
      </c>
      <c r="AK133" s="35" t="str">
        <f>BC14</f>
        <v/>
      </c>
      <c r="AL133" s="35" t="str">
        <f>BD14</f>
        <v/>
      </c>
      <c r="AN133" s="34" t="str">
        <f>AZ15</f>
        <v/>
      </c>
      <c r="AO133" s="34" t="str">
        <f>BA15</f>
        <v/>
      </c>
      <c r="AP133" s="34" t="str">
        <f>BB15</f>
        <v/>
      </c>
      <c r="AQ133" s="35" t="str">
        <f>BC15</f>
        <v/>
      </c>
      <c r="AR133" s="35" t="str">
        <f>BD15</f>
        <v/>
      </c>
      <c r="AT133" s="34" t="str">
        <f>AZ16</f>
        <v/>
      </c>
      <c r="AU133" s="34" t="str">
        <f>BA16</f>
        <v/>
      </c>
      <c r="AV133" s="34" t="str">
        <f>BB16</f>
        <v/>
      </c>
      <c r="AW133" s="35" t="str">
        <f>BC16</f>
        <v/>
      </c>
      <c r="AX133" s="35" t="str">
        <f>BD16</f>
        <v/>
      </c>
      <c r="AZ133" s="34" t="str">
        <f>AZ17</f>
        <v/>
      </c>
      <c r="BA133" s="34" t="str">
        <f>BA17</f>
        <v/>
      </c>
      <c r="BB133" s="34" t="str">
        <f>BB17</f>
        <v/>
      </c>
      <c r="BC133" s="35" t="str">
        <f>BC17</f>
        <v/>
      </c>
      <c r="BD133" s="35" t="str">
        <f>BD17</f>
        <v/>
      </c>
      <c r="BF133" s="34" t="str">
        <f>AZ18</f>
        <v/>
      </c>
      <c r="BG133" s="34" t="str">
        <f>BA18</f>
        <v/>
      </c>
      <c r="BH133" s="34" t="str">
        <f>BB18</f>
        <v/>
      </c>
      <c r="BI133" s="35" t="str">
        <f>BC18</f>
        <v/>
      </c>
      <c r="BJ133" s="35" t="str">
        <f>BD18</f>
        <v/>
      </c>
    </row>
    <row r="134" spans="1:62" ht="15.75" thickBot="1" x14ac:dyDescent="0.3">
      <c r="A134" s="16">
        <v>500</v>
      </c>
      <c r="B134" s="10">
        <f t="shared" si="34"/>
        <v>0</v>
      </c>
      <c r="C134" s="11">
        <f t="shared" si="34"/>
        <v>0</v>
      </c>
      <c r="D134" s="11">
        <f t="shared" si="34"/>
        <v>0</v>
      </c>
      <c r="E134" s="11">
        <f t="shared" si="34"/>
        <v>0</v>
      </c>
      <c r="F134" s="17">
        <f t="shared" si="34"/>
        <v>0</v>
      </c>
      <c r="G134" s="10">
        <f t="shared" si="35"/>
        <v>0</v>
      </c>
      <c r="H134" s="11">
        <f t="shared" si="35"/>
        <v>0</v>
      </c>
      <c r="I134" s="11">
        <f t="shared" si="35"/>
        <v>0</v>
      </c>
      <c r="J134" s="11">
        <f t="shared" si="35"/>
        <v>0</v>
      </c>
      <c r="K134" s="17">
        <f t="shared" si="35"/>
        <v>0</v>
      </c>
      <c r="L134" s="10">
        <f t="shared" si="36"/>
        <v>0</v>
      </c>
      <c r="M134" s="11">
        <f t="shared" si="36"/>
        <v>0</v>
      </c>
      <c r="N134" s="11">
        <f t="shared" si="36"/>
        <v>0</v>
      </c>
      <c r="O134" s="11">
        <f t="shared" si="36"/>
        <v>0</v>
      </c>
      <c r="P134" s="17">
        <f t="shared" si="36"/>
        <v>0</v>
      </c>
      <c r="Q134" s="10">
        <f t="shared" si="37"/>
        <v>0</v>
      </c>
      <c r="R134" s="11">
        <f t="shared" si="37"/>
        <v>0</v>
      </c>
      <c r="S134" s="11">
        <f t="shared" si="37"/>
        <v>0</v>
      </c>
      <c r="T134" s="11">
        <f t="shared" si="37"/>
        <v>0</v>
      </c>
      <c r="U134" s="17">
        <f t="shared" si="37"/>
        <v>0</v>
      </c>
      <c r="V134" s="10">
        <f t="shared" si="38"/>
        <v>0</v>
      </c>
      <c r="W134" s="11">
        <f t="shared" si="38"/>
        <v>0</v>
      </c>
      <c r="X134" s="11">
        <f t="shared" si="38"/>
        <v>0</v>
      </c>
      <c r="Y134" s="11">
        <f t="shared" si="38"/>
        <v>0</v>
      </c>
      <c r="Z134" s="17">
        <f t="shared" si="38"/>
        <v>0</v>
      </c>
      <c r="AA134" s="10">
        <f t="shared" si="38"/>
        <v>0</v>
      </c>
      <c r="AB134" s="11">
        <f t="shared" si="38"/>
        <v>0</v>
      </c>
      <c r="AC134" s="11">
        <f t="shared" si="38"/>
        <v>0</v>
      </c>
      <c r="AD134" s="11">
        <f t="shared" si="38"/>
        <v>0</v>
      </c>
      <c r="AE134" s="17">
        <f t="shared" si="38"/>
        <v>0</v>
      </c>
      <c r="AF134" s="16">
        <f t="shared" ref="AF134:AF141" si="39">SUM(B134:AE134)*A134</f>
        <v>0</v>
      </c>
      <c r="AG134" s="16">
        <f t="shared" ref="AG134:AG142" si="40">SUM(B134:AE134)</f>
        <v>0</v>
      </c>
      <c r="AH134" s="58" t="s">
        <v>22</v>
      </c>
      <c r="AI134" s="58" t="s">
        <v>20</v>
      </c>
      <c r="AJ134" s="58" t="s">
        <v>34</v>
      </c>
      <c r="AK134" s="58" t="s">
        <v>127</v>
      </c>
      <c r="AL134" s="58" t="s">
        <v>129</v>
      </c>
      <c r="AN134" s="58" t="s">
        <v>22</v>
      </c>
      <c r="AO134" s="58" t="s">
        <v>20</v>
      </c>
      <c r="AP134" s="58" t="s">
        <v>34</v>
      </c>
      <c r="AQ134" s="58" t="s">
        <v>127</v>
      </c>
      <c r="AR134" s="58" t="s">
        <v>129</v>
      </c>
      <c r="AT134" s="58" t="s">
        <v>22</v>
      </c>
      <c r="AU134" s="58" t="s">
        <v>20</v>
      </c>
      <c r="AV134" s="58" t="s">
        <v>34</v>
      </c>
      <c r="AW134" s="58" t="s">
        <v>127</v>
      </c>
      <c r="AX134" s="58" t="s">
        <v>129</v>
      </c>
      <c r="AZ134" s="58" t="s">
        <v>22</v>
      </c>
      <c r="BA134" s="58" t="s">
        <v>20</v>
      </c>
      <c r="BB134" s="58" t="s">
        <v>34</v>
      </c>
      <c r="BC134" s="58" t="s">
        <v>127</v>
      </c>
      <c r="BD134" s="58" t="s">
        <v>129</v>
      </c>
      <c r="BF134" s="58" t="s">
        <v>22</v>
      </c>
      <c r="BG134" s="58" t="s">
        <v>20</v>
      </c>
      <c r="BH134" s="58" t="s">
        <v>34</v>
      </c>
      <c r="BI134" s="58" t="s">
        <v>127</v>
      </c>
      <c r="BJ134" s="58" t="s">
        <v>129</v>
      </c>
    </row>
    <row r="135" spans="1:62" ht="15.75" thickBot="1" x14ac:dyDescent="0.3">
      <c r="A135" s="15">
        <v>750</v>
      </c>
      <c r="B135" s="8">
        <f t="shared" si="34"/>
        <v>0</v>
      </c>
      <c r="C135" s="6">
        <f t="shared" si="34"/>
        <v>0</v>
      </c>
      <c r="D135" s="6">
        <f t="shared" si="34"/>
        <v>0</v>
      </c>
      <c r="E135" s="6">
        <f t="shared" si="34"/>
        <v>0</v>
      </c>
      <c r="F135" s="13">
        <f t="shared" si="34"/>
        <v>0</v>
      </c>
      <c r="G135" s="8">
        <f t="shared" si="35"/>
        <v>0</v>
      </c>
      <c r="H135" s="6">
        <f t="shared" si="35"/>
        <v>0</v>
      </c>
      <c r="I135" s="6">
        <f t="shared" si="35"/>
        <v>0</v>
      </c>
      <c r="J135" s="6">
        <f t="shared" si="35"/>
        <v>0</v>
      </c>
      <c r="K135" s="13">
        <f t="shared" si="35"/>
        <v>0</v>
      </c>
      <c r="L135" s="8">
        <f t="shared" si="36"/>
        <v>0</v>
      </c>
      <c r="M135" s="6">
        <f t="shared" si="36"/>
        <v>0</v>
      </c>
      <c r="N135" s="6">
        <f t="shared" si="36"/>
        <v>0</v>
      </c>
      <c r="O135" s="6">
        <f t="shared" si="36"/>
        <v>0</v>
      </c>
      <c r="P135" s="13">
        <f t="shared" si="36"/>
        <v>0</v>
      </c>
      <c r="Q135" s="8">
        <f t="shared" si="37"/>
        <v>0</v>
      </c>
      <c r="R135" s="6">
        <f t="shared" si="37"/>
        <v>0</v>
      </c>
      <c r="S135" s="6">
        <f t="shared" si="37"/>
        <v>0</v>
      </c>
      <c r="T135" s="6">
        <f t="shared" si="37"/>
        <v>0</v>
      </c>
      <c r="U135" s="13">
        <f t="shared" si="37"/>
        <v>0</v>
      </c>
      <c r="V135" s="8">
        <f t="shared" si="38"/>
        <v>0</v>
      </c>
      <c r="W135" s="6">
        <f t="shared" si="38"/>
        <v>0</v>
      </c>
      <c r="X135" s="6">
        <f t="shared" si="38"/>
        <v>0</v>
      </c>
      <c r="Y135" s="6">
        <f t="shared" si="38"/>
        <v>0</v>
      </c>
      <c r="Z135" s="13">
        <f t="shared" si="38"/>
        <v>0</v>
      </c>
      <c r="AA135" s="8">
        <f t="shared" si="38"/>
        <v>0</v>
      </c>
      <c r="AB135" s="6">
        <f t="shared" si="38"/>
        <v>0</v>
      </c>
      <c r="AC135" s="6">
        <f t="shared" si="38"/>
        <v>0</v>
      </c>
      <c r="AD135" s="6">
        <f t="shared" si="38"/>
        <v>0</v>
      </c>
      <c r="AE135" s="13">
        <f t="shared" si="38"/>
        <v>0</v>
      </c>
      <c r="AF135" s="16">
        <f t="shared" si="39"/>
        <v>0</v>
      </c>
      <c r="AG135" s="16">
        <f t="shared" si="40"/>
        <v>0</v>
      </c>
      <c r="AH135" s="34">
        <f>AU14</f>
        <v>3.5</v>
      </c>
      <c r="AI135" s="34" t="str">
        <f>AV14</f>
        <v/>
      </c>
      <c r="AJ135" s="34" t="str">
        <f>AW14</f>
        <v/>
      </c>
      <c r="AK135" s="35" t="str">
        <f>AX14</f>
        <v/>
      </c>
      <c r="AL135" s="35" t="str">
        <f>AY14</f>
        <v/>
      </c>
      <c r="AN135" s="34" t="str">
        <f>AU15</f>
        <v/>
      </c>
      <c r="AO135" s="34" t="str">
        <f>AV15</f>
        <v/>
      </c>
      <c r="AP135" s="34" t="str">
        <f>AW15</f>
        <v/>
      </c>
      <c r="AQ135" s="35" t="str">
        <f>AX15</f>
        <v/>
      </c>
      <c r="AR135" s="35" t="str">
        <f>AY15</f>
        <v/>
      </c>
      <c r="AT135" s="34" t="str">
        <f>AU16</f>
        <v/>
      </c>
      <c r="AU135" s="34" t="str">
        <f>AV16</f>
        <v/>
      </c>
      <c r="AV135" s="34" t="str">
        <f>AW16</f>
        <v/>
      </c>
      <c r="AW135" s="35" t="str">
        <f>AX16</f>
        <v/>
      </c>
      <c r="AX135" s="35" t="str">
        <f>AY16</f>
        <v/>
      </c>
      <c r="AZ135" s="34" t="str">
        <f>AU17</f>
        <v/>
      </c>
      <c r="BA135" s="34" t="str">
        <f>AV17</f>
        <v/>
      </c>
      <c r="BB135" s="34" t="str">
        <f>AW17</f>
        <v/>
      </c>
      <c r="BC135" s="35" t="str">
        <f>AX17</f>
        <v/>
      </c>
      <c r="BD135" s="35" t="str">
        <f>AY17</f>
        <v/>
      </c>
      <c r="BF135" s="34" t="str">
        <f>AU18</f>
        <v/>
      </c>
      <c r="BG135" s="34" t="str">
        <f>AV18</f>
        <v/>
      </c>
      <c r="BH135" s="34" t="str">
        <f>AW18</f>
        <v/>
      </c>
      <c r="BI135" s="35" t="str">
        <f>AX18</f>
        <v/>
      </c>
      <c r="BJ135" s="35" t="str">
        <f>AY18</f>
        <v/>
      </c>
    </row>
    <row r="136" spans="1:62" x14ac:dyDescent="0.25">
      <c r="A136" s="15">
        <v>1000</v>
      </c>
      <c r="B136" s="8">
        <f t="shared" si="34"/>
        <v>0</v>
      </c>
      <c r="C136" s="6">
        <f t="shared" si="34"/>
        <v>0</v>
      </c>
      <c r="D136" s="6">
        <f t="shared" si="34"/>
        <v>0</v>
      </c>
      <c r="E136" s="6">
        <f t="shared" si="34"/>
        <v>0</v>
      </c>
      <c r="F136" s="13">
        <f t="shared" si="34"/>
        <v>0</v>
      </c>
      <c r="G136" s="8">
        <f t="shared" si="35"/>
        <v>0</v>
      </c>
      <c r="H136" s="6">
        <f t="shared" si="35"/>
        <v>0</v>
      </c>
      <c r="I136" s="6">
        <f t="shared" si="35"/>
        <v>0</v>
      </c>
      <c r="J136" s="6">
        <f t="shared" si="35"/>
        <v>0</v>
      </c>
      <c r="K136" s="13">
        <f t="shared" si="35"/>
        <v>0</v>
      </c>
      <c r="L136" s="8">
        <f t="shared" si="36"/>
        <v>0</v>
      </c>
      <c r="M136" s="6">
        <f t="shared" si="36"/>
        <v>0</v>
      </c>
      <c r="N136" s="6">
        <f t="shared" si="36"/>
        <v>0</v>
      </c>
      <c r="O136" s="6">
        <f t="shared" si="36"/>
        <v>0</v>
      </c>
      <c r="P136" s="13">
        <f t="shared" si="36"/>
        <v>0</v>
      </c>
      <c r="Q136" s="8">
        <f t="shared" si="37"/>
        <v>0</v>
      </c>
      <c r="R136" s="6">
        <f t="shared" si="37"/>
        <v>0</v>
      </c>
      <c r="S136" s="6">
        <f t="shared" si="37"/>
        <v>0</v>
      </c>
      <c r="T136" s="6">
        <f t="shared" si="37"/>
        <v>0</v>
      </c>
      <c r="U136" s="13">
        <f t="shared" si="37"/>
        <v>0</v>
      </c>
      <c r="V136" s="8">
        <f t="shared" si="38"/>
        <v>0</v>
      </c>
      <c r="W136" s="6">
        <f t="shared" si="38"/>
        <v>0</v>
      </c>
      <c r="X136" s="6">
        <f t="shared" si="38"/>
        <v>0</v>
      </c>
      <c r="Y136" s="6">
        <f t="shared" si="38"/>
        <v>0</v>
      </c>
      <c r="Z136" s="13">
        <f t="shared" si="38"/>
        <v>0</v>
      </c>
      <c r="AA136" s="8">
        <f t="shared" si="38"/>
        <v>0</v>
      </c>
      <c r="AB136" s="6">
        <f t="shared" si="38"/>
        <v>0</v>
      </c>
      <c r="AC136" s="6">
        <f t="shared" si="38"/>
        <v>0</v>
      </c>
      <c r="AD136" s="6">
        <f t="shared" si="38"/>
        <v>0</v>
      </c>
      <c r="AE136" s="13">
        <f t="shared" si="38"/>
        <v>0</v>
      </c>
      <c r="AF136" s="16">
        <f t="shared" si="39"/>
        <v>0</v>
      </c>
      <c r="AG136" s="16">
        <f t="shared" si="40"/>
        <v>0</v>
      </c>
    </row>
    <row r="137" spans="1:62" x14ac:dyDescent="0.25">
      <c r="A137" s="15">
        <v>1500</v>
      </c>
      <c r="B137" s="8">
        <f t="shared" si="34"/>
        <v>0</v>
      </c>
      <c r="C137" s="6">
        <f t="shared" si="34"/>
        <v>0</v>
      </c>
      <c r="D137" s="6">
        <f t="shared" si="34"/>
        <v>0</v>
      </c>
      <c r="E137" s="6">
        <f t="shared" si="34"/>
        <v>0</v>
      </c>
      <c r="F137" s="13">
        <f t="shared" si="34"/>
        <v>0</v>
      </c>
      <c r="G137" s="8">
        <f t="shared" si="35"/>
        <v>0</v>
      </c>
      <c r="H137" s="6">
        <f t="shared" si="35"/>
        <v>0</v>
      </c>
      <c r="I137" s="6">
        <f t="shared" si="35"/>
        <v>0</v>
      </c>
      <c r="J137" s="6">
        <f t="shared" si="35"/>
        <v>0</v>
      </c>
      <c r="K137" s="13">
        <f t="shared" si="35"/>
        <v>0</v>
      </c>
      <c r="L137" s="8">
        <f t="shared" si="36"/>
        <v>0</v>
      </c>
      <c r="M137" s="6">
        <f t="shared" si="36"/>
        <v>0</v>
      </c>
      <c r="N137" s="6">
        <f t="shared" si="36"/>
        <v>0</v>
      </c>
      <c r="O137" s="6">
        <f t="shared" si="36"/>
        <v>0</v>
      </c>
      <c r="P137" s="13">
        <f t="shared" si="36"/>
        <v>0</v>
      </c>
      <c r="Q137" s="8">
        <f t="shared" si="37"/>
        <v>0</v>
      </c>
      <c r="R137" s="6">
        <f t="shared" si="37"/>
        <v>0</v>
      </c>
      <c r="S137" s="6">
        <f t="shared" si="37"/>
        <v>0</v>
      </c>
      <c r="T137" s="6">
        <f t="shared" si="37"/>
        <v>0</v>
      </c>
      <c r="U137" s="13">
        <f t="shared" si="37"/>
        <v>0</v>
      </c>
      <c r="V137" s="8">
        <f t="shared" si="38"/>
        <v>0</v>
      </c>
      <c r="W137" s="6">
        <f t="shared" si="38"/>
        <v>0</v>
      </c>
      <c r="X137" s="6">
        <f t="shared" si="38"/>
        <v>0</v>
      </c>
      <c r="Y137" s="6">
        <f t="shared" si="38"/>
        <v>0</v>
      </c>
      <c r="Z137" s="13">
        <f t="shared" si="38"/>
        <v>0</v>
      </c>
      <c r="AA137" s="8">
        <f t="shared" si="38"/>
        <v>0</v>
      </c>
      <c r="AB137" s="6">
        <f t="shared" si="38"/>
        <v>0</v>
      </c>
      <c r="AC137" s="6">
        <f t="shared" si="38"/>
        <v>0</v>
      </c>
      <c r="AD137" s="6">
        <f t="shared" si="38"/>
        <v>0</v>
      </c>
      <c r="AE137" s="13">
        <f t="shared" si="38"/>
        <v>0</v>
      </c>
      <c r="AF137" s="16">
        <f t="shared" si="39"/>
        <v>0</v>
      </c>
      <c r="AG137" s="16">
        <f t="shared" si="40"/>
        <v>0</v>
      </c>
      <c r="AH137" s="118" t="s">
        <v>35</v>
      </c>
      <c r="AI137" s="118"/>
      <c r="AJ137" s="118">
        <f>F7</f>
        <v>0</v>
      </c>
      <c r="AK137" s="118"/>
      <c r="AL137" s="118"/>
      <c r="AN137" s="118" t="s">
        <v>35</v>
      </c>
      <c r="AO137" s="118"/>
      <c r="AP137" s="118">
        <f>F8</f>
        <v>0</v>
      </c>
      <c r="AQ137" s="118"/>
      <c r="AR137" s="118"/>
      <c r="AT137" s="118" t="s">
        <v>35</v>
      </c>
      <c r="AU137" s="118"/>
      <c r="AV137" s="118">
        <f>F9</f>
        <v>0</v>
      </c>
      <c r="AW137" s="118"/>
      <c r="AX137" s="118"/>
      <c r="AZ137" s="118" t="s">
        <v>35</v>
      </c>
      <c r="BA137" s="118"/>
      <c r="BB137" s="118">
        <f>F10</f>
        <v>0</v>
      </c>
      <c r="BC137" s="118"/>
      <c r="BD137" s="118"/>
      <c r="BF137" s="118" t="s">
        <v>35</v>
      </c>
      <c r="BG137" s="118"/>
      <c r="BH137" s="118">
        <f>F11</f>
        <v>0</v>
      </c>
      <c r="BI137" s="118"/>
      <c r="BJ137" s="118"/>
    </row>
    <row r="138" spans="1:62" x14ac:dyDescent="0.25">
      <c r="A138" s="15">
        <v>2000</v>
      </c>
      <c r="B138" s="8">
        <f t="shared" si="34"/>
        <v>0</v>
      </c>
      <c r="C138" s="6">
        <f t="shared" si="34"/>
        <v>0</v>
      </c>
      <c r="D138" s="6">
        <f t="shared" si="34"/>
        <v>0</v>
      </c>
      <c r="E138" s="6">
        <f t="shared" si="34"/>
        <v>0</v>
      </c>
      <c r="F138" s="13">
        <f t="shared" si="34"/>
        <v>0</v>
      </c>
      <c r="G138" s="8">
        <f t="shared" si="35"/>
        <v>0</v>
      </c>
      <c r="H138" s="6">
        <f t="shared" si="35"/>
        <v>0</v>
      </c>
      <c r="I138" s="6">
        <f t="shared" si="35"/>
        <v>0</v>
      </c>
      <c r="J138" s="6">
        <f t="shared" si="35"/>
        <v>0</v>
      </c>
      <c r="K138" s="13">
        <f t="shared" si="35"/>
        <v>0</v>
      </c>
      <c r="L138" s="8">
        <f t="shared" si="36"/>
        <v>0</v>
      </c>
      <c r="M138" s="6">
        <f t="shared" si="36"/>
        <v>0</v>
      </c>
      <c r="N138" s="6">
        <f t="shared" si="36"/>
        <v>0</v>
      </c>
      <c r="O138" s="6">
        <f t="shared" si="36"/>
        <v>0</v>
      </c>
      <c r="P138" s="13">
        <f t="shared" si="36"/>
        <v>0</v>
      </c>
      <c r="Q138" s="8">
        <f t="shared" si="37"/>
        <v>0</v>
      </c>
      <c r="R138" s="6">
        <f t="shared" si="37"/>
        <v>0</v>
      </c>
      <c r="S138" s="6">
        <f t="shared" si="37"/>
        <v>0</v>
      </c>
      <c r="T138" s="6">
        <f t="shared" si="37"/>
        <v>0</v>
      </c>
      <c r="U138" s="13">
        <f t="shared" si="37"/>
        <v>0</v>
      </c>
      <c r="V138" s="8">
        <f t="shared" si="38"/>
        <v>0</v>
      </c>
      <c r="W138" s="6">
        <f t="shared" si="38"/>
        <v>0</v>
      </c>
      <c r="X138" s="6">
        <f t="shared" si="38"/>
        <v>0</v>
      </c>
      <c r="Y138" s="6">
        <f t="shared" si="38"/>
        <v>0</v>
      </c>
      <c r="Z138" s="13">
        <f t="shared" si="38"/>
        <v>0</v>
      </c>
      <c r="AA138" s="8">
        <f t="shared" si="38"/>
        <v>0</v>
      </c>
      <c r="AB138" s="6">
        <f t="shared" si="38"/>
        <v>0</v>
      </c>
      <c r="AC138" s="6">
        <f t="shared" si="38"/>
        <v>0</v>
      </c>
      <c r="AD138" s="6">
        <f t="shared" si="38"/>
        <v>0</v>
      </c>
      <c r="AE138" s="13">
        <f t="shared" si="38"/>
        <v>0</v>
      </c>
      <c r="AF138" s="16">
        <f t="shared" si="39"/>
        <v>0</v>
      </c>
      <c r="AG138" s="16">
        <f t="shared" si="40"/>
        <v>0</v>
      </c>
      <c r="AH138" s="118">
        <f>G7</f>
        <v>0</v>
      </c>
      <c r="AI138" s="118"/>
      <c r="AJ138" s="118"/>
      <c r="AK138" s="118"/>
      <c r="AL138" s="118"/>
      <c r="AN138" s="118">
        <f>G8</f>
        <v>0</v>
      </c>
      <c r="AO138" s="118">
        <f>G8</f>
        <v>0</v>
      </c>
      <c r="AP138" s="118"/>
      <c r="AQ138" s="118"/>
      <c r="AR138" s="118"/>
      <c r="AT138" s="118">
        <f>G9</f>
        <v>0</v>
      </c>
      <c r="AU138" s="118"/>
      <c r="AV138" s="118"/>
      <c r="AW138" s="118"/>
      <c r="AX138" s="118"/>
      <c r="AZ138" s="118">
        <f>G10</f>
        <v>0</v>
      </c>
      <c r="BA138" s="118"/>
      <c r="BB138" s="118"/>
      <c r="BC138" s="118"/>
      <c r="BD138" s="118"/>
      <c r="BF138" s="118">
        <f>G11</f>
        <v>0</v>
      </c>
      <c r="BG138" s="118"/>
      <c r="BH138" s="118"/>
      <c r="BI138" s="118"/>
      <c r="BJ138" s="118"/>
    </row>
    <row r="139" spans="1:62" ht="15.75" thickBot="1" x14ac:dyDescent="0.3">
      <c r="A139" s="15">
        <v>3000</v>
      </c>
      <c r="B139" s="8">
        <f t="shared" si="34"/>
        <v>0</v>
      </c>
      <c r="C139" s="6">
        <f t="shared" si="34"/>
        <v>0</v>
      </c>
      <c r="D139" s="6">
        <f t="shared" si="34"/>
        <v>0</v>
      </c>
      <c r="E139" s="6">
        <f t="shared" si="34"/>
        <v>0</v>
      </c>
      <c r="F139" s="13">
        <f t="shared" si="34"/>
        <v>0</v>
      </c>
      <c r="G139" s="8">
        <f t="shared" si="35"/>
        <v>0</v>
      </c>
      <c r="H139" s="6">
        <f t="shared" si="35"/>
        <v>0</v>
      </c>
      <c r="I139" s="6">
        <f t="shared" si="35"/>
        <v>0</v>
      </c>
      <c r="J139" s="6">
        <f t="shared" si="35"/>
        <v>0</v>
      </c>
      <c r="K139" s="13">
        <f t="shared" si="35"/>
        <v>0</v>
      </c>
      <c r="L139" s="8">
        <f t="shared" si="36"/>
        <v>0</v>
      </c>
      <c r="M139" s="6">
        <f t="shared" si="36"/>
        <v>0</v>
      </c>
      <c r="N139" s="6">
        <f t="shared" si="36"/>
        <v>0</v>
      </c>
      <c r="O139" s="6">
        <f t="shared" si="36"/>
        <v>0</v>
      </c>
      <c r="P139" s="13">
        <f t="shared" si="36"/>
        <v>0</v>
      </c>
      <c r="Q139" s="8">
        <f t="shared" si="37"/>
        <v>0</v>
      </c>
      <c r="R139" s="6">
        <f t="shared" si="37"/>
        <v>0</v>
      </c>
      <c r="S139" s="6">
        <f t="shared" si="37"/>
        <v>0</v>
      </c>
      <c r="T139" s="6">
        <f t="shared" si="37"/>
        <v>0</v>
      </c>
      <c r="U139" s="13">
        <f t="shared" si="37"/>
        <v>0</v>
      </c>
      <c r="V139" s="8">
        <f t="shared" si="38"/>
        <v>0</v>
      </c>
      <c r="W139" s="6">
        <f t="shared" si="38"/>
        <v>0</v>
      </c>
      <c r="X139" s="6">
        <f t="shared" si="38"/>
        <v>0</v>
      </c>
      <c r="Y139" s="6">
        <f t="shared" si="38"/>
        <v>0</v>
      </c>
      <c r="Z139" s="13">
        <f t="shared" si="38"/>
        <v>0</v>
      </c>
      <c r="AA139" s="8">
        <f t="shared" si="38"/>
        <v>0</v>
      </c>
      <c r="AB139" s="6">
        <f t="shared" si="38"/>
        <v>0</v>
      </c>
      <c r="AC139" s="6">
        <f t="shared" si="38"/>
        <v>0</v>
      </c>
      <c r="AD139" s="6">
        <f t="shared" si="38"/>
        <v>0</v>
      </c>
      <c r="AE139" s="13">
        <f t="shared" si="38"/>
        <v>0</v>
      </c>
      <c r="AF139" s="16">
        <f t="shared" si="39"/>
        <v>0</v>
      </c>
      <c r="AG139" s="16">
        <f t="shared" si="40"/>
        <v>0</v>
      </c>
      <c r="AH139" s="118">
        <f>H7</f>
        <v>0</v>
      </c>
      <c r="AI139" s="118"/>
      <c r="AJ139" s="118"/>
      <c r="AK139" s="118"/>
      <c r="AL139" s="118"/>
      <c r="AN139" s="118">
        <f>H8</f>
        <v>0</v>
      </c>
      <c r="AO139" s="118">
        <f>H8</f>
        <v>0</v>
      </c>
      <c r="AP139" s="118"/>
      <c r="AQ139" s="118"/>
      <c r="AR139" s="118"/>
      <c r="AT139" s="118">
        <f>H9</f>
        <v>0</v>
      </c>
      <c r="AU139" s="118"/>
      <c r="AV139" s="118"/>
      <c r="AW139" s="118"/>
      <c r="AX139" s="118"/>
      <c r="AZ139" s="118">
        <f>H10</f>
        <v>0</v>
      </c>
      <c r="BA139" s="118"/>
      <c r="BB139" s="118"/>
      <c r="BC139" s="118"/>
      <c r="BD139" s="118"/>
      <c r="BF139" s="118">
        <f>H11</f>
        <v>0</v>
      </c>
      <c r="BG139" s="118"/>
      <c r="BH139" s="118"/>
      <c r="BI139" s="118"/>
      <c r="BJ139" s="118"/>
    </row>
    <row r="140" spans="1:62" ht="15.75" thickBot="1" x14ac:dyDescent="0.3">
      <c r="A140" s="15">
        <v>5000</v>
      </c>
      <c r="B140" s="8">
        <f t="shared" si="34"/>
        <v>0</v>
      </c>
      <c r="C140" s="6">
        <f t="shared" si="34"/>
        <v>0</v>
      </c>
      <c r="D140" s="6">
        <f t="shared" si="34"/>
        <v>0</v>
      </c>
      <c r="E140" s="6">
        <f t="shared" si="34"/>
        <v>0</v>
      </c>
      <c r="F140" s="13">
        <f t="shared" si="34"/>
        <v>0</v>
      </c>
      <c r="G140" s="8">
        <f t="shared" si="35"/>
        <v>0</v>
      </c>
      <c r="H140" s="6">
        <f t="shared" si="35"/>
        <v>0</v>
      </c>
      <c r="I140" s="6">
        <f t="shared" si="35"/>
        <v>0</v>
      </c>
      <c r="J140" s="6">
        <f t="shared" si="35"/>
        <v>0</v>
      </c>
      <c r="K140" s="13">
        <f t="shared" si="35"/>
        <v>0</v>
      </c>
      <c r="L140" s="8">
        <f t="shared" si="36"/>
        <v>0</v>
      </c>
      <c r="M140" s="6">
        <f t="shared" si="36"/>
        <v>0</v>
      </c>
      <c r="N140" s="6">
        <f t="shared" si="36"/>
        <v>0</v>
      </c>
      <c r="O140" s="6">
        <f t="shared" si="36"/>
        <v>0</v>
      </c>
      <c r="P140" s="13">
        <f t="shared" si="36"/>
        <v>0</v>
      </c>
      <c r="Q140" s="8">
        <f t="shared" si="37"/>
        <v>0</v>
      </c>
      <c r="R140" s="6">
        <f t="shared" si="37"/>
        <v>0</v>
      </c>
      <c r="S140" s="6">
        <f t="shared" si="37"/>
        <v>0</v>
      </c>
      <c r="T140" s="6">
        <f t="shared" si="37"/>
        <v>0</v>
      </c>
      <c r="U140" s="13">
        <f t="shared" si="37"/>
        <v>0</v>
      </c>
      <c r="V140" s="8">
        <f t="shared" si="38"/>
        <v>0</v>
      </c>
      <c r="W140" s="6">
        <f t="shared" si="38"/>
        <v>0</v>
      </c>
      <c r="X140" s="6">
        <f t="shared" si="38"/>
        <v>0</v>
      </c>
      <c r="Y140" s="6">
        <f t="shared" si="38"/>
        <v>0</v>
      </c>
      <c r="Z140" s="13">
        <f t="shared" si="38"/>
        <v>0</v>
      </c>
      <c r="AA140" s="8">
        <f t="shared" si="38"/>
        <v>0</v>
      </c>
      <c r="AB140" s="6">
        <f t="shared" si="38"/>
        <v>0</v>
      </c>
      <c r="AC140" s="6">
        <f t="shared" si="38"/>
        <v>0</v>
      </c>
      <c r="AD140" s="6">
        <f t="shared" si="38"/>
        <v>0</v>
      </c>
      <c r="AE140" s="13">
        <f t="shared" si="38"/>
        <v>0</v>
      </c>
      <c r="AF140" s="16">
        <f t="shared" si="39"/>
        <v>0</v>
      </c>
      <c r="AG140" s="16">
        <f t="shared" si="40"/>
        <v>0</v>
      </c>
      <c r="AH140" s="30" t="s">
        <v>136</v>
      </c>
      <c r="AI140" s="30" t="s">
        <v>27</v>
      </c>
      <c r="AJ140" s="30" t="s">
        <v>28</v>
      </c>
      <c r="AK140" s="30" t="s">
        <v>29</v>
      </c>
      <c r="AL140" s="30" t="s">
        <v>30</v>
      </c>
      <c r="AN140" s="30" t="s">
        <v>136</v>
      </c>
      <c r="AO140" s="30" t="s">
        <v>27</v>
      </c>
      <c r="AP140" s="30" t="s">
        <v>28</v>
      </c>
      <c r="AQ140" s="30" t="s">
        <v>29</v>
      </c>
      <c r="AR140" s="30" t="s">
        <v>30</v>
      </c>
      <c r="AT140" s="30" t="s">
        <v>136</v>
      </c>
      <c r="AU140" s="30" t="s">
        <v>27</v>
      </c>
      <c r="AV140" s="30" t="s">
        <v>28</v>
      </c>
      <c r="AW140" s="30" t="s">
        <v>29</v>
      </c>
      <c r="AX140" s="30" t="s">
        <v>30</v>
      </c>
      <c r="AZ140" s="30" t="s">
        <v>136</v>
      </c>
      <c r="BA140" s="30" t="s">
        <v>27</v>
      </c>
      <c r="BB140" s="30" t="s">
        <v>28</v>
      </c>
      <c r="BC140" s="30" t="s">
        <v>29</v>
      </c>
      <c r="BD140" s="30" t="s">
        <v>30</v>
      </c>
      <c r="BF140" s="30" t="s">
        <v>136</v>
      </c>
      <c r="BG140" s="30" t="s">
        <v>27</v>
      </c>
      <c r="BH140" s="30" t="s">
        <v>28</v>
      </c>
      <c r="BI140" s="30" t="s">
        <v>29</v>
      </c>
      <c r="BJ140" s="30" t="s">
        <v>30</v>
      </c>
    </row>
    <row r="141" spans="1:62" ht="15.75" thickBot="1" x14ac:dyDescent="0.3">
      <c r="A141" s="59">
        <v>10000</v>
      </c>
      <c r="B141" s="31">
        <f t="shared" si="34"/>
        <v>0</v>
      </c>
      <c r="C141" s="32">
        <f t="shared" si="34"/>
        <v>0</v>
      </c>
      <c r="D141" s="32">
        <f t="shared" si="34"/>
        <v>0</v>
      </c>
      <c r="E141" s="32">
        <f t="shared" si="34"/>
        <v>0</v>
      </c>
      <c r="F141" s="33">
        <f t="shared" si="34"/>
        <v>0</v>
      </c>
      <c r="G141" s="31">
        <f t="shared" si="35"/>
        <v>0</v>
      </c>
      <c r="H141" s="32">
        <f t="shared" si="35"/>
        <v>0</v>
      </c>
      <c r="I141" s="32">
        <f t="shared" si="35"/>
        <v>0</v>
      </c>
      <c r="J141" s="32">
        <f t="shared" si="35"/>
        <v>0</v>
      </c>
      <c r="K141" s="33">
        <f t="shared" si="35"/>
        <v>0</v>
      </c>
      <c r="L141" s="31">
        <f t="shared" si="36"/>
        <v>0</v>
      </c>
      <c r="M141" s="32">
        <f t="shared" si="36"/>
        <v>0</v>
      </c>
      <c r="N141" s="32">
        <f t="shared" si="36"/>
        <v>0</v>
      </c>
      <c r="O141" s="32">
        <f t="shared" si="36"/>
        <v>0</v>
      </c>
      <c r="P141" s="33">
        <f t="shared" si="36"/>
        <v>0</v>
      </c>
      <c r="Q141" s="31">
        <f t="shared" si="37"/>
        <v>0</v>
      </c>
      <c r="R141" s="32">
        <f t="shared" si="37"/>
        <v>0</v>
      </c>
      <c r="S141" s="32">
        <f t="shared" si="37"/>
        <v>0</v>
      </c>
      <c r="T141" s="32">
        <f t="shared" si="37"/>
        <v>0</v>
      </c>
      <c r="U141" s="33">
        <f t="shared" si="37"/>
        <v>0</v>
      </c>
      <c r="V141" s="31">
        <f t="shared" si="38"/>
        <v>0</v>
      </c>
      <c r="W141" s="32">
        <f t="shared" si="38"/>
        <v>0</v>
      </c>
      <c r="X141" s="32">
        <f t="shared" si="38"/>
        <v>0</v>
      </c>
      <c r="Y141" s="32">
        <f t="shared" si="38"/>
        <v>0</v>
      </c>
      <c r="Z141" s="33">
        <f t="shared" si="38"/>
        <v>0</v>
      </c>
      <c r="AA141" s="31">
        <f t="shared" si="38"/>
        <v>0</v>
      </c>
      <c r="AB141" s="32">
        <f t="shared" si="38"/>
        <v>0</v>
      </c>
      <c r="AC141" s="32">
        <f t="shared" si="38"/>
        <v>0</v>
      </c>
      <c r="AD141" s="32">
        <f t="shared" si="38"/>
        <v>0</v>
      </c>
      <c r="AE141" s="33">
        <f t="shared" si="38"/>
        <v>0</v>
      </c>
      <c r="AF141" s="16">
        <f t="shared" si="39"/>
        <v>0</v>
      </c>
      <c r="AG141" s="43">
        <f t="shared" si="40"/>
        <v>0</v>
      </c>
      <c r="AH141" s="16">
        <f>J7</f>
        <v>0</v>
      </c>
      <c r="AI141" s="10">
        <f>K7</f>
        <v>0</v>
      </c>
      <c r="AJ141" s="11">
        <f>L7</f>
        <v>0</v>
      </c>
      <c r="AK141" s="11">
        <f>M7</f>
        <v>0</v>
      </c>
      <c r="AL141" s="17">
        <f>N7</f>
        <v>0</v>
      </c>
      <c r="AN141" s="16">
        <f>J8</f>
        <v>0</v>
      </c>
      <c r="AO141" s="10">
        <f>K8</f>
        <v>0</v>
      </c>
      <c r="AP141" s="11">
        <f>L8</f>
        <v>0</v>
      </c>
      <c r="AQ141" s="11">
        <f>M8</f>
        <v>0</v>
      </c>
      <c r="AR141" s="17">
        <f>N8</f>
        <v>0</v>
      </c>
      <c r="AT141" s="16">
        <f>J9</f>
        <v>0</v>
      </c>
      <c r="AU141" s="10">
        <f>K9</f>
        <v>0</v>
      </c>
      <c r="AV141" s="11">
        <f>L9</f>
        <v>0</v>
      </c>
      <c r="AW141" s="11">
        <f>M9</f>
        <v>0</v>
      </c>
      <c r="AX141" s="17">
        <f>N9</f>
        <v>0</v>
      </c>
      <c r="AZ141" s="16">
        <f>J10</f>
        <v>0</v>
      </c>
      <c r="BA141" s="10">
        <f>K10</f>
        <v>0</v>
      </c>
      <c r="BB141" s="11">
        <f>L10</f>
        <v>0</v>
      </c>
      <c r="BC141" s="11">
        <f>M10</f>
        <v>0</v>
      </c>
      <c r="BD141" s="17">
        <f>N10</f>
        <v>0</v>
      </c>
      <c r="BF141" s="16">
        <f>J11</f>
        <v>0</v>
      </c>
      <c r="BG141" s="10">
        <f>K11</f>
        <v>0</v>
      </c>
      <c r="BH141" s="11">
        <f>L11</f>
        <v>0</v>
      </c>
      <c r="BI141" s="11">
        <f>M11</f>
        <v>0</v>
      </c>
      <c r="BJ141" s="17">
        <f>N11</f>
        <v>0</v>
      </c>
    </row>
    <row r="142" spans="1:62" ht="15.75" thickBot="1" x14ac:dyDescent="0.3">
      <c r="A142" s="35"/>
      <c r="B142" s="60">
        <f t="shared" ref="B142:AG142" si="41">SUM(B133:B141)</f>
        <v>0</v>
      </c>
      <c r="C142" s="61">
        <f t="shared" si="41"/>
        <v>0</v>
      </c>
      <c r="D142" s="61">
        <f t="shared" si="41"/>
        <v>0</v>
      </c>
      <c r="E142" s="61">
        <f t="shared" si="41"/>
        <v>0</v>
      </c>
      <c r="F142" s="62">
        <f t="shared" si="41"/>
        <v>0</v>
      </c>
      <c r="G142" s="60">
        <f t="shared" si="41"/>
        <v>0</v>
      </c>
      <c r="H142" s="61">
        <f t="shared" si="41"/>
        <v>0</v>
      </c>
      <c r="I142" s="61">
        <f t="shared" si="41"/>
        <v>0</v>
      </c>
      <c r="J142" s="61">
        <f t="shared" si="41"/>
        <v>0</v>
      </c>
      <c r="K142" s="62">
        <f t="shared" si="41"/>
        <v>0</v>
      </c>
      <c r="L142" s="60">
        <f t="shared" si="41"/>
        <v>0</v>
      </c>
      <c r="M142" s="61">
        <f t="shared" si="41"/>
        <v>0</v>
      </c>
      <c r="N142" s="61">
        <f t="shared" si="41"/>
        <v>0</v>
      </c>
      <c r="O142" s="61">
        <f t="shared" si="41"/>
        <v>0</v>
      </c>
      <c r="P142" s="62">
        <f t="shared" si="41"/>
        <v>0</v>
      </c>
      <c r="Q142" s="60">
        <f t="shared" si="41"/>
        <v>0</v>
      </c>
      <c r="R142" s="61">
        <f t="shared" si="41"/>
        <v>0</v>
      </c>
      <c r="S142" s="61">
        <f t="shared" si="41"/>
        <v>0</v>
      </c>
      <c r="T142" s="61">
        <f t="shared" si="41"/>
        <v>0</v>
      </c>
      <c r="U142" s="62">
        <f t="shared" si="41"/>
        <v>0</v>
      </c>
      <c r="V142" s="60">
        <f t="shared" si="41"/>
        <v>0</v>
      </c>
      <c r="W142" s="61">
        <f t="shared" si="41"/>
        <v>0</v>
      </c>
      <c r="X142" s="61">
        <f t="shared" si="41"/>
        <v>0</v>
      </c>
      <c r="Y142" s="61">
        <f t="shared" si="41"/>
        <v>0</v>
      </c>
      <c r="Z142" s="62">
        <f t="shared" si="41"/>
        <v>0</v>
      </c>
      <c r="AA142" s="60">
        <f t="shared" si="41"/>
        <v>0</v>
      </c>
      <c r="AB142" s="61">
        <f t="shared" si="41"/>
        <v>0</v>
      </c>
      <c r="AC142" s="61">
        <f t="shared" si="41"/>
        <v>0</v>
      </c>
      <c r="AD142" s="61">
        <f t="shared" si="41"/>
        <v>0</v>
      </c>
      <c r="AE142" s="62">
        <f t="shared" si="41"/>
        <v>0</v>
      </c>
      <c r="AF142" s="35">
        <f t="shared" si="41"/>
        <v>0</v>
      </c>
      <c r="AG142" s="35">
        <f t="shared" si="40"/>
        <v>0</v>
      </c>
      <c r="AH142" s="15">
        <f>P7</f>
        <v>0</v>
      </c>
      <c r="AI142" s="8">
        <f>Q7</f>
        <v>0</v>
      </c>
      <c r="AJ142" s="6">
        <f>R7</f>
        <v>0</v>
      </c>
      <c r="AK142" s="6">
        <f>S7</f>
        <v>0</v>
      </c>
      <c r="AL142" s="13">
        <f>T7</f>
        <v>0</v>
      </c>
      <c r="AN142" s="15">
        <f>P8</f>
        <v>0</v>
      </c>
      <c r="AO142" s="8">
        <f>Q8</f>
        <v>0</v>
      </c>
      <c r="AP142" s="6">
        <f>R8</f>
        <v>0</v>
      </c>
      <c r="AQ142" s="6">
        <f>S8</f>
        <v>0</v>
      </c>
      <c r="AR142" s="13">
        <f>T8</f>
        <v>0</v>
      </c>
      <c r="AT142" s="15">
        <f>P9</f>
        <v>0</v>
      </c>
      <c r="AU142" s="8">
        <f>Q9</f>
        <v>0</v>
      </c>
      <c r="AV142" s="6">
        <f>R9</f>
        <v>0</v>
      </c>
      <c r="AW142" s="6">
        <f>S9</f>
        <v>0</v>
      </c>
      <c r="AX142" s="13">
        <f>T9</f>
        <v>0</v>
      </c>
      <c r="AZ142" s="15">
        <f>P10</f>
        <v>0</v>
      </c>
      <c r="BA142" s="8">
        <f>Q10</f>
        <v>0</v>
      </c>
      <c r="BB142" s="6">
        <f>R10</f>
        <v>0</v>
      </c>
      <c r="BC142" s="6">
        <f>S10</f>
        <v>0</v>
      </c>
      <c r="BD142" s="13">
        <f>T10</f>
        <v>0</v>
      </c>
      <c r="BF142" s="15">
        <f>P11</f>
        <v>0</v>
      </c>
      <c r="BG142" s="8">
        <f>Q11</f>
        <v>0</v>
      </c>
      <c r="BH142" s="6">
        <f>R11</f>
        <v>0</v>
      </c>
      <c r="BI142" s="6">
        <f>S11</f>
        <v>0</v>
      </c>
      <c r="BJ142" s="13">
        <f>T11</f>
        <v>0</v>
      </c>
    </row>
    <row r="143" spans="1:62" ht="15.75" thickBot="1" x14ac:dyDescent="0.3">
      <c r="AH143" s="15">
        <f>V7</f>
        <v>0</v>
      </c>
      <c r="AI143" s="8">
        <f>W7</f>
        <v>0</v>
      </c>
      <c r="AJ143" s="6">
        <f>X7</f>
        <v>0</v>
      </c>
      <c r="AK143" s="6">
        <f>Y7</f>
        <v>0</v>
      </c>
      <c r="AL143" s="13">
        <f>Z7</f>
        <v>0</v>
      </c>
      <c r="AN143" s="15">
        <f>V8</f>
        <v>0</v>
      </c>
      <c r="AO143" s="8">
        <f>W8</f>
        <v>0</v>
      </c>
      <c r="AP143" s="6">
        <f>X8</f>
        <v>0</v>
      </c>
      <c r="AQ143" s="6">
        <f>Y8</f>
        <v>0</v>
      </c>
      <c r="AR143" s="13">
        <f>Z8</f>
        <v>0</v>
      </c>
      <c r="AT143" s="15">
        <f>V9</f>
        <v>0</v>
      </c>
      <c r="AU143" s="8">
        <f>W9</f>
        <v>0</v>
      </c>
      <c r="AV143" s="6">
        <f>X9</f>
        <v>0</v>
      </c>
      <c r="AW143" s="6">
        <f>Y9</f>
        <v>0</v>
      </c>
      <c r="AX143" s="13">
        <f>Z9</f>
        <v>0</v>
      </c>
      <c r="AZ143" s="15">
        <f>V10</f>
        <v>0</v>
      </c>
      <c r="BA143" s="8">
        <f>W10</f>
        <v>0</v>
      </c>
      <c r="BB143" s="6">
        <f>X10</f>
        <v>0</v>
      </c>
      <c r="BC143" s="6">
        <f>Y10</f>
        <v>0</v>
      </c>
      <c r="BD143" s="13">
        <f>Z10</f>
        <v>0</v>
      </c>
      <c r="BF143" s="15">
        <f>V11</f>
        <v>0</v>
      </c>
      <c r="BG143" s="8">
        <f>W11</f>
        <v>0</v>
      </c>
      <c r="BH143" s="6">
        <f>X11</f>
        <v>0</v>
      </c>
      <c r="BI143" s="6">
        <f>Y11</f>
        <v>0</v>
      </c>
      <c r="BJ143" s="13">
        <f>Z11</f>
        <v>0</v>
      </c>
    </row>
    <row r="144" spans="1:62" ht="15.75" customHeight="1" thickBot="1" x14ac:dyDescent="0.3">
      <c r="A144" s="111" t="s">
        <v>130</v>
      </c>
      <c r="B144" s="112"/>
      <c r="D144" s="111" t="s">
        <v>131</v>
      </c>
      <c r="E144" s="112"/>
      <c r="G144" s="111" t="s">
        <v>132</v>
      </c>
      <c r="H144" s="112"/>
      <c r="J144" s="161" t="s">
        <v>250</v>
      </c>
      <c r="K144" s="162"/>
      <c r="M144" s="161" t="s">
        <v>251</v>
      </c>
      <c r="N144" s="162"/>
      <c r="P144" s="161" t="s">
        <v>252</v>
      </c>
      <c r="Q144" s="162"/>
      <c r="S144" s="123" t="s">
        <v>31</v>
      </c>
      <c r="T144" s="113" t="s">
        <v>84</v>
      </c>
      <c r="U144" s="115"/>
      <c r="V144" s="116" t="s">
        <v>24</v>
      </c>
      <c r="W144" s="116" t="s">
        <v>86</v>
      </c>
      <c r="AH144" s="15">
        <f>AB7</f>
        <v>0</v>
      </c>
      <c r="AI144" s="8">
        <f>AC7</f>
        <v>0</v>
      </c>
      <c r="AJ144" s="6">
        <f>AD7</f>
        <v>0</v>
      </c>
      <c r="AK144" s="6">
        <f>AE7</f>
        <v>0</v>
      </c>
      <c r="AL144" s="13">
        <f>AF7</f>
        <v>0</v>
      </c>
      <c r="AN144" s="15">
        <f>AB8</f>
        <v>0</v>
      </c>
      <c r="AO144" s="8">
        <f>AC8</f>
        <v>0</v>
      </c>
      <c r="AP144" s="6">
        <f>AD8</f>
        <v>0</v>
      </c>
      <c r="AQ144" s="6">
        <f>AE8</f>
        <v>0</v>
      </c>
      <c r="AR144" s="13">
        <f>AF8</f>
        <v>0</v>
      </c>
      <c r="AT144" s="15">
        <f>AB9</f>
        <v>0</v>
      </c>
      <c r="AU144" s="8">
        <f>AC9</f>
        <v>0</v>
      </c>
      <c r="AV144" s="6">
        <f>AD9</f>
        <v>0</v>
      </c>
      <c r="AW144" s="6">
        <f>AE9</f>
        <v>0</v>
      </c>
      <c r="AX144" s="13">
        <f>AF9</f>
        <v>0</v>
      </c>
      <c r="AZ144" s="15">
        <f>AB10</f>
        <v>0</v>
      </c>
      <c r="BA144" s="8">
        <f>AC10</f>
        <v>0</v>
      </c>
      <c r="BB144" s="6">
        <f>AD10</f>
        <v>0</v>
      </c>
      <c r="BC144" s="6">
        <f>AE10</f>
        <v>0</v>
      </c>
      <c r="BD144" s="13">
        <f>AF10</f>
        <v>0</v>
      </c>
      <c r="BF144" s="15">
        <f>AB11</f>
        <v>0</v>
      </c>
      <c r="BG144" s="8">
        <f>AC11</f>
        <v>0</v>
      </c>
      <c r="BH144" s="6">
        <f>AD11</f>
        <v>0</v>
      </c>
      <c r="BI144" s="6">
        <f>AE11</f>
        <v>0</v>
      </c>
      <c r="BJ144" s="13">
        <f>AF11</f>
        <v>0</v>
      </c>
    </row>
    <row r="145" spans="1:62" ht="15.75" thickBot="1" x14ac:dyDescent="0.3">
      <c r="A145" s="60" t="s">
        <v>27</v>
      </c>
      <c r="B145" s="62" t="s">
        <v>102</v>
      </c>
      <c r="D145" s="34" t="s">
        <v>27</v>
      </c>
      <c r="E145" s="79" t="s">
        <v>102</v>
      </c>
      <c r="G145" s="34" t="s">
        <v>27</v>
      </c>
      <c r="H145" s="79" t="s">
        <v>102</v>
      </c>
      <c r="J145" s="163"/>
      <c r="K145" s="164"/>
      <c r="M145" s="163"/>
      <c r="N145" s="164"/>
      <c r="P145" s="163"/>
      <c r="Q145" s="164"/>
      <c r="S145" s="124"/>
      <c r="T145" s="12" t="s">
        <v>17</v>
      </c>
      <c r="U145" s="12" t="s">
        <v>19</v>
      </c>
      <c r="V145" s="117"/>
      <c r="W145" s="117"/>
      <c r="AH145" s="15">
        <f>AH7</f>
        <v>0</v>
      </c>
      <c r="AI145" s="8">
        <f>AI7</f>
        <v>0</v>
      </c>
      <c r="AJ145" s="6">
        <f>AJ7</f>
        <v>0</v>
      </c>
      <c r="AK145" s="6">
        <f>AK7</f>
        <v>0</v>
      </c>
      <c r="AL145" s="13">
        <f>AL7</f>
        <v>0</v>
      </c>
      <c r="AN145" s="15">
        <f>AH8</f>
        <v>0</v>
      </c>
      <c r="AO145" s="8">
        <f>AI8</f>
        <v>0</v>
      </c>
      <c r="AP145" s="6">
        <f>AJ8</f>
        <v>0</v>
      </c>
      <c r="AQ145" s="6">
        <f>AK8</f>
        <v>0</v>
      </c>
      <c r="AR145" s="13">
        <f>AL8</f>
        <v>0</v>
      </c>
      <c r="AT145" s="15">
        <f>AH9</f>
        <v>0</v>
      </c>
      <c r="AU145" s="8">
        <f>AI9</f>
        <v>0</v>
      </c>
      <c r="AV145" s="6">
        <f>AJ9</f>
        <v>0</v>
      </c>
      <c r="AW145" s="6">
        <f>AK9</f>
        <v>0</v>
      </c>
      <c r="AX145" s="13">
        <f>AL9</f>
        <v>0</v>
      </c>
      <c r="AZ145" s="15">
        <f>AH10</f>
        <v>0</v>
      </c>
      <c r="BA145" s="8">
        <f>AI10</f>
        <v>0</v>
      </c>
      <c r="BB145" s="6">
        <f>AJ10</f>
        <v>0</v>
      </c>
      <c r="BC145" s="6">
        <f>AK10</f>
        <v>0</v>
      </c>
      <c r="BD145" s="13">
        <f>AL10</f>
        <v>0</v>
      </c>
      <c r="BF145" s="15">
        <f>AH11</f>
        <v>0</v>
      </c>
      <c r="BG145" s="8">
        <f>AI11</f>
        <v>0</v>
      </c>
      <c r="BH145" s="6">
        <f>AJ11</f>
        <v>0</v>
      </c>
      <c r="BI145" s="6">
        <f>AK11</f>
        <v>0</v>
      </c>
      <c r="BJ145" s="13">
        <f>AL11</f>
        <v>0</v>
      </c>
    </row>
    <row r="146" spans="1:62" x14ac:dyDescent="0.25">
      <c r="A146" s="10">
        <v>225</v>
      </c>
      <c r="B146" s="17">
        <f t="shared" ref="B146:B151" si="42">SUMIFS($J$14:$J$113,$H$14:$H$113,$A$144,$I$14:$I$113,A146)</f>
        <v>0</v>
      </c>
      <c r="D146" s="10">
        <v>1000</v>
      </c>
      <c r="E146" s="17">
        <f>SUMIFS($J$14:$J$113,$H$14:$H$113,$D$144,$I$14:$I$113,D146)</f>
        <v>0</v>
      </c>
      <c r="G146" s="10">
        <v>1000</v>
      </c>
      <c r="H146" s="17">
        <f>SUMIFS($J$14:$J$113,$H$14:$H$113,$G$144,$I$14:$I$113,G146)</f>
        <v>0</v>
      </c>
      <c r="J146" s="163"/>
      <c r="K146" s="164"/>
      <c r="M146" s="163"/>
      <c r="N146" s="164"/>
      <c r="P146" s="163"/>
      <c r="Q146" s="164"/>
      <c r="S146" s="16">
        <v>300</v>
      </c>
      <c r="T146" s="11">
        <f>SUMIFS($J$14:$J$113,$I$14:$I$113,$S146,$K$14:$K$113,T$145,$H$14:$H$113,$T$144)</f>
        <v>0</v>
      </c>
      <c r="U146" s="11">
        <f>SUMIFS($J$14:$J$113,$I$14:$I$113,$S146,$K$14:$K$113,U$145,$H$14:$H$113,$T$144)</f>
        <v>0</v>
      </c>
      <c r="V146" s="16">
        <f>SUM(T146:U146)*S146</f>
        <v>0</v>
      </c>
      <c r="W146" s="16">
        <f>T146+U146</f>
        <v>0</v>
      </c>
      <c r="AH146" s="15">
        <f>AN7</f>
        <v>0</v>
      </c>
      <c r="AI146" s="8">
        <f>AO7</f>
        <v>0</v>
      </c>
      <c r="AJ146" s="6">
        <f>AP7</f>
        <v>0</v>
      </c>
      <c r="AK146" s="6">
        <f>AQ7</f>
        <v>0</v>
      </c>
      <c r="AL146" s="13">
        <f>AR7</f>
        <v>0</v>
      </c>
      <c r="AN146" s="15">
        <f>AN8</f>
        <v>0</v>
      </c>
      <c r="AO146" s="8">
        <f>AO8</f>
        <v>0</v>
      </c>
      <c r="AP146" s="6">
        <f>AP8</f>
        <v>0</v>
      </c>
      <c r="AQ146" s="6">
        <f>AQ8</f>
        <v>0</v>
      </c>
      <c r="AR146" s="13">
        <f>AR8</f>
        <v>0</v>
      </c>
      <c r="AT146" s="15">
        <f>AN9</f>
        <v>0</v>
      </c>
      <c r="AU146" s="8">
        <f>AO9</f>
        <v>0</v>
      </c>
      <c r="AV146" s="6">
        <f>AP9</f>
        <v>0</v>
      </c>
      <c r="AW146" s="6">
        <f>AQ9</f>
        <v>0</v>
      </c>
      <c r="AX146" s="13">
        <f>AR9</f>
        <v>0</v>
      </c>
      <c r="AZ146" s="15">
        <f>AN10</f>
        <v>0</v>
      </c>
      <c r="BA146" s="8">
        <f>AO10</f>
        <v>0</v>
      </c>
      <c r="BB146" s="6">
        <f>AP10</f>
        <v>0</v>
      </c>
      <c r="BC146" s="6">
        <f>AQ10</f>
        <v>0</v>
      </c>
      <c r="BD146" s="13">
        <f>AR10</f>
        <v>0</v>
      </c>
      <c r="BF146" s="15">
        <f>AN11</f>
        <v>0</v>
      </c>
      <c r="BG146" s="8">
        <f>AO11</f>
        <v>0</v>
      </c>
      <c r="BH146" s="6">
        <f>AP11</f>
        <v>0</v>
      </c>
      <c r="BI146" s="6">
        <f>AQ11</f>
        <v>0</v>
      </c>
      <c r="BJ146" s="13">
        <f>AR11</f>
        <v>0</v>
      </c>
    </row>
    <row r="147" spans="1:62" ht="15.75" thickBot="1" x14ac:dyDescent="0.3">
      <c r="A147" s="8">
        <v>325</v>
      </c>
      <c r="B147" s="17">
        <f t="shared" si="42"/>
        <v>0</v>
      </c>
      <c r="D147" s="9">
        <v>3000</v>
      </c>
      <c r="E147" s="17">
        <f>SUMIFS($J$14:$J$113,$H$14:$H$113,$D$144,$I$14:$I$113,D147)</f>
        <v>0</v>
      </c>
      <c r="G147" s="31">
        <v>2000</v>
      </c>
      <c r="H147" s="17">
        <f>SUMIFS($J$14:$J$113,$H$14:$H$113,$G$144,$I$14:$I$113,G147)</f>
        <v>0</v>
      </c>
      <c r="J147" s="165"/>
      <c r="K147" s="166"/>
      <c r="M147" s="165"/>
      <c r="N147" s="166"/>
      <c r="P147" s="165"/>
      <c r="Q147" s="166"/>
      <c r="S147" s="16">
        <v>500</v>
      </c>
      <c r="T147" s="11">
        <f t="shared" ref="T147:U154" si="43">SUMIFS($J$14:$J$113,$I$14:$I$113,$S147,$K$14:$K$113,T$145,$H$14:$H$113,$T$144)</f>
        <v>0</v>
      </c>
      <c r="U147" s="11">
        <f t="shared" si="43"/>
        <v>0</v>
      </c>
      <c r="V147" s="16">
        <f t="shared" ref="V147:V154" si="44">SUM(T147:U147)*S147</f>
        <v>0</v>
      </c>
      <c r="W147" s="16">
        <f t="shared" ref="W147:W154" si="45">T147+U147</f>
        <v>0</v>
      </c>
      <c r="AA147" s="167" t="s">
        <v>37</v>
      </c>
      <c r="AB147" s="167"/>
      <c r="AC147" s="167"/>
      <c r="AD147" s="167" t="s">
        <v>113</v>
      </c>
      <c r="AE147" s="167"/>
      <c r="AF147" s="167"/>
      <c r="AH147" s="15">
        <f>AT7</f>
        <v>0</v>
      </c>
      <c r="AI147" s="8">
        <f>AU7</f>
        <v>0</v>
      </c>
      <c r="AJ147" s="6">
        <f>AV7</f>
        <v>0</v>
      </c>
      <c r="AK147" s="6">
        <f>AW7</f>
        <v>0</v>
      </c>
      <c r="AL147" s="13">
        <f>AX7</f>
        <v>0</v>
      </c>
      <c r="AN147" s="15">
        <f>AT8</f>
        <v>0</v>
      </c>
      <c r="AO147" s="8">
        <f>AU8</f>
        <v>0</v>
      </c>
      <c r="AP147" s="6">
        <f>AV8</f>
        <v>0</v>
      </c>
      <c r="AQ147" s="6">
        <f>AW8</f>
        <v>0</v>
      </c>
      <c r="AR147" s="13">
        <f>AX8</f>
        <v>0</v>
      </c>
      <c r="AT147" s="15">
        <f>AT9</f>
        <v>0</v>
      </c>
      <c r="AU147" s="8">
        <f>AU9</f>
        <v>0</v>
      </c>
      <c r="AV147" s="6">
        <f>AV9</f>
        <v>0</v>
      </c>
      <c r="AW147" s="6">
        <f>AW9</f>
        <v>0</v>
      </c>
      <c r="AX147" s="13">
        <f>AX9</f>
        <v>0</v>
      </c>
      <c r="AZ147" s="15">
        <f>AT10</f>
        <v>0</v>
      </c>
      <c r="BA147" s="8">
        <f>AU10</f>
        <v>0</v>
      </c>
      <c r="BB147" s="6">
        <f>AV10</f>
        <v>0</v>
      </c>
      <c r="BC147" s="6">
        <f>AW10</f>
        <v>0</v>
      </c>
      <c r="BD147" s="13">
        <f>AX10</f>
        <v>0</v>
      </c>
      <c r="BF147" s="15">
        <f>AT11</f>
        <v>0</v>
      </c>
      <c r="BG147" s="8">
        <f>AU11</f>
        <v>0</v>
      </c>
      <c r="BH147" s="6">
        <f>AV11</f>
        <v>0</v>
      </c>
      <c r="BI147" s="6">
        <f>AW11</f>
        <v>0</v>
      </c>
      <c r="BJ147" s="13">
        <f>AX11</f>
        <v>0</v>
      </c>
    </row>
    <row r="148" spans="1:62" ht="15.75" thickBot="1" x14ac:dyDescent="0.3">
      <c r="A148" s="8">
        <v>400</v>
      </c>
      <c r="B148" s="17">
        <f t="shared" si="42"/>
        <v>0</v>
      </c>
      <c r="D148" s="60" t="s">
        <v>24</v>
      </c>
      <c r="E148" s="62">
        <f>SUMPRODUCT(D146:D147,E146:E147)</f>
        <v>0</v>
      </c>
      <c r="G148" s="60" t="s">
        <v>24</v>
      </c>
      <c r="H148" s="62">
        <f>SUMPRODUCT(G146:G147,H146:H147)</f>
        <v>0</v>
      </c>
      <c r="J148" s="60" t="s">
        <v>29</v>
      </c>
      <c r="K148" s="62" t="s">
        <v>102</v>
      </c>
      <c r="M148" s="60" t="s">
        <v>29</v>
      </c>
      <c r="N148" s="62" t="s">
        <v>102</v>
      </c>
      <c r="P148" s="60" t="s">
        <v>29</v>
      </c>
      <c r="Q148" s="62" t="s">
        <v>102</v>
      </c>
      <c r="S148" s="15">
        <v>750</v>
      </c>
      <c r="T148" s="11">
        <f t="shared" si="43"/>
        <v>0</v>
      </c>
      <c r="U148" s="11">
        <f t="shared" si="43"/>
        <v>0</v>
      </c>
      <c r="V148" s="16">
        <f t="shared" si="44"/>
        <v>0</v>
      </c>
      <c r="W148" s="16">
        <f t="shared" si="45"/>
        <v>0</v>
      </c>
      <c r="AA148" s="167" t="str">
        <f>"TANKS: " &amp; SUM(B128:AE128,B146:B151,E146:E147,H146:H147,B142:AE142,W155)</f>
        <v>TANKS: 48</v>
      </c>
      <c r="AB148" s="167"/>
      <c r="AC148" s="167"/>
      <c r="AD148" s="167" t="str">
        <f>"LTRS: " &amp;SUM(AF128,B152,E148,H148,AF142,V155)</f>
        <v>LTRS: 39500</v>
      </c>
      <c r="AE148" s="167"/>
      <c r="AF148" s="167"/>
      <c r="AH148" s="15">
        <f>AZ7</f>
        <v>0</v>
      </c>
      <c r="AI148" s="8">
        <f>BA7</f>
        <v>0</v>
      </c>
      <c r="AJ148" s="6">
        <f>BB7</f>
        <v>0</v>
      </c>
      <c r="AK148" s="6">
        <f>BC7</f>
        <v>0</v>
      </c>
      <c r="AL148" s="13">
        <f>BD7</f>
        <v>0</v>
      </c>
      <c r="AN148" s="15">
        <f>AZ8</f>
        <v>0</v>
      </c>
      <c r="AO148" s="8">
        <f>BA8</f>
        <v>0</v>
      </c>
      <c r="AP148" s="6">
        <f>BB8</f>
        <v>0</v>
      </c>
      <c r="AQ148" s="6">
        <f>BC8</f>
        <v>0</v>
      </c>
      <c r="AR148" s="13">
        <f>BD8</f>
        <v>0</v>
      </c>
      <c r="AT148" s="15">
        <f>AZ9</f>
        <v>0</v>
      </c>
      <c r="AU148" s="8">
        <f>BA9</f>
        <v>0</v>
      </c>
      <c r="AV148" s="6">
        <f>BB9</f>
        <v>0</v>
      </c>
      <c r="AW148" s="6">
        <f>BC9</f>
        <v>0</v>
      </c>
      <c r="AX148" s="13">
        <f>BD9</f>
        <v>0</v>
      </c>
      <c r="AZ148" s="15">
        <f>AZ10</f>
        <v>0</v>
      </c>
      <c r="BA148" s="8">
        <f>BA10</f>
        <v>0</v>
      </c>
      <c r="BB148" s="6">
        <f>BB10</f>
        <v>0</v>
      </c>
      <c r="BC148" s="6">
        <f>BC10</f>
        <v>0</v>
      </c>
      <c r="BD148" s="13">
        <f>BD10</f>
        <v>0</v>
      </c>
      <c r="BF148" s="15">
        <f>AZ11</f>
        <v>0</v>
      </c>
      <c r="BG148" s="8">
        <f>BA11</f>
        <v>0</v>
      </c>
      <c r="BH148" s="6">
        <f>BB11</f>
        <v>0</v>
      </c>
      <c r="BI148" s="6">
        <f>BC11</f>
        <v>0</v>
      </c>
      <c r="BJ148" s="13">
        <f>BD11</f>
        <v>0</v>
      </c>
    </row>
    <row r="149" spans="1:62" x14ac:dyDescent="0.25">
      <c r="A149" s="8">
        <v>500</v>
      </c>
      <c r="B149" s="17">
        <f t="shared" si="42"/>
        <v>0</v>
      </c>
      <c r="J149" s="10" t="s">
        <v>17</v>
      </c>
      <c r="K149" s="17">
        <f>SUMIFS($J$14:$J$113,$H$14:$H$113,"CAP16_1",$K$14:$K$113,J149)</f>
        <v>0</v>
      </c>
      <c r="M149" s="10" t="s">
        <v>17</v>
      </c>
      <c r="N149" s="17">
        <f>SUMIFS($J$14:$J$113,$H$14:$H$113,"CAP16_2",$K$14:$K$113,M149)</f>
        <v>0</v>
      </c>
      <c r="P149" s="10" t="s">
        <v>17</v>
      </c>
      <c r="Q149" s="17">
        <f>SUMIFS($J$14:$J$113,$H$14:$H$113,"CAP19",$K$14:$K$113,P149)</f>
        <v>0</v>
      </c>
      <c r="S149" s="15">
        <v>1000</v>
      </c>
      <c r="T149" s="11">
        <f t="shared" si="43"/>
        <v>0</v>
      </c>
      <c r="U149" s="11">
        <f t="shared" si="43"/>
        <v>0</v>
      </c>
      <c r="V149" s="16">
        <f t="shared" si="44"/>
        <v>0</v>
      </c>
      <c r="W149" s="16">
        <f t="shared" si="45"/>
        <v>0</v>
      </c>
      <c r="AA149" s="167" t="s">
        <v>76</v>
      </c>
      <c r="AB149" s="167"/>
      <c r="AC149" s="167"/>
      <c r="AD149" s="176">
        <f>D114</f>
        <v>46008</v>
      </c>
      <c r="AE149" s="176"/>
      <c r="AF149" s="176"/>
      <c r="AH149" s="15">
        <f>BF7</f>
        <v>0</v>
      </c>
      <c r="AI149" s="8">
        <f>BG7</f>
        <v>0</v>
      </c>
      <c r="AJ149" s="6">
        <f>BH7</f>
        <v>0</v>
      </c>
      <c r="AK149" s="6">
        <f>BI7</f>
        <v>0</v>
      </c>
      <c r="AL149" s="13">
        <f>BJ7</f>
        <v>0</v>
      </c>
      <c r="AN149" s="15">
        <f>BF8</f>
        <v>0</v>
      </c>
      <c r="AO149" s="8">
        <f>BG8</f>
        <v>0</v>
      </c>
      <c r="AP149" s="6">
        <f>BH8</f>
        <v>0</v>
      </c>
      <c r="AQ149" s="6">
        <f>BI8</f>
        <v>0</v>
      </c>
      <c r="AR149" s="13">
        <f>BJ8</f>
        <v>0</v>
      </c>
      <c r="AT149" s="15">
        <f>BF9</f>
        <v>0</v>
      </c>
      <c r="AU149" s="8">
        <f>BG9</f>
        <v>0</v>
      </c>
      <c r="AV149" s="6">
        <f>BH9</f>
        <v>0</v>
      </c>
      <c r="AW149" s="6">
        <f>BI9</f>
        <v>0</v>
      </c>
      <c r="AX149" s="13">
        <f>BJ9</f>
        <v>0</v>
      </c>
      <c r="AZ149" s="15">
        <f>BF10</f>
        <v>0</v>
      </c>
      <c r="BA149" s="8">
        <f>BG10</f>
        <v>0</v>
      </c>
      <c r="BB149" s="6">
        <f>BH10</f>
        <v>0</v>
      </c>
      <c r="BC149" s="6">
        <f>BI10</f>
        <v>0</v>
      </c>
      <c r="BD149" s="13">
        <f>BJ10</f>
        <v>0</v>
      </c>
      <c r="BF149" s="15">
        <f>BF11</f>
        <v>0</v>
      </c>
      <c r="BG149" s="8">
        <f>BG11</f>
        <v>0</v>
      </c>
      <c r="BH149" s="6">
        <f>BH11</f>
        <v>0</v>
      </c>
      <c r="BI149" s="6">
        <f>BI11</f>
        <v>0</v>
      </c>
      <c r="BJ149" s="13">
        <f>BJ11</f>
        <v>0</v>
      </c>
    </row>
    <row r="150" spans="1:62" ht="15.75" thickBot="1" x14ac:dyDescent="0.3">
      <c r="A150" s="8">
        <v>750</v>
      </c>
      <c r="B150" s="17">
        <f t="shared" si="42"/>
        <v>0</v>
      </c>
      <c r="J150" s="8" t="s">
        <v>19</v>
      </c>
      <c r="K150" s="17">
        <f t="shared" ref="K150:K153" si="46">SUMIFS($J$14:$J$113,$H$14:$H$113,"CAP16_1",$K$14:$K$113,J150)</f>
        <v>0</v>
      </c>
      <c r="M150" s="8" t="s">
        <v>19</v>
      </c>
      <c r="N150" s="17">
        <f t="shared" ref="N150:N153" si="47">SUMIFS($J$14:$J$113,$H$14:$H$113,"CAP16_2",$K$14:$K$113,M150)</f>
        <v>0</v>
      </c>
      <c r="P150" s="8" t="s">
        <v>19</v>
      </c>
      <c r="Q150" s="17">
        <f t="shared" ref="Q150:Q153" si="48">SUMIFS($J$14:$J$113,$H$14:$H$113,"CAP19",$K$14:$K$113,P150)</f>
        <v>0</v>
      </c>
      <c r="S150" s="15">
        <v>1500</v>
      </c>
      <c r="T150" s="11">
        <f t="shared" si="43"/>
        <v>0</v>
      </c>
      <c r="U150" s="11">
        <f t="shared" si="43"/>
        <v>0</v>
      </c>
      <c r="V150" s="16">
        <f t="shared" si="44"/>
        <v>0</v>
      </c>
      <c r="W150" s="16">
        <f t="shared" si="45"/>
        <v>0</v>
      </c>
      <c r="AH150" s="59">
        <f>BL7</f>
        <v>0</v>
      </c>
      <c r="AI150" s="31">
        <f>BM7</f>
        <v>0</v>
      </c>
      <c r="AJ150" s="32">
        <f>BN7</f>
        <v>0</v>
      </c>
      <c r="AK150" s="32">
        <f>BO7</f>
        <v>0</v>
      </c>
      <c r="AL150" s="33">
        <f>BP7</f>
        <v>0</v>
      </c>
      <c r="AN150" s="59">
        <f>BL8</f>
        <v>0</v>
      </c>
      <c r="AO150" s="31">
        <f>BM8</f>
        <v>0</v>
      </c>
      <c r="AP150" s="32">
        <f>BN8</f>
        <v>0</v>
      </c>
      <c r="AQ150" s="32">
        <f>BO8</f>
        <v>0</v>
      </c>
      <c r="AR150" s="33">
        <f>BP8</f>
        <v>0</v>
      </c>
      <c r="AT150" s="59">
        <f>BL9</f>
        <v>0</v>
      </c>
      <c r="AU150" s="31">
        <f>BM9</f>
        <v>0</v>
      </c>
      <c r="AV150" s="32">
        <f>BN9</f>
        <v>0</v>
      </c>
      <c r="AW150" s="32">
        <f>BO9</f>
        <v>0</v>
      </c>
      <c r="AX150" s="33">
        <f>BP9</f>
        <v>0</v>
      </c>
      <c r="AZ150" s="59">
        <f>BL10</f>
        <v>0</v>
      </c>
      <c r="BA150" s="31">
        <f>BM10</f>
        <v>0</v>
      </c>
      <c r="BB150" s="32">
        <f>BN10</f>
        <v>0</v>
      </c>
      <c r="BC150" s="32">
        <f>BO10</f>
        <v>0</v>
      </c>
      <c r="BD150" s="33">
        <f>BP10</f>
        <v>0</v>
      </c>
      <c r="BF150" s="59">
        <f>BL11</f>
        <v>0</v>
      </c>
      <c r="BG150" s="31">
        <f>BM11</f>
        <v>0</v>
      </c>
      <c r="BH150" s="32">
        <f>BN11</f>
        <v>0</v>
      </c>
      <c r="BI150" s="32">
        <f>BO11</f>
        <v>0</v>
      </c>
      <c r="BJ150" s="33">
        <f>BP11</f>
        <v>0</v>
      </c>
    </row>
    <row r="151" spans="1:62" ht="15.75" thickBot="1" x14ac:dyDescent="0.3">
      <c r="A151" s="9">
        <v>1000</v>
      </c>
      <c r="B151" s="17">
        <f t="shared" si="42"/>
        <v>0</v>
      </c>
      <c r="J151" s="8" t="s">
        <v>32</v>
      </c>
      <c r="K151" s="17">
        <f t="shared" si="46"/>
        <v>0</v>
      </c>
      <c r="M151" s="8" t="s">
        <v>32</v>
      </c>
      <c r="N151" s="17">
        <f t="shared" si="47"/>
        <v>0</v>
      </c>
      <c r="P151" s="8" t="s">
        <v>32</v>
      </c>
      <c r="Q151" s="17">
        <f t="shared" si="48"/>
        <v>0</v>
      </c>
      <c r="S151" s="15">
        <v>2000</v>
      </c>
      <c r="T151" s="11">
        <f t="shared" si="43"/>
        <v>0</v>
      </c>
      <c r="U151" s="11">
        <f t="shared" si="43"/>
        <v>0</v>
      </c>
      <c r="V151" s="16">
        <f t="shared" si="44"/>
        <v>0</v>
      </c>
      <c r="W151" s="16">
        <f t="shared" si="45"/>
        <v>0</v>
      </c>
      <c r="AH151" s="35">
        <f>C7</f>
        <v>0</v>
      </c>
      <c r="AI151" s="158">
        <f>SUM(AI141:AI150)</f>
        <v>0</v>
      </c>
      <c r="AJ151" s="159"/>
      <c r="AK151" s="158">
        <f>BT7</f>
        <v>0</v>
      </c>
      <c r="AL151" s="159"/>
      <c r="AN151" s="35">
        <f>C8</f>
        <v>0</v>
      </c>
      <c r="AO151" s="158">
        <f>SUM(AO141:AO150)</f>
        <v>0</v>
      </c>
      <c r="AP151" s="159"/>
      <c r="AQ151" s="158">
        <f>BT8</f>
        <v>0</v>
      </c>
      <c r="AR151" s="159"/>
      <c r="AT151" s="35">
        <f>C9</f>
        <v>0</v>
      </c>
      <c r="AU151" s="158">
        <f>SUM(AU141:AU150)</f>
        <v>0</v>
      </c>
      <c r="AV151" s="159"/>
      <c r="AW151" s="158">
        <f>BT9</f>
        <v>0</v>
      </c>
      <c r="AX151" s="159"/>
      <c r="AZ151" s="35">
        <f>C10</f>
        <v>0</v>
      </c>
      <c r="BA151" s="158">
        <f>SUM(BA141:BA150)</f>
        <v>0</v>
      </c>
      <c r="BB151" s="159"/>
      <c r="BC151" s="158">
        <f>BT10</f>
        <v>0</v>
      </c>
      <c r="BD151" s="159"/>
      <c r="BF151" s="35">
        <f>C11</f>
        <v>0</v>
      </c>
      <c r="BG151" s="158">
        <f>SUM(BG141:BG150)</f>
        <v>0</v>
      </c>
      <c r="BH151" s="159"/>
      <c r="BI151" s="158">
        <f>BT11</f>
        <v>0</v>
      </c>
      <c r="BJ151" s="159"/>
    </row>
    <row r="152" spans="1:62" ht="15.75" thickBot="1" x14ac:dyDescent="0.3">
      <c r="A152" s="60" t="s">
        <v>24</v>
      </c>
      <c r="B152" s="62">
        <f>SUMPRODUCT(A146:A151,B146:B151)</f>
        <v>0</v>
      </c>
      <c r="J152" s="8" t="s">
        <v>33</v>
      </c>
      <c r="K152" s="17">
        <f t="shared" si="46"/>
        <v>0</v>
      </c>
      <c r="M152" s="8" t="s">
        <v>33</v>
      </c>
      <c r="N152" s="17">
        <f t="shared" si="47"/>
        <v>0</v>
      </c>
      <c r="P152" s="8" t="s">
        <v>33</v>
      </c>
      <c r="Q152" s="17">
        <f t="shared" si="48"/>
        <v>0</v>
      </c>
      <c r="S152" s="15">
        <v>3000</v>
      </c>
      <c r="T152" s="11">
        <f t="shared" si="43"/>
        <v>0</v>
      </c>
      <c r="U152" s="11">
        <f t="shared" si="43"/>
        <v>0</v>
      </c>
      <c r="V152" s="16">
        <f t="shared" si="44"/>
        <v>0</v>
      </c>
      <c r="W152" s="16">
        <f t="shared" si="45"/>
        <v>0</v>
      </c>
      <c r="AH152" s="35" t="s">
        <v>25</v>
      </c>
      <c r="AI152" s="158">
        <f>A7</f>
        <v>0</v>
      </c>
      <c r="AJ152" s="160"/>
      <c r="AK152" s="158">
        <f>BR7</f>
        <v>0</v>
      </c>
      <c r="AL152" s="159"/>
      <c r="AN152" s="35" t="s">
        <v>25</v>
      </c>
      <c r="AO152" s="158">
        <f>A8</f>
        <v>0</v>
      </c>
      <c r="AP152" s="160"/>
      <c r="AQ152" s="158">
        <f>BR8</f>
        <v>0</v>
      </c>
      <c r="AR152" s="159"/>
      <c r="AT152" s="35" t="s">
        <v>25</v>
      </c>
      <c r="AU152" s="158">
        <f>A9</f>
        <v>0</v>
      </c>
      <c r="AV152" s="160"/>
      <c r="AW152" s="158">
        <f>BR9</f>
        <v>0</v>
      </c>
      <c r="AX152" s="159"/>
      <c r="AZ152" s="35" t="s">
        <v>25</v>
      </c>
      <c r="BA152" s="158">
        <f>A10</f>
        <v>0</v>
      </c>
      <c r="BB152" s="160"/>
      <c r="BC152" s="158">
        <f>BR10</f>
        <v>0</v>
      </c>
      <c r="BD152" s="159"/>
      <c r="BF152" s="35" t="s">
        <v>25</v>
      </c>
      <c r="BG152" s="158">
        <f>A11</f>
        <v>0</v>
      </c>
      <c r="BH152" s="160"/>
      <c r="BI152" s="158">
        <f>BR11</f>
        <v>0</v>
      </c>
      <c r="BJ152" s="159"/>
    </row>
    <row r="153" spans="1:62" ht="15.75" thickBot="1" x14ac:dyDescent="0.3">
      <c r="J153" s="9" t="s">
        <v>80</v>
      </c>
      <c r="K153" s="17">
        <f t="shared" si="46"/>
        <v>0</v>
      </c>
      <c r="M153" s="9" t="s">
        <v>80</v>
      </c>
      <c r="N153" s="17">
        <f t="shared" si="47"/>
        <v>0</v>
      </c>
      <c r="P153" s="9" t="s">
        <v>80</v>
      </c>
      <c r="Q153" s="17">
        <f t="shared" si="48"/>
        <v>0</v>
      </c>
      <c r="S153" s="15">
        <v>5000</v>
      </c>
      <c r="T153" s="11">
        <f t="shared" si="43"/>
        <v>0</v>
      </c>
      <c r="U153" s="11">
        <f t="shared" si="43"/>
        <v>0</v>
      </c>
      <c r="V153" s="16">
        <f t="shared" si="44"/>
        <v>0</v>
      </c>
      <c r="W153" s="16">
        <f t="shared" si="45"/>
        <v>0</v>
      </c>
      <c r="AH153" s="58" t="s">
        <v>130</v>
      </c>
      <c r="AI153" s="58" t="s">
        <v>131</v>
      </c>
      <c r="AJ153" s="58" t="s">
        <v>132</v>
      </c>
      <c r="AK153" s="58" t="s">
        <v>166</v>
      </c>
      <c r="AL153" s="58" t="s">
        <v>33</v>
      </c>
      <c r="AN153" s="58" t="s">
        <v>130</v>
      </c>
      <c r="AO153" s="58" t="s">
        <v>131</v>
      </c>
      <c r="AP153" s="58" t="s">
        <v>132</v>
      </c>
      <c r="AQ153" s="58" t="s">
        <v>166</v>
      </c>
      <c r="AR153" s="58" t="s">
        <v>33</v>
      </c>
      <c r="AT153" s="58" t="s">
        <v>130</v>
      </c>
      <c r="AU153" s="58" t="s">
        <v>131</v>
      </c>
      <c r="AV153" s="58" t="s">
        <v>132</v>
      </c>
      <c r="AW153" s="58" t="s">
        <v>166</v>
      </c>
      <c r="AX153" s="58" t="s">
        <v>33</v>
      </c>
      <c r="AZ153" s="58" t="s">
        <v>130</v>
      </c>
      <c r="BA153" s="58" t="s">
        <v>131</v>
      </c>
      <c r="BB153" s="58" t="s">
        <v>132</v>
      </c>
      <c r="BC153" s="58" t="s">
        <v>166</v>
      </c>
      <c r="BD153" s="58" t="s">
        <v>33</v>
      </c>
      <c r="BF153" s="58" t="s">
        <v>130</v>
      </c>
      <c r="BG153" s="58" t="s">
        <v>131</v>
      </c>
      <c r="BH153" s="58" t="s">
        <v>132</v>
      </c>
      <c r="BI153" s="58" t="s">
        <v>166</v>
      </c>
      <c r="BJ153" s="58" t="s">
        <v>33</v>
      </c>
    </row>
    <row r="154" spans="1:62" ht="15.75" thickBot="1" x14ac:dyDescent="0.3">
      <c r="J154" s="60" t="s">
        <v>24</v>
      </c>
      <c r="K154" s="62">
        <f>SUM(K149:K153)</f>
        <v>0</v>
      </c>
      <c r="M154" s="60" t="s">
        <v>24</v>
      </c>
      <c r="N154" s="62">
        <f>SUM(N149:N153)</f>
        <v>0</v>
      </c>
      <c r="P154" s="60" t="s">
        <v>24</v>
      </c>
      <c r="Q154" s="62">
        <f>SUM(Q149:Q153)</f>
        <v>0</v>
      </c>
      <c r="S154" s="59">
        <v>10000</v>
      </c>
      <c r="T154" s="11">
        <f t="shared" si="43"/>
        <v>0</v>
      </c>
      <c r="U154" s="11">
        <f t="shared" si="43"/>
        <v>0</v>
      </c>
      <c r="V154" s="16">
        <f t="shared" si="44"/>
        <v>0</v>
      </c>
      <c r="W154" s="16">
        <f t="shared" si="45"/>
        <v>0</v>
      </c>
      <c r="AH154" s="34" t="str">
        <f>AZ19</f>
        <v/>
      </c>
      <c r="AI154" s="34" t="str">
        <f>BA19</f>
        <v/>
      </c>
      <c r="AJ154" s="34" t="str">
        <f>BB19</f>
        <v/>
      </c>
      <c r="AK154" s="35" t="str">
        <f>BC19</f>
        <v/>
      </c>
      <c r="AL154" s="35" t="str">
        <f>BD19</f>
        <v/>
      </c>
      <c r="AN154" s="34" t="str">
        <f>AZ20</f>
        <v/>
      </c>
      <c r="AO154" s="34" t="str">
        <f>BA20</f>
        <v/>
      </c>
      <c r="AP154" s="34" t="str">
        <f>BB20</f>
        <v/>
      </c>
      <c r="AQ154" s="35" t="str">
        <f>BC20</f>
        <v/>
      </c>
      <c r="AR154" s="35" t="str">
        <f>BD20</f>
        <v/>
      </c>
      <c r="AT154" s="34" t="str">
        <f>AZ21</f>
        <v/>
      </c>
      <c r="AU154" s="34" t="str">
        <f>BA21</f>
        <v/>
      </c>
      <c r="AV154" s="34" t="str">
        <f>BB21</f>
        <v/>
      </c>
      <c r="AW154" s="35" t="str">
        <f>BC21</f>
        <v/>
      </c>
      <c r="AX154" s="35" t="str">
        <f>BD21</f>
        <v/>
      </c>
      <c r="AZ154" s="34" t="str">
        <f>AZ22</f>
        <v/>
      </c>
      <c r="BA154" s="34" t="str">
        <f>BA22</f>
        <v/>
      </c>
      <c r="BB154" s="34" t="str">
        <f>BB22</f>
        <v/>
      </c>
      <c r="BC154" s="35" t="str">
        <f>BC22</f>
        <v/>
      </c>
      <c r="BD154" s="35" t="str">
        <f>BD22</f>
        <v/>
      </c>
      <c r="BF154" s="34" t="str">
        <f>AZ23</f>
        <v/>
      </c>
      <c r="BG154" s="34" t="str">
        <f>BA23</f>
        <v/>
      </c>
      <c r="BH154" s="34" t="str">
        <f>BB23</f>
        <v/>
      </c>
      <c r="BI154" s="35" t="str">
        <f>BC23</f>
        <v/>
      </c>
      <c r="BJ154" s="35" t="str">
        <f>BD23</f>
        <v/>
      </c>
    </row>
    <row r="155" spans="1:62" ht="15.75" thickBot="1" x14ac:dyDescent="0.3">
      <c r="S155" s="35"/>
      <c r="T155" s="61">
        <f>SUM(T146:T154)</f>
        <v>0</v>
      </c>
      <c r="U155" s="61">
        <f t="shared" ref="U155:W155" si="49">SUM(U146:U154)</f>
        <v>0</v>
      </c>
      <c r="V155" s="35">
        <f t="shared" si="49"/>
        <v>0</v>
      </c>
      <c r="W155" s="35">
        <f t="shared" si="49"/>
        <v>0</v>
      </c>
      <c r="AH155" s="58" t="s">
        <v>22</v>
      </c>
      <c r="AI155" s="58" t="s">
        <v>20</v>
      </c>
      <c r="AJ155" s="58" t="s">
        <v>34</v>
      </c>
      <c r="AK155" s="58" t="s">
        <v>127</v>
      </c>
      <c r="AL155" s="58" t="s">
        <v>129</v>
      </c>
      <c r="AN155" s="58" t="s">
        <v>22</v>
      </c>
      <c r="AO155" s="58" t="s">
        <v>20</v>
      </c>
      <c r="AP155" s="58" t="s">
        <v>34</v>
      </c>
      <c r="AQ155" s="58" t="s">
        <v>127</v>
      </c>
      <c r="AR155" s="58" t="s">
        <v>129</v>
      </c>
      <c r="AT155" s="58" t="s">
        <v>22</v>
      </c>
      <c r="AU155" s="58" t="s">
        <v>20</v>
      </c>
      <c r="AV155" s="58" t="s">
        <v>34</v>
      </c>
      <c r="AW155" s="58" t="s">
        <v>127</v>
      </c>
      <c r="AX155" s="58" t="s">
        <v>129</v>
      </c>
      <c r="AZ155" s="58" t="s">
        <v>22</v>
      </c>
      <c r="BA155" s="58" t="s">
        <v>20</v>
      </c>
      <c r="BB155" s="58" t="s">
        <v>34</v>
      </c>
      <c r="BC155" s="58" t="s">
        <v>127</v>
      </c>
      <c r="BD155" s="58" t="s">
        <v>129</v>
      </c>
      <c r="BF155" s="58" t="s">
        <v>22</v>
      </c>
      <c r="BG155" s="58" t="s">
        <v>20</v>
      </c>
      <c r="BH155" s="58" t="s">
        <v>34</v>
      </c>
      <c r="BI155" s="58" t="s">
        <v>127</v>
      </c>
      <c r="BJ155" s="58" t="s">
        <v>129</v>
      </c>
    </row>
    <row r="156" spans="1:62" ht="15.75" thickBot="1" x14ac:dyDescent="0.3">
      <c r="AH156" s="34" t="str">
        <f>AU19</f>
        <v/>
      </c>
      <c r="AI156" s="34" t="str">
        <f>AV19</f>
        <v/>
      </c>
      <c r="AJ156" s="34" t="str">
        <f>AW19</f>
        <v/>
      </c>
      <c r="AK156" s="35" t="str">
        <f>AX19</f>
        <v/>
      </c>
      <c r="AL156" s="35" t="str">
        <f>AY19</f>
        <v/>
      </c>
      <c r="AN156" s="34" t="str">
        <f>AU20</f>
        <v/>
      </c>
      <c r="AO156" s="34" t="str">
        <f>AV20</f>
        <v/>
      </c>
      <c r="AP156" s="34" t="str">
        <f>AW20</f>
        <v/>
      </c>
      <c r="AQ156" s="35" t="str">
        <f>AX20</f>
        <v/>
      </c>
      <c r="AR156" s="35" t="str">
        <f>AY20</f>
        <v/>
      </c>
      <c r="AT156" s="34" t="str">
        <f>AU21</f>
        <v/>
      </c>
      <c r="AU156" s="34" t="str">
        <f>AV21</f>
        <v/>
      </c>
      <c r="AV156" s="34" t="str">
        <f>AW21</f>
        <v/>
      </c>
      <c r="AW156" s="35" t="str">
        <f>AX21</f>
        <v/>
      </c>
      <c r="AX156" s="35" t="str">
        <f>AY21</f>
        <v/>
      </c>
      <c r="AZ156" s="34" t="str">
        <f>AU22</f>
        <v/>
      </c>
      <c r="BA156" s="34" t="str">
        <f>AV22</f>
        <v/>
      </c>
      <c r="BB156" s="34" t="str">
        <f>AW22</f>
        <v/>
      </c>
      <c r="BC156" s="35" t="str">
        <f>AX22</f>
        <v/>
      </c>
      <c r="BD156" s="35" t="str">
        <f>AY22</f>
        <v/>
      </c>
      <c r="BF156" s="34" t="str">
        <f>AU23</f>
        <v/>
      </c>
      <c r="BG156" s="34" t="str">
        <f>AV23</f>
        <v/>
      </c>
      <c r="BH156" s="34" t="str">
        <f>AW23</f>
        <v/>
      </c>
      <c r="BI156" s="35" t="str">
        <f>AX23</f>
        <v/>
      </c>
      <c r="BJ156" s="35" t="str">
        <f>AY23</f>
        <v/>
      </c>
    </row>
    <row r="157" spans="1:62" ht="13.7" customHeight="1" thickBot="1" x14ac:dyDescent="0.3"/>
    <row r="158" spans="1:62" ht="15.75" thickBot="1" x14ac:dyDescent="0.3">
      <c r="AH158" s="149" t="s">
        <v>37</v>
      </c>
      <c r="AI158" s="150"/>
      <c r="AJ158" s="150"/>
      <c r="AK158" s="151" t="str">
        <f>AD147</f>
        <v>KA41C4059</v>
      </c>
      <c r="AL158" s="151"/>
      <c r="AM158" s="152"/>
      <c r="AN158" s="157" t="str">
        <f>AA148</f>
        <v>TANKS: 48</v>
      </c>
      <c r="AO158" s="153"/>
      <c r="AP158" s="153" t="str">
        <f>AD148</f>
        <v>LTRS: 39500</v>
      </c>
      <c r="AQ158" s="153"/>
      <c r="AR158" s="154"/>
      <c r="AS158" s="150" t="s">
        <v>76</v>
      </c>
      <c r="AT158" s="150"/>
      <c r="AU158" s="155">
        <f>AD149</f>
        <v>46008</v>
      </c>
      <c r="AV158" s="155"/>
      <c r="AW158" s="156"/>
    </row>
    <row r="159" spans="1:62" ht="13.7" customHeight="1" x14ac:dyDescent="0.25"/>
    <row r="160" spans="1:62" ht="13.7" customHeight="1" thickBot="1" x14ac:dyDescent="0.3"/>
    <row r="161" spans="1:52" ht="13.7" customHeight="1" x14ac:dyDescent="0.25">
      <c r="A161" s="123" t="s">
        <v>31</v>
      </c>
      <c r="B161" s="113" t="s">
        <v>84</v>
      </c>
      <c r="C161" s="115"/>
      <c r="D161" s="113" t="s">
        <v>22</v>
      </c>
      <c r="E161" s="114"/>
      <c r="F161" s="114"/>
      <c r="G161" s="114"/>
      <c r="H161" s="115"/>
      <c r="I161" s="113" t="s">
        <v>20</v>
      </c>
      <c r="J161" s="114"/>
      <c r="K161" s="114"/>
      <c r="L161" s="114"/>
      <c r="M161" s="115"/>
      <c r="N161" s="113" t="s">
        <v>34</v>
      </c>
      <c r="O161" s="114"/>
      <c r="P161" s="114"/>
      <c r="Q161" s="114"/>
      <c r="R161" s="115"/>
      <c r="S161" s="113" t="s">
        <v>127</v>
      </c>
      <c r="T161" s="114"/>
      <c r="U161" s="114"/>
      <c r="V161" s="114"/>
      <c r="W161" s="115"/>
      <c r="X161" s="113" t="s">
        <v>129</v>
      </c>
      <c r="Y161" s="114"/>
      <c r="Z161" s="114"/>
      <c r="AA161" s="114"/>
      <c r="AB161" s="115"/>
      <c r="AC161" s="113" t="s">
        <v>26</v>
      </c>
      <c r="AD161" s="114"/>
      <c r="AE161" s="114"/>
      <c r="AF161" s="114"/>
      <c r="AG161" s="115"/>
      <c r="AH161" s="116" t="s">
        <v>24</v>
      </c>
      <c r="AI161" s="116" t="s">
        <v>86</v>
      </c>
      <c r="AJ161" s="81"/>
    </row>
    <row r="162" spans="1:52" ht="13.7" customHeight="1" thickBot="1" x14ac:dyDescent="0.3">
      <c r="A162" s="124"/>
      <c r="B162" s="12" t="s">
        <v>17</v>
      </c>
      <c r="C162" s="12" t="s">
        <v>19</v>
      </c>
      <c r="D162" s="9" t="s">
        <v>32</v>
      </c>
      <c r="E162" s="12" t="s">
        <v>17</v>
      </c>
      <c r="F162" s="12" t="s">
        <v>19</v>
      </c>
      <c r="G162" s="12" t="s">
        <v>33</v>
      </c>
      <c r="H162" s="14" t="s">
        <v>80</v>
      </c>
      <c r="I162" s="9" t="s">
        <v>32</v>
      </c>
      <c r="J162" s="12" t="s">
        <v>17</v>
      </c>
      <c r="K162" s="12" t="s">
        <v>19</v>
      </c>
      <c r="L162" s="12" t="s">
        <v>33</v>
      </c>
      <c r="M162" s="14" t="s">
        <v>80</v>
      </c>
      <c r="N162" s="9" t="s">
        <v>32</v>
      </c>
      <c r="O162" s="12" t="s">
        <v>17</v>
      </c>
      <c r="P162" s="12" t="s">
        <v>19</v>
      </c>
      <c r="Q162" s="12" t="s">
        <v>33</v>
      </c>
      <c r="R162" s="14" t="s">
        <v>80</v>
      </c>
      <c r="S162" s="9" t="s">
        <v>32</v>
      </c>
      <c r="T162" s="12" t="s">
        <v>17</v>
      </c>
      <c r="U162" s="12" t="s">
        <v>19</v>
      </c>
      <c r="V162" s="12" t="s">
        <v>33</v>
      </c>
      <c r="W162" s="14" t="s">
        <v>80</v>
      </c>
      <c r="X162" s="9" t="s">
        <v>32</v>
      </c>
      <c r="Y162" s="12" t="s">
        <v>17</v>
      </c>
      <c r="Z162" s="12" t="s">
        <v>19</v>
      </c>
      <c r="AA162" s="12" t="s">
        <v>33</v>
      </c>
      <c r="AB162" s="14" t="s">
        <v>80</v>
      </c>
      <c r="AC162" s="9" t="s">
        <v>32</v>
      </c>
      <c r="AD162" s="12" t="s">
        <v>17</v>
      </c>
      <c r="AE162" s="12" t="s">
        <v>19</v>
      </c>
      <c r="AF162" s="12" t="s">
        <v>33</v>
      </c>
      <c r="AG162" s="14" t="s">
        <v>80</v>
      </c>
      <c r="AH162" s="117"/>
      <c r="AI162" s="117"/>
      <c r="AJ162" s="81"/>
    </row>
    <row r="163" spans="1:52" ht="13.7" customHeight="1" x14ac:dyDescent="0.25">
      <c r="A163" s="16">
        <v>300</v>
      </c>
      <c r="B163" s="11">
        <f>T146</f>
        <v>0</v>
      </c>
      <c r="C163" s="11">
        <f>U146</f>
        <v>0</v>
      </c>
      <c r="D163" s="10">
        <f>B119+B133</f>
        <v>0</v>
      </c>
      <c r="E163" s="11">
        <f t="shared" ref="E163:AG171" si="50">C119+C133</f>
        <v>0</v>
      </c>
      <c r="F163" s="11">
        <f t="shared" si="50"/>
        <v>0</v>
      </c>
      <c r="G163" s="11">
        <f t="shared" si="50"/>
        <v>0</v>
      </c>
      <c r="H163" s="17">
        <f t="shared" si="50"/>
        <v>0</v>
      </c>
      <c r="I163" s="10">
        <f t="shared" si="50"/>
        <v>0</v>
      </c>
      <c r="J163" s="11">
        <f t="shared" si="50"/>
        <v>0</v>
      </c>
      <c r="K163" s="11">
        <f t="shared" si="50"/>
        <v>0</v>
      </c>
      <c r="L163" s="11">
        <f t="shared" si="50"/>
        <v>0</v>
      </c>
      <c r="M163" s="17">
        <f t="shared" si="50"/>
        <v>0</v>
      </c>
      <c r="N163" s="10">
        <f t="shared" si="50"/>
        <v>0</v>
      </c>
      <c r="O163" s="11">
        <f t="shared" si="50"/>
        <v>0</v>
      </c>
      <c r="P163" s="11">
        <f t="shared" si="50"/>
        <v>0</v>
      </c>
      <c r="Q163" s="11">
        <f t="shared" si="50"/>
        <v>0</v>
      </c>
      <c r="R163" s="17">
        <f t="shared" si="50"/>
        <v>0</v>
      </c>
      <c r="S163" s="10">
        <f t="shared" si="50"/>
        <v>0</v>
      </c>
      <c r="T163" s="11">
        <f t="shared" si="50"/>
        <v>0</v>
      </c>
      <c r="U163" s="11">
        <f t="shared" si="50"/>
        <v>0</v>
      </c>
      <c r="V163" s="11">
        <f t="shared" si="50"/>
        <v>0</v>
      </c>
      <c r="W163" s="17">
        <f t="shared" si="50"/>
        <v>0</v>
      </c>
      <c r="X163" s="10">
        <f t="shared" si="50"/>
        <v>0</v>
      </c>
      <c r="Y163" s="11">
        <f t="shared" si="50"/>
        <v>0</v>
      </c>
      <c r="Z163" s="11">
        <f t="shared" si="50"/>
        <v>0</v>
      </c>
      <c r="AA163" s="11">
        <f t="shared" si="50"/>
        <v>0</v>
      </c>
      <c r="AB163" s="17">
        <f t="shared" si="50"/>
        <v>0</v>
      </c>
      <c r="AC163" s="10">
        <f t="shared" si="50"/>
        <v>0</v>
      </c>
      <c r="AD163" s="11">
        <f t="shared" si="50"/>
        <v>0</v>
      </c>
      <c r="AE163" s="11">
        <f t="shared" si="50"/>
        <v>0</v>
      </c>
      <c r="AF163" s="11">
        <f t="shared" si="50"/>
        <v>0</v>
      </c>
      <c r="AG163" s="17">
        <f t="shared" si="50"/>
        <v>0</v>
      </c>
      <c r="AH163" s="16">
        <f>SUM(D163:AG163)*A163</f>
        <v>0</v>
      </c>
      <c r="AI163" s="16">
        <f>SUM(D163:AG163)</f>
        <v>0</v>
      </c>
      <c r="AJ163" s="82"/>
    </row>
    <row r="164" spans="1:52" ht="13.7" customHeight="1" x14ac:dyDescent="0.25">
      <c r="A164" s="16">
        <v>500</v>
      </c>
      <c r="B164" s="11">
        <f t="shared" ref="B164:C171" si="51">T147</f>
        <v>0</v>
      </c>
      <c r="C164" s="11">
        <f t="shared" si="51"/>
        <v>0</v>
      </c>
      <c r="D164" s="10">
        <f t="shared" ref="D164:D171" si="52">B120+B134</f>
        <v>0</v>
      </c>
      <c r="E164" s="11">
        <f t="shared" si="50"/>
        <v>20</v>
      </c>
      <c r="F164" s="11">
        <f t="shared" si="50"/>
        <v>0</v>
      </c>
      <c r="G164" s="11">
        <f t="shared" si="50"/>
        <v>0</v>
      </c>
      <c r="H164" s="17">
        <f t="shared" si="50"/>
        <v>0</v>
      </c>
      <c r="I164" s="10">
        <f t="shared" si="50"/>
        <v>0</v>
      </c>
      <c r="J164" s="11">
        <f t="shared" si="50"/>
        <v>0</v>
      </c>
      <c r="K164" s="11">
        <f t="shared" si="50"/>
        <v>0</v>
      </c>
      <c r="L164" s="11">
        <f t="shared" si="50"/>
        <v>0</v>
      </c>
      <c r="M164" s="17">
        <f t="shared" si="50"/>
        <v>0</v>
      </c>
      <c r="N164" s="10">
        <f t="shared" si="50"/>
        <v>0</v>
      </c>
      <c r="O164" s="11">
        <f t="shared" si="50"/>
        <v>0</v>
      </c>
      <c r="P164" s="11">
        <f t="shared" si="50"/>
        <v>0</v>
      </c>
      <c r="Q164" s="11">
        <f t="shared" si="50"/>
        <v>0</v>
      </c>
      <c r="R164" s="17">
        <f t="shared" si="50"/>
        <v>0</v>
      </c>
      <c r="S164" s="10">
        <f t="shared" si="50"/>
        <v>0</v>
      </c>
      <c r="T164" s="11">
        <f t="shared" si="50"/>
        <v>0</v>
      </c>
      <c r="U164" s="11">
        <f t="shared" si="50"/>
        <v>0</v>
      </c>
      <c r="V164" s="11">
        <f t="shared" si="50"/>
        <v>0</v>
      </c>
      <c r="W164" s="17">
        <f t="shared" si="50"/>
        <v>0</v>
      </c>
      <c r="X164" s="10">
        <f t="shared" si="50"/>
        <v>0</v>
      </c>
      <c r="Y164" s="11">
        <f t="shared" si="50"/>
        <v>0</v>
      </c>
      <c r="Z164" s="11">
        <f t="shared" si="50"/>
        <v>0</v>
      </c>
      <c r="AA164" s="11">
        <f t="shared" si="50"/>
        <v>0</v>
      </c>
      <c r="AB164" s="17">
        <f t="shared" si="50"/>
        <v>0</v>
      </c>
      <c r="AC164" s="10">
        <f t="shared" si="50"/>
        <v>0</v>
      </c>
      <c r="AD164" s="11">
        <f t="shared" si="50"/>
        <v>0</v>
      </c>
      <c r="AE164" s="11">
        <f t="shared" si="50"/>
        <v>0</v>
      </c>
      <c r="AF164" s="11">
        <f t="shared" si="50"/>
        <v>0</v>
      </c>
      <c r="AG164" s="17">
        <f t="shared" si="50"/>
        <v>0</v>
      </c>
      <c r="AH164" s="16">
        <f>SUM(D164:AG164)*A164</f>
        <v>10000</v>
      </c>
      <c r="AI164" s="16">
        <f t="shared" ref="AI164:AI172" si="53">SUM(D164:AG164)</f>
        <v>20</v>
      </c>
    </row>
    <row r="165" spans="1:52" ht="13.7" customHeight="1" x14ac:dyDescent="0.25">
      <c r="A165" s="15">
        <v>750</v>
      </c>
      <c r="B165" s="11">
        <f t="shared" si="51"/>
        <v>0</v>
      </c>
      <c r="C165" s="11">
        <f t="shared" si="51"/>
        <v>0</v>
      </c>
      <c r="D165" s="8">
        <f t="shared" si="52"/>
        <v>0</v>
      </c>
      <c r="E165" s="6">
        <f t="shared" si="50"/>
        <v>10</v>
      </c>
      <c r="F165" s="6">
        <f t="shared" si="50"/>
        <v>0</v>
      </c>
      <c r="G165" s="6">
        <f t="shared" si="50"/>
        <v>0</v>
      </c>
      <c r="H165" s="13">
        <f t="shared" si="50"/>
        <v>0</v>
      </c>
      <c r="I165" s="8">
        <f t="shared" si="50"/>
        <v>0</v>
      </c>
      <c r="J165" s="6">
        <f t="shared" si="50"/>
        <v>0</v>
      </c>
      <c r="K165" s="6">
        <f t="shared" si="50"/>
        <v>0</v>
      </c>
      <c r="L165" s="6">
        <f t="shared" si="50"/>
        <v>0</v>
      </c>
      <c r="M165" s="13">
        <f t="shared" si="50"/>
        <v>0</v>
      </c>
      <c r="N165" s="8">
        <f t="shared" si="50"/>
        <v>0</v>
      </c>
      <c r="O165" s="6">
        <f t="shared" si="50"/>
        <v>0</v>
      </c>
      <c r="P165" s="6">
        <f t="shared" si="50"/>
        <v>0</v>
      </c>
      <c r="Q165" s="6">
        <f t="shared" si="50"/>
        <v>0</v>
      </c>
      <c r="R165" s="13">
        <f t="shared" si="50"/>
        <v>0</v>
      </c>
      <c r="S165" s="8">
        <f t="shared" si="50"/>
        <v>0</v>
      </c>
      <c r="T165" s="6">
        <f t="shared" si="50"/>
        <v>0</v>
      </c>
      <c r="U165" s="6">
        <f t="shared" si="50"/>
        <v>0</v>
      </c>
      <c r="V165" s="6">
        <f t="shared" si="50"/>
        <v>0</v>
      </c>
      <c r="W165" s="13">
        <f t="shared" si="50"/>
        <v>0</v>
      </c>
      <c r="X165" s="8">
        <f t="shared" si="50"/>
        <v>0</v>
      </c>
      <c r="Y165" s="6">
        <f t="shared" si="50"/>
        <v>0</v>
      </c>
      <c r="Z165" s="6">
        <f t="shared" si="50"/>
        <v>0</v>
      </c>
      <c r="AA165" s="6">
        <f t="shared" si="50"/>
        <v>0</v>
      </c>
      <c r="AB165" s="13">
        <f t="shared" si="50"/>
        <v>0</v>
      </c>
      <c r="AC165" s="8">
        <f t="shared" si="50"/>
        <v>0</v>
      </c>
      <c r="AD165" s="6">
        <f t="shared" si="50"/>
        <v>0</v>
      </c>
      <c r="AE165" s="6">
        <f t="shared" si="50"/>
        <v>0</v>
      </c>
      <c r="AF165" s="6">
        <f t="shared" si="50"/>
        <v>0</v>
      </c>
      <c r="AG165" s="13">
        <f t="shared" si="50"/>
        <v>0</v>
      </c>
      <c r="AH165" s="16">
        <f>SUM(D165:AG165)*A165</f>
        <v>7500</v>
      </c>
      <c r="AI165" s="16">
        <f t="shared" si="53"/>
        <v>10</v>
      </c>
    </row>
    <row r="166" spans="1:52" ht="13.7" customHeight="1" x14ac:dyDescent="0.25">
      <c r="A166" s="15">
        <v>1000</v>
      </c>
      <c r="B166" s="11">
        <f t="shared" si="51"/>
        <v>0</v>
      </c>
      <c r="C166" s="11">
        <f t="shared" si="51"/>
        <v>0</v>
      </c>
      <c r="D166" s="8">
        <f t="shared" si="52"/>
        <v>0</v>
      </c>
      <c r="E166" s="6">
        <f t="shared" si="50"/>
        <v>10</v>
      </c>
      <c r="F166" s="6">
        <f t="shared" si="50"/>
        <v>0</v>
      </c>
      <c r="G166" s="6">
        <f t="shared" si="50"/>
        <v>0</v>
      </c>
      <c r="H166" s="13">
        <f t="shared" si="50"/>
        <v>0</v>
      </c>
      <c r="I166" s="8">
        <f t="shared" si="50"/>
        <v>0</v>
      </c>
      <c r="J166" s="6">
        <f t="shared" si="50"/>
        <v>0</v>
      </c>
      <c r="K166" s="6">
        <f t="shared" si="50"/>
        <v>0</v>
      </c>
      <c r="L166" s="6">
        <f t="shared" si="50"/>
        <v>0</v>
      </c>
      <c r="M166" s="13">
        <f t="shared" si="50"/>
        <v>0</v>
      </c>
      <c r="N166" s="8">
        <f t="shared" si="50"/>
        <v>0</v>
      </c>
      <c r="O166" s="6">
        <f t="shared" si="50"/>
        <v>0</v>
      </c>
      <c r="P166" s="6">
        <f t="shared" si="50"/>
        <v>0</v>
      </c>
      <c r="Q166" s="6">
        <f t="shared" si="50"/>
        <v>0</v>
      </c>
      <c r="R166" s="13">
        <f t="shared" si="50"/>
        <v>0</v>
      </c>
      <c r="S166" s="8">
        <f t="shared" si="50"/>
        <v>0</v>
      </c>
      <c r="T166" s="6">
        <f t="shared" si="50"/>
        <v>0</v>
      </c>
      <c r="U166" s="6">
        <f t="shared" si="50"/>
        <v>0</v>
      </c>
      <c r="V166" s="6">
        <f t="shared" si="50"/>
        <v>0</v>
      </c>
      <c r="W166" s="13">
        <f t="shared" si="50"/>
        <v>0</v>
      </c>
      <c r="X166" s="8">
        <f t="shared" si="50"/>
        <v>0</v>
      </c>
      <c r="Y166" s="6">
        <f t="shared" si="50"/>
        <v>0</v>
      </c>
      <c r="Z166" s="6">
        <f t="shared" si="50"/>
        <v>0</v>
      </c>
      <c r="AA166" s="6">
        <f t="shared" si="50"/>
        <v>0</v>
      </c>
      <c r="AB166" s="13">
        <f t="shared" si="50"/>
        <v>0</v>
      </c>
      <c r="AC166" s="8">
        <f t="shared" si="50"/>
        <v>0</v>
      </c>
      <c r="AD166" s="6">
        <f t="shared" si="50"/>
        <v>0</v>
      </c>
      <c r="AE166" s="6">
        <f t="shared" si="50"/>
        <v>0</v>
      </c>
      <c r="AF166" s="6">
        <f t="shared" si="50"/>
        <v>0</v>
      </c>
      <c r="AG166" s="13">
        <f t="shared" si="50"/>
        <v>0</v>
      </c>
      <c r="AH166" s="16">
        <f>SUM(D166:AG166)*A166</f>
        <v>10000</v>
      </c>
      <c r="AI166" s="16">
        <f t="shared" si="53"/>
        <v>10</v>
      </c>
    </row>
    <row r="167" spans="1:52" ht="13.7" customHeight="1" x14ac:dyDescent="0.25">
      <c r="A167" s="15">
        <v>1500</v>
      </c>
      <c r="B167" s="11">
        <f t="shared" si="51"/>
        <v>0</v>
      </c>
      <c r="C167" s="11">
        <f t="shared" si="51"/>
        <v>0</v>
      </c>
      <c r="D167" s="8">
        <f t="shared" si="52"/>
        <v>0</v>
      </c>
      <c r="E167" s="6">
        <f t="shared" si="50"/>
        <v>8</v>
      </c>
      <c r="F167" s="6">
        <f t="shared" si="50"/>
        <v>0</v>
      </c>
      <c r="G167" s="6">
        <f t="shared" si="50"/>
        <v>0</v>
      </c>
      <c r="H167" s="13">
        <f t="shared" si="50"/>
        <v>0</v>
      </c>
      <c r="I167" s="8">
        <f t="shared" si="50"/>
        <v>0</v>
      </c>
      <c r="J167" s="6">
        <f t="shared" si="50"/>
        <v>0</v>
      </c>
      <c r="K167" s="6">
        <f t="shared" si="50"/>
        <v>0</v>
      </c>
      <c r="L167" s="6">
        <f t="shared" si="50"/>
        <v>0</v>
      </c>
      <c r="M167" s="13">
        <f t="shared" si="50"/>
        <v>0</v>
      </c>
      <c r="N167" s="8">
        <f t="shared" si="50"/>
        <v>0</v>
      </c>
      <c r="O167" s="6">
        <f t="shared" si="50"/>
        <v>0</v>
      </c>
      <c r="P167" s="6">
        <f t="shared" si="50"/>
        <v>0</v>
      </c>
      <c r="Q167" s="6">
        <f t="shared" si="50"/>
        <v>0</v>
      </c>
      <c r="R167" s="13">
        <f t="shared" si="50"/>
        <v>0</v>
      </c>
      <c r="S167" s="8">
        <f t="shared" si="50"/>
        <v>0</v>
      </c>
      <c r="T167" s="6">
        <f t="shared" si="50"/>
        <v>0</v>
      </c>
      <c r="U167" s="6">
        <f t="shared" si="50"/>
        <v>0</v>
      </c>
      <c r="V167" s="6">
        <f t="shared" si="50"/>
        <v>0</v>
      </c>
      <c r="W167" s="13">
        <f t="shared" si="50"/>
        <v>0</v>
      </c>
      <c r="X167" s="8">
        <f t="shared" si="50"/>
        <v>0</v>
      </c>
      <c r="Y167" s="6">
        <f t="shared" si="50"/>
        <v>0</v>
      </c>
      <c r="Z167" s="6">
        <f t="shared" si="50"/>
        <v>0</v>
      </c>
      <c r="AA167" s="6">
        <f t="shared" si="50"/>
        <v>0</v>
      </c>
      <c r="AB167" s="13">
        <f t="shared" si="50"/>
        <v>0</v>
      </c>
      <c r="AC167" s="8">
        <f t="shared" si="50"/>
        <v>0</v>
      </c>
      <c r="AD167" s="6">
        <f t="shared" si="50"/>
        <v>0</v>
      </c>
      <c r="AE167" s="6">
        <f t="shared" si="50"/>
        <v>0</v>
      </c>
      <c r="AF167" s="6">
        <f t="shared" si="50"/>
        <v>0</v>
      </c>
      <c r="AG167" s="13">
        <f t="shared" si="50"/>
        <v>0</v>
      </c>
      <c r="AH167" s="16">
        <f>SUM(D167:AG167)*A167</f>
        <v>12000</v>
      </c>
      <c r="AI167" s="16">
        <f t="shared" si="53"/>
        <v>8</v>
      </c>
    </row>
    <row r="168" spans="1:52" ht="13.7" customHeight="1" x14ac:dyDescent="0.25">
      <c r="A168" s="15">
        <v>2000</v>
      </c>
      <c r="B168" s="11">
        <f t="shared" si="51"/>
        <v>0</v>
      </c>
      <c r="C168" s="11">
        <f t="shared" si="51"/>
        <v>0</v>
      </c>
      <c r="D168" s="8">
        <f t="shared" si="52"/>
        <v>0</v>
      </c>
      <c r="E168" s="6">
        <f t="shared" si="50"/>
        <v>0</v>
      </c>
      <c r="F168" s="6">
        <f t="shared" si="50"/>
        <v>0</v>
      </c>
      <c r="G168" s="6">
        <f t="shared" si="50"/>
        <v>0</v>
      </c>
      <c r="H168" s="13">
        <f t="shared" si="50"/>
        <v>0</v>
      </c>
      <c r="I168" s="8">
        <f t="shared" si="50"/>
        <v>0</v>
      </c>
      <c r="J168" s="6">
        <f t="shared" si="50"/>
        <v>0</v>
      </c>
      <c r="K168" s="6">
        <f t="shared" si="50"/>
        <v>0</v>
      </c>
      <c r="L168" s="6">
        <f t="shared" si="50"/>
        <v>0</v>
      </c>
      <c r="M168" s="13">
        <f t="shared" si="50"/>
        <v>0</v>
      </c>
      <c r="N168" s="8">
        <f t="shared" si="50"/>
        <v>0</v>
      </c>
      <c r="O168" s="6">
        <f t="shared" si="50"/>
        <v>0</v>
      </c>
      <c r="P168" s="6">
        <f t="shared" si="50"/>
        <v>0</v>
      </c>
      <c r="Q168" s="6">
        <f t="shared" si="50"/>
        <v>0</v>
      </c>
      <c r="R168" s="13">
        <f t="shared" si="50"/>
        <v>0</v>
      </c>
      <c r="S168" s="8">
        <f t="shared" si="50"/>
        <v>0</v>
      </c>
      <c r="T168" s="6">
        <f t="shared" si="50"/>
        <v>0</v>
      </c>
      <c r="U168" s="6">
        <f t="shared" si="50"/>
        <v>0</v>
      </c>
      <c r="V168" s="6">
        <f t="shared" si="50"/>
        <v>0</v>
      </c>
      <c r="W168" s="13">
        <f t="shared" si="50"/>
        <v>0</v>
      </c>
      <c r="X168" s="8">
        <f t="shared" si="50"/>
        <v>0</v>
      </c>
      <c r="Y168" s="6">
        <f t="shared" si="50"/>
        <v>0</v>
      </c>
      <c r="Z168" s="6">
        <f t="shared" si="50"/>
        <v>0</v>
      </c>
      <c r="AA168" s="6">
        <f t="shared" si="50"/>
        <v>0</v>
      </c>
      <c r="AB168" s="13">
        <f t="shared" si="50"/>
        <v>0</v>
      </c>
      <c r="AC168" s="8">
        <f t="shared" si="50"/>
        <v>0</v>
      </c>
      <c r="AD168" s="6">
        <f t="shared" si="50"/>
        <v>0</v>
      </c>
      <c r="AE168" s="6">
        <f t="shared" si="50"/>
        <v>0</v>
      </c>
      <c r="AF168" s="6">
        <f t="shared" si="50"/>
        <v>0</v>
      </c>
      <c r="AG168" s="13">
        <f t="shared" si="50"/>
        <v>0</v>
      </c>
      <c r="AH168" s="16">
        <f>SUM(D168:AG168)*A168</f>
        <v>0</v>
      </c>
      <c r="AI168" s="16">
        <f t="shared" si="53"/>
        <v>0</v>
      </c>
    </row>
    <row r="169" spans="1:52" ht="13.7" customHeight="1" x14ac:dyDescent="0.25">
      <c r="A169" s="15">
        <v>3000</v>
      </c>
      <c r="B169" s="11">
        <f t="shared" si="51"/>
        <v>0</v>
      </c>
      <c r="C169" s="11">
        <f t="shared" si="51"/>
        <v>0</v>
      </c>
      <c r="D169" s="8">
        <f t="shared" si="52"/>
        <v>0</v>
      </c>
      <c r="E169" s="6">
        <f t="shared" si="50"/>
        <v>0</v>
      </c>
      <c r="F169" s="6">
        <f t="shared" si="50"/>
        <v>0</v>
      </c>
      <c r="G169" s="6">
        <f t="shared" si="50"/>
        <v>0</v>
      </c>
      <c r="H169" s="13">
        <f t="shared" si="50"/>
        <v>0</v>
      </c>
      <c r="I169" s="8">
        <f t="shared" si="50"/>
        <v>0</v>
      </c>
      <c r="J169" s="6">
        <f t="shared" si="50"/>
        <v>0</v>
      </c>
      <c r="K169" s="6">
        <f t="shared" si="50"/>
        <v>0</v>
      </c>
      <c r="L169" s="6">
        <f t="shared" si="50"/>
        <v>0</v>
      </c>
      <c r="M169" s="13">
        <f t="shared" si="50"/>
        <v>0</v>
      </c>
      <c r="N169" s="8">
        <f t="shared" si="50"/>
        <v>0</v>
      </c>
      <c r="O169" s="6">
        <f t="shared" si="50"/>
        <v>0</v>
      </c>
      <c r="P169" s="6">
        <f t="shared" si="50"/>
        <v>0</v>
      </c>
      <c r="Q169" s="6">
        <f t="shared" si="50"/>
        <v>0</v>
      </c>
      <c r="R169" s="13">
        <f t="shared" si="50"/>
        <v>0</v>
      </c>
      <c r="S169" s="8">
        <f t="shared" si="50"/>
        <v>0</v>
      </c>
      <c r="T169" s="6">
        <f t="shared" si="50"/>
        <v>0</v>
      </c>
      <c r="U169" s="6">
        <f t="shared" si="50"/>
        <v>0</v>
      </c>
      <c r="V169" s="6">
        <f t="shared" si="50"/>
        <v>0</v>
      </c>
      <c r="W169" s="13">
        <f t="shared" si="50"/>
        <v>0</v>
      </c>
      <c r="X169" s="8">
        <f t="shared" si="50"/>
        <v>0</v>
      </c>
      <c r="Y169" s="6">
        <f t="shared" si="50"/>
        <v>0</v>
      </c>
      <c r="Z169" s="6">
        <f t="shared" si="50"/>
        <v>0</v>
      </c>
      <c r="AA169" s="6">
        <f t="shared" si="50"/>
        <v>0</v>
      </c>
      <c r="AB169" s="13">
        <f t="shared" si="50"/>
        <v>0</v>
      </c>
      <c r="AC169" s="8">
        <f t="shared" si="50"/>
        <v>0</v>
      </c>
      <c r="AD169" s="6">
        <f t="shared" si="50"/>
        <v>0</v>
      </c>
      <c r="AE169" s="6">
        <f t="shared" si="50"/>
        <v>0</v>
      </c>
      <c r="AF169" s="6">
        <f t="shared" si="50"/>
        <v>0</v>
      </c>
      <c r="AG169" s="13">
        <f t="shared" si="50"/>
        <v>0</v>
      </c>
      <c r="AH169" s="16">
        <f>SUM(D169:AG169)*A169</f>
        <v>0</v>
      </c>
      <c r="AI169" s="16">
        <f t="shared" si="53"/>
        <v>0</v>
      </c>
    </row>
    <row r="170" spans="1:52" ht="13.7" customHeight="1" x14ac:dyDescent="0.25">
      <c r="A170" s="15">
        <v>5000</v>
      </c>
      <c r="B170" s="11">
        <f t="shared" si="51"/>
        <v>0</v>
      </c>
      <c r="C170" s="11">
        <f t="shared" si="51"/>
        <v>0</v>
      </c>
      <c r="D170" s="8">
        <f t="shared" si="52"/>
        <v>0</v>
      </c>
      <c r="E170" s="6">
        <f t="shared" si="50"/>
        <v>0</v>
      </c>
      <c r="F170" s="6">
        <f t="shared" si="50"/>
        <v>0</v>
      </c>
      <c r="G170" s="6">
        <f t="shared" si="50"/>
        <v>0</v>
      </c>
      <c r="H170" s="13">
        <f t="shared" si="50"/>
        <v>0</v>
      </c>
      <c r="I170" s="8">
        <f t="shared" si="50"/>
        <v>0</v>
      </c>
      <c r="J170" s="6">
        <f t="shared" si="50"/>
        <v>0</v>
      </c>
      <c r="K170" s="6">
        <f t="shared" si="50"/>
        <v>0</v>
      </c>
      <c r="L170" s="6">
        <f t="shared" si="50"/>
        <v>0</v>
      </c>
      <c r="M170" s="13">
        <f t="shared" si="50"/>
        <v>0</v>
      </c>
      <c r="N170" s="8">
        <f t="shared" si="50"/>
        <v>0</v>
      </c>
      <c r="O170" s="6">
        <f t="shared" si="50"/>
        <v>0</v>
      </c>
      <c r="P170" s="6">
        <f t="shared" si="50"/>
        <v>0</v>
      </c>
      <c r="Q170" s="6">
        <f t="shared" si="50"/>
        <v>0</v>
      </c>
      <c r="R170" s="13">
        <f t="shared" si="50"/>
        <v>0</v>
      </c>
      <c r="S170" s="8">
        <f t="shared" si="50"/>
        <v>0</v>
      </c>
      <c r="T170" s="6">
        <f t="shared" si="50"/>
        <v>0</v>
      </c>
      <c r="U170" s="6">
        <f t="shared" si="50"/>
        <v>0</v>
      </c>
      <c r="V170" s="6">
        <f t="shared" si="50"/>
        <v>0</v>
      </c>
      <c r="W170" s="13">
        <f t="shared" si="50"/>
        <v>0</v>
      </c>
      <c r="X170" s="8">
        <f t="shared" si="50"/>
        <v>0</v>
      </c>
      <c r="Y170" s="6">
        <f t="shared" si="50"/>
        <v>0</v>
      </c>
      <c r="Z170" s="6">
        <f t="shared" si="50"/>
        <v>0</v>
      </c>
      <c r="AA170" s="6">
        <f t="shared" si="50"/>
        <v>0</v>
      </c>
      <c r="AB170" s="13">
        <f t="shared" si="50"/>
        <v>0</v>
      </c>
      <c r="AC170" s="8">
        <f t="shared" si="50"/>
        <v>0</v>
      </c>
      <c r="AD170" s="6">
        <f t="shared" si="50"/>
        <v>0</v>
      </c>
      <c r="AE170" s="6">
        <f t="shared" si="50"/>
        <v>0</v>
      </c>
      <c r="AF170" s="6">
        <f t="shared" si="50"/>
        <v>0</v>
      </c>
      <c r="AG170" s="13">
        <f t="shared" si="50"/>
        <v>0</v>
      </c>
      <c r="AH170" s="16">
        <f>SUM(D170:AG170)*A170</f>
        <v>0</v>
      </c>
      <c r="AI170" s="16">
        <f t="shared" si="53"/>
        <v>0</v>
      </c>
    </row>
    <row r="171" spans="1:52" ht="15" customHeight="1" thickBot="1" x14ac:dyDescent="0.3">
      <c r="A171" s="59">
        <v>10000</v>
      </c>
      <c r="B171" s="11">
        <f t="shared" si="51"/>
        <v>0</v>
      </c>
      <c r="C171" s="11">
        <f t="shared" si="51"/>
        <v>0</v>
      </c>
      <c r="D171" s="31">
        <f t="shared" si="52"/>
        <v>0</v>
      </c>
      <c r="E171" s="32">
        <f t="shared" si="50"/>
        <v>0</v>
      </c>
      <c r="F171" s="32">
        <f t="shared" si="50"/>
        <v>0</v>
      </c>
      <c r="G171" s="32">
        <f t="shared" si="50"/>
        <v>0</v>
      </c>
      <c r="H171" s="33">
        <f t="shared" si="50"/>
        <v>0</v>
      </c>
      <c r="I171" s="31">
        <f t="shared" si="50"/>
        <v>0</v>
      </c>
      <c r="J171" s="32">
        <f t="shared" si="50"/>
        <v>0</v>
      </c>
      <c r="K171" s="32">
        <f t="shared" si="50"/>
        <v>0</v>
      </c>
      <c r="L171" s="32">
        <f t="shared" si="50"/>
        <v>0</v>
      </c>
      <c r="M171" s="33">
        <f t="shared" si="50"/>
        <v>0</v>
      </c>
      <c r="N171" s="31">
        <f t="shared" si="50"/>
        <v>0</v>
      </c>
      <c r="O171" s="32">
        <f t="shared" si="50"/>
        <v>0</v>
      </c>
      <c r="P171" s="32">
        <f t="shared" si="50"/>
        <v>0</v>
      </c>
      <c r="Q171" s="32">
        <f t="shared" si="50"/>
        <v>0</v>
      </c>
      <c r="R171" s="33">
        <f t="shared" si="50"/>
        <v>0</v>
      </c>
      <c r="S171" s="31">
        <f t="shared" si="50"/>
        <v>0</v>
      </c>
      <c r="T171" s="32">
        <f t="shared" si="50"/>
        <v>0</v>
      </c>
      <c r="U171" s="32">
        <f t="shared" si="50"/>
        <v>0</v>
      </c>
      <c r="V171" s="32">
        <f t="shared" si="50"/>
        <v>0</v>
      </c>
      <c r="W171" s="33">
        <f t="shared" si="50"/>
        <v>0</v>
      </c>
      <c r="X171" s="31">
        <f t="shared" si="50"/>
        <v>0</v>
      </c>
      <c r="Y171" s="32">
        <f t="shared" si="50"/>
        <v>0</v>
      </c>
      <c r="Z171" s="32">
        <f t="shared" si="50"/>
        <v>0</v>
      </c>
      <c r="AA171" s="32">
        <f t="shared" si="50"/>
        <v>0</v>
      </c>
      <c r="AB171" s="33">
        <f t="shared" ref="AB171:AG171" si="54">Z127+Z141</f>
        <v>0</v>
      </c>
      <c r="AC171" s="31">
        <f t="shared" si="54"/>
        <v>0</v>
      </c>
      <c r="AD171" s="32">
        <f t="shared" si="54"/>
        <v>0</v>
      </c>
      <c r="AE171" s="32">
        <f t="shared" si="54"/>
        <v>0</v>
      </c>
      <c r="AF171" s="32">
        <f t="shared" si="54"/>
        <v>0</v>
      </c>
      <c r="AG171" s="33">
        <f t="shared" si="54"/>
        <v>0</v>
      </c>
      <c r="AH171" s="16">
        <f>SUM(D171:AG171)*A171</f>
        <v>0</v>
      </c>
      <c r="AI171" s="43">
        <f t="shared" si="53"/>
        <v>0</v>
      </c>
    </row>
    <row r="172" spans="1:52" ht="15" customHeight="1" thickBot="1" x14ac:dyDescent="0.3">
      <c r="A172" s="35"/>
      <c r="B172" s="61">
        <f>SUM(B163:B171)</f>
        <v>0</v>
      </c>
      <c r="C172" s="61">
        <f t="shared" ref="C172" si="55">SUM(C163:C171)</f>
        <v>0</v>
      </c>
      <c r="D172" s="60">
        <f t="shared" ref="D172:AI172" si="56">SUM(D163:D171)</f>
        <v>0</v>
      </c>
      <c r="E172" s="61">
        <f t="shared" si="56"/>
        <v>48</v>
      </c>
      <c r="F172" s="61">
        <f t="shared" si="56"/>
        <v>0</v>
      </c>
      <c r="G172" s="61">
        <f t="shared" si="56"/>
        <v>0</v>
      </c>
      <c r="H172" s="62">
        <f t="shared" si="56"/>
        <v>0</v>
      </c>
      <c r="I172" s="60">
        <f t="shared" si="56"/>
        <v>0</v>
      </c>
      <c r="J172" s="61">
        <f t="shared" si="56"/>
        <v>0</v>
      </c>
      <c r="K172" s="61">
        <f t="shared" si="56"/>
        <v>0</v>
      </c>
      <c r="L172" s="61">
        <f t="shared" si="56"/>
        <v>0</v>
      </c>
      <c r="M172" s="62">
        <f t="shared" si="56"/>
        <v>0</v>
      </c>
      <c r="N172" s="60">
        <f t="shared" si="56"/>
        <v>0</v>
      </c>
      <c r="O172" s="61">
        <f t="shared" si="56"/>
        <v>0</v>
      </c>
      <c r="P172" s="61">
        <f t="shared" si="56"/>
        <v>0</v>
      </c>
      <c r="Q172" s="61">
        <f t="shared" si="56"/>
        <v>0</v>
      </c>
      <c r="R172" s="62">
        <f t="shared" si="56"/>
        <v>0</v>
      </c>
      <c r="S172" s="60">
        <f t="shared" si="56"/>
        <v>0</v>
      </c>
      <c r="T172" s="61">
        <f t="shared" si="56"/>
        <v>0</v>
      </c>
      <c r="U172" s="61">
        <f t="shared" si="56"/>
        <v>0</v>
      </c>
      <c r="V172" s="61">
        <f t="shared" si="56"/>
        <v>0</v>
      </c>
      <c r="W172" s="62">
        <f t="shared" si="56"/>
        <v>0</v>
      </c>
      <c r="X172" s="60">
        <f t="shared" si="56"/>
        <v>0</v>
      </c>
      <c r="Y172" s="61">
        <f t="shared" si="56"/>
        <v>0</v>
      </c>
      <c r="Z172" s="61">
        <f t="shared" si="56"/>
        <v>0</v>
      </c>
      <c r="AA172" s="61">
        <f t="shared" si="56"/>
        <v>0</v>
      </c>
      <c r="AB172" s="62">
        <f t="shared" si="56"/>
        <v>0</v>
      </c>
      <c r="AC172" s="60">
        <f t="shared" si="56"/>
        <v>0</v>
      </c>
      <c r="AD172" s="61">
        <f t="shared" si="56"/>
        <v>0</v>
      </c>
      <c r="AE172" s="61">
        <f t="shared" si="56"/>
        <v>0</v>
      </c>
      <c r="AF172" s="61">
        <f t="shared" si="56"/>
        <v>0</v>
      </c>
      <c r="AG172" s="62">
        <f t="shared" si="56"/>
        <v>0</v>
      </c>
      <c r="AH172" s="35">
        <f>SUM(AH163:AH171)</f>
        <v>39500</v>
      </c>
      <c r="AI172" s="35">
        <f t="shared" si="53"/>
        <v>48</v>
      </c>
    </row>
    <row r="173" spans="1:52" ht="15.75" customHeight="1" x14ac:dyDescent="0.25"/>
    <row r="174" spans="1:52" ht="15.75" customHeight="1" x14ac:dyDescent="0.25"/>
    <row r="175" spans="1:52" ht="15" customHeight="1" x14ac:dyDescent="0.25">
      <c r="AX175" s="44"/>
      <c r="AY175" s="44"/>
      <c r="AZ175" s="44"/>
    </row>
    <row r="176" spans="1:52" ht="15" customHeight="1" x14ac:dyDescent="0.25">
      <c r="AX176" s="44"/>
      <c r="AY176" s="44"/>
      <c r="AZ176" s="44"/>
    </row>
    <row r="177" spans="50:54" ht="15" customHeight="1" x14ac:dyDescent="0.25">
      <c r="AX177" s="44"/>
      <c r="AY177" s="44"/>
      <c r="AZ177" s="44"/>
    </row>
    <row r="178" spans="50:54" ht="15" customHeight="1" x14ac:dyDescent="0.25">
      <c r="AX178" s="44"/>
      <c r="AY178" s="44"/>
      <c r="AZ178" s="44"/>
    </row>
    <row r="179" spans="50:54" ht="15" customHeight="1" x14ac:dyDescent="0.25">
      <c r="AX179" s="44"/>
      <c r="AY179" s="44"/>
      <c r="AZ179" s="44"/>
    </row>
    <row r="180" spans="50:54" ht="15" customHeight="1" x14ac:dyDescent="0.25">
      <c r="AX180" s="44"/>
      <c r="AY180" s="44"/>
      <c r="AZ180" s="44"/>
    </row>
    <row r="181" spans="50:54" ht="15" customHeight="1" x14ac:dyDescent="0.25">
      <c r="AX181" s="44"/>
    </row>
    <row r="182" spans="50:54" ht="15" customHeight="1" x14ac:dyDescent="0.25">
      <c r="AX182" s="44"/>
    </row>
    <row r="183" spans="50:54" ht="15" customHeight="1" x14ac:dyDescent="0.25">
      <c r="AX183" s="44"/>
    </row>
    <row r="184" spans="50:54" ht="15.75" customHeight="1" x14ac:dyDescent="0.25"/>
    <row r="186" spans="50:54" x14ac:dyDescent="0.25">
      <c r="BB186" s="44"/>
    </row>
    <row r="187" spans="50:54" ht="15" customHeight="1" x14ac:dyDescent="0.25"/>
    <row r="188" spans="50:54" ht="15" customHeight="1" x14ac:dyDescent="0.25"/>
    <row r="189" spans="50:54" ht="15" customHeight="1" x14ac:dyDescent="0.25"/>
  </sheetData>
  <mergeCells count="134">
    <mergeCell ref="AH158:AJ158"/>
    <mergeCell ref="AK158:AM158"/>
    <mergeCell ref="AN158:AO158"/>
    <mergeCell ref="AP158:AR158"/>
    <mergeCell ref="AS158:AT158"/>
    <mergeCell ref="AU158:AW158"/>
    <mergeCell ref="A161:A162"/>
    <mergeCell ref="B161:C161"/>
    <mergeCell ref="D161:H161"/>
    <mergeCell ref="I161:M161"/>
    <mergeCell ref="N161:R161"/>
    <mergeCell ref="S161:W161"/>
    <mergeCell ref="X161:AB161"/>
    <mergeCell ref="AC161:AG161"/>
    <mergeCell ref="AH161:AH162"/>
    <mergeCell ref="AI161:AI162"/>
    <mergeCell ref="BI151:BJ151"/>
    <mergeCell ref="AI152:AJ152"/>
    <mergeCell ref="AK152:AL152"/>
    <mergeCell ref="AO152:AP152"/>
    <mergeCell ref="AQ152:AR152"/>
    <mergeCell ref="AU152:AV152"/>
    <mergeCell ref="AW152:AX152"/>
    <mergeCell ref="BA152:BB152"/>
    <mergeCell ref="BC152:BD152"/>
    <mergeCell ref="BG152:BH152"/>
    <mergeCell ref="BI152:BJ152"/>
    <mergeCell ref="AI151:AJ151"/>
    <mergeCell ref="AK151:AL151"/>
    <mergeCell ref="AO151:AP151"/>
    <mergeCell ref="AQ151:AR151"/>
    <mergeCell ref="AU151:AV151"/>
    <mergeCell ref="AW151:AX151"/>
    <mergeCell ref="BA151:BB151"/>
    <mergeCell ref="BC151:BD151"/>
    <mergeCell ref="BG151:BH151"/>
    <mergeCell ref="BH137:BJ137"/>
    <mergeCell ref="AH138:AL138"/>
    <mergeCell ref="AN138:AR138"/>
    <mergeCell ref="AT138:AX138"/>
    <mergeCell ref="AZ138:BD138"/>
    <mergeCell ref="BF138:BJ138"/>
    <mergeCell ref="AH139:AL139"/>
    <mergeCell ref="AN139:AR139"/>
    <mergeCell ref="AT139:AX139"/>
    <mergeCell ref="AZ139:BD139"/>
    <mergeCell ref="BF139:BJ139"/>
    <mergeCell ref="AH137:AI137"/>
    <mergeCell ref="AJ137:AL137"/>
    <mergeCell ref="AN137:AO137"/>
    <mergeCell ref="AP137:AR137"/>
    <mergeCell ref="AT137:AU137"/>
    <mergeCell ref="AV137:AX137"/>
    <mergeCell ref="AZ137:BA137"/>
    <mergeCell ref="BB137:BD137"/>
    <mergeCell ref="BF137:BG137"/>
    <mergeCell ref="BG130:BH130"/>
    <mergeCell ref="BI130:BJ130"/>
    <mergeCell ref="A131:A132"/>
    <mergeCell ref="B131:F131"/>
    <mergeCell ref="L131:P131"/>
    <mergeCell ref="Q131:U131"/>
    <mergeCell ref="V131:Z131"/>
    <mergeCell ref="AA131:AE131"/>
    <mergeCell ref="AF131:AF132"/>
    <mergeCell ref="AG131:AG132"/>
    <mergeCell ref="AI131:AJ131"/>
    <mergeCell ref="AK131:AL131"/>
    <mergeCell ref="AO131:AP131"/>
    <mergeCell ref="AQ131:AR131"/>
    <mergeCell ref="AU131:AV131"/>
    <mergeCell ref="AW131:AX131"/>
    <mergeCell ref="BA131:BB131"/>
    <mergeCell ref="BC131:BD131"/>
    <mergeCell ref="BG131:BH131"/>
    <mergeCell ref="BI131:BJ131"/>
    <mergeCell ref="A130:AG130"/>
    <mergeCell ref="AI130:AJ130"/>
    <mergeCell ref="AK130:AL130"/>
    <mergeCell ref="AO130:AP130"/>
    <mergeCell ref="AQ130:AR130"/>
    <mergeCell ref="AU130:AV130"/>
    <mergeCell ref="AW130:AX130"/>
    <mergeCell ref="BA130:BB130"/>
    <mergeCell ref="BC130:BD130"/>
    <mergeCell ref="AN117:AR117"/>
    <mergeCell ref="AT117:AX117"/>
    <mergeCell ref="AZ117:BD117"/>
    <mergeCell ref="BF117:BJ117"/>
    <mergeCell ref="AH118:AL118"/>
    <mergeCell ref="AN118:AR118"/>
    <mergeCell ref="AT118:AX118"/>
    <mergeCell ref="AZ118:BD118"/>
    <mergeCell ref="BF118:BJ118"/>
    <mergeCell ref="AJ116:AL116"/>
    <mergeCell ref="AN116:AO116"/>
    <mergeCell ref="AP116:AR116"/>
    <mergeCell ref="AT116:AU116"/>
    <mergeCell ref="AV116:AX116"/>
    <mergeCell ref="AZ116:BA116"/>
    <mergeCell ref="BB116:BD116"/>
    <mergeCell ref="BF116:BG116"/>
    <mergeCell ref="BH116:BJ116"/>
    <mergeCell ref="G131:K131"/>
    <mergeCell ref="A114:C114"/>
    <mergeCell ref="D114:G114"/>
    <mergeCell ref="A116:AG116"/>
    <mergeCell ref="A117:A118"/>
    <mergeCell ref="B117:F117"/>
    <mergeCell ref="G117:K117"/>
    <mergeCell ref="L117:P117"/>
    <mergeCell ref="Q117:U117"/>
    <mergeCell ref="V117:Z117"/>
    <mergeCell ref="AH116:AI116"/>
    <mergeCell ref="AA117:AE117"/>
    <mergeCell ref="AF117:AF118"/>
    <mergeCell ref="AG117:AG118"/>
    <mergeCell ref="AH117:AL117"/>
    <mergeCell ref="D144:E144"/>
    <mergeCell ref="T144:U144"/>
    <mergeCell ref="A144:B144"/>
    <mergeCell ref="G144:H144"/>
    <mergeCell ref="J144:K147"/>
    <mergeCell ref="M144:N147"/>
    <mergeCell ref="P144:Q147"/>
    <mergeCell ref="S144:S145"/>
    <mergeCell ref="V144:V145"/>
    <mergeCell ref="W144:W145"/>
    <mergeCell ref="AA147:AC147"/>
    <mergeCell ref="AD147:AF147"/>
    <mergeCell ref="AA148:AC148"/>
    <mergeCell ref="AD148:AF148"/>
    <mergeCell ref="AA149:AC149"/>
    <mergeCell ref="AD149:AF149"/>
  </mergeCells>
  <pageMargins left="0" right="0" top="0" bottom="0" header="0.31496062992125984" footer="0.31496062992125984"/>
  <pageSetup paperSize="9" scale="85" orientation="landscape" verticalDpi="300" r:id="rId1"/>
  <headerFooter>
    <oddFooter>&amp;LPRINTED ON &amp;D AT &amp;T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/>
  <dimension ref="A1:BY189"/>
  <sheetViews>
    <sheetView showZeros="0" zoomScaleNormal="100" workbookViewId="0">
      <selection sqref="A1:XFD1048576"/>
    </sheetView>
  </sheetViews>
  <sheetFormatPr defaultColWidth="9.140625" defaultRowHeight="15" x14ac:dyDescent="0.25"/>
  <cols>
    <col min="1" max="1" width="6.28515625" style="28" customWidth="1"/>
    <col min="2" max="2" width="5.85546875" style="28" customWidth="1"/>
    <col min="3" max="3" width="4.42578125" style="28" customWidth="1"/>
    <col min="4" max="4" width="6.28515625" style="28" customWidth="1"/>
    <col min="5" max="5" width="5.85546875" style="28" customWidth="1"/>
    <col min="6" max="6" width="4.42578125" style="28" customWidth="1"/>
    <col min="7" max="7" width="6.28515625" style="28" customWidth="1"/>
    <col min="8" max="8" width="5.85546875" style="28" customWidth="1"/>
    <col min="9" max="9" width="4.42578125" style="28" customWidth="1"/>
    <col min="10" max="10" width="6.28515625" style="28" customWidth="1"/>
    <col min="11" max="12" width="4.42578125" style="28" customWidth="1"/>
    <col min="13" max="13" width="6.28515625" style="28" customWidth="1"/>
    <col min="14" max="15" width="4.42578125" style="28" customWidth="1"/>
    <col min="16" max="16" width="6.28515625" style="28" customWidth="1"/>
    <col min="17" max="18" width="4.42578125" style="28" customWidth="1"/>
    <col min="19" max="19" width="6.28515625" style="28" customWidth="1"/>
    <col min="20" max="21" width="4.7109375" style="28" customWidth="1"/>
    <col min="22" max="22" width="6.28515625" style="28" customWidth="1"/>
    <col min="23" max="23" width="5.42578125" style="28" customWidth="1"/>
    <col min="24" max="31" width="4.42578125" style="28" customWidth="1"/>
    <col min="32" max="33" width="6.28515625" style="28" customWidth="1"/>
    <col min="34" max="62" width="5.85546875" style="28" customWidth="1"/>
    <col min="63" max="63" width="5.140625" style="28" bestFit="1" customWidth="1"/>
    <col min="64" max="64" width="5.7109375" style="28" bestFit="1" customWidth="1"/>
    <col min="65" max="65" width="5" style="28" bestFit="1" customWidth="1"/>
    <col min="66" max="67" width="4.140625" style="28" bestFit="1" customWidth="1"/>
    <col min="68" max="68" width="4.28515625" style="28" bestFit="1" customWidth="1"/>
    <col min="69" max="69" width="5.140625" style="28" bestFit="1" customWidth="1"/>
    <col min="70" max="70" width="7.42578125" style="28" bestFit="1" customWidth="1"/>
    <col min="71" max="71" width="12.5703125" style="28" bestFit="1" customWidth="1"/>
    <col min="72" max="72" width="6.140625" style="28" bestFit="1" customWidth="1"/>
    <col min="73" max="16384" width="9.140625" style="28"/>
  </cols>
  <sheetData>
    <row r="1" spans="1:77" ht="16.5" customHeight="1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15</v>
      </c>
      <c r="J1" s="24" t="s">
        <v>133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133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133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12</v>
      </c>
      <c r="AB1" s="24" t="s">
        <v>133</v>
      </c>
      <c r="AC1" s="24" t="s">
        <v>8</v>
      </c>
      <c r="AD1" s="24" t="s">
        <v>9</v>
      </c>
      <c r="AE1" s="24" t="s">
        <v>10</v>
      </c>
      <c r="AF1" s="24" t="s">
        <v>11</v>
      </c>
      <c r="AG1" s="24" t="s">
        <v>12</v>
      </c>
      <c r="AH1" s="24" t="s">
        <v>133</v>
      </c>
      <c r="AI1" s="24" t="s">
        <v>8</v>
      </c>
      <c r="AJ1" s="24" t="s">
        <v>9</v>
      </c>
      <c r="AK1" s="24" t="s">
        <v>10</v>
      </c>
      <c r="AL1" s="24" t="s">
        <v>11</v>
      </c>
      <c r="AM1" s="24" t="s">
        <v>12</v>
      </c>
      <c r="AN1" s="24" t="s">
        <v>133</v>
      </c>
      <c r="AO1" s="24" t="s">
        <v>8</v>
      </c>
      <c r="AP1" s="24" t="s">
        <v>9</v>
      </c>
      <c r="AQ1" s="24" t="s">
        <v>10</v>
      </c>
      <c r="AR1" s="24" t="s">
        <v>11</v>
      </c>
      <c r="AS1" s="24" t="s">
        <v>12</v>
      </c>
      <c r="AT1" s="24" t="s">
        <v>133</v>
      </c>
      <c r="AU1" s="24" t="s">
        <v>8</v>
      </c>
      <c r="AV1" s="24" t="s">
        <v>9</v>
      </c>
      <c r="AW1" s="24" t="s">
        <v>10</v>
      </c>
      <c r="AX1" s="24" t="s">
        <v>11</v>
      </c>
      <c r="AY1" s="24" t="s">
        <v>12</v>
      </c>
      <c r="AZ1" s="24" t="s">
        <v>133</v>
      </c>
      <c r="BA1" s="24" t="s">
        <v>8</v>
      </c>
      <c r="BB1" s="24" t="s">
        <v>9</v>
      </c>
      <c r="BC1" s="24" t="s">
        <v>10</v>
      </c>
      <c r="BD1" s="24" t="s">
        <v>11</v>
      </c>
      <c r="BE1" s="24" t="s">
        <v>12</v>
      </c>
      <c r="BF1" s="24" t="s">
        <v>133</v>
      </c>
      <c r="BG1" s="24" t="s">
        <v>8</v>
      </c>
      <c r="BH1" s="24" t="s">
        <v>9</v>
      </c>
      <c r="BI1" s="24" t="s">
        <v>10</v>
      </c>
      <c r="BJ1" s="24" t="s">
        <v>11</v>
      </c>
      <c r="BK1" s="24" t="s">
        <v>12</v>
      </c>
      <c r="BL1" s="24" t="s">
        <v>133</v>
      </c>
      <c r="BM1" s="24" t="s">
        <v>8</v>
      </c>
      <c r="BN1" s="24" t="s">
        <v>9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36</v>
      </c>
      <c r="BU1" s="26"/>
      <c r="BV1" s="27"/>
      <c r="BW1" s="27"/>
      <c r="BX1" s="27"/>
      <c r="BY1" s="27"/>
    </row>
    <row r="2" spans="1:77" s="56" customFormat="1" ht="78" thickBot="1" x14ac:dyDescent="0.3">
      <c r="A2" s="188">
        <v>21420</v>
      </c>
      <c r="B2" s="189">
        <v>46031</v>
      </c>
      <c r="C2" s="41" t="s">
        <v>239</v>
      </c>
      <c r="D2" s="41" t="s">
        <v>90</v>
      </c>
      <c r="E2" s="41" t="s">
        <v>42</v>
      </c>
      <c r="F2" s="41" t="s">
        <v>121</v>
      </c>
      <c r="G2" s="41" t="s">
        <v>122</v>
      </c>
      <c r="H2" s="41" t="s">
        <v>123</v>
      </c>
      <c r="I2" s="41"/>
      <c r="J2" s="41" t="s">
        <v>134</v>
      </c>
      <c r="K2" s="188">
        <v>1500</v>
      </c>
      <c r="L2" s="188">
        <v>8</v>
      </c>
      <c r="M2" s="41" t="s">
        <v>17</v>
      </c>
      <c r="N2" s="41" t="s">
        <v>22</v>
      </c>
      <c r="O2" s="188">
        <v>3.5</v>
      </c>
      <c r="P2" s="41" t="s">
        <v>134</v>
      </c>
      <c r="Q2" s="188">
        <v>1000</v>
      </c>
      <c r="R2" s="188">
        <v>10</v>
      </c>
      <c r="S2" s="41" t="s">
        <v>17</v>
      </c>
      <c r="T2" s="41" t="s">
        <v>22</v>
      </c>
      <c r="U2" s="188">
        <v>3.5</v>
      </c>
      <c r="V2" s="41" t="s">
        <v>134</v>
      </c>
      <c r="W2" s="188">
        <v>750</v>
      </c>
      <c r="X2" s="188">
        <v>10</v>
      </c>
      <c r="Y2" s="41" t="s">
        <v>17</v>
      </c>
      <c r="Z2" s="41" t="s">
        <v>22</v>
      </c>
      <c r="AA2" s="188">
        <v>3.5</v>
      </c>
      <c r="AB2" s="41" t="s">
        <v>134</v>
      </c>
      <c r="AC2" s="188">
        <v>500</v>
      </c>
      <c r="AD2" s="188">
        <v>20</v>
      </c>
      <c r="AE2" s="41" t="s">
        <v>17</v>
      </c>
      <c r="AF2" s="41" t="s">
        <v>22</v>
      </c>
      <c r="AG2" s="188">
        <v>3.5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 t="s">
        <v>91</v>
      </c>
      <c r="BS2" s="41" t="s">
        <v>253</v>
      </c>
      <c r="BT2" s="108">
        <f t="shared" ref="BT2" si="0">K2*L2+Q2*R2+W2*X2+AC2*AD2+AI2*AJ2+AO2*AP2+AU2*AV2+BA2*BB2+BG2*BH2+BM2*BN2</f>
        <v>39500</v>
      </c>
    </row>
    <row r="3" spans="1:77" s="56" customFormat="1" ht="15.75" thickBot="1" x14ac:dyDescent="0.3">
      <c r="A3" s="80"/>
      <c r="B3" s="49"/>
      <c r="C3" s="20"/>
      <c r="D3" s="20"/>
      <c r="E3" s="20"/>
      <c r="F3" s="20"/>
      <c r="G3" s="20"/>
      <c r="H3" s="20"/>
      <c r="I3" s="20"/>
      <c r="J3" s="48"/>
      <c r="K3" s="48"/>
      <c r="L3" s="48"/>
      <c r="M3" s="20"/>
      <c r="N3" s="20"/>
      <c r="O3" s="48"/>
      <c r="P3" s="48"/>
      <c r="Q3" s="48"/>
      <c r="R3" s="48"/>
      <c r="S3" s="20"/>
      <c r="T3" s="20"/>
      <c r="U3" s="48"/>
      <c r="V3" s="48"/>
      <c r="W3" s="48"/>
      <c r="X3" s="48"/>
      <c r="Y3" s="48"/>
      <c r="Z3" s="20"/>
      <c r="AA3" s="48"/>
      <c r="AB3" s="48"/>
      <c r="AC3" s="48"/>
      <c r="AD3" s="48"/>
      <c r="AE3" s="20"/>
      <c r="AF3" s="20"/>
      <c r="AG3" s="48"/>
      <c r="AH3" s="48"/>
      <c r="AI3" s="48"/>
      <c r="AJ3" s="48"/>
      <c r="AK3" s="20"/>
      <c r="AL3" s="20"/>
      <c r="AM3" s="48"/>
      <c r="AN3" s="48"/>
      <c r="AO3" s="48"/>
      <c r="AP3" s="48"/>
      <c r="AQ3" s="20"/>
      <c r="AR3" s="20"/>
      <c r="AS3" s="48"/>
      <c r="AT3" s="48"/>
      <c r="AU3" s="48"/>
      <c r="AV3" s="48"/>
      <c r="AW3" s="20"/>
      <c r="AX3" s="20"/>
      <c r="AY3" s="48"/>
      <c r="AZ3" s="48"/>
      <c r="BA3" s="48"/>
      <c r="BB3" s="48"/>
      <c r="BC3" s="20"/>
      <c r="BD3" s="20"/>
      <c r="BE3" s="48"/>
      <c r="BF3" s="48"/>
      <c r="BG3" s="48"/>
      <c r="BH3" s="48"/>
      <c r="BI3" s="20"/>
      <c r="BJ3" s="20"/>
      <c r="BK3" s="48"/>
      <c r="BL3" s="48"/>
      <c r="BM3" s="48"/>
      <c r="BN3" s="48"/>
      <c r="BO3" s="20"/>
      <c r="BP3" s="20"/>
      <c r="BQ3" s="48"/>
      <c r="BR3" s="20"/>
      <c r="BS3" s="20"/>
      <c r="BT3" s="55"/>
      <c r="BU3" s="20"/>
      <c r="BV3" s="20"/>
      <c r="BW3" s="20"/>
      <c r="BX3" s="20"/>
      <c r="BY3" s="20"/>
    </row>
    <row r="4" spans="1:77" s="56" customFormat="1" ht="15.75" thickBot="1" x14ac:dyDescent="0.3">
      <c r="A4" s="80"/>
      <c r="B4" s="49"/>
      <c r="C4" s="20"/>
      <c r="D4" s="20"/>
      <c r="E4" s="20"/>
      <c r="F4" s="20"/>
      <c r="G4" s="20"/>
      <c r="H4" s="20"/>
      <c r="I4" s="20"/>
      <c r="J4" s="48"/>
      <c r="K4" s="48"/>
      <c r="L4" s="48"/>
      <c r="M4" s="20"/>
      <c r="N4" s="20"/>
      <c r="O4" s="48"/>
      <c r="P4" s="48"/>
      <c r="Q4" s="48"/>
      <c r="R4" s="48"/>
      <c r="S4" s="20"/>
      <c r="T4" s="20"/>
      <c r="U4" s="48"/>
      <c r="V4" s="48"/>
      <c r="W4" s="48"/>
      <c r="X4" s="48"/>
      <c r="Y4" s="48"/>
      <c r="Z4" s="20"/>
      <c r="AA4" s="48"/>
      <c r="AB4" s="48"/>
      <c r="AC4" s="48"/>
      <c r="AD4" s="48"/>
      <c r="AE4" s="20"/>
      <c r="AF4" s="20"/>
      <c r="AG4" s="48"/>
      <c r="AH4" s="48"/>
      <c r="AI4" s="48"/>
      <c r="AJ4" s="48"/>
      <c r="AK4" s="20"/>
      <c r="AL4" s="20"/>
      <c r="AM4" s="48"/>
      <c r="AN4" s="48"/>
      <c r="AO4" s="48"/>
      <c r="AP4" s="48"/>
      <c r="AQ4" s="20"/>
      <c r="AR4" s="20"/>
      <c r="AS4" s="48"/>
      <c r="AT4" s="48"/>
      <c r="AU4" s="48"/>
      <c r="AV4" s="48"/>
      <c r="AW4" s="20"/>
      <c r="AX4" s="20"/>
      <c r="AY4" s="48"/>
      <c r="AZ4" s="48"/>
      <c r="BA4" s="48"/>
      <c r="BB4" s="48"/>
      <c r="BC4" s="20"/>
      <c r="BD4" s="20"/>
      <c r="BE4" s="48"/>
      <c r="BF4" s="48"/>
      <c r="BG4" s="48"/>
      <c r="BH4" s="48"/>
      <c r="BI4" s="20"/>
      <c r="BJ4" s="20"/>
      <c r="BK4" s="48"/>
      <c r="BL4" s="48"/>
      <c r="BM4" s="48"/>
      <c r="BN4" s="48"/>
      <c r="BO4" s="20"/>
      <c r="BP4" s="20"/>
      <c r="BQ4" s="48"/>
      <c r="BR4" s="20"/>
      <c r="BS4" s="20"/>
      <c r="BT4" s="55"/>
      <c r="BU4" s="20"/>
      <c r="BV4" s="20"/>
      <c r="BW4" s="20"/>
      <c r="BX4" s="20"/>
      <c r="BY4" s="20"/>
    </row>
    <row r="5" spans="1:77" s="56" customFormat="1" ht="15.75" thickBot="1" x14ac:dyDescent="0.3">
      <c r="A5" s="80"/>
      <c r="B5" s="49"/>
      <c r="C5" s="20"/>
      <c r="D5" s="20"/>
      <c r="E5" s="20"/>
      <c r="F5" s="20"/>
      <c r="G5" s="20"/>
      <c r="H5" s="20"/>
      <c r="I5" s="20"/>
      <c r="J5" s="48"/>
      <c r="K5" s="48"/>
      <c r="L5" s="48"/>
      <c r="M5" s="20"/>
      <c r="N5" s="20"/>
      <c r="O5" s="48"/>
      <c r="P5" s="48"/>
      <c r="Q5" s="48"/>
      <c r="R5" s="48"/>
      <c r="S5" s="20"/>
      <c r="T5" s="20"/>
      <c r="U5" s="48"/>
      <c r="V5" s="48"/>
      <c r="W5" s="48"/>
      <c r="X5" s="48"/>
      <c r="Y5" s="48"/>
      <c r="Z5" s="20"/>
      <c r="AA5" s="48"/>
      <c r="AB5" s="48"/>
      <c r="AC5" s="48"/>
      <c r="AD5" s="48"/>
      <c r="AE5" s="20"/>
      <c r="AF5" s="20"/>
      <c r="AG5" s="48"/>
      <c r="AH5" s="48"/>
      <c r="AI5" s="48"/>
      <c r="AJ5" s="48"/>
      <c r="AK5" s="20"/>
      <c r="AL5" s="20"/>
      <c r="AM5" s="48"/>
      <c r="AN5" s="48"/>
      <c r="AO5" s="48"/>
      <c r="AP5" s="48"/>
      <c r="AQ5" s="20"/>
      <c r="AR5" s="20"/>
      <c r="AS5" s="48"/>
      <c r="AT5" s="48"/>
      <c r="AU5" s="48"/>
      <c r="AV5" s="48"/>
      <c r="AW5" s="20"/>
      <c r="AX5" s="20"/>
      <c r="AY5" s="48"/>
      <c r="AZ5" s="48"/>
      <c r="BA5" s="48"/>
      <c r="BB5" s="48"/>
      <c r="BC5" s="20"/>
      <c r="BD5" s="20"/>
      <c r="BE5" s="48"/>
      <c r="BF5" s="48"/>
      <c r="BG5" s="48"/>
      <c r="BH5" s="48"/>
      <c r="BI5" s="20"/>
      <c r="BJ5" s="20"/>
      <c r="BK5" s="48"/>
      <c r="BL5" s="48"/>
      <c r="BM5" s="48"/>
      <c r="BN5" s="48"/>
      <c r="BO5" s="20"/>
      <c r="BP5" s="20"/>
      <c r="BQ5" s="48"/>
      <c r="BR5" s="20"/>
      <c r="BS5" s="20"/>
      <c r="BT5" s="55"/>
      <c r="BU5" s="20"/>
      <c r="BV5" s="20"/>
      <c r="BW5" s="20"/>
      <c r="BX5" s="20"/>
      <c r="BY5" s="20"/>
    </row>
    <row r="6" spans="1:77" s="56" customFormat="1" ht="15.75" thickBot="1" x14ac:dyDescent="0.3">
      <c r="A6" s="80"/>
      <c r="B6" s="49"/>
      <c r="C6" s="20"/>
      <c r="D6" s="20"/>
      <c r="E6" s="20"/>
      <c r="F6" s="20"/>
      <c r="G6" s="20"/>
      <c r="H6" s="20"/>
      <c r="I6" s="20"/>
      <c r="J6" s="48"/>
      <c r="K6" s="48"/>
      <c r="L6" s="48"/>
      <c r="M6" s="20"/>
      <c r="N6" s="20"/>
      <c r="O6" s="48"/>
      <c r="P6" s="48"/>
      <c r="Q6" s="48"/>
      <c r="R6" s="48"/>
      <c r="S6" s="20"/>
      <c r="T6" s="20"/>
      <c r="U6" s="48"/>
      <c r="V6" s="48"/>
      <c r="W6" s="48"/>
      <c r="X6" s="48"/>
      <c r="Y6" s="48"/>
      <c r="Z6" s="20"/>
      <c r="AA6" s="48"/>
      <c r="AB6" s="48"/>
      <c r="AC6" s="48"/>
      <c r="AD6" s="48"/>
      <c r="AE6" s="20"/>
      <c r="AF6" s="20"/>
      <c r="AG6" s="48"/>
      <c r="AH6" s="48"/>
      <c r="AI6" s="48"/>
      <c r="AJ6" s="48"/>
      <c r="AK6" s="20"/>
      <c r="AL6" s="20"/>
      <c r="AM6" s="48"/>
      <c r="AN6" s="48"/>
      <c r="AO6" s="48"/>
      <c r="AP6" s="48"/>
      <c r="AQ6" s="20"/>
      <c r="AR6" s="20"/>
      <c r="AS6" s="48"/>
      <c r="AT6" s="48"/>
      <c r="AU6" s="48"/>
      <c r="AV6" s="48"/>
      <c r="AW6" s="20"/>
      <c r="AX6" s="20"/>
      <c r="AY6" s="48"/>
      <c r="AZ6" s="48"/>
      <c r="BA6" s="48"/>
      <c r="BB6" s="48"/>
      <c r="BC6" s="20"/>
      <c r="BD6" s="20"/>
      <c r="BE6" s="48"/>
      <c r="BF6" s="48"/>
      <c r="BG6" s="48"/>
      <c r="BH6" s="48"/>
      <c r="BI6" s="20"/>
      <c r="BJ6" s="20"/>
      <c r="BK6" s="48"/>
      <c r="BL6" s="48"/>
      <c r="BM6" s="48"/>
      <c r="BN6" s="48"/>
      <c r="BO6" s="20"/>
      <c r="BP6" s="20"/>
      <c r="BQ6" s="48"/>
      <c r="BR6" s="20"/>
      <c r="BS6" s="20"/>
      <c r="BT6" s="55"/>
      <c r="BU6" s="20"/>
      <c r="BV6" s="20"/>
      <c r="BW6" s="20"/>
      <c r="BX6" s="20"/>
      <c r="BY6" s="20"/>
    </row>
    <row r="7" spans="1:77" s="56" customFormat="1" ht="15.75" thickBot="1" x14ac:dyDescent="0.3">
      <c r="A7" s="80"/>
      <c r="B7" s="49"/>
      <c r="C7" s="20"/>
      <c r="D7" s="20"/>
      <c r="E7" s="20"/>
      <c r="F7" s="20"/>
      <c r="G7" s="20"/>
      <c r="H7" s="20"/>
      <c r="I7" s="20"/>
      <c r="J7" s="48"/>
      <c r="K7" s="48"/>
      <c r="L7" s="48"/>
      <c r="M7" s="20"/>
      <c r="N7" s="20"/>
      <c r="O7" s="48"/>
      <c r="P7" s="48"/>
      <c r="Q7" s="48"/>
      <c r="R7" s="48"/>
      <c r="S7" s="20"/>
      <c r="T7" s="20"/>
      <c r="U7" s="48"/>
      <c r="V7" s="48"/>
      <c r="W7" s="48"/>
      <c r="X7" s="48"/>
      <c r="Y7" s="48"/>
      <c r="Z7" s="20"/>
      <c r="AA7" s="48"/>
      <c r="AB7" s="48"/>
      <c r="AC7" s="48"/>
      <c r="AD7" s="48"/>
      <c r="AE7" s="20"/>
      <c r="AF7" s="20"/>
      <c r="AG7" s="48"/>
      <c r="AH7" s="48"/>
      <c r="AI7" s="48"/>
      <c r="AJ7" s="48"/>
      <c r="AK7" s="20"/>
      <c r="AL7" s="20"/>
      <c r="AM7" s="48"/>
      <c r="AN7" s="48"/>
      <c r="AO7" s="48"/>
      <c r="AP7" s="48"/>
      <c r="AQ7" s="20"/>
      <c r="AR7" s="20"/>
      <c r="AS7" s="48"/>
      <c r="AT7" s="48"/>
      <c r="AU7" s="48"/>
      <c r="AV7" s="48"/>
      <c r="AW7" s="20"/>
      <c r="AX7" s="20"/>
      <c r="AY7" s="48"/>
      <c r="AZ7" s="48"/>
      <c r="BA7" s="48"/>
      <c r="BB7" s="48"/>
      <c r="BC7" s="20"/>
      <c r="BD7" s="20"/>
      <c r="BE7" s="48"/>
      <c r="BF7" s="48"/>
      <c r="BG7" s="48"/>
      <c r="BH7" s="48"/>
      <c r="BI7" s="20"/>
      <c r="BJ7" s="20"/>
      <c r="BK7" s="48"/>
      <c r="BL7" s="48"/>
      <c r="BM7" s="48"/>
      <c r="BN7" s="48"/>
      <c r="BO7" s="20"/>
      <c r="BP7" s="20"/>
      <c r="BQ7" s="48"/>
      <c r="BR7" s="20"/>
      <c r="BS7" s="20"/>
      <c r="BT7" s="55"/>
      <c r="BU7" s="20"/>
      <c r="BV7" s="20"/>
      <c r="BW7" s="20"/>
      <c r="BX7" s="20"/>
      <c r="BY7" s="20"/>
    </row>
    <row r="8" spans="1:77" s="56" customFormat="1" ht="15.75" thickBot="1" x14ac:dyDescent="0.3">
      <c r="A8" s="80"/>
      <c r="B8" s="49"/>
      <c r="C8" s="20"/>
      <c r="D8" s="20"/>
      <c r="E8" s="20"/>
      <c r="F8" s="20"/>
      <c r="G8" s="20"/>
      <c r="H8" s="20"/>
      <c r="I8" s="20"/>
      <c r="J8" s="48"/>
      <c r="K8" s="48"/>
      <c r="L8" s="48"/>
      <c r="M8" s="20"/>
      <c r="N8" s="20"/>
      <c r="O8" s="48"/>
      <c r="P8" s="48"/>
      <c r="Q8" s="48"/>
      <c r="R8" s="48"/>
      <c r="S8" s="20"/>
      <c r="T8" s="20"/>
      <c r="U8" s="48"/>
      <c r="V8" s="48"/>
      <c r="W8" s="48"/>
      <c r="X8" s="48"/>
      <c r="Y8" s="48"/>
      <c r="Z8" s="20"/>
      <c r="AA8" s="48"/>
      <c r="AB8" s="48"/>
      <c r="AC8" s="48"/>
      <c r="AD8" s="48"/>
      <c r="AE8" s="20"/>
      <c r="AF8" s="20"/>
      <c r="AG8" s="48"/>
      <c r="AH8" s="48"/>
      <c r="AI8" s="48"/>
      <c r="AJ8" s="48"/>
      <c r="AK8" s="20"/>
      <c r="AL8" s="20"/>
      <c r="AM8" s="48"/>
      <c r="AN8" s="48"/>
      <c r="AO8" s="48"/>
      <c r="AP8" s="48"/>
      <c r="AQ8" s="20"/>
      <c r="AR8" s="20"/>
      <c r="AS8" s="48"/>
      <c r="AT8" s="48"/>
      <c r="AU8" s="48"/>
      <c r="AV8" s="48"/>
      <c r="AW8" s="20"/>
      <c r="AX8" s="20"/>
      <c r="AY8" s="48"/>
      <c r="AZ8" s="48"/>
      <c r="BA8" s="48"/>
      <c r="BB8" s="48"/>
      <c r="BC8" s="20"/>
      <c r="BD8" s="20"/>
      <c r="BE8" s="48"/>
      <c r="BF8" s="48"/>
      <c r="BG8" s="48"/>
      <c r="BH8" s="48"/>
      <c r="BI8" s="20"/>
      <c r="BJ8" s="20"/>
      <c r="BK8" s="48"/>
      <c r="BL8" s="48"/>
      <c r="BM8" s="48"/>
      <c r="BN8" s="48"/>
      <c r="BO8" s="20"/>
      <c r="BP8" s="20"/>
      <c r="BQ8" s="48"/>
      <c r="BR8" s="20"/>
      <c r="BS8" s="20"/>
      <c r="BT8" s="55"/>
      <c r="BU8" s="20"/>
      <c r="BV8" s="20"/>
      <c r="BW8" s="20"/>
      <c r="BX8" s="20"/>
      <c r="BY8" s="20"/>
    </row>
    <row r="9" spans="1:77" s="56" customFormat="1" ht="15.75" thickBot="1" x14ac:dyDescent="0.3">
      <c r="A9" s="80"/>
      <c r="B9" s="49"/>
      <c r="C9" s="20"/>
      <c r="D9" s="20"/>
      <c r="E9" s="20"/>
      <c r="F9" s="20"/>
      <c r="G9" s="20"/>
      <c r="H9" s="20"/>
      <c r="I9" s="20"/>
      <c r="J9" s="48"/>
      <c r="K9" s="48"/>
      <c r="L9" s="48"/>
      <c r="M9" s="20"/>
      <c r="N9" s="20"/>
      <c r="O9" s="48"/>
      <c r="P9" s="48"/>
      <c r="Q9" s="48"/>
      <c r="R9" s="48"/>
      <c r="S9" s="20"/>
      <c r="T9" s="20"/>
      <c r="U9" s="48"/>
      <c r="V9" s="48"/>
      <c r="W9" s="48"/>
      <c r="X9" s="48"/>
      <c r="Y9" s="48"/>
      <c r="Z9" s="20"/>
      <c r="AA9" s="48"/>
      <c r="AB9" s="48"/>
      <c r="AC9" s="48"/>
      <c r="AD9" s="48"/>
      <c r="AE9" s="20"/>
      <c r="AF9" s="20"/>
      <c r="AG9" s="48"/>
      <c r="AH9" s="48"/>
      <c r="AI9" s="48"/>
      <c r="AJ9" s="48"/>
      <c r="AK9" s="20"/>
      <c r="AL9" s="20"/>
      <c r="AM9" s="48"/>
      <c r="AN9" s="48"/>
      <c r="AO9" s="48"/>
      <c r="AP9" s="48"/>
      <c r="AQ9" s="20"/>
      <c r="AR9" s="20"/>
      <c r="AS9" s="48"/>
      <c r="AT9" s="48"/>
      <c r="AU9" s="48"/>
      <c r="AV9" s="48"/>
      <c r="AW9" s="20"/>
      <c r="AX9" s="20"/>
      <c r="AY9" s="48"/>
      <c r="AZ9" s="48"/>
      <c r="BA9" s="48"/>
      <c r="BB9" s="48"/>
      <c r="BC9" s="20"/>
      <c r="BD9" s="20"/>
      <c r="BE9" s="48"/>
      <c r="BF9" s="48"/>
      <c r="BG9" s="48"/>
      <c r="BH9" s="48"/>
      <c r="BI9" s="20"/>
      <c r="BJ9" s="20"/>
      <c r="BK9" s="48"/>
      <c r="BL9" s="48"/>
      <c r="BM9" s="48"/>
      <c r="BN9" s="48"/>
      <c r="BO9" s="20"/>
      <c r="BP9" s="20"/>
      <c r="BQ9" s="48"/>
      <c r="BR9" s="20"/>
      <c r="BS9" s="20"/>
      <c r="BT9" s="55"/>
      <c r="BU9" s="20"/>
      <c r="BV9" s="20"/>
      <c r="BW9" s="20"/>
      <c r="BX9" s="20"/>
      <c r="BY9" s="20"/>
    </row>
    <row r="10" spans="1:77" s="56" customFormat="1" ht="15.75" thickBot="1" x14ac:dyDescent="0.3">
      <c r="A10" s="80"/>
      <c r="B10" s="49"/>
      <c r="C10" s="20"/>
      <c r="D10" s="20"/>
      <c r="E10" s="20"/>
      <c r="F10" s="20"/>
      <c r="G10" s="20"/>
      <c r="H10" s="20"/>
      <c r="I10" s="20"/>
      <c r="J10" s="48"/>
      <c r="K10" s="48"/>
      <c r="L10" s="48"/>
      <c r="M10" s="20"/>
      <c r="N10" s="20"/>
      <c r="O10" s="48"/>
      <c r="P10" s="48"/>
      <c r="Q10" s="48"/>
      <c r="R10" s="48"/>
      <c r="S10" s="20"/>
      <c r="T10" s="20"/>
      <c r="U10" s="48"/>
      <c r="V10" s="48"/>
      <c r="W10" s="48"/>
      <c r="X10" s="48"/>
      <c r="Y10" s="48"/>
      <c r="Z10" s="20"/>
      <c r="AA10" s="48"/>
      <c r="AB10" s="48"/>
      <c r="AC10" s="48"/>
      <c r="AD10" s="48"/>
      <c r="AE10" s="20"/>
      <c r="AF10" s="20"/>
      <c r="AG10" s="48"/>
      <c r="AH10" s="48"/>
      <c r="AI10" s="48"/>
      <c r="AJ10" s="48"/>
      <c r="AK10" s="20"/>
      <c r="AL10" s="20"/>
      <c r="AM10" s="48"/>
      <c r="AN10" s="48"/>
      <c r="AO10" s="48"/>
      <c r="AP10" s="48"/>
      <c r="AQ10" s="20"/>
      <c r="AR10" s="20"/>
      <c r="AS10" s="48"/>
      <c r="AT10" s="48"/>
      <c r="AU10" s="48"/>
      <c r="AV10" s="48"/>
      <c r="AW10" s="20"/>
      <c r="AX10" s="20"/>
      <c r="AY10" s="48"/>
      <c r="AZ10" s="48"/>
      <c r="BA10" s="48"/>
      <c r="BB10" s="48"/>
      <c r="BC10" s="20"/>
      <c r="BD10" s="20"/>
      <c r="BE10" s="48"/>
      <c r="BF10" s="48"/>
      <c r="BG10" s="48"/>
      <c r="BH10" s="48"/>
      <c r="BI10" s="20"/>
      <c r="BJ10" s="20"/>
      <c r="BK10" s="48"/>
      <c r="BL10" s="48"/>
      <c r="BM10" s="48"/>
      <c r="BN10" s="48"/>
      <c r="BO10" s="20"/>
      <c r="BP10" s="20"/>
      <c r="BQ10" s="48"/>
      <c r="BR10" s="20"/>
      <c r="BS10" s="20"/>
      <c r="BT10" s="55"/>
      <c r="BU10" s="20"/>
      <c r="BV10" s="20"/>
      <c r="BW10" s="20"/>
      <c r="BX10" s="20"/>
      <c r="BY10" s="20"/>
    </row>
    <row r="11" spans="1:77" s="56" customFormat="1" ht="15.75" thickBot="1" x14ac:dyDescent="0.3">
      <c r="A11" s="80"/>
      <c r="B11" s="49"/>
      <c r="C11" s="20"/>
      <c r="D11" s="20"/>
      <c r="E11" s="20"/>
      <c r="F11" s="20"/>
      <c r="G11" s="20"/>
      <c r="H11" s="20"/>
      <c r="I11" s="20"/>
      <c r="J11" s="48"/>
      <c r="K11" s="48"/>
      <c r="L11" s="48"/>
      <c r="M11" s="20"/>
      <c r="N11" s="20"/>
      <c r="O11" s="48"/>
      <c r="P11" s="48"/>
      <c r="Q11" s="48"/>
      <c r="R11" s="48"/>
      <c r="S11" s="20"/>
      <c r="T11" s="20"/>
      <c r="U11" s="48"/>
      <c r="V11" s="48"/>
      <c r="W11" s="48"/>
      <c r="X11" s="48"/>
      <c r="Y11" s="48"/>
      <c r="Z11" s="20"/>
      <c r="AA11" s="48"/>
      <c r="AB11" s="48"/>
      <c r="AC11" s="48"/>
      <c r="AD11" s="48"/>
      <c r="AE11" s="20"/>
      <c r="AF11" s="20"/>
      <c r="AG11" s="48"/>
      <c r="AH11" s="48"/>
      <c r="AI11" s="48"/>
      <c r="AJ11" s="48"/>
      <c r="AK11" s="20"/>
      <c r="AL11" s="20"/>
      <c r="AM11" s="48"/>
      <c r="AN11" s="48"/>
      <c r="AO11" s="48"/>
      <c r="AP11" s="48"/>
      <c r="AQ11" s="20"/>
      <c r="AR11" s="20"/>
      <c r="AS11" s="48"/>
      <c r="AT11" s="48"/>
      <c r="AU11" s="48"/>
      <c r="AV11" s="48"/>
      <c r="AW11" s="20"/>
      <c r="AX11" s="20"/>
      <c r="AY11" s="48"/>
      <c r="AZ11" s="48"/>
      <c r="BA11" s="48"/>
      <c r="BB11" s="48"/>
      <c r="BC11" s="20"/>
      <c r="BD11" s="20"/>
      <c r="BE11" s="48"/>
      <c r="BF11" s="48"/>
      <c r="BG11" s="48"/>
      <c r="BH11" s="48"/>
      <c r="BI11" s="20"/>
      <c r="BJ11" s="20"/>
      <c r="BK11" s="48"/>
      <c r="BL11" s="48"/>
      <c r="BM11" s="48"/>
      <c r="BN11" s="48"/>
      <c r="BO11" s="20"/>
      <c r="BP11" s="20"/>
      <c r="BQ11" s="48"/>
      <c r="BR11" s="20"/>
      <c r="BS11" s="20"/>
      <c r="BT11" s="55"/>
      <c r="BU11" s="20"/>
      <c r="BV11" s="20"/>
      <c r="BW11" s="20"/>
      <c r="BX11" s="20"/>
      <c r="BY11" s="20"/>
    </row>
    <row r="12" spans="1:77" s="40" customFormat="1" ht="15.75" thickBot="1" x14ac:dyDescent="0.3">
      <c r="A12" s="75"/>
      <c r="B12" s="2"/>
      <c r="C12" s="1"/>
      <c r="D12" s="1"/>
      <c r="E12" s="1"/>
      <c r="F12" s="25"/>
      <c r="G12" s="1"/>
      <c r="H12" s="1"/>
      <c r="I12" s="1"/>
      <c r="J12" s="3"/>
      <c r="K12" s="3"/>
      <c r="L12" s="3"/>
      <c r="M12" s="1"/>
      <c r="N12" s="1"/>
      <c r="O12" s="3"/>
      <c r="P12" s="3"/>
      <c r="Q12" s="3"/>
      <c r="R12" s="3"/>
      <c r="S12" s="1"/>
      <c r="T12" s="1"/>
      <c r="U12" s="3"/>
      <c r="V12" s="3"/>
      <c r="W12" s="1"/>
      <c r="X12" s="1"/>
      <c r="Y12" s="1"/>
      <c r="Z12" s="1"/>
      <c r="AA12" s="1"/>
      <c r="AB12" s="3"/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3"/>
      <c r="AO12" s="1"/>
      <c r="AP12" s="1"/>
      <c r="AQ12" s="1"/>
      <c r="AR12" s="1"/>
      <c r="AS12" s="1"/>
      <c r="AT12" s="3"/>
      <c r="AU12" s="1"/>
      <c r="AV12" s="1"/>
      <c r="AW12" s="1"/>
      <c r="AX12" s="1"/>
      <c r="AY12" s="1"/>
      <c r="AZ12" s="3"/>
      <c r="BA12" s="1"/>
      <c r="BB12" s="1"/>
      <c r="BC12" s="1"/>
      <c r="BD12" s="1"/>
      <c r="BE12" s="1"/>
      <c r="BF12" s="3"/>
      <c r="BG12" s="1"/>
      <c r="BH12" s="1"/>
      <c r="BI12" s="1"/>
      <c r="BJ12" s="1"/>
      <c r="BK12" s="1"/>
      <c r="BL12" s="3"/>
      <c r="BM12" s="1"/>
      <c r="BN12" s="1"/>
      <c r="BO12" s="1"/>
      <c r="BP12" s="1"/>
      <c r="BQ12" s="1"/>
      <c r="BR12" s="19"/>
      <c r="BS12" s="1"/>
      <c r="BT12" s="37"/>
      <c r="BU12" s="1"/>
      <c r="BV12" s="1"/>
      <c r="BW12" s="1"/>
      <c r="BX12" s="1"/>
      <c r="BY12" s="39"/>
    </row>
    <row r="13" spans="1:77" s="40" customFormat="1" ht="15.75" thickBot="1" x14ac:dyDescent="0.3">
      <c r="A13" s="48"/>
      <c r="B13" s="49"/>
      <c r="C13" s="20"/>
      <c r="D13" s="20"/>
      <c r="E13" s="20"/>
      <c r="F13" s="20"/>
      <c r="G13" s="20"/>
      <c r="H13" s="20"/>
      <c r="I13" s="20"/>
      <c r="J13" s="48"/>
      <c r="K13" s="48"/>
      <c r="L13" s="48"/>
      <c r="M13" s="20"/>
      <c r="N13" s="20"/>
      <c r="O13" s="48"/>
      <c r="P13" s="48"/>
      <c r="Q13" s="20"/>
      <c r="R13" s="20"/>
      <c r="S13" s="20"/>
      <c r="T13" s="20"/>
      <c r="U13" s="20"/>
      <c r="V13" s="48"/>
      <c r="W13" s="20"/>
      <c r="X13" s="20"/>
      <c r="Y13" s="20"/>
      <c r="Z13" s="20"/>
      <c r="AA13" s="20"/>
      <c r="AB13" s="48"/>
      <c r="AC13" s="20"/>
      <c r="AD13" s="20"/>
      <c r="AE13" s="20"/>
      <c r="AF13" s="20"/>
      <c r="AG13" s="20"/>
      <c r="AH13" s="48"/>
      <c r="AI13" s="20"/>
      <c r="AJ13" s="20"/>
      <c r="AK13" s="20"/>
      <c r="AL13" s="20"/>
      <c r="AM13" s="20"/>
      <c r="AN13" s="48"/>
      <c r="AO13" s="20"/>
      <c r="AP13" s="20"/>
      <c r="AQ13" s="20"/>
      <c r="AR13" s="20"/>
      <c r="AS13" s="20"/>
      <c r="AT13" s="48"/>
      <c r="AU13" s="20"/>
      <c r="AV13" s="20"/>
      <c r="AW13" s="20"/>
      <c r="AX13" s="20"/>
      <c r="AY13" s="20"/>
      <c r="AZ13" s="48"/>
      <c r="BA13" s="20"/>
      <c r="BB13" s="20"/>
      <c r="BC13" s="20"/>
      <c r="BD13" s="20"/>
      <c r="BE13" s="20"/>
      <c r="BF13" s="48"/>
      <c r="BG13" s="20"/>
      <c r="BH13" s="20"/>
      <c r="BI13" s="20"/>
      <c r="BJ13" s="20"/>
      <c r="BK13" s="20"/>
      <c r="BL13" s="48"/>
      <c r="BM13" s="20"/>
      <c r="BN13" s="20"/>
      <c r="BO13" s="20"/>
      <c r="BP13" s="20"/>
      <c r="BQ13" s="20"/>
      <c r="BR13" s="20"/>
      <c r="BS13" s="20"/>
      <c r="BT13" s="50"/>
      <c r="BU13" s="20"/>
      <c r="BV13" s="20"/>
      <c r="BW13" s="20"/>
      <c r="BX13" s="20"/>
      <c r="BY13" s="39"/>
    </row>
    <row r="14" spans="1:77" hidden="1" x14ac:dyDescent="0.25">
      <c r="H14" s="4" t="str">
        <f t="shared" ref="H14:L23" si="1">J2</f>
        <v>AG</v>
      </c>
      <c r="I14" s="4">
        <f t="shared" si="1"/>
        <v>1500</v>
      </c>
      <c r="J14" s="4">
        <f t="shared" si="1"/>
        <v>8</v>
      </c>
      <c r="K14" s="4" t="str">
        <f t="shared" si="1"/>
        <v>Y</v>
      </c>
      <c r="L14" s="4" t="str">
        <f t="shared" si="1"/>
        <v>3L</v>
      </c>
      <c r="O14" s="28" t="str">
        <f>J2</f>
        <v>AG</v>
      </c>
      <c r="P14" s="4" t="str">
        <f t="shared" ref="P14:R23" si="2">N2</f>
        <v>3L</v>
      </c>
      <c r="Q14" s="4">
        <f t="shared" si="2"/>
        <v>3.5</v>
      </c>
      <c r="R14" s="4" t="str">
        <f t="shared" si="2"/>
        <v>AG</v>
      </c>
      <c r="S14" s="4" t="str">
        <f t="shared" ref="S14:U23" si="3">T2</f>
        <v>3L</v>
      </c>
      <c r="T14" s="4">
        <f t="shared" si="3"/>
        <v>3.5</v>
      </c>
      <c r="U14" s="4" t="str">
        <f t="shared" si="3"/>
        <v>AG</v>
      </c>
      <c r="V14" s="4" t="str">
        <f t="shared" ref="V14:X23" si="4">Z2</f>
        <v>3L</v>
      </c>
      <c r="W14" s="4">
        <f t="shared" si="4"/>
        <v>3.5</v>
      </c>
      <c r="X14" s="4" t="str">
        <f t="shared" si="4"/>
        <v>AG</v>
      </c>
      <c r="Y14" s="4" t="str">
        <f t="shared" ref="Y14:AA23" si="5">AF2</f>
        <v>3L</v>
      </c>
      <c r="Z14" s="4">
        <f t="shared" si="5"/>
        <v>3.5</v>
      </c>
      <c r="AA14" s="4">
        <f t="shared" si="5"/>
        <v>0</v>
      </c>
      <c r="AB14" s="4">
        <f t="shared" ref="AB14:AD23" si="6">AL2</f>
        <v>0</v>
      </c>
      <c r="AC14" s="4">
        <f t="shared" si="6"/>
        <v>0</v>
      </c>
      <c r="AD14" s="4">
        <f t="shared" si="6"/>
        <v>0</v>
      </c>
      <c r="AE14" s="4">
        <f t="shared" ref="AE14:AG23" si="7">AR2</f>
        <v>0</v>
      </c>
      <c r="AF14" s="4">
        <f t="shared" si="7"/>
        <v>0</v>
      </c>
      <c r="AG14" s="4">
        <f t="shared" si="7"/>
        <v>0</v>
      </c>
      <c r="AH14" s="4">
        <f t="shared" ref="AH14:AJ23" si="8">AX2</f>
        <v>0</v>
      </c>
      <c r="AI14" s="4">
        <f t="shared" si="8"/>
        <v>0</v>
      </c>
      <c r="AJ14" s="4">
        <f t="shared" si="8"/>
        <v>0</v>
      </c>
      <c r="AK14" s="4">
        <f t="shared" ref="AK14:AM23" si="9">BD2</f>
        <v>0</v>
      </c>
      <c r="AL14" s="4">
        <f t="shared" si="9"/>
        <v>0</v>
      </c>
      <c r="AM14" s="4">
        <f t="shared" si="9"/>
        <v>0</v>
      </c>
      <c r="AN14" s="4">
        <f t="shared" ref="AN14:AP23" si="10">BJ2</f>
        <v>0</v>
      </c>
      <c r="AO14" s="4">
        <f t="shared" si="10"/>
        <v>0</v>
      </c>
      <c r="AP14" s="4">
        <f t="shared" si="10"/>
        <v>0</v>
      </c>
      <c r="AQ14" s="4">
        <f t="shared" ref="AQ14:AR23" si="11">BP2</f>
        <v>0</v>
      </c>
      <c r="AR14" s="4">
        <f t="shared" si="11"/>
        <v>0</v>
      </c>
      <c r="AT14" s="28">
        <v>1</v>
      </c>
      <c r="AU14" s="29">
        <f>IF($P$14="3L",$Q$14,IF($S$14="3L",$T$14,IF($V$14="3L",$W$14,IF($Y$14="3L",$Z$14,IF($AB$14="3L",$AC$14,IF($AE$14="3L",$AF$14,IF($AH$14="3L",$AI$14,IF($AK$14="3L",$AL$14,IF($AN$14="3L",$AO$14,IF($AQ$14="3L",$AR$14,""))))))))))</f>
        <v>3.5</v>
      </c>
      <c r="AV14" s="29" t="str">
        <f>IF($P$14="4L",$Q$14,IF($S$14="4L",$T$14,IF($V$14="4L",$W$14,IF($Y$14="4L",$Z$14,IF($AB$14="4L",$AC$14,IF($AE$14="4L",$AF$14,IF($AH$14="4L",$AI$14,IF($AK$14="4L",$AL$14,IF($AN$14="4L",$AO$14,IF($AQ$14="4L",$AR$14,""))))))))))</f>
        <v/>
      </c>
      <c r="AW14" s="29" t="str">
        <f>IF($P$14="5L",$Q$14,IF($S$14="5L",$T$14,IF($V$14="5L",$W$14,IF($Y$14="5L",$Z$14,IF($AB$14="5L",$AC$14,IF($AE$14="5L",$AF$14,IF($AH$14="5L",$AI$14,IF($AK$14="5L",$AL$14,IF($AN$14="5L",$AO$14,IF($AQ$14="5L",$AR$14,""))))))))))</f>
        <v/>
      </c>
      <c r="AX14" s="29" t="str">
        <f>IF($P$14="6L",$Q$14,IF($S$14="6L",$T$14,IF($V$14="6L",$W$14,IF($Y$14="6L",$Z$14,IF($AB$14="6L",$AC$14,IF($AE$14="6L",$AF$14,IF($AH$14="6L",$AI$14,IF($AK$14="6L",$AL$14,IF($AN$14="6L",$AO$14,IF($AQ$14="6L",$AR$14,""))))))))))</f>
        <v/>
      </c>
      <c r="AY14" s="29" t="str">
        <f>IF($P$14="7L",$Q$14,IF($S$14="7L",$T$14,IF($V$14="7L",$W$14,IF($Y$14="7L",$Z$14,IF($AB$14="7L",$AC$14,IF($AE$14="7L",$AF$14,IF($AH$14="7L",$AI$14,IF($AK$14="7L",$AL$14,IF($AN$14="7L",$AO$14,IF($AQ$14="7L",$AR$14,""))))))))))</f>
        <v/>
      </c>
      <c r="AZ14" s="29" t="str">
        <f t="shared" ref="AZ14:AZ23" si="12">IF($O$14="LOFT",$Q$14,IF($R$14="LOFT",$T$14,IF($U$14="LOFT",$W$14,IF($X$14="LOFT",$Z$14,IF($AA$14="LOFT",$AC$14,IF($AD$14="LOFT",$AF$14,IF($AG$14="LOFT",$AI$14,IF($AJ$14="LOFT",$AL$14,IF($AM$14="LOFT",$AO$14,IF($AP$14="LOFT",$AR$14,""))))))))))</f>
        <v/>
      </c>
      <c r="BA14" s="29" t="str">
        <f t="shared" ref="BA14:BA23" si="13">IF($O$14="UT",$Q$14,IF($R$14="UT",$T$14,IF($U$14="UT",$W$14,IF($X$14="UT",$Z$14,IF($AA$14="UT",$AC$14,IF($AD$14="UT",$AF$14,IF($AG$14="UT",$AI$14,IF($AJ$14="UT",$AL$14,IF($AM$14="UT",$AO$14,IF($AP$14="UT",$AR$14,""))))))))))</f>
        <v/>
      </c>
      <c r="BB14" s="29" t="str">
        <f t="shared" ref="BB14:BB23" si="14">IF($O$14="HT",$Q$14,IF($R$14="HT",$T$14,IF($U$14="HT",$W$14,IF($X$14="HT",$Z$14,IF($AA$14="HT",$AC$14,IF($AD$14="HT",$AF$14,IF($AG$14="HT",$AI$14,IF($AJ$14="HT",$AL$14,IF($AM$14="HT",$AO$14,IF($AP$14="HT",$AR$14,""))))))))))</f>
        <v/>
      </c>
      <c r="BC14" s="29" t="str">
        <f t="shared" ref="BC14:BC23" si="15">IF($O$14="PURE",$Q$14,IF($R$14="PURE",$T$14,IF($U$14="PURE",$W$14,IF($X$14="PURE",$Z$14,IF($AA$14="PURE",$AC$14,IF($AD$14="PURE",$AF$14,IF($AG$14="PURE",$AI$14,IF($AJ$14="PURE",$AL$14,IF($AM$14="PURE",$AO$14,IF($AP$14="PURE",$AR$14,""))))))))))</f>
        <v/>
      </c>
      <c r="BD14" s="29" t="str">
        <f>IF($P$14="FUM",$Q$14,IF($S$14="FUM",$T$14,IF($V$14="FUM",$W$14,IF($Y$14="FUM",$Z$14,IF($AB$14="FUM",$AC$14,IF($AE$14="FUM",$AF$14,IF($AH$14="FUM",$AI$14,IF($AK$14="FUM",$AL$14,IF($AN$14="FUM",$AO$14,IF($AQ$14="FUM",$AR$14,""))))))))))</f>
        <v/>
      </c>
    </row>
    <row r="15" spans="1:77" hidden="1" x14ac:dyDescent="0.25">
      <c r="H15" s="4">
        <f t="shared" si="1"/>
        <v>0</v>
      </c>
      <c r="I15" s="4">
        <f t="shared" si="1"/>
        <v>0</v>
      </c>
      <c r="J15" s="4">
        <f t="shared" si="1"/>
        <v>0</v>
      </c>
      <c r="K15" s="4">
        <f t="shared" si="1"/>
        <v>0</v>
      </c>
      <c r="L15" s="4">
        <f t="shared" si="1"/>
        <v>0</v>
      </c>
      <c r="O15" s="28">
        <f t="shared" ref="O15:O23" si="16">J3</f>
        <v>0</v>
      </c>
      <c r="P15" s="4">
        <f t="shared" si="2"/>
        <v>0</v>
      </c>
      <c r="Q15" s="4">
        <f t="shared" si="2"/>
        <v>0</v>
      </c>
      <c r="R15" s="4">
        <f t="shared" si="2"/>
        <v>0</v>
      </c>
      <c r="S15" s="4">
        <f t="shared" si="3"/>
        <v>0</v>
      </c>
      <c r="T15" s="4">
        <f t="shared" si="3"/>
        <v>0</v>
      </c>
      <c r="U15" s="4">
        <f t="shared" si="3"/>
        <v>0</v>
      </c>
      <c r="V15" s="4">
        <f t="shared" si="4"/>
        <v>0</v>
      </c>
      <c r="W15" s="4">
        <f t="shared" si="4"/>
        <v>0</v>
      </c>
      <c r="X15" s="4">
        <f t="shared" si="4"/>
        <v>0</v>
      </c>
      <c r="Y15" s="4">
        <f t="shared" si="5"/>
        <v>0</v>
      </c>
      <c r="Z15" s="4">
        <f t="shared" si="5"/>
        <v>0</v>
      </c>
      <c r="AA15" s="4">
        <f t="shared" si="5"/>
        <v>0</v>
      </c>
      <c r="AB15" s="4">
        <f t="shared" si="6"/>
        <v>0</v>
      </c>
      <c r="AC15" s="4">
        <f t="shared" si="6"/>
        <v>0</v>
      </c>
      <c r="AD15" s="4">
        <f t="shared" si="6"/>
        <v>0</v>
      </c>
      <c r="AE15" s="4">
        <f t="shared" si="7"/>
        <v>0</v>
      </c>
      <c r="AF15" s="4">
        <f t="shared" si="7"/>
        <v>0</v>
      </c>
      <c r="AG15" s="4">
        <f t="shared" si="7"/>
        <v>0</v>
      </c>
      <c r="AH15" s="4">
        <f t="shared" si="8"/>
        <v>0</v>
      </c>
      <c r="AI15" s="4">
        <f t="shared" si="8"/>
        <v>0</v>
      </c>
      <c r="AJ15" s="4">
        <f t="shared" si="8"/>
        <v>0</v>
      </c>
      <c r="AK15" s="4">
        <f t="shared" si="9"/>
        <v>0</v>
      </c>
      <c r="AL15" s="4">
        <f t="shared" si="9"/>
        <v>0</v>
      </c>
      <c r="AM15" s="4">
        <f t="shared" si="9"/>
        <v>0</v>
      </c>
      <c r="AN15" s="4">
        <f t="shared" si="10"/>
        <v>0</v>
      </c>
      <c r="AO15" s="4">
        <f t="shared" si="10"/>
        <v>0</v>
      </c>
      <c r="AP15" s="4">
        <f t="shared" si="10"/>
        <v>0</v>
      </c>
      <c r="AQ15" s="4">
        <f t="shared" si="11"/>
        <v>0</v>
      </c>
      <c r="AR15" s="4">
        <f t="shared" si="11"/>
        <v>0</v>
      </c>
      <c r="AT15" s="28">
        <v>2</v>
      </c>
      <c r="AU15" s="29" t="str">
        <f>IF($P$15="3L",$Q$15,IF($S$15="3L",$T$15,IF($V$15="3L",$W$15,IF($Y$15="3L",$Z$15,IF($AB$15="3L",$AC$15,IF($AE$15="3L",$AF$15,IF($AH$15="3L",$AI$15,IF($AK$15="3L",$AL$15,IF($AN$15="3L",$AO$15,IF($AQ$15="3L",$AR$15,""))))))))))</f>
        <v/>
      </c>
      <c r="AV15" s="29" t="str">
        <f>IF($P$15="4L",$Q$15,IF($S$15="4L",$T$15,IF($V$15="4L",$W$15,IF($Y$15="4L",$Z$15,IF($AB$15="4L",$AC$15,IF($AE$15="4L",$AF$15,IF($AH$15="4L",$AI$15,IF($AK$15="4L",$AL$15,IF($AN$15="4L",$AO$15,IF($AQ$15="4L",$AR$15,""))))))))))</f>
        <v/>
      </c>
      <c r="AW15" s="29" t="str">
        <f>IF($P$15="5L",$Q$15,IF($S$15="5L",$T$15,IF($V$15="5L",$W$15,IF($Y$15="5L",$Z$15,IF($AB$15="5L",$AC$15,IF($AE$15="5L",$AF$15,IF($AH$15="5L",$AI$15,IF($AK$15="5L",$AL$15,IF($AN$15="5L",$AO$15,IF($AQ$15="5L",$AR$15,""))))))))))</f>
        <v/>
      </c>
      <c r="AX15" s="29" t="str">
        <f>IF($P$15="6L",$Q$15,IF($S$15="6L",$T$15,IF($V$15="6L",$W$15,IF($Y$15="6L",$Z$15,IF($AB$15="6L",$AC$15,IF($AE$15="6L",$AF$15,IF($AH$15="6L",$AI$15,IF($AK$15="6L",$AL$15,IF($AN$15="6L",$AO$15,IF($AQ$15="6L",$AR$15,""))))))))))</f>
        <v/>
      </c>
      <c r="AY15" s="29" t="str">
        <f>IF($P$15="7L",$Q$15,IF($S$15="7L",$T$15,IF($V$15="7L",$W$15,IF($Y$15="7L",$Z$15,IF($AB$15="7L",$AC$15,IF($AE$15="7L",$AF$15,IF($AH$15="7L",$AI$15,IF($AK$15="7L",$AL$15,IF($AN$15="7L",$AO$15,IF($AQ$15="7L",$AR$15,""))))))))))</f>
        <v/>
      </c>
      <c r="AZ15" s="29" t="str">
        <f t="shared" si="12"/>
        <v/>
      </c>
      <c r="BA15" s="29" t="str">
        <f t="shared" si="13"/>
        <v/>
      </c>
      <c r="BB15" s="29" t="str">
        <f t="shared" si="14"/>
        <v/>
      </c>
      <c r="BC15" s="29" t="str">
        <f t="shared" si="15"/>
        <v/>
      </c>
      <c r="BD15" s="29" t="str">
        <f>IF($P$15="FUM",$Q$15,IF($S$15="FUM",$T$15,IF($V$15="FUM",$W$15,IF($Y$15="FUM",$Z$15,IF($AB$15="FUM",$AC$15,IF($AE$15="FUM",$AF$15,IF($AH$15="FUM",$AI$15,IF($AK$15="FUM",$AL$15,IF($AN$15="FUM",$AO$15,IF($AQ$15="FUM",$AR$15,""))))))))))</f>
        <v/>
      </c>
    </row>
    <row r="16" spans="1:77" hidden="1" x14ac:dyDescent="0.25">
      <c r="H16" s="4">
        <f t="shared" si="1"/>
        <v>0</v>
      </c>
      <c r="I16" s="4">
        <f t="shared" si="1"/>
        <v>0</v>
      </c>
      <c r="J16" s="4">
        <f t="shared" si="1"/>
        <v>0</v>
      </c>
      <c r="K16" s="4">
        <f t="shared" si="1"/>
        <v>0</v>
      </c>
      <c r="L16" s="4">
        <f t="shared" si="1"/>
        <v>0</v>
      </c>
      <c r="O16" s="28">
        <f t="shared" si="16"/>
        <v>0</v>
      </c>
      <c r="P16" s="4">
        <f t="shared" si="2"/>
        <v>0</v>
      </c>
      <c r="Q16" s="4">
        <f t="shared" si="2"/>
        <v>0</v>
      </c>
      <c r="R16" s="4">
        <f t="shared" si="2"/>
        <v>0</v>
      </c>
      <c r="S16" s="4">
        <f t="shared" si="3"/>
        <v>0</v>
      </c>
      <c r="T16" s="4">
        <f t="shared" si="3"/>
        <v>0</v>
      </c>
      <c r="U16" s="4">
        <f t="shared" si="3"/>
        <v>0</v>
      </c>
      <c r="V16" s="4">
        <f t="shared" si="4"/>
        <v>0</v>
      </c>
      <c r="W16" s="4">
        <f t="shared" si="4"/>
        <v>0</v>
      </c>
      <c r="X16" s="4">
        <f t="shared" si="4"/>
        <v>0</v>
      </c>
      <c r="Y16" s="4">
        <f t="shared" si="5"/>
        <v>0</v>
      </c>
      <c r="Z16" s="4">
        <f t="shared" si="5"/>
        <v>0</v>
      </c>
      <c r="AA16" s="4">
        <f t="shared" si="5"/>
        <v>0</v>
      </c>
      <c r="AB16" s="4">
        <f t="shared" si="6"/>
        <v>0</v>
      </c>
      <c r="AC16" s="4">
        <f t="shared" si="6"/>
        <v>0</v>
      </c>
      <c r="AD16" s="4">
        <f t="shared" si="6"/>
        <v>0</v>
      </c>
      <c r="AE16" s="4">
        <f t="shared" si="7"/>
        <v>0</v>
      </c>
      <c r="AF16" s="4">
        <f t="shared" si="7"/>
        <v>0</v>
      </c>
      <c r="AG16" s="4">
        <f t="shared" si="7"/>
        <v>0</v>
      </c>
      <c r="AH16" s="4">
        <f t="shared" si="8"/>
        <v>0</v>
      </c>
      <c r="AI16" s="4">
        <f t="shared" si="8"/>
        <v>0</v>
      </c>
      <c r="AJ16" s="4">
        <f t="shared" si="8"/>
        <v>0</v>
      </c>
      <c r="AK16" s="4">
        <f t="shared" si="9"/>
        <v>0</v>
      </c>
      <c r="AL16" s="4">
        <f t="shared" si="9"/>
        <v>0</v>
      </c>
      <c r="AM16" s="4">
        <f t="shared" si="9"/>
        <v>0</v>
      </c>
      <c r="AN16" s="4">
        <f t="shared" si="10"/>
        <v>0</v>
      </c>
      <c r="AO16" s="4">
        <f t="shared" si="10"/>
        <v>0</v>
      </c>
      <c r="AP16" s="4">
        <f t="shared" si="10"/>
        <v>0</v>
      </c>
      <c r="AQ16" s="4">
        <f t="shared" si="11"/>
        <v>0</v>
      </c>
      <c r="AR16" s="4">
        <f t="shared" si="11"/>
        <v>0</v>
      </c>
      <c r="AT16" s="28">
        <v>3</v>
      </c>
      <c r="AU16" s="29" t="str">
        <f>IF($P$16="3L",$Q$16,IF($S$16="3L",$T$16,IF($V$16="3L",$W$16,IF($Y$16="3L",$Z$16,IF($AB$16="3L",$AC$16,IF($AE$16="3L",$AF$16,IF($AH$16="3L",$AI$16,IF($AK$16="3L",$AL$16,IF($AN$16="3L",$AO$16,IF($AQ$16="3L",$AR$16,""))))))))))</f>
        <v/>
      </c>
      <c r="AV16" s="29" t="str">
        <f>IF($P$16="4L",$Q$16,IF($S$16="4L",$T$16,IF($V$16="4L",$W$16,IF($Y$16="4L",$Z$16,IF($AB$16="4L",$AC$16,IF($AE$16="4L",$AF$16,IF($AH$16="4L",$AI$16,IF($AK$16="4L",$AL$16,IF($AN$16="4L",$AO$16,IF($AQ$16="4L",$AR$16,""))))))))))</f>
        <v/>
      </c>
      <c r="AW16" s="29" t="str">
        <f>IF($P$16="5L",$Q$16,IF($S$16="5L",$T$16,IF($V$16="5L",$W$16,IF($Y$16="5L",$Z$16,IF($AB$16="5L",$AC$16,IF($AE$16="5L",$AF$16,IF($AH$16="5L",$AI$16,IF($AK$16="5L",$AL$16,IF($AN$16="5L",$AO$16,IF($AQ$16="5L",$AR$16,""))))))))))</f>
        <v/>
      </c>
      <c r="AX16" s="29" t="str">
        <f>IF($P$16="6L",$Q$16,IF($S$16="6L",$T$16,IF($V$16="6L",$W$16,IF($Y$16="6L",$Z$16,IF($AB$16="6L",$AC$16,IF($AE$16="6L",$AF$16,IF($AH$16="6L",$AI$16,IF($AK$16="6L",$AL$16,IF($AN$16="6L",$AO$16,IF($AQ$16="6L",$AR$16,""))))))))))</f>
        <v/>
      </c>
      <c r="AY16" s="29" t="str">
        <f>IF($P$16="7L",$Q$16,IF($S$16="7L",$T$16,IF($V$16="7L",$W$16,IF($Y$16="7L",$Z$16,IF($AB$16="7L",$AC$16,IF($AE$16="7L",$AF$16,IF($AH$16="7L",$AI$16,IF($AK$16="7L",$AL$16,IF($AN$16="7L",$AO$16,IF($AQ$16="7L",$AR$16,""))))))))))</f>
        <v/>
      </c>
      <c r="AZ16" s="29" t="str">
        <f t="shared" si="12"/>
        <v/>
      </c>
      <c r="BA16" s="29" t="str">
        <f t="shared" si="13"/>
        <v/>
      </c>
      <c r="BB16" s="29" t="str">
        <f t="shared" si="14"/>
        <v/>
      </c>
      <c r="BC16" s="29" t="str">
        <f t="shared" si="15"/>
        <v/>
      </c>
      <c r="BD16" s="29" t="str">
        <f>IF($P$16="FUM",$Q$16,IF($S$16="FUM",$T$16,IF($V$16="FUM",$W$16,IF($Y$16="FUM",$Z$16,IF($AB$16="FUM",$AC$16,IF($AE$16="FUM",$AF$16,IF($AH$16="FUM",$AI$16,IF($AK$16="FUM",$AL$16,IF($AN$16="FUM",$AO$16,IF($AQ$16="FUM",$AR$16,""))))))))))</f>
        <v/>
      </c>
    </row>
    <row r="17" spans="8:56" hidden="1" x14ac:dyDescent="0.25">
      <c r="H17" s="4">
        <f t="shared" si="1"/>
        <v>0</v>
      </c>
      <c r="I17" s="4">
        <f t="shared" si="1"/>
        <v>0</v>
      </c>
      <c r="J17" s="4">
        <f t="shared" si="1"/>
        <v>0</v>
      </c>
      <c r="K17" s="4">
        <f t="shared" si="1"/>
        <v>0</v>
      </c>
      <c r="L17" s="4">
        <f t="shared" si="1"/>
        <v>0</v>
      </c>
      <c r="O17" s="28">
        <f t="shared" si="16"/>
        <v>0</v>
      </c>
      <c r="P17" s="4">
        <f t="shared" si="2"/>
        <v>0</v>
      </c>
      <c r="Q17" s="4">
        <f t="shared" si="2"/>
        <v>0</v>
      </c>
      <c r="R17" s="4">
        <f t="shared" si="2"/>
        <v>0</v>
      </c>
      <c r="S17" s="4">
        <f t="shared" si="3"/>
        <v>0</v>
      </c>
      <c r="T17" s="4">
        <f t="shared" si="3"/>
        <v>0</v>
      </c>
      <c r="U17" s="4">
        <f t="shared" si="3"/>
        <v>0</v>
      </c>
      <c r="V17" s="4">
        <f t="shared" si="4"/>
        <v>0</v>
      </c>
      <c r="W17" s="4">
        <f t="shared" si="4"/>
        <v>0</v>
      </c>
      <c r="X17" s="4">
        <f t="shared" si="4"/>
        <v>0</v>
      </c>
      <c r="Y17" s="4">
        <f t="shared" si="5"/>
        <v>0</v>
      </c>
      <c r="Z17" s="4">
        <f t="shared" si="5"/>
        <v>0</v>
      </c>
      <c r="AA17" s="4">
        <f t="shared" si="5"/>
        <v>0</v>
      </c>
      <c r="AB17" s="4">
        <f t="shared" si="6"/>
        <v>0</v>
      </c>
      <c r="AC17" s="4">
        <f t="shared" si="6"/>
        <v>0</v>
      </c>
      <c r="AD17" s="4">
        <f t="shared" si="6"/>
        <v>0</v>
      </c>
      <c r="AE17" s="4">
        <f t="shared" si="7"/>
        <v>0</v>
      </c>
      <c r="AF17" s="4">
        <f t="shared" si="7"/>
        <v>0</v>
      </c>
      <c r="AG17" s="4">
        <f t="shared" si="7"/>
        <v>0</v>
      </c>
      <c r="AH17" s="4">
        <f t="shared" si="8"/>
        <v>0</v>
      </c>
      <c r="AI17" s="4">
        <f t="shared" si="8"/>
        <v>0</v>
      </c>
      <c r="AJ17" s="4">
        <f t="shared" si="8"/>
        <v>0</v>
      </c>
      <c r="AK17" s="4">
        <f t="shared" si="9"/>
        <v>0</v>
      </c>
      <c r="AL17" s="4">
        <f t="shared" si="9"/>
        <v>0</v>
      </c>
      <c r="AM17" s="4">
        <f t="shared" si="9"/>
        <v>0</v>
      </c>
      <c r="AN17" s="4">
        <f t="shared" si="10"/>
        <v>0</v>
      </c>
      <c r="AO17" s="4">
        <f t="shared" si="10"/>
        <v>0</v>
      </c>
      <c r="AP17" s="4">
        <f t="shared" si="10"/>
        <v>0</v>
      </c>
      <c r="AQ17" s="4">
        <f t="shared" si="11"/>
        <v>0</v>
      </c>
      <c r="AR17" s="4">
        <f t="shared" si="11"/>
        <v>0</v>
      </c>
      <c r="AT17" s="28">
        <v>4</v>
      </c>
      <c r="AU17" s="29" t="str">
        <f>IF($P$17="3L",$Q$17,IF($S$17="3L",$T$17,IF($V$17="3L",$W$17,IF($Y$17="3L",$Z$17,IF($AB$17="3L",$AC$17,IF($AE$17="3L",$AF$17,IF($AH$17="3L",$AI$17,IF($AK$17="3L",$AL$17,IF($AN$17="3L",$AO$17,IF($AQ$17="3L",$AR$17,""))))))))))</f>
        <v/>
      </c>
      <c r="AV17" s="29" t="str">
        <f>IF($P$17="4L",$Q$17,IF($S$17="4L",$T$17,IF($V$17="4L",$W$17,IF($Y$17="4L",$Z$17,IF($AB$17="4L",$AC$17,IF($AE$17="4L",$AF$17,IF($AH$17="4L",$AI$17,IF($AK$17="4L",$AL$17,IF($AN$17="4L",$AO$17,IF($AQ$17="4L",$AR$17,""))))))))))</f>
        <v/>
      </c>
      <c r="AW17" s="29" t="str">
        <f>IF($P$17="5L",$Q$17,IF($S$17="5L",$T$17,IF($V$17="5L",$W$17,IF($Y$17="5L",$Z$17,IF($AB$17="5L",$AC$17,IF($AE$17="5L",$AF$17,IF($AH$17="5L",$AI$17,IF($AK$17="5L",$AL$17,IF($AN$17="5L",$AO$17,IF($AQ$17="5L",$AR$17,""))))))))))</f>
        <v/>
      </c>
      <c r="AX17" s="29" t="str">
        <f>IF($P$17="6L",$Q$17,IF($S$17="6L",$T$17,IF($V$17="6L",$W$17,IF($Y$17="6L",$Z$17,IF($AB$17="6L",$AC$17,IF($AE$17="6L",$AF$17,IF($AH$17="6L",$AI$17,IF($AK$17="6L",$AL$17,IF($AN$17="6L",$AO$17,IF($AQ$17="6L",$AR$17,""))))))))))</f>
        <v/>
      </c>
      <c r="AY17" s="29" t="str">
        <f>IF($P$17="7L",$Q$17,IF($S$17="7L",$T$17,IF($V$17="7L",$W$17,IF($Y$17="7L",$Z$17,IF($AB$17="7L",$AC$17,IF($AE$17="7L",$AF$17,IF($AH$17="7L",$AI$17,IF($AK$17="7L",$AL$17,IF($AN$17="7L",$AO$17,IF($AQ$17="7L",$AR$17,""))))))))))</f>
        <v/>
      </c>
      <c r="AZ17" s="29" t="str">
        <f t="shared" si="12"/>
        <v/>
      </c>
      <c r="BA17" s="29" t="str">
        <f t="shared" si="13"/>
        <v/>
      </c>
      <c r="BB17" s="29" t="str">
        <f t="shared" si="14"/>
        <v/>
      </c>
      <c r="BC17" s="29" t="str">
        <f t="shared" si="15"/>
        <v/>
      </c>
      <c r="BD17" s="29" t="str">
        <f>IF($P$17="FUM",$Q$17,IF($S$17="FUM",$T$17,IF($V$17="FUM",$W$17,IF($Y$17="FUM",$Z$17,IF($AB$17="FUM",$AC$17,IF($AE$17="FUM",$AF$17,IF($AH$17="FUM",$AI$17,IF($AK$17="FUM",$AL$17,IF($AN$17="FUM",$AO$17,IF($AQ$17="FUM",$AR$17,""))))))))))</f>
        <v/>
      </c>
    </row>
    <row r="18" spans="8:56" hidden="1" x14ac:dyDescent="0.25">
      <c r="H18" s="4">
        <f t="shared" si="1"/>
        <v>0</v>
      </c>
      <c r="I18" s="4">
        <f t="shared" si="1"/>
        <v>0</v>
      </c>
      <c r="J18" s="4">
        <f t="shared" si="1"/>
        <v>0</v>
      </c>
      <c r="K18" s="4">
        <f t="shared" si="1"/>
        <v>0</v>
      </c>
      <c r="L18" s="4">
        <f t="shared" si="1"/>
        <v>0</v>
      </c>
      <c r="O18" s="28">
        <f t="shared" si="16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3"/>
        <v>0</v>
      </c>
      <c r="T18" s="4">
        <f t="shared" si="3"/>
        <v>0</v>
      </c>
      <c r="U18" s="4">
        <f t="shared" si="3"/>
        <v>0</v>
      </c>
      <c r="V18" s="4">
        <f t="shared" si="4"/>
        <v>0</v>
      </c>
      <c r="W18" s="4">
        <f t="shared" si="4"/>
        <v>0</v>
      </c>
      <c r="X18" s="4">
        <f t="shared" si="4"/>
        <v>0</v>
      </c>
      <c r="Y18" s="4">
        <f t="shared" si="5"/>
        <v>0</v>
      </c>
      <c r="Z18" s="4">
        <f t="shared" si="5"/>
        <v>0</v>
      </c>
      <c r="AA18" s="4">
        <f t="shared" si="5"/>
        <v>0</v>
      </c>
      <c r="AB18" s="4">
        <f t="shared" si="6"/>
        <v>0</v>
      </c>
      <c r="AC18" s="4">
        <f t="shared" si="6"/>
        <v>0</v>
      </c>
      <c r="AD18" s="4">
        <f t="shared" si="6"/>
        <v>0</v>
      </c>
      <c r="AE18" s="4">
        <f t="shared" si="7"/>
        <v>0</v>
      </c>
      <c r="AF18" s="4">
        <f t="shared" si="7"/>
        <v>0</v>
      </c>
      <c r="AG18" s="4">
        <f t="shared" si="7"/>
        <v>0</v>
      </c>
      <c r="AH18" s="4">
        <f t="shared" si="8"/>
        <v>0</v>
      </c>
      <c r="AI18" s="4">
        <f t="shared" si="8"/>
        <v>0</v>
      </c>
      <c r="AJ18" s="4">
        <f t="shared" si="8"/>
        <v>0</v>
      </c>
      <c r="AK18" s="4">
        <f t="shared" si="9"/>
        <v>0</v>
      </c>
      <c r="AL18" s="4">
        <f t="shared" si="9"/>
        <v>0</v>
      </c>
      <c r="AM18" s="4">
        <f t="shared" si="9"/>
        <v>0</v>
      </c>
      <c r="AN18" s="4">
        <f t="shared" si="10"/>
        <v>0</v>
      </c>
      <c r="AO18" s="4">
        <f t="shared" si="10"/>
        <v>0</v>
      </c>
      <c r="AP18" s="4">
        <f t="shared" si="10"/>
        <v>0</v>
      </c>
      <c r="AQ18" s="4">
        <f t="shared" si="11"/>
        <v>0</v>
      </c>
      <c r="AR18" s="4">
        <f t="shared" si="11"/>
        <v>0</v>
      </c>
      <c r="AT18" s="28">
        <v>5</v>
      </c>
      <c r="AU18" s="29" t="str">
        <f>IF($P$18="3L",$Q$18,IF($S$18="3L",$T$18,IF($V$18="3L",$W$18,IF($Y$18="3L",$Z$18,IF($AB$18="3L",$AC$18,IF($AE$18="3L",$AF$18,IF($AH$18="3L",$AI$18,IF($AK$18="3L",$AL$18,IF($AN$18="3L",$AO$18,IF($AQ$18="3L",$AR$18,""))))))))))</f>
        <v/>
      </c>
      <c r="AV18" s="29" t="str">
        <f>IF($P$18="4L",$Q$18,IF($S$18="4L",$T$18,IF($V$18="4L",$W$18,IF($Y$18="4L",$Z$18,IF($AB$18="4L",$AC$18,IF($AE$18="4L",$AF$18,IF($AH$18="4L",$AI$18,IF($AK$18="4L",$AL$18,IF($AN$18="4L",$AO$18,IF($AQ$18="4L",$AR$18,""))))))))))</f>
        <v/>
      </c>
      <c r="AW18" s="29" t="str">
        <f>IF($P$18="5L",$Q$18,IF($S$18="5L",$T$18,IF($V$18="5L",$W$18,IF($Y$18="5L",$Z$18,IF($AB$18="5L",$AC$18,IF($AE$18="5L",$AF$18,IF($AH$18="5L",$AI$18,IF($AK$18="5L",$AL$18,IF($AN$18="5L",$AO$18,IF($AQ$18="5L",$AR$18,""))))))))))</f>
        <v/>
      </c>
      <c r="AX18" s="29" t="str">
        <f>IF($P$18="6L",$Q$18,IF($S$18="6L",$T$18,IF($V$18="6L",$W$18,IF($Y$18="6L",$Z$18,IF($AB$18="6L",$AC$18,IF($AE$18="6L",$AF$18,IF($AH$18="6L",$AI$18,IF($AK$18="6L",$AL$18,IF($AN$18="6L",$AO$18,IF($AQ$18="6L",$AR$18,""))))))))))</f>
        <v/>
      </c>
      <c r="AY18" s="29" t="str">
        <f>IF($P$18="7L",$Q$18,IF($S$18="7L",$T$18,IF($V$18="7L",$W$18,IF($Y$18="7L",$Z$18,IF($AB$18="7L",$AC$18,IF($AE$18="7L",$AF$18,IF($AH$18="7L",$AI$18,IF($AK$18="7L",$AL$18,IF($AN$18="7L",$AO$18,IF($AQ$18="7L",$AR$18,""))))))))))</f>
        <v/>
      </c>
      <c r="AZ18" s="29" t="str">
        <f t="shared" si="12"/>
        <v/>
      </c>
      <c r="BA18" s="29" t="str">
        <f t="shared" si="13"/>
        <v/>
      </c>
      <c r="BB18" s="29" t="str">
        <f t="shared" si="14"/>
        <v/>
      </c>
      <c r="BC18" s="29" t="str">
        <f t="shared" si="15"/>
        <v/>
      </c>
      <c r="BD18" s="29" t="str">
        <f>IF($P$18="FUM",$Q$18,IF($S$18="FUM",$T$18,IF($V$18="FUM",$W$18,IF($Y$18="FUM",$Z$18,IF($AB$18="FUM",$AC$18,IF($AE$18="FUM",$AF$18,IF($AH$18="FUM",$AI$18,IF($AK$18="FUM",$AL$18,IF($AN$18="FUM",$AO$18,IF($AQ$18="FUM",$AR$18,""))))))))))</f>
        <v/>
      </c>
    </row>
    <row r="19" spans="8:56" hidden="1" x14ac:dyDescent="0.25"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0</v>
      </c>
      <c r="L19" s="4">
        <f t="shared" si="1"/>
        <v>0</v>
      </c>
      <c r="O19" s="28">
        <f t="shared" si="16"/>
        <v>0</v>
      </c>
      <c r="P19" s="4">
        <f t="shared" si="2"/>
        <v>0</v>
      </c>
      <c r="Q19" s="4">
        <f t="shared" si="2"/>
        <v>0</v>
      </c>
      <c r="R19" s="4">
        <f t="shared" si="2"/>
        <v>0</v>
      </c>
      <c r="S19" s="4">
        <f t="shared" si="3"/>
        <v>0</v>
      </c>
      <c r="T19" s="4">
        <f t="shared" si="3"/>
        <v>0</v>
      </c>
      <c r="U19" s="4">
        <f t="shared" si="3"/>
        <v>0</v>
      </c>
      <c r="V19" s="4">
        <f t="shared" si="4"/>
        <v>0</v>
      </c>
      <c r="W19" s="4">
        <f t="shared" si="4"/>
        <v>0</v>
      </c>
      <c r="X19" s="4">
        <f t="shared" si="4"/>
        <v>0</v>
      </c>
      <c r="Y19" s="4">
        <f t="shared" si="5"/>
        <v>0</v>
      </c>
      <c r="Z19" s="4">
        <f t="shared" si="5"/>
        <v>0</v>
      </c>
      <c r="AA19" s="4">
        <f t="shared" si="5"/>
        <v>0</v>
      </c>
      <c r="AB19" s="4">
        <f t="shared" si="6"/>
        <v>0</v>
      </c>
      <c r="AC19" s="4">
        <f t="shared" si="6"/>
        <v>0</v>
      </c>
      <c r="AD19" s="4">
        <f t="shared" si="6"/>
        <v>0</v>
      </c>
      <c r="AE19" s="4">
        <f t="shared" si="7"/>
        <v>0</v>
      </c>
      <c r="AF19" s="4">
        <f t="shared" si="7"/>
        <v>0</v>
      </c>
      <c r="AG19" s="4">
        <f t="shared" si="7"/>
        <v>0</v>
      </c>
      <c r="AH19" s="4">
        <f t="shared" si="8"/>
        <v>0</v>
      </c>
      <c r="AI19" s="4">
        <f t="shared" si="8"/>
        <v>0</v>
      </c>
      <c r="AJ19" s="4">
        <f t="shared" si="8"/>
        <v>0</v>
      </c>
      <c r="AK19" s="4">
        <f t="shared" si="9"/>
        <v>0</v>
      </c>
      <c r="AL19" s="4">
        <f t="shared" si="9"/>
        <v>0</v>
      </c>
      <c r="AM19" s="4">
        <f t="shared" si="9"/>
        <v>0</v>
      </c>
      <c r="AN19" s="4">
        <f t="shared" si="10"/>
        <v>0</v>
      </c>
      <c r="AO19" s="4">
        <f t="shared" si="10"/>
        <v>0</v>
      </c>
      <c r="AP19" s="4">
        <f t="shared" si="10"/>
        <v>0</v>
      </c>
      <c r="AQ19" s="4">
        <f t="shared" si="11"/>
        <v>0</v>
      </c>
      <c r="AR19" s="4">
        <f t="shared" si="11"/>
        <v>0</v>
      </c>
      <c r="AT19" s="28">
        <v>6</v>
      </c>
      <c r="AU19" s="29" t="str">
        <f>IF($P$19="3L",$Q$19,IF($S$19="3L",$T$19,IF($V$19="3L",$W$19,IF($Y$19="3L",$Z$19,IF($AB$19="3L",$AC$19,IF($AE$19="3L",$AF$19,IF($AH$19="3L",$AI$19,IF($AK$19="3L",$AL$19,IF($AN$19="3L",$AO$19,IF($AQ$19="3L",$AR$19,""))))))))))</f>
        <v/>
      </c>
      <c r="AV19" s="29" t="str">
        <f>IF($P$19="4L",$Q$19,IF($S$19="4L",$T$19,IF($V$19="4L",$W$19,IF($Y$19="4L",$Z$19,IF($AB$19="4L",$AC$19,IF($AE$19="4L",$AF$19,IF($AH$19="4L",$AI$19,IF($AK$19="4L",$AL$19,IF($AN$19="4L",$AO$19,IF($AQ$19="4L",$AR$19,""))))))))))</f>
        <v/>
      </c>
      <c r="AW19" s="29" t="str">
        <f>IF($P$19="5L",$Q$19,IF($S$19="5L",$T$19,IF($V$19="5L",$W$19,IF($Y$19="5L",$Z$19,IF($AB$19="5L",$AC$19,IF($AE$19="5L",$AF$19,IF($AH$19="5L",$AI$19,IF($AK$19="5L",$AL$19,IF($AN$19="5L",$AO$19,IF($AQ$19="5L",$AR$19,""))))))))))</f>
        <v/>
      </c>
      <c r="AX19" s="29" t="str">
        <f>IF($P$19="6L",$Q$19,IF($S$19="6L",$T$19,IF($V$19="6L",$W$19,IF($Y$19="6L",$Z$19,IF($AB$19="6L",$AC$19,IF($AE$19="6L",$AF$19,IF($AH$19="6L",$AI$19,IF($AK$19="6L",$AL$19,IF($AN$19="6L",$AO$19,IF($AQ$19="6L",$AR$19,""))))))))))</f>
        <v/>
      </c>
      <c r="AY19" s="29" t="str">
        <f>IF($P$19="7L",$Q$19,IF($S$19="7L",$T$19,IF($V$19="7L",$W$19,IF($Y$19="7L",$Z$19,IF($AB$19="7L",$AC$19,IF($AE$19="7L",$AF$19,IF($AH$19="7L",$AI$19,IF($AK$19="7L",$AL$19,IF($AN$19="7L",$AO$19,IF($AQ$19="7L",$AR$19,""))))))))))</f>
        <v/>
      </c>
      <c r="AZ19" s="29" t="str">
        <f t="shared" si="12"/>
        <v/>
      </c>
      <c r="BA19" s="29" t="str">
        <f t="shared" si="13"/>
        <v/>
      </c>
      <c r="BB19" s="29" t="str">
        <f t="shared" si="14"/>
        <v/>
      </c>
      <c r="BC19" s="29" t="str">
        <f t="shared" si="15"/>
        <v/>
      </c>
      <c r="BD19" s="29" t="str">
        <f>IF($P$19="FUM",$Q$19,IF($S$19="FUM",$T$19,IF($V$19="FUM",$W$19,IF($Y$19="FUM",$Z$19,IF($AB$19="FUM",$AC$19,IF($AE$19="FUM",$AF$19,IF($AH$19="FUM",$AI$19,IF($AK$19="FUM",$AL$19,IF($AN$19="FUM",$AO$19,IF($AQ$19="FUM",$AR$19,""))))))))))</f>
        <v/>
      </c>
    </row>
    <row r="20" spans="8:56" hidden="1" x14ac:dyDescent="0.25"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0</v>
      </c>
      <c r="O20" s="28">
        <f t="shared" si="16"/>
        <v>0</v>
      </c>
      <c r="P20" s="4">
        <f t="shared" si="2"/>
        <v>0</v>
      </c>
      <c r="Q20" s="4">
        <f t="shared" si="2"/>
        <v>0</v>
      </c>
      <c r="R20" s="4">
        <f t="shared" si="2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4"/>
        <v>0</v>
      </c>
      <c r="W20" s="4">
        <f t="shared" si="4"/>
        <v>0</v>
      </c>
      <c r="X20" s="4">
        <f t="shared" si="4"/>
        <v>0</v>
      </c>
      <c r="Y20" s="4">
        <f t="shared" si="5"/>
        <v>0</v>
      </c>
      <c r="Z20" s="4">
        <f t="shared" si="5"/>
        <v>0</v>
      </c>
      <c r="AA20" s="4">
        <f t="shared" si="5"/>
        <v>0</v>
      </c>
      <c r="AB20" s="4">
        <f t="shared" si="6"/>
        <v>0</v>
      </c>
      <c r="AC20" s="4">
        <f t="shared" si="6"/>
        <v>0</v>
      </c>
      <c r="AD20" s="4">
        <f t="shared" si="6"/>
        <v>0</v>
      </c>
      <c r="AE20" s="4">
        <f t="shared" si="7"/>
        <v>0</v>
      </c>
      <c r="AF20" s="4">
        <f t="shared" si="7"/>
        <v>0</v>
      </c>
      <c r="AG20" s="4">
        <f t="shared" si="7"/>
        <v>0</v>
      </c>
      <c r="AH20" s="4">
        <f t="shared" si="8"/>
        <v>0</v>
      </c>
      <c r="AI20" s="4">
        <f t="shared" si="8"/>
        <v>0</v>
      </c>
      <c r="AJ20" s="4">
        <f t="shared" si="8"/>
        <v>0</v>
      </c>
      <c r="AK20" s="4">
        <f t="shared" si="9"/>
        <v>0</v>
      </c>
      <c r="AL20" s="4">
        <f t="shared" si="9"/>
        <v>0</v>
      </c>
      <c r="AM20" s="4">
        <f t="shared" si="9"/>
        <v>0</v>
      </c>
      <c r="AN20" s="4">
        <f t="shared" si="10"/>
        <v>0</v>
      </c>
      <c r="AO20" s="4">
        <f t="shared" si="10"/>
        <v>0</v>
      </c>
      <c r="AP20" s="4">
        <f t="shared" si="10"/>
        <v>0</v>
      </c>
      <c r="AQ20" s="4">
        <f t="shared" si="11"/>
        <v>0</v>
      </c>
      <c r="AR20" s="4">
        <f t="shared" si="11"/>
        <v>0</v>
      </c>
      <c r="AT20" s="28">
        <v>7</v>
      </c>
      <c r="AU20" s="29" t="str">
        <f>IF($P$20="3L",$Q$20,IF($S$20="3L",$T$20,IF($V$20="3L",$W$20,IF($Y$20="3L",$Z$20,IF($AB$20="3L",$AC$20,IF($AE$20="3L",$AF$20,IF($AH$20="3L",$AI$20,IF($AK$20="3L",$AL$20,IF($AN$20="3L",$AO$20,IF($AQ$20="3L",$AR$20,""))))))))))</f>
        <v/>
      </c>
      <c r="AV20" s="29" t="str">
        <f>IF($P$20="4L",$Q$20,IF($S$20="4L",$T$20,IF($V$20="4L",$W$20,IF($Y$20="4L",$Z$20,IF($AB$20="4L",$AC$20,IF($AE$20="4L",$AF$20,IF($AH$20="4L",$AI$20,IF($AK$20="4L",$AL$20,IF($AN$20="4L",$AO$20,IF($AQ$20="4L",$AR$20,""))))))))))</f>
        <v/>
      </c>
      <c r="AW20" s="29" t="str">
        <f>IF($P$20="5L",$Q$20,IF($S$20="5L",$T$20,IF($V$20="5L",$W$20,IF($Y$20="5L",$Z$20,IF($AB$20="5L",$AC$20,IF($AE$20="5L",$AF$20,IF($AH$20="5L",$AI$20,IF($AK$20="5L",$AL$20,IF($AN$20="5L",$AO$20,IF($AQ$20="5L",$AR$20,""))))))))))</f>
        <v/>
      </c>
      <c r="AX20" s="29" t="str">
        <f>IF($P$20="6L",$Q$20,IF($S$20="6L",$T$20,IF($V$20="6L",$W$20,IF($Y$20="6L",$Z$20,IF($AB$20="6L",$AC$20,IF($AE$20="6L",$AF$20,IF($AH$20="6L",$AI$20,IF($AK$20="6L",$AL$20,IF($AN$20="6L",$AO$20,IF($AQ$20="6L",$AR$20,""))))))))))</f>
        <v/>
      </c>
      <c r="AY20" s="29" t="str">
        <f>IF($P$20="7L",$Q$20,IF($S$20="7L",$T$20,IF($V$20="7L",$W$20,IF($Y$20="7L",$Z$20,IF($AB$20="7L",$AC$20,IF($AE$20="7L",$AF$20,IF($AH$20="7L",$AI$20,IF($AK$20="7L",$AL$20,IF($AN$20="7L",$AO$20,IF($AQ$20="7L",$AR$20,""))))))))))</f>
        <v/>
      </c>
      <c r="AZ20" s="29" t="str">
        <f t="shared" si="12"/>
        <v/>
      </c>
      <c r="BA20" s="29" t="str">
        <f t="shared" si="13"/>
        <v/>
      </c>
      <c r="BB20" s="29" t="str">
        <f t="shared" si="14"/>
        <v/>
      </c>
      <c r="BC20" s="29" t="str">
        <f t="shared" si="15"/>
        <v/>
      </c>
      <c r="BD20" s="29" t="str">
        <f>IF($P$20="FUM",$Q$20,IF($S$20="FUM",$T$20,IF($V$20="FUM",$W$20,IF($Y$20="FUM",$Z$20,IF($AB$20="FUM",$AC$20,IF($AE$20="FUM",$AF$20,IF($AH$20="FUM",$AI$20,IF($AK$20="FUM",$AL$20,IF($AN$20="FUM",$AO$20,IF($AQ$20="FUM",$AR$20,""))))))))))</f>
        <v/>
      </c>
    </row>
    <row r="21" spans="8:56" hidden="1" x14ac:dyDescent="0.25">
      <c r="H21" s="4">
        <f t="shared" si="1"/>
        <v>0</v>
      </c>
      <c r="I21" s="4">
        <f t="shared" si="1"/>
        <v>0</v>
      </c>
      <c r="J21" s="4">
        <f t="shared" si="1"/>
        <v>0</v>
      </c>
      <c r="K21" s="4">
        <f t="shared" si="1"/>
        <v>0</v>
      </c>
      <c r="L21" s="4">
        <f t="shared" si="1"/>
        <v>0</v>
      </c>
      <c r="O21" s="28">
        <f t="shared" si="16"/>
        <v>0</v>
      </c>
      <c r="P21" s="4">
        <f t="shared" si="2"/>
        <v>0</v>
      </c>
      <c r="Q21" s="4">
        <f t="shared" si="2"/>
        <v>0</v>
      </c>
      <c r="R21" s="4">
        <f t="shared" si="2"/>
        <v>0</v>
      </c>
      <c r="S21" s="4">
        <f t="shared" si="3"/>
        <v>0</v>
      </c>
      <c r="T21" s="4">
        <f t="shared" si="3"/>
        <v>0</v>
      </c>
      <c r="U21" s="4">
        <f t="shared" si="3"/>
        <v>0</v>
      </c>
      <c r="V21" s="4">
        <f t="shared" si="4"/>
        <v>0</v>
      </c>
      <c r="W21" s="4">
        <f t="shared" si="4"/>
        <v>0</v>
      </c>
      <c r="X21" s="4">
        <f t="shared" si="4"/>
        <v>0</v>
      </c>
      <c r="Y21" s="4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6"/>
        <v>0</v>
      </c>
      <c r="AC21" s="4">
        <f t="shared" si="6"/>
        <v>0</v>
      </c>
      <c r="AD21" s="4">
        <f t="shared" si="6"/>
        <v>0</v>
      </c>
      <c r="AE21" s="4">
        <f t="shared" si="7"/>
        <v>0</v>
      </c>
      <c r="AF21" s="4">
        <f t="shared" si="7"/>
        <v>0</v>
      </c>
      <c r="AG21" s="4">
        <f t="shared" si="7"/>
        <v>0</v>
      </c>
      <c r="AH21" s="4">
        <f t="shared" si="8"/>
        <v>0</v>
      </c>
      <c r="AI21" s="4">
        <f t="shared" si="8"/>
        <v>0</v>
      </c>
      <c r="AJ21" s="4">
        <f t="shared" si="8"/>
        <v>0</v>
      </c>
      <c r="AK21" s="4">
        <f t="shared" si="9"/>
        <v>0</v>
      </c>
      <c r="AL21" s="4">
        <f t="shared" si="9"/>
        <v>0</v>
      </c>
      <c r="AM21" s="4">
        <f t="shared" si="9"/>
        <v>0</v>
      </c>
      <c r="AN21" s="4">
        <f t="shared" si="10"/>
        <v>0</v>
      </c>
      <c r="AO21" s="4">
        <f t="shared" si="10"/>
        <v>0</v>
      </c>
      <c r="AP21" s="4">
        <f t="shared" si="10"/>
        <v>0</v>
      </c>
      <c r="AQ21" s="4">
        <f t="shared" si="11"/>
        <v>0</v>
      </c>
      <c r="AR21" s="4">
        <f t="shared" si="11"/>
        <v>0</v>
      </c>
      <c r="AT21" s="28">
        <v>8</v>
      </c>
      <c r="AU21" s="29" t="str">
        <f>IF($P$21="3L",$Q$21,IF($S$21="3L",$T$21,IF($V$21="3L",$W$21,IF($Y$21="3L",$Z$21,IF($AB$21="3L",$AC$21,IF($AE$21="3L",$AF$21,IF($AH$21="3L",$AI$21,IF($AK$21="3L",$AL$21,IF($AN$21="3L",$AO$21,IF($AQ$21="3L",$AR$21,""))))))))))</f>
        <v/>
      </c>
      <c r="AV21" s="29" t="str">
        <f>IF($P$21="4L",$Q$21,IF($S$21="4L",$T$21,IF($V$21="4L",$W$21,IF($Y$21="4L",$Z$21,IF($AB$21="4L",$AC$21,IF($AE$21="4L",$AF$21,IF($AH$21="4L",$AI$21,IF($AK$21="4L",$AL$21,IF($AN$21="4L",$AO$21,IF($AQ$21="4L",$AR$21,""))))))))))</f>
        <v/>
      </c>
      <c r="AW21" s="29" t="str">
        <f>IF($P$21="5L",$Q$21,IF($S$21="5L",$T$21,IF($V$21="5L",$W$21,IF($Y$21="5L",$Z$21,IF($AB$21="5L",$AC$21,IF($AE$21="5L",$AF$21,IF($AH$21="5L",$AI$21,IF($AK$21="5L",$AL$21,IF($AN$21="5L",$AO$21,IF($AQ$21="5L",$AR$21,""))))))))))</f>
        <v/>
      </c>
      <c r="AX21" s="29" t="str">
        <f>IF($P$21="6L",$Q$21,IF($S$21="6L",$T$21,IF($V$21="6L",$W$21,IF($Y$21="6L",$Z$21,IF($AB$21="6L",$AC$21,IF($AE$21="6L",$AF$21,IF($AH$21="6L",$AI$21,IF($AK$21="6L",$AL$21,IF($AN$21="6L",$AO$21,IF($AQ$21="6L",$AR$21,""))))))))))</f>
        <v/>
      </c>
      <c r="AY21" s="29" t="str">
        <f>IF($P$21="7L",$Q$21,IF($S$21="7L",$T$21,IF($V$21="7L",$W$21,IF($Y$21="7L",$Z$21,IF($AB$21="7L",$AC$21,IF($AE$21="7L",$AF$21,IF($AH$21="7L",$AI$21,IF($AK$21="7L",$AL$21,IF($AN$21="7L",$AO$21,IF($AQ$21="7L",$AR$21,""))))))))))</f>
        <v/>
      </c>
      <c r="AZ21" s="29" t="str">
        <f t="shared" si="12"/>
        <v/>
      </c>
      <c r="BA21" s="29" t="str">
        <f t="shared" si="13"/>
        <v/>
      </c>
      <c r="BB21" s="29" t="str">
        <f t="shared" si="14"/>
        <v/>
      </c>
      <c r="BC21" s="29" t="str">
        <f t="shared" si="15"/>
        <v/>
      </c>
      <c r="BD21" s="29" t="str">
        <f>IF($P$21="FUM",$Q$21,IF($S$21="FUM",$T$21,IF($V$21="FUM",$W$21,IF($Y$21="FUM",$Z$21,IF($AB$21="FUM",$AC$21,IF($AE$21="FUM",$AF$21,IF($AH$21="FUM",$AI$21,IF($AK$21="FUM",$AL$21,IF($AN$21="FUM",$AO$21,IF($AQ$21="FUM",$AR$21,""))))))))))</f>
        <v/>
      </c>
    </row>
    <row r="22" spans="8:56" hidden="1" x14ac:dyDescent="0.25">
      <c r="H22" s="4">
        <f t="shared" si="1"/>
        <v>0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O22" s="28">
        <f t="shared" si="16"/>
        <v>0</v>
      </c>
      <c r="P22" s="4">
        <f t="shared" si="2"/>
        <v>0</v>
      </c>
      <c r="Q22" s="4">
        <f t="shared" si="2"/>
        <v>0</v>
      </c>
      <c r="R22" s="4">
        <f t="shared" si="2"/>
        <v>0</v>
      </c>
      <c r="S22" s="4">
        <f t="shared" si="3"/>
        <v>0</v>
      </c>
      <c r="T22" s="4">
        <f t="shared" si="3"/>
        <v>0</v>
      </c>
      <c r="U22" s="4">
        <f t="shared" si="3"/>
        <v>0</v>
      </c>
      <c r="V22" s="4">
        <f t="shared" si="4"/>
        <v>0</v>
      </c>
      <c r="W22" s="4">
        <f t="shared" si="4"/>
        <v>0</v>
      </c>
      <c r="X22" s="4">
        <f t="shared" si="4"/>
        <v>0</v>
      </c>
      <c r="Y22" s="4">
        <f t="shared" si="5"/>
        <v>0</v>
      </c>
      <c r="Z22" s="4">
        <f t="shared" si="5"/>
        <v>0</v>
      </c>
      <c r="AA22" s="4">
        <f t="shared" si="5"/>
        <v>0</v>
      </c>
      <c r="AB22" s="4">
        <f t="shared" si="6"/>
        <v>0</v>
      </c>
      <c r="AC22" s="4">
        <f t="shared" si="6"/>
        <v>0</v>
      </c>
      <c r="AD22" s="4">
        <f t="shared" si="6"/>
        <v>0</v>
      </c>
      <c r="AE22" s="4">
        <f t="shared" si="7"/>
        <v>0</v>
      </c>
      <c r="AF22" s="4">
        <f t="shared" si="7"/>
        <v>0</v>
      </c>
      <c r="AG22" s="4">
        <f t="shared" si="7"/>
        <v>0</v>
      </c>
      <c r="AH22" s="4">
        <f t="shared" si="8"/>
        <v>0</v>
      </c>
      <c r="AI22" s="4">
        <f t="shared" si="8"/>
        <v>0</v>
      </c>
      <c r="AJ22" s="4">
        <f t="shared" si="8"/>
        <v>0</v>
      </c>
      <c r="AK22" s="4">
        <f t="shared" si="9"/>
        <v>0</v>
      </c>
      <c r="AL22" s="4">
        <f t="shared" si="9"/>
        <v>0</v>
      </c>
      <c r="AM22" s="4">
        <f t="shared" si="9"/>
        <v>0</v>
      </c>
      <c r="AN22" s="4">
        <f t="shared" si="10"/>
        <v>0</v>
      </c>
      <c r="AO22" s="4">
        <f t="shared" si="10"/>
        <v>0</v>
      </c>
      <c r="AP22" s="4">
        <f t="shared" si="10"/>
        <v>0</v>
      </c>
      <c r="AQ22" s="4">
        <f t="shared" si="11"/>
        <v>0</v>
      </c>
      <c r="AR22" s="4">
        <f t="shared" si="11"/>
        <v>0</v>
      </c>
      <c r="AT22" s="28">
        <v>9</v>
      </c>
      <c r="AU22" s="29" t="str">
        <f>IF($P$22="3L",$Q$22,IF($S$22="3L",$T$22,IF($V$22="3L",$W$22,IF($Y$22="3L",$Z$22,IF($AB$22="3L",$AC$22,IF($AE$22="3L",$AF$22,IF($AH$22="3L",$AI$22,IF($AK$22="3L",$AL$22,IF($AN$22="3L",$AO$22,IF($AQ$22="3L",$AR$22,""))))))))))</f>
        <v/>
      </c>
      <c r="AV22" s="29" t="str">
        <f>IF($P$22="4L",$Q$22,IF($S$22="4L",$T$22,IF($V$22="4L",$W$22,IF($Y$22="4L",$Z$22,IF($AB$22="4L",$AC$22,IF($AE$22="4L",$AF$22,IF($AH$22="4L",$AI$22,IF($AK$22="4L",$AL$22,IF($AN$22="4L",$AO$22,IF($AQ$22="4L",$AR$22,""))))))))))</f>
        <v/>
      </c>
      <c r="AW22" s="29" t="str">
        <f>IF($P$22="5L",$Q$22,IF($S$22="5L",$T$22,IF($V$22="5L",$W$22,IF($Y$22="5L",$Z$22,IF($AB$22="5L",$AC$22,IF($AE$22="5L",$AF$22,IF($AH$22="5L",$AI$22,IF($AK$22="5L",$AL$22,IF($AN$22="5L",$AO$22,IF($AQ$22="5L",$AR$22,""))))))))))</f>
        <v/>
      </c>
      <c r="AX22" s="29" t="str">
        <f>IF($P$22="6L",$Q$22,IF($S$22="6L",$T$22,IF($V$22="6L",$W$22,IF($Y$22="6L",$Z$22,IF($AB$22="6L",$AC$22,IF($AE$22="6L",$AF$22,IF($AH$22="6L",$AI$22,IF($AK$22="6L",$AL$22,IF($AN$22="6L",$AO$22,IF($AQ$22="6L",$AR$22,""))))))))))</f>
        <v/>
      </c>
      <c r="AY22" s="29" t="str">
        <f>IF($P$22="7L",$Q$22,IF($S$22="7L",$T$22,IF($V$22="7L",$W$22,IF($Y$22="7L",$Z$22,IF($AB$22="7L",$AC$22,IF($AE$22="7L",$AF$22,IF($AH$22="7L",$AI$22,IF($AK$22="7L",$AL$22,IF($AN$22="7L",$AO$22,IF($AQ$22="7L",$AR$22,""))))))))))</f>
        <v/>
      </c>
      <c r="AZ22" s="29" t="str">
        <f t="shared" si="12"/>
        <v/>
      </c>
      <c r="BA22" s="29" t="str">
        <f t="shared" si="13"/>
        <v/>
      </c>
      <c r="BB22" s="29" t="str">
        <f t="shared" si="14"/>
        <v/>
      </c>
      <c r="BC22" s="29" t="str">
        <f t="shared" si="15"/>
        <v/>
      </c>
      <c r="BD22" s="29" t="str">
        <f>IF($P$22="FUM",$Q$22,IF($S$22="FUM",$T$22,IF($V$22="FUM",$W$22,IF($Y$22="FUM",$Z$22,IF($AB$22="FUM",$AC$22,IF($AE$22="FUM",$AF$22,IF($AH$22="FUM",$AI$22,IF($AK$22="FUM",$AL$22,IF($AN$22="FUM",$AO$22,IF($AQ$22="FUM",$AR$22,""))))))))))</f>
        <v/>
      </c>
    </row>
    <row r="23" spans="8:56" hidden="1" x14ac:dyDescent="0.25">
      <c r="H23" s="4">
        <f t="shared" si="1"/>
        <v>0</v>
      </c>
      <c r="I23" s="4">
        <f t="shared" si="1"/>
        <v>0</v>
      </c>
      <c r="J23" s="4">
        <f t="shared" si="1"/>
        <v>0</v>
      </c>
      <c r="K23" s="4">
        <f t="shared" si="1"/>
        <v>0</v>
      </c>
      <c r="L23" s="4">
        <f t="shared" si="1"/>
        <v>0</v>
      </c>
      <c r="O23" s="28">
        <f t="shared" si="16"/>
        <v>0</v>
      </c>
      <c r="P23" s="4">
        <f t="shared" si="2"/>
        <v>0</v>
      </c>
      <c r="Q23" s="4">
        <f t="shared" si="2"/>
        <v>0</v>
      </c>
      <c r="R23" s="4">
        <f t="shared" si="2"/>
        <v>0</v>
      </c>
      <c r="S23" s="4">
        <f t="shared" si="3"/>
        <v>0</v>
      </c>
      <c r="T23" s="4">
        <f t="shared" si="3"/>
        <v>0</v>
      </c>
      <c r="U23" s="4">
        <f t="shared" si="3"/>
        <v>0</v>
      </c>
      <c r="V23" s="4">
        <f t="shared" si="4"/>
        <v>0</v>
      </c>
      <c r="W23" s="4">
        <f t="shared" si="4"/>
        <v>0</v>
      </c>
      <c r="X23" s="4">
        <f t="shared" si="4"/>
        <v>0</v>
      </c>
      <c r="Y23" s="4">
        <f t="shared" si="5"/>
        <v>0</v>
      </c>
      <c r="Z23" s="4">
        <f t="shared" si="5"/>
        <v>0</v>
      </c>
      <c r="AA23" s="4">
        <f t="shared" si="5"/>
        <v>0</v>
      </c>
      <c r="AB23" s="4">
        <f t="shared" si="6"/>
        <v>0</v>
      </c>
      <c r="AC23" s="4">
        <f t="shared" si="6"/>
        <v>0</v>
      </c>
      <c r="AD23" s="4">
        <f t="shared" si="6"/>
        <v>0</v>
      </c>
      <c r="AE23" s="4">
        <f t="shared" si="7"/>
        <v>0</v>
      </c>
      <c r="AF23" s="4">
        <f t="shared" si="7"/>
        <v>0</v>
      </c>
      <c r="AG23" s="4">
        <f t="shared" si="7"/>
        <v>0</v>
      </c>
      <c r="AH23" s="4">
        <f t="shared" si="8"/>
        <v>0</v>
      </c>
      <c r="AI23" s="4">
        <f t="shared" si="8"/>
        <v>0</v>
      </c>
      <c r="AJ23" s="4">
        <f t="shared" si="8"/>
        <v>0</v>
      </c>
      <c r="AK23" s="4">
        <f t="shared" si="9"/>
        <v>0</v>
      </c>
      <c r="AL23" s="4">
        <f t="shared" si="9"/>
        <v>0</v>
      </c>
      <c r="AM23" s="4">
        <f t="shared" si="9"/>
        <v>0</v>
      </c>
      <c r="AN23" s="4">
        <f t="shared" si="10"/>
        <v>0</v>
      </c>
      <c r="AO23" s="4">
        <f t="shared" si="10"/>
        <v>0</v>
      </c>
      <c r="AP23" s="4">
        <f t="shared" si="10"/>
        <v>0</v>
      </c>
      <c r="AQ23" s="4">
        <f t="shared" si="11"/>
        <v>0</v>
      </c>
      <c r="AR23" s="4">
        <f t="shared" si="11"/>
        <v>0</v>
      </c>
      <c r="AT23" s="28">
        <v>10</v>
      </c>
      <c r="AU23" s="29" t="str">
        <f>IF($P$23="3L",$Q$23,IF($S$23="3L",$T$23,IF($V$23="3L",$W$23,IF($Y$23="3L",$Z$23,IF($AB$23="3L",$AC$23,IF($AE$23="3L",$AF$23,IF($AH$23="3L",$AI$23,IF($AK$23="3L",$AL$23,IF($AN$23="3L",$AO$23,IF($AQ$23="3L",$AR$23,""))))))))))</f>
        <v/>
      </c>
      <c r="AV23" s="29" t="str">
        <f>IF($P$23="4L",$Q$23,IF($S$23="4L",$T$23,IF($V$23="4L",$W$23,IF($Y$23="4L",$Z$23,IF($AB$23="4L",$AC$23,IF($AE$23="4L",$AF$23,IF($AH$23="4L",$AI$23,IF($AK$23="4L",$AL$23,IF($AN$23="4L",$AO$23,IF($AQ$23="4L",$AR$23,""))))))))))</f>
        <v/>
      </c>
      <c r="AW23" s="29" t="str">
        <f>IF($P$23="5L",$Q$23,IF($S$23="5L",$T$23,IF($V$23="5L",$W$23,IF($Y$23="5L",$Z$23,IF($AB$23="5L",$AC$23,IF($AE$23="5L",$AF$23,IF($AH$23="5L",$AI$23,IF($AK$23="5L",$AL$23,IF($AN$23="5L",$AO$23,IF($AQ$23="5L",$AR$23,""))))))))))</f>
        <v/>
      </c>
      <c r="AX23" s="29" t="str">
        <f>IF($P$23="6L",$Q$23,IF($S$23="6L",$T$23,IF($V$23="6L",$W$23,IF($Y$23="6L",$Z$23,IF($AB$23="6L",$AC$23,IF($AE$23="6L",$AF$23,IF($AH$23="6L",$AI$23,IF($AK$23="6L",$AL$23,IF($AN$23="6L",$AO$23,IF($AQ$23="6L",$AR$23,""))))))))))</f>
        <v/>
      </c>
      <c r="AY23" s="29" t="str">
        <f>IF($P$23="7L",$Q$23,IF($S$23="7L",$T$23,IF($V$23="7L",$W$23,IF($Y$23="7L",$Z$23,IF($AB$23="7L",$AC$23,IF($AE$23="7L",$AF$23,IF($AH$23="7L",$AI$23,IF($AK$23="7L",$AL$23,IF($AN$23="7L",$AO$23,IF($AQ$23="7L",$AR$23,""))))))))))</f>
        <v/>
      </c>
      <c r="AZ23" s="29" t="str">
        <f t="shared" si="12"/>
        <v/>
      </c>
      <c r="BA23" s="29" t="str">
        <f t="shared" si="13"/>
        <v/>
      </c>
      <c r="BB23" s="29" t="str">
        <f t="shared" si="14"/>
        <v/>
      </c>
      <c r="BC23" s="29" t="str">
        <f t="shared" si="15"/>
        <v/>
      </c>
      <c r="BD23" s="29" t="str">
        <f>IF($P$23="FUM",$Q$23,IF($S$23="FUM",$T$23,IF($V$23="FUM",$W$23,IF($Y$23="FUM",$Z$23,IF($AB$23="FUM",$AC$23,IF($AE$23="FUM",$AF$23,IF($AH$23="FUM",$AI$23,IF($AK$23="FUM",$AL$23,IF($AN$23="FUM",$AO$23,IF($AQ$23="FUM",$AR$23,""))))))))))</f>
        <v/>
      </c>
    </row>
    <row r="24" spans="8:56" hidden="1" x14ac:dyDescent="0.25">
      <c r="H24" s="4" t="str">
        <f t="shared" ref="H24:L33" si="17">P2</f>
        <v>AG</v>
      </c>
      <c r="I24" s="4">
        <f t="shared" si="17"/>
        <v>1000</v>
      </c>
      <c r="J24" s="4">
        <f t="shared" si="17"/>
        <v>10</v>
      </c>
      <c r="K24" s="4" t="str">
        <f t="shared" si="17"/>
        <v>Y</v>
      </c>
      <c r="L24" s="4" t="str">
        <f t="shared" si="17"/>
        <v>3L</v>
      </c>
    </row>
    <row r="25" spans="8:56" hidden="1" x14ac:dyDescent="0.25">
      <c r="H25" s="4">
        <f t="shared" si="17"/>
        <v>0</v>
      </c>
      <c r="I25" s="4">
        <f t="shared" si="17"/>
        <v>0</v>
      </c>
      <c r="J25" s="4">
        <f t="shared" si="17"/>
        <v>0</v>
      </c>
      <c r="K25" s="4">
        <f t="shared" si="17"/>
        <v>0</v>
      </c>
      <c r="L25" s="4">
        <f t="shared" si="17"/>
        <v>0</v>
      </c>
    </row>
    <row r="26" spans="8:56" hidden="1" x14ac:dyDescent="0.25">
      <c r="H26" s="4">
        <f t="shared" si="17"/>
        <v>0</v>
      </c>
      <c r="I26" s="4">
        <f t="shared" si="17"/>
        <v>0</v>
      </c>
      <c r="J26" s="4">
        <f t="shared" si="17"/>
        <v>0</v>
      </c>
      <c r="K26" s="4">
        <f t="shared" si="17"/>
        <v>0</v>
      </c>
      <c r="L26" s="4">
        <f t="shared" si="17"/>
        <v>0</v>
      </c>
    </row>
    <row r="27" spans="8:56" hidden="1" x14ac:dyDescent="0.25">
      <c r="H27" s="4">
        <f t="shared" si="17"/>
        <v>0</v>
      </c>
      <c r="I27" s="4">
        <f t="shared" si="17"/>
        <v>0</v>
      </c>
      <c r="J27" s="4">
        <f t="shared" si="17"/>
        <v>0</v>
      </c>
      <c r="K27" s="4">
        <f t="shared" si="17"/>
        <v>0</v>
      </c>
      <c r="L27" s="4">
        <f t="shared" si="17"/>
        <v>0</v>
      </c>
    </row>
    <row r="28" spans="8:56" hidden="1" x14ac:dyDescent="0.25">
      <c r="H28" s="4">
        <f t="shared" si="17"/>
        <v>0</v>
      </c>
      <c r="I28" s="4">
        <f t="shared" si="17"/>
        <v>0</v>
      </c>
      <c r="J28" s="4">
        <f t="shared" si="17"/>
        <v>0</v>
      </c>
      <c r="K28" s="4">
        <f t="shared" si="17"/>
        <v>0</v>
      </c>
      <c r="L28" s="4">
        <f t="shared" si="17"/>
        <v>0</v>
      </c>
    </row>
    <row r="29" spans="8:56" hidden="1" x14ac:dyDescent="0.25"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</row>
    <row r="30" spans="8:56" hidden="1" x14ac:dyDescent="0.25">
      <c r="H30" s="4">
        <f t="shared" si="17"/>
        <v>0</v>
      </c>
      <c r="I30" s="4">
        <f t="shared" si="17"/>
        <v>0</v>
      </c>
      <c r="J30" s="4">
        <f t="shared" si="17"/>
        <v>0</v>
      </c>
      <c r="K30" s="4">
        <f t="shared" si="17"/>
        <v>0</v>
      </c>
      <c r="L30" s="4">
        <f t="shared" si="17"/>
        <v>0</v>
      </c>
    </row>
    <row r="31" spans="8:56" hidden="1" x14ac:dyDescent="0.25">
      <c r="H31" s="4">
        <f t="shared" si="17"/>
        <v>0</v>
      </c>
      <c r="I31" s="4">
        <f t="shared" si="17"/>
        <v>0</v>
      </c>
      <c r="J31" s="4">
        <f t="shared" si="17"/>
        <v>0</v>
      </c>
      <c r="K31" s="4">
        <f t="shared" si="17"/>
        <v>0</v>
      </c>
      <c r="L31" s="4">
        <f t="shared" si="17"/>
        <v>0</v>
      </c>
    </row>
    <row r="32" spans="8:56" hidden="1" x14ac:dyDescent="0.25">
      <c r="H32" s="4">
        <f t="shared" si="17"/>
        <v>0</v>
      </c>
      <c r="I32" s="4">
        <f t="shared" si="17"/>
        <v>0</v>
      </c>
      <c r="J32" s="4">
        <f t="shared" si="17"/>
        <v>0</v>
      </c>
      <c r="K32" s="4">
        <f t="shared" si="17"/>
        <v>0</v>
      </c>
      <c r="L32" s="4">
        <f t="shared" si="17"/>
        <v>0</v>
      </c>
    </row>
    <row r="33" spans="8:12" hidden="1" x14ac:dyDescent="0.25">
      <c r="H33" s="4">
        <f t="shared" si="17"/>
        <v>0</v>
      </c>
      <c r="I33" s="4">
        <f t="shared" si="17"/>
        <v>0</v>
      </c>
      <c r="J33" s="4">
        <f t="shared" si="17"/>
        <v>0</v>
      </c>
      <c r="K33" s="4">
        <f t="shared" si="17"/>
        <v>0</v>
      </c>
      <c r="L33" s="4">
        <f t="shared" si="17"/>
        <v>0</v>
      </c>
    </row>
    <row r="34" spans="8:12" hidden="1" x14ac:dyDescent="0.25">
      <c r="H34" s="4" t="str">
        <f t="shared" ref="H34:L43" si="18">V2</f>
        <v>AG</v>
      </c>
      <c r="I34" s="4">
        <f t="shared" si="18"/>
        <v>750</v>
      </c>
      <c r="J34" s="4">
        <f t="shared" si="18"/>
        <v>10</v>
      </c>
      <c r="K34" s="4" t="str">
        <f t="shared" si="18"/>
        <v>Y</v>
      </c>
      <c r="L34" s="4" t="str">
        <f t="shared" si="18"/>
        <v>3L</v>
      </c>
    </row>
    <row r="35" spans="8:12" hidden="1" x14ac:dyDescent="0.25">
      <c r="H35" s="4">
        <f t="shared" si="18"/>
        <v>0</v>
      </c>
      <c r="I35" s="4">
        <f t="shared" si="18"/>
        <v>0</v>
      </c>
      <c r="J35" s="4">
        <f t="shared" si="18"/>
        <v>0</v>
      </c>
      <c r="K35" s="4">
        <f t="shared" si="18"/>
        <v>0</v>
      </c>
      <c r="L35" s="4">
        <f t="shared" si="18"/>
        <v>0</v>
      </c>
    </row>
    <row r="36" spans="8:12" hidden="1" x14ac:dyDescent="0.25">
      <c r="H36" s="4">
        <f t="shared" si="18"/>
        <v>0</v>
      </c>
      <c r="I36" s="4">
        <f t="shared" si="18"/>
        <v>0</v>
      </c>
      <c r="J36" s="4">
        <f t="shared" si="18"/>
        <v>0</v>
      </c>
      <c r="K36" s="4">
        <f t="shared" si="18"/>
        <v>0</v>
      </c>
      <c r="L36" s="4">
        <f t="shared" si="18"/>
        <v>0</v>
      </c>
    </row>
    <row r="37" spans="8:12" hidden="1" x14ac:dyDescent="0.25">
      <c r="H37" s="4">
        <f t="shared" si="18"/>
        <v>0</v>
      </c>
      <c r="I37" s="4">
        <f t="shared" si="18"/>
        <v>0</v>
      </c>
      <c r="J37" s="4">
        <f t="shared" si="18"/>
        <v>0</v>
      </c>
      <c r="K37" s="4">
        <f t="shared" si="18"/>
        <v>0</v>
      </c>
      <c r="L37" s="4">
        <f t="shared" si="18"/>
        <v>0</v>
      </c>
    </row>
    <row r="38" spans="8:12" hidden="1" x14ac:dyDescent="0.25">
      <c r="H38" s="4">
        <f t="shared" si="18"/>
        <v>0</v>
      </c>
      <c r="I38" s="4">
        <f t="shared" si="18"/>
        <v>0</v>
      </c>
      <c r="J38" s="4">
        <f t="shared" si="18"/>
        <v>0</v>
      </c>
      <c r="K38" s="4">
        <f t="shared" si="18"/>
        <v>0</v>
      </c>
      <c r="L38" s="4">
        <f t="shared" si="18"/>
        <v>0</v>
      </c>
    </row>
    <row r="39" spans="8:12" hidden="1" x14ac:dyDescent="0.25">
      <c r="H39" s="4">
        <f t="shared" si="18"/>
        <v>0</v>
      </c>
      <c r="I39" s="4">
        <f t="shared" si="18"/>
        <v>0</v>
      </c>
      <c r="J39" s="4">
        <f t="shared" si="18"/>
        <v>0</v>
      </c>
      <c r="K39" s="4">
        <f t="shared" si="18"/>
        <v>0</v>
      </c>
      <c r="L39" s="4">
        <f t="shared" si="18"/>
        <v>0</v>
      </c>
    </row>
    <row r="40" spans="8:12" hidden="1" x14ac:dyDescent="0.25">
      <c r="H40" s="4">
        <f t="shared" si="18"/>
        <v>0</v>
      </c>
      <c r="I40" s="4">
        <f t="shared" si="18"/>
        <v>0</v>
      </c>
      <c r="J40" s="4">
        <f t="shared" si="18"/>
        <v>0</v>
      </c>
      <c r="K40" s="4">
        <f t="shared" si="18"/>
        <v>0</v>
      </c>
      <c r="L40" s="4">
        <f t="shared" si="18"/>
        <v>0</v>
      </c>
    </row>
    <row r="41" spans="8:12" hidden="1" x14ac:dyDescent="0.25">
      <c r="H41" s="4">
        <f t="shared" si="18"/>
        <v>0</v>
      </c>
      <c r="I41" s="4">
        <f t="shared" si="18"/>
        <v>0</v>
      </c>
      <c r="J41" s="4">
        <f t="shared" si="18"/>
        <v>0</v>
      </c>
      <c r="K41" s="4">
        <f t="shared" si="18"/>
        <v>0</v>
      </c>
      <c r="L41" s="4">
        <f t="shared" si="18"/>
        <v>0</v>
      </c>
    </row>
    <row r="42" spans="8:12" hidden="1" x14ac:dyDescent="0.25">
      <c r="H42" s="4">
        <f t="shared" si="18"/>
        <v>0</v>
      </c>
      <c r="I42" s="4">
        <f t="shared" si="18"/>
        <v>0</v>
      </c>
      <c r="J42" s="4">
        <f t="shared" si="18"/>
        <v>0</v>
      </c>
      <c r="K42" s="4">
        <f t="shared" si="18"/>
        <v>0</v>
      </c>
      <c r="L42" s="4">
        <f t="shared" si="18"/>
        <v>0</v>
      </c>
    </row>
    <row r="43" spans="8:12" hidden="1" x14ac:dyDescent="0.25">
      <c r="H43" s="4">
        <f t="shared" si="18"/>
        <v>0</v>
      </c>
      <c r="I43" s="4">
        <f t="shared" si="18"/>
        <v>0</v>
      </c>
      <c r="J43" s="4">
        <f t="shared" si="18"/>
        <v>0</v>
      </c>
      <c r="K43" s="4">
        <f t="shared" si="18"/>
        <v>0</v>
      </c>
      <c r="L43" s="4">
        <f t="shared" si="18"/>
        <v>0</v>
      </c>
    </row>
    <row r="44" spans="8:12" hidden="1" x14ac:dyDescent="0.25">
      <c r="H44" s="4" t="str">
        <f t="shared" ref="H44:L53" si="19">AB2</f>
        <v>AG</v>
      </c>
      <c r="I44" s="4">
        <f t="shared" si="19"/>
        <v>500</v>
      </c>
      <c r="J44" s="4">
        <f t="shared" si="19"/>
        <v>20</v>
      </c>
      <c r="K44" s="4" t="str">
        <f t="shared" si="19"/>
        <v>Y</v>
      </c>
      <c r="L44" s="4" t="str">
        <f t="shared" si="19"/>
        <v>3L</v>
      </c>
    </row>
    <row r="45" spans="8:12" hidden="1" x14ac:dyDescent="0.25">
      <c r="H45" s="4">
        <f t="shared" si="19"/>
        <v>0</v>
      </c>
      <c r="I45" s="4">
        <f t="shared" si="19"/>
        <v>0</v>
      </c>
      <c r="J45" s="4">
        <f t="shared" si="19"/>
        <v>0</v>
      </c>
      <c r="K45" s="4">
        <f t="shared" si="19"/>
        <v>0</v>
      </c>
      <c r="L45" s="4">
        <f t="shared" si="19"/>
        <v>0</v>
      </c>
    </row>
    <row r="46" spans="8:12" hidden="1" x14ac:dyDescent="0.25">
      <c r="H46" s="4">
        <f t="shared" si="19"/>
        <v>0</v>
      </c>
      <c r="I46" s="4">
        <f t="shared" si="19"/>
        <v>0</v>
      </c>
      <c r="J46" s="4">
        <f t="shared" si="19"/>
        <v>0</v>
      </c>
      <c r="K46" s="4">
        <f t="shared" si="19"/>
        <v>0</v>
      </c>
      <c r="L46" s="4">
        <f t="shared" si="19"/>
        <v>0</v>
      </c>
    </row>
    <row r="47" spans="8:12" hidden="1" x14ac:dyDescent="0.25">
      <c r="H47" s="4">
        <f t="shared" si="19"/>
        <v>0</v>
      </c>
      <c r="I47" s="4">
        <f t="shared" si="19"/>
        <v>0</v>
      </c>
      <c r="J47" s="4">
        <f t="shared" si="19"/>
        <v>0</v>
      </c>
      <c r="K47" s="4">
        <f t="shared" si="19"/>
        <v>0</v>
      </c>
      <c r="L47" s="4">
        <f t="shared" si="19"/>
        <v>0</v>
      </c>
    </row>
    <row r="48" spans="8:12" hidden="1" x14ac:dyDescent="0.25">
      <c r="H48" s="4">
        <f t="shared" si="19"/>
        <v>0</v>
      </c>
      <c r="I48" s="4">
        <f t="shared" si="19"/>
        <v>0</v>
      </c>
      <c r="J48" s="4">
        <f t="shared" si="19"/>
        <v>0</v>
      </c>
      <c r="K48" s="4">
        <f t="shared" si="19"/>
        <v>0</v>
      </c>
      <c r="L48" s="4">
        <f t="shared" si="19"/>
        <v>0</v>
      </c>
    </row>
    <row r="49" spans="8:12" hidden="1" x14ac:dyDescent="0.25">
      <c r="H49" s="4">
        <f t="shared" si="19"/>
        <v>0</v>
      </c>
      <c r="I49" s="4">
        <f t="shared" si="19"/>
        <v>0</v>
      </c>
      <c r="J49" s="4">
        <f t="shared" si="19"/>
        <v>0</v>
      </c>
      <c r="K49" s="4">
        <f t="shared" si="19"/>
        <v>0</v>
      </c>
      <c r="L49" s="4">
        <f t="shared" si="19"/>
        <v>0</v>
      </c>
    </row>
    <row r="50" spans="8:12" hidden="1" x14ac:dyDescent="0.25">
      <c r="H50" s="4">
        <f t="shared" si="19"/>
        <v>0</v>
      </c>
      <c r="I50" s="4">
        <f t="shared" si="19"/>
        <v>0</v>
      </c>
      <c r="J50" s="4">
        <f t="shared" si="19"/>
        <v>0</v>
      </c>
      <c r="K50" s="4">
        <f t="shared" si="19"/>
        <v>0</v>
      </c>
      <c r="L50" s="4">
        <f t="shared" si="19"/>
        <v>0</v>
      </c>
    </row>
    <row r="51" spans="8:12" hidden="1" x14ac:dyDescent="0.25">
      <c r="H51" s="4">
        <f t="shared" si="19"/>
        <v>0</v>
      </c>
      <c r="I51" s="4">
        <f t="shared" si="19"/>
        <v>0</v>
      </c>
      <c r="J51" s="4">
        <f t="shared" si="19"/>
        <v>0</v>
      </c>
      <c r="K51" s="4">
        <f t="shared" si="19"/>
        <v>0</v>
      </c>
      <c r="L51" s="4">
        <f t="shared" si="19"/>
        <v>0</v>
      </c>
    </row>
    <row r="52" spans="8:12" hidden="1" x14ac:dyDescent="0.25">
      <c r="H52" s="4">
        <f t="shared" si="19"/>
        <v>0</v>
      </c>
      <c r="I52" s="4">
        <f t="shared" si="19"/>
        <v>0</v>
      </c>
      <c r="J52" s="4">
        <f t="shared" si="19"/>
        <v>0</v>
      </c>
      <c r="K52" s="4">
        <f t="shared" si="19"/>
        <v>0</v>
      </c>
      <c r="L52" s="4">
        <f t="shared" si="19"/>
        <v>0</v>
      </c>
    </row>
    <row r="53" spans="8:12" hidden="1" x14ac:dyDescent="0.25">
      <c r="H53" s="4">
        <f t="shared" si="19"/>
        <v>0</v>
      </c>
      <c r="I53" s="4">
        <f t="shared" si="19"/>
        <v>0</v>
      </c>
      <c r="J53" s="4">
        <f t="shared" si="19"/>
        <v>0</v>
      </c>
      <c r="K53" s="4">
        <f t="shared" si="19"/>
        <v>0</v>
      </c>
      <c r="L53" s="4">
        <f t="shared" si="19"/>
        <v>0</v>
      </c>
    </row>
    <row r="54" spans="8:12" hidden="1" x14ac:dyDescent="0.25">
      <c r="H54" s="4">
        <f t="shared" ref="H54:L63" si="20">AH2</f>
        <v>0</v>
      </c>
      <c r="I54" s="4">
        <f t="shared" si="20"/>
        <v>0</v>
      </c>
      <c r="J54" s="4">
        <f t="shared" si="20"/>
        <v>0</v>
      </c>
      <c r="K54" s="4">
        <f t="shared" si="20"/>
        <v>0</v>
      </c>
      <c r="L54" s="4">
        <f t="shared" si="20"/>
        <v>0</v>
      </c>
    </row>
    <row r="55" spans="8:12" hidden="1" x14ac:dyDescent="0.25">
      <c r="H55" s="4">
        <f t="shared" si="20"/>
        <v>0</v>
      </c>
      <c r="I55" s="4">
        <f t="shared" si="20"/>
        <v>0</v>
      </c>
      <c r="J55" s="4">
        <f t="shared" si="20"/>
        <v>0</v>
      </c>
      <c r="K55" s="4">
        <f t="shared" si="20"/>
        <v>0</v>
      </c>
      <c r="L55" s="4">
        <f t="shared" si="20"/>
        <v>0</v>
      </c>
    </row>
    <row r="56" spans="8:12" hidden="1" x14ac:dyDescent="0.25">
      <c r="H56" s="4">
        <f t="shared" si="20"/>
        <v>0</v>
      </c>
      <c r="I56" s="4">
        <f t="shared" si="20"/>
        <v>0</v>
      </c>
      <c r="J56" s="4">
        <f t="shared" si="20"/>
        <v>0</v>
      </c>
      <c r="K56" s="4">
        <f t="shared" si="20"/>
        <v>0</v>
      </c>
      <c r="L56" s="4">
        <f t="shared" si="20"/>
        <v>0</v>
      </c>
    </row>
    <row r="57" spans="8:12" hidden="1" x14ac:dyDescent="0.25">
      <c r="H57" s="4">
        <f t="shared" si="20"/>
        <v>0</v>
      </c>
      <c r="I57" s="4">
        <f t="shared" si="20"/>
        <v>0</v>
      </c>
      <c r="J57" s="4">
        <f t="shared" si="20"/>
        <v>0</v>
      </c>
      <c r="K57" s="4">
        <f t="shared" si="20"/>
        <v>0</v>
      </c>
      <c r="L57" s="4">
        <f t="shared" si="20"/>
        <v>0</v>
      </c>
    </row>
    <row r="58" spans="8:12" hidden="1" x14ac:dyDescent="0.25">
      <c r="H58" s="4">
        <f t="shared" si="20"/>
        <v>0</v>
      </c>
      <c r="I58" s="4">
        <f t="shared" si="20"/>
        <v>0</v>
      </c>
      <c r="J58" s="4">
        <f t="shared" si="20"/>
        <v>0</v>
      </c>
      <c r="K58" s="4">
        <f t="shared" si="20"/>
        <v>0</v>
      </c>
      <c r="L58" s="4">
        <f t="shared" si="20"/>
        <v>0</v>
      </c>
    </row>
    <row r="59" spans="8:12" hidden="1" x14ac:dyDescent="0.25">
      <c r="H59" s="4">
        <f t="shared" si="20"/>
        <v>0</v>
      </c>
      <c r="I59" s="4">
        <f t="shared" si="20"/>
        <v>0</v>
      </c>
      <c r="J59" s="4">
        <f t="shared" si="20"/>
        <v>0</v>
      </c>
      <c r="K59" s="4">
        <f t="shared" si="20"/>
        <v>0</v>
      </c>
      <c r="L59" s="4">
        <f t="shared" si="20"/>
        <v>0</v>
      </c>
    </row>
    <row r="60" spans="8:12" hidden="1" x14ac:dyDescent="0.25">
      <c r="H60" s="4">
        <f t="shared" si="20"/>
        <v>0</v>
      </c>
      <c r="I60" s="4">
        <f t="shared" si="20"/>
        <v>0</v>
      </c>
      <c r="J60" s="4">
        <f t="shared" si="20"/>
        <v>0</v>
      </c>
      <c r="K60" s="4">
        <f t="shared" si="20"/>
        <v>0</v>
      </c>
      <c r="L60" s="4">
        <f t="shared" si="20"/>
        <v>0</v>
      </c>
    </row>
    <row r="61" spans="8:12" hidden="1" x14ac:dyDescent="0.25">
      <c r="H61" s="4">
        <f t="shared" si="20"/>
        <v>0</v>
      </c>
      <c r="I61" s="4">
        <f t="shared" si="20"/>
        <v>0</v>
      </c>
      <c r="J61" s="4">
        <f t="shared" si="20"/>
        <v>0</v>
      </c>
      <c r="K61" s="4">
        <f t="shared" si="20"/>
        <v>0</v>
      </c>
      <c r="L61" s="4">
        <f t="shared" si="20"/>
        <v>0</v>
      </c>
    </row>
    <row r="62" spans="8:12" hidden="1" x14ac:dyDescent="0.25">
      <c r="H62" s="4">
        <f t="shared" si="20"/>
        <v>0</v>
      </c>
      <c r="I62" s="4">
        <f t="shared" si="20"/>
        <v>0</v>
      </c>
      <c r="J62" s="4">
        <f t="shared" si="20"/>
        <v>0</v>
      </c>
      <c r="K62" s="4">
        <f t="shared" si="20"/>
        <v>0</v>
      </c>
      <c r="L62" s="4">
        <f t="shared" si="20"/>
        <v>0</v>
      </c>
    </row>
    <row r="63" spans="8:12" hidden="1" x14ac:dyDescent="0.25">
      <c r="H63" s="4">
        <f t="shared" si="20"/>
        <v>0</v>
      </c>
      <c r="I63" s="4">
        <f t="shared" si="20"/>
        <v>0</v>
      </c>
      <c r="J63" s="4">
        <f t="shared" si="20"/>
        <v>0</v>
      </c>
      <c r="K63" s="4">
        <f t="shared" si="20"/>
        <v>0</v>
      </c>
      <c r="L63" s="4">
        <f t="shared" si="20"/>
        <v>0</v>
      </c>
    </row>
    <row r="64" spans="8:12" hidden="1" x14ac:dyDescent="0.25">
      <c r="H64" s="4">
        <f t="shared" ref="H64:L73" si="21">AN2</f>
        <v>0</v>
      </c>
      <c r="I64" s="4">
        <f t="shared" si="21"/>
        <v>0</v>
      </c>
      <c r="J64" s="4">
        <f t="shared" si="21"/>
        <v>0</v>
      </c>
      <c r="K64" s="4">
        <f t="shared" si="21"/>
        <v>0</v>
      </c>
      <c r="L64" s="4">
        <f t="shared" si="21"/>
        <v>0</v>
      </c>
    </row>
    <row r="65" spans="8:12" hidden="1" x14ac:dyDescent="0.25">
      <c r="H65" s="4">
        <f t="shared" si="21"/>
        <v>0</v>
      </c>
      <c r="I65" s="4">
        <f t="shared" si="21"/>
        <v>0</v>
      </c>
      <c r="J65" s="4">
        <f t="shared" si="21"/>
        <v>0</v>
      </c>
      <c r="K65" s="4">
        <f t="shared" si="21"/>
        <v>0</v>
      </c>
      <c r="L65" s="4">
        <f t="shared" si="21"/>
        <v>0</v>
      </c>
    </row>
    <row r="66" spans="8:12" hidden="1" x14ac:dyDescent="0.25">
      <c r="H66" s="4">
        <f t="shared" si="21"/>
        <v>0</v>
      </c>
      <c r="I66" s="4">
        <f t="shared" si="21"/>
        <v>0</v>
      </c>
      <c r="J66" s="4">
        <f t="shared" si="21"/>
        <v>0</v>
      </c>
      <c r="K66" s="4">
        <f t="shared" si="21"/>
        <v>0</v>
      </c>
      <c r="L66" s="4">
        <f t="shared" si="21"/>
        <v>0</v>
      </c>
    </row>
    <row r="67" spans="8:12" hidden="1" x14ac:dyDescent="0.25">
      <c r="H67" s="4">
        <f t="shared" si="21"/>
        <v>0</v>
      </c>
      <c r="I67" s="4">
        <f t="shared" si="21"/>
        <v>0</v>
      </c>
      <c r="J67" s="4">
        <f t="shared" si="21"/>
        <v>0</v>
      </c>
      <c r="K67" s="4">
        <f t="shared" si="21"/>
        <v>0</v>
      </c>
      <c r="L67" s="4">
        <f t="shared" si="21"/>
        <v>0</v>
      </c>
    </row>
    <row r="68" spans="8:12" hidden="1" x14ac:dyDescent="0.25">
      <c r="H68" s="4">
        <f t="shared" si="21"/>
        <v>0</v>
      </c>
      <c r="I68" s="4">
        <f t="shared" si="21"/>
        <v>0</v>
      </c>
      <c r="J68" s="4">
        <f t="shared" si="21"/>
        <v>0</v>
      </c>
      <c r="K68" s="4">
        <f t="shared" si="21"/>
        <v>0</v>
      </c>
      <c r="L68" s="4">
        <f t="shared" si="21"/>
        <v>0</v>
      </c>
    </row>
    <row r="69" spans="8:12" hidden="1" x14ac:dyDescent="0.25">
      <c r="H69" s="4">
        <f t="shared" si="21"/>
        <v>0</v>
      </c>
      <c r="I69" s="4">
        <f t="shared" si="21"/>
        <v>0</v>
      </c>
      <c r="J69" s="4">
        <f t="shared" si="21"/>
        <v>0</v>
      </c>
      <c r="K69" s="4">
        <f t="shared" si="21"/>
        <v>0</v>
      </c>
      <c r="L69" s="4">
        <f t="shared" si="21"/>
        <v>0</v>
      </c>
    </row>
    <row r="70" spans="8:12" hidden="1" x14ac:dyDescent="0.25">
      <c r="H70" s="4">
        <f t="shared" si="21"/>
        <v>0</v>
      </c>
      <c r="I70" s="4">
        <f t="shared" si="21"/>
        <v>0</v>
      </c>
      <c r="J70" s="4">
        <f t="shared" si="21"/>
        <v>0</v>
      </c>
      <c r="K70" s="4">
        <f t="shared" si="21"/>
        <v>0</v>
      </c>
      <c r="L70" s="4">
        <f t="shared" si="21"/>
        <v>0</v>
      </c>
    </row>
    <row r="71" spans="8:12" hidden="1" x14ac:dyDescent="0.25">
      <c r="H71" s="4">
        <f t="shared" si="21"/>
        <v>0</v>
      </c>
      <c r="I71" s="4">
        <f t="shared" si="21"/>
        <v>0</v>
      </c>
      <c r="J71" s="4">
        <f t="shared" si="21"/>
        <v>0</v>
      </c>
      <c r="K71" s="4">
        <f t="shared" si="21"/>
        <v>0</v>
      </c>
      <c r="L71" s="4">
        <f t="shared" si="21"/>
        <v>0</v>
      </c>
    </row>
    <row r="72" spans="8:12" hidden="1" x14ac:dyDescent="0.25">
      <c r="H72" s="4">
        <f t="shared" si="21"/>
        <v>0</v>
      </c>
      <c r="I72" s="4">
        <f t="shared" si="21"/>
        <v>0</v>
      </c>
      <c r="J72" s="4">
        <f t="shared" si="21"/>
        <v>0</v>
      </c>
      <c r="K72" s="4">
        <f t="shared" si="21"/>
        <v>0</v>
      </c>
      <c r="L72" s="4">
        <f t="shared" si="21"/>
        <v>0</v>
      </c>
    </row>
    <row r="73" spans="8:12" hidden="1" x14ac:dyDescent="0.25">
      <c r="H73" s="4">
        <f t="shared" si="21"/>
        <v>0</v>
      </c>
      <c r="I73" s="4">
        <f t="shared" si="21"/>
        <v>0</v>
      </c>
      <c r="J73" s="4">
        <f t="shared" si="21"/>
        <v>0</v>
      </c>
      <c r="K73" s="4">
        <f t="shared" si="21"/>
        <v>0</v>
      </c>
      <c r="L73" s="4">
        <f t="shared" si="21"/>
        <v>0</v>
      </c>
    </row>
    <row r="74" spans="8:12" hidden="1" x14ac:dyDescent="0.25">
      <c r="H74" s="4">
        <f t="shared" ref="H74:L83" si="22">AT2</f>
        <v>0</v>
      </c>
      <c r="I74" s="4">
        <f t="shared" si="22"/>
        <v>0</v>
      </c>
      <c r="J74" s="4">
        <f t="shared" si="22"/>
        <v>0</v>
      </c>
      <c r="K74" s="4">
        <f t="shared" si="22"/>
        <v>0</v>
      </c>
      <c r="L74" s="4">
        <f t="shared" si="22"/>
        <v>0</v>
      </c>
    </row>
    <row r="75" spans="8:12" hidden="1" x14ac:dyDescent="0.25">
      <c r="H75" s="4">
        <f t="shared" si="22"/>
        <v>0</v>
      </c>
      <c r="I75" s="4">
        <f t="shared" si="22"/>
        <v>0</v>
      </c>
      <c r="J75" s="4">
        <f t="shared" si="22"/>
        <v>0</v>
      </c>
      <c r="K75" s="4">
        <f t="shared" si="22"/>
        <v>0</v>
      </c>
      <c r="L75" s="4">
        <f t="shared" si="22"/>
        <v>0</v>
      </c>
    </row>
    <row r="76" spans="8:12" hidden="1" x14ac:dyDescent="0.25"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0</v>
      </c>
    </row>
    <row r="77" spans="8:12" hidden="1" x14ac:dyDescent="0.25">
      <c r="H77" s="4">
        <f t="shared" si="22"/>
        <v>0</v>
      </c>
      <c r="I77" s="4">
        <f t="shared" si="22"/>
        <v>0</v>
      </c>
      <c r="J77" s="4">
        <f t="shared" si="22"/>
        <v>0</v>
      </c>
      <c r="K77" s="4">
        <f t="shared" si="22"/>
        <v>0</v>
      </c>
      <c r="L77" s="4">
        <f t="shared" si="22"/>
        <v>0</v>
      </c>
    </row>
    <row r="78" spans="8:12" hidden="1" x14ac:dyDescent="0.25">
      <c r="H78" s="4">
        <f t="shared" si="22"/>
        <v>0</v>
      </c>
      <c r="I78" s="4">
        <f t="shared" si="22"/>
        <v>0</v>
      </c>
      <c r="J78" s="4">
        <f t="shared" si="22"/>
        <v>0</v>
      </c>
      <c r="K78" s="4">
        <f t="shared" si="22"/>
        <v>0</v>
      </c>
      <c r="L78" s="4">
        <f t="shared" si="22"/>
        <v>0</v>
      </c>
    </row>
    <row r="79" spans="8:12" hidden="1" x14ac:dyDescent="0.25">
      <c r="H79" s="4">
        <f t="shared" si="22"/>
        <v>0</v>
      </c>
      <c r="I79" s="4">
        <f t="shared" si="22"/>
        <v>0</v>
      </c>
      <c r="J79" s="4">
        <f t="shared" si="22"/>
        <v>0</v>
      </c>
      <c r="K79" s="4">
        <f t="shared" si="22"/>
        <v>0</v>
      </c>
      <c r="L79" s="4">
        <f t="shared" si="22"/>
        <v>0</v>
      </c>
    </row>
    <row r="80" spans="8:12" hidden="1" x14ac:dyDescent="0.25">
      <c r="H80" s="4">
        <f t="shared" si="22"/>
        <v>0</v>
      </c>
      <c r="I80" s="4">
        <f t="shared" si="22"/>
        <v>0</v>
      </c>
      <c r="J80" s="4">
        <f t="shared" si="22"/>
        <v>0</v>
      </c>
      <c r="K80" s="4">
        <f t="shared" si="22"/>
        <v>0</v>
      </c>
      <c r="L80" s="4">
        <f t="shared" si="22"/>
        <v>0</v>
      </c>
    </row>
    <row r="81" spans="8:12" hidden="1" x14ac:dyDescent="0.25">
      <c r="H81" s="4">
        <f t="shared" si="22"/>
        <v>0</v>
      </c>
      <c r="I81" s="4">
        <f t="shared" si="22"/>
        <v>0</v>
      </c>
      <c r="J81" s="4">
        <f t="shared" si="22"/>
        <v>0</v>
      </c>
      <c r="K81" s="4">
        <f t="shared" si="22"/>
        <v>0</v>
      </c>
      <c r="L81" s="4">
        <f t="shared" si="22"/>
        <v>0</v>
      </c>
    </row>
    <row r="82" spans="8:12" hidden="1" x14ac:dyDescent="0.25"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</row>
    <row r="83" spans="8:12" hidden="1" x14ac:dyDescent="0.25">
      <c r="H83" s="4">
        <f t="shared" si="22"/>
        <v>0</v>
      </c>
      <c r="I83" s="4">
        <f t="shared" si="22"/>
        <v>0</v>
      </c>
      <c r="J83" s="4">
        <f t="shared" si="22"/>
        <v>0</v>
      </c>
      <c r="K83" s="4">
        <f t="shared" si="22"/>
        <v>0</v>
      </c>
      <c r="L83" s="4">
        <f t="shared" si="22"/>
        <v>0</v>
      </c>
    </row>
    <row r="84" spans="8:12" hidden="1" x14ac:dyDescent="0.25">
      <c r="H84" s="4">
        <f t="shared" ref="H84:L93" si="23">AZ2</f>
        <v>0</v>
      </c>
      <c r="I84" s="4">
        <f t="shared" si="23"/>
        <v>0</v>
      </c>
      <c r="J84" s="4">
        <f t="shared" si="23"/>
        <v>0</v>
      </c>
      <c r="K84" s="4">
        <f t="shared" si="23"/>
        <v>0</v>
      </c>
      <c r="L84" s="4">
        <f t="shared" si="23"/>
        <v>0</v>
      </c>
    </row>
    <row r="85" spans="8:12" hidden="1" x14ac:dyDescent="0.25">
      <c r="H85" s="4">
        <f t="shared" si="23"/>
        <v>0</v>
      </c>
      <c r="I85" s="4">
        <f t="shared" si="23"/>
        <v>0</v>
      </c>
      <c r="J85" s="4">
        <f t="shared" si="23"/>
        <v>0</v>
      </c>
      <c r="K85" s="4">
        <f t="shared" si="23"/>
        <v>0</v>
      </c>
      <c r="L85" s="4">
        <f t="shared" si="23"/>
        <v>0</v>
      </c>
    </row>
    <row r="86" spans="8:12" hidden="1" x14ac:dyDescent="0.25">
      <c r="H86" s="4">
        <f t="shared" si="23"/>
        <v>0</v>
      </c>
      <c r="I86" s="4">
        <f t="shared" si="23"/>
        <v>0</v>
      </c>
      <c r="J86" s="4">
        <f t="shared" si="23"/>
        <v>0</v>
      </c>
      <c r="K86" s="4">
        <f t="shared" si="23"/>
        <v>0</v>
      </c>
      <c r="L86" s="4">
        <f t="shared" si="23"/>
        <v>0</v>
      </c>
    </row>
    <row r="87" spans="8:12" hidden="1" x14ac:dyDescent="0.25">
      <c r="H87" s="4">
        <f t="shared" si="23"/>
        <v>0</v>
      </c>
      <c r="I87" s="4">
        <f t="shared" si="23"/>
        <v>0</v>
      </c>
      <c r="J87" s="4">
        <f t="shared" si="23"/>
        <v>0</v>
      </c>
      <c r="K87" s="4">
        <f t="shared" si="23"/>
        <v>0</v>
      </c>
      <c r="L87" s="4">
        <f t="shared" si="23"/>
        <v>0</v>
      </c>
    </row>
    <row r="88" spans="8:12" hidden="1" x14ac:dyDescent="0.25">
      <c r="H88" s="4">
        <f t="shared" si="23"/>
        <v>0</v>
      </c>
      <c r="I88" s="4">
        <f t="shared" si="23"/>
        <v>0</v>
      </c>
      <c r="J88" s="4">
        <f t="shared" si="23"/>
        <v>0</v>
      </c>
      <c r="K88" s="4">
        <f t="shared" si="23"/>
        <v>0</v>
      </c>
      <c r="L88" s="4">
        <f t="shared" si="23"/>
        <v>0</v>
      </c>
    </row>
    <row r="89" spans="8:12" hidden="1" x14ac:dyDescent="0.25">
      <c r="H89" s="4">
        <f t="shared" si="23"/>
        <v>0</v>
      </c>
      <c r="I89" s="4">
        <f t="shared" si="23"/>
        <v>0</v>
      </c>
      <c r="J89" s="4">
        <f t="shared" si="23"/>
        <v>0</v>
      </c>
      <c r="K89" s="4">
        <f t="shared" si="23"/>
        <v>0</v>
      </c>
      <c r="L89" s="4">
        <f t="shared" si="23"/>
        <v>0</v>
      </c>
    </row>
    <row r="90" spans="8:12" hidden="1" x14ac:dyDescent="0.25">
      <c r="H90" s="4">
        <f t="shared" si="23"/>
        <v>0</v>
      </c>
      <c r="I90" s="4">
        <f t="shared" si="23"/>
        <v>0</v>
      </c>
      <c r="J90" s="4">
        <f t="shared" si="23"/>
        <v>0</v>
      </c>
      <c r="K90" s="4">
        <f t="shared" si="23"/>
        <v>0</v>
      </c>
      <c r="L90" s="4">
        <f t="shared" si="23"/>
        <v>0</v>
      </c>
    </row>
    <row r="91" spans="8:12" hidden="1" x14ac:dyDescent="0.25">
      <c r="H91" s="4">
        <f t="shared" si="23"/>
        <v>0</v>
      </c>
      <c r="I91" s="4">
        <f t="shared" si="23"/>
        <v>0</v>
      </c>
      <c r="J91" s="4">
        <f t="shared" si="23"/>
        <v>0</v>
      </c>
      <c r="K91" s="4">
        <f t="shared" si="23"/>
        <v>0</v>
      </c>
      <c r="L91" s="4">
        <f t="shared" si="23"/>
        <v>0</v>
      </c>
    </row>
    <row r="92" spans="8:12" hidden="1" x14ac:dyDescent="0.25">
      <c r="H92" s="4">
        <f t="shared" si="23"/>
        <v>0</v>
      </c>
      <c r="I92" s="4">
        <f t="shared" si="23"/>
        <v>0</v>
      </c>
      <c r="J92" s="4">
        <f t="shared" si="23"/>
        <v>0</v>
      </c>
      <c r="K92" s="4">
        <f t="shared" si="23"/>
        <v>0</v>
      </c>
      <c r="L92" s="4">
        <f t="shared" si="23"/>
        <v>0</v>
      </c>
    </row>
    <row r="93" spans="8:12" hidden="1" x14ac:dyDescent="0.25">
      <c r="H93" s="4">
        <f t="shared" si="23"/>
        <v>0</v>
      </c>
      <c r="I93" s="4">
        <f t="shared" si="23"/>
        <v>0</v>
      </c>
      <c r="J93" s="4">
        <f t="shared" si="23"/>
        <v>0</v>
      </c>
      <c r="K93" s="4">
        <f t="shared" si="23"/>
        <v>0</v>
      </c>
      <c r="L93" s="4">
        <f t="shared" si="23"/>
        <v>0</v>
      </c>
    </row>
    <row r="94" spans="8:12" hidden="1" x14ac:dyDescent="0.25">
      <c r="H94" s="4">
        <f t="shared" ref="H94:L103" si="24">BF2</f>
        <v>0</v>
      </c>
      <c r="I94" s="4">
        <f t="shared" si="24"/>
        <v>0</v>
      </c>
      <c r="J94" s="4">
        <f t="shared" si="24"/>
        <v>0</v>
      </c>
      <c r="K94" s="4">
        <f t="shared" si="24"/>
        <v>0</v>
      </c>
      <c r="L94" s="4">
        <f t="shared" si="24"/>
        <v>0</v>
      </c>
    </row>
    <row r="95" spans="8:12" hidden="1" x14ac:dyDescent="0.25">
      <c r="H95" s="4">
        <f t="shared" si="24"/>
        <v>0</v>
      </c>
      <c r="I95" s="4">
        <f t="shared" si="24"/>
        <v>0</v>
      </c>
      <c r="J95" s="4">
        <f t="shared" si="24"/>
        <v>0</v>
      </c>
      <c r="K95" s="4">
        <f t="shared" si="24"/>
        <v>0</v>
      </c>
      <c r="L95" s="4">
        <f t="shared" si="24"/>
        <v>0</v>
      </c>
    </row>
    <row r="96" spans="8:12" hidden="1" x14ac:dyDescent="0.25">
      <c r="H96" s="4">
        <f t="shared" si="24"/>
        <v>0</v>
      </c>
      <c r="I96" s="4">
        <f t="shared" si="24"/>
        <v>0</v>
      </c>
      <c r="J96" s="4">
        <f t="shared" si="24"/>
        <v>0</v>
      </c>
      <c r="K96" s="4">
        <f t="shared" si="24"/>
        <v>0</v>
      </c>
      <c r="L96" s="4">
        <f t="shared" si="24"/>
        <v>0</v>
      </c>
    </row>
    <row r="97" spans="8:12" hidden="1" x14ac:dyDescent="0.25">
      <c r="H97" s="4">
        <f t="shared" si="24"/>
        <v>0</v>
      </c>
      <c r="I97" s="4">
        <f t="shared" si="24"/>
        <v>0</v>
      </c>
      <c r="J97" s="4">
        <f t="shared" si="24"/>
        <v>0</v>
      </c>
      <c r="K97" s="4">
        <f t="shared" si="24"/>
        <v>0</v>
      </c>
      <c r="L97" s="4">
        <f t="shared" si="24"/>
        <v>0</v>
      </c>
    </row>
    <row r="98" spans="8:12" hidden="1" x14ac:dyDescent="0.25">
      <c r="H98" s="4">
        <f t="shared" si="24"/>
        <v>0</v>
      </c>
      <c r="I98" s="4">
        <f t="shared" si="24"/>
        <v>0</v>
      </c>
      <c r="J98" s="4">
        <f t="shared" si="24"/>
        <v>0</v>
      </c>
      <c r="K98" s="4">
        <f t="shared" si="24"/>
        <v>0</v>
      </c>
      <c r="L98" s="4">
        <f t="shared" si="24"/>
        <v>0</v>
      </c>
    </row>
    <row r="99" spans="8:12" hidden="1" x14ac:dyDescent="0.25">
      <c r="H99" s="4">
        <f t="shared" si="24"/>
        <v>0</v>
      </c>
      <c r="I99" s="4">
        <f t="shared" si="24"/>
        <v>0</v>
      </c>
      <c r="J99" s="4">
        <f t="shared" si="24"/>
        <v>0</v>
      </c>
      <c r="K99" s="4">
        <f t="shared" si="24"/>
        <v>0</v>
      </c>
      <c r="L99" s="4">
        <f t="shared" si="24"/>
        <v>0</v>
      </c>
    </row>
    <row r="100" spans="8:12" hidden="1" x14ac:dyDescent="0.25">
      <c r="H100" s="4">
        <f t="shared" si="24"/>
        <v>0</v>
      </c>
      <c r="I100" s="4">
        <f t="shared" si="24"/>
        <v>0</v>
      </c>
      <c r="J100" s="4">
        <f t="shared" si="24"/>
        <v>0</v>
      </c>
      <c r="K100" s="4">
        <f t="shared" si="24"/>
        <v>0</v>
      </c>
      <c r="L100" s="4">
        <f t="shared" si="24"/>
        <v>0</v>
      </c>
    </row>
    <row r="101" spans="8:12" hidden="1" x14ac:dyDescent="0.25">
      <c r="H101" s="4">
        <f t="shared" si="24"/>
        <v>0</v>
      </c>
      <c r="I101" s="4">
        <f t="shared" si="24"/>
        <v>0</v>
      </c>
      <c r="J101" s="4">
        <f t="shared" si="24"/>
        <v>0</v>
      </c>
      <c r="K101" s="4">
        <f t="shared" si="24"/>
        <v>0</v>
      </c>
      <c r="L101" s="4">
        <f t="shared" si="24"/>
        <v>0</v>
      </c>
    </row>
    <row r="102" spans="8:12" hidden="1" x14ac:dyDescent="0.25">
      <c r="H102" s="4">
        <f t="shared" si="24"/>
        <v>0</v>
      </c>
      <c r="I102" s="4">
        <f t="shared" si="24"/>
        <v>0</v>
      </c>
      <c r="J102" s="4">
        <f t="shared" si="24"/>
        <v>0</v>
      </c>
      <c r="K102" s="4">
        <f t="shared" si="24"/>
        <v>0</v>
      </c>
      <c r="L102" s="4">
        <f t="shared" si="24"/>
        <v>0</v>
      </c>
    </row>
    <row r="103" spans="8:12" hidden="1" x14ac:dyDescent="0.25">
      <c r="H103" s="4">
        <f t="shared" si="24"/>
        <v>0</v>
      </c>
      <c r="I103" s="4">
        <f t="shared" si="24"/>
        <v>0</v>
      </c>
      <c r="J103" s="4">
        <f t="shared" si="24"/>
        <v>0</v>
      </c>
      <c r="K103" s="4">
        <f t="shared" si="24"/>
        <v>0</v>
      </c>
      <c r="L103" s="4">
        <f t="shared" si="24"/>
        <v>0</v>
      </c>
    </row>
    <row r="104" spans="8:12" hidden="1" x14ac:dyDescent="0.25">
      <c r="H104" s="4">
        <f t="shared" ref="H104:L113" si="25">BL2</f>
        <v>0</v>
      </c>
      <c r="I104" s="4">
        <f t="shared" si="25"/>
        <v>0</v>
      </c>
      <c r="J104" s="4">
        <f t="shared" si="25"/>
        <v>0</v>
      </c>
      <c r="K104" s="4">
        <f t="shared" si="25"/>
        <v>0</v>
      </c>
      <c r="L104" s="4">
        <f t="shared" si="25"/>
        <v>0</v>
      </c>
    </row>
    <row r="105" spans="8:12" hidden="1" x14ac:dyDescent="0.25">
      <c r="H105" s="4">
        <f t="shared" si="25"/>
        <v>0</v>
      </c>
      <c r="I105" s="4">
        <f t="shared" si="25"/>
        <v>0</v>
      </c>
      <c r="J105" s="4">
        <f t="shared" si="25"/>
        <v>0</v>
      </c>
      <c r="K105" s="4">
        <f t="shared" si="25"/>
        <v>0</v>
      </c>
      <c r="L105" s="4">
        <f t="shared" si="25"/>
        <v>0</v>
      </c>
    </row>
    <row r="106" spans="8:12" hidden="1" x14ac:dyDescent="0.25">
      <c r="H106" s="4">
        <f t="shared" si="25"/>
        <v>0</v>
      </c>
      <c r="I106" s="4">
        <f t="shared" si="25"/>
        <v>0</v>
      </c>
      <c r="J106" s="4">
        <f t="shared" si="25"/>
        <v>0</v>
      </c>
      <c r="K106" s="4">
        <f t="shared" si="25"/>
        <v>0</v>
      </c>
      <c r="L106" s="4">
        <f t="shared" si="25"/>
        <v>0</v>
      </c>
    </row>
    <row r="107" spans="8:12" hidden="1" x14ac:dyDescent="0.25">
      <c r="H107" s="4">
        <f t="shared" si="25"/>
        <v>0</v>
      </c>
      <c r="I107" s="4">
        <f t="shared" si="25"/>
        <v>0</v>
      </c>
      <c r="J107" s="4">
        <f t="shared" si="25"/>
        <v>0</v>
      </c>
      <c r="K107" s="4">
        <f t="shared" si="25"/>
        <v>0</v>
      </c>
      <c r="L107" s="4">
        <f t="shared" si="25"/>
        <v>0</v>
      </c>
    </row>
    <row r="108" spans="8:12" hidden="1" x14ac:dyDescent="0.25">
      <c r="H108" s="4">
        <f t="shared" si="25"/>
        <v>0</v>
      </c>
      <c r="I108" s="4">
        <f t="shared" si="25"/>
        <v>0</v>
      </c>
      <c r="J108" s="4">
        <f t="shared" si="25"/>
        <v>0</v>
      </c>
      <c r="K108" s="4">
        <f t="shared" si="25"/>
        <v>0</v>
      </c>
      <c r="L108" s="4">
        <f t="shared" si="25"/>
        <v>0</v>
      </c>
    </row>
    <row r="109" spans="8:12" hidden="1" x14ac:dyDescent="0.25">
      <c r="H109" s="4">
        <f t="shared" si="25"/>
        <v>0</v>
      </c>
      <c r="I109" s="4">
        <f t="shared" si="25"/>
        <v>0</v>
      </c>
      <c r="J109" s="4">
        <f t="shared" si="25"/>
        <v>0</v>
      </c>
      <c r="K109" s="4">
        <f t="shared" si="25"/>
        <v>0</v>
      </c>
      <c r="L109" s="4">
        <f t="shared" si="25"/>
        <v>0</v>
      </c>
    </row>
    <row r="110" spans="8:12" hidden="1" x14ac:dyDescent="0.25">
      <c r="H110" s="4">
        <f t="shared" si="25"/>
        <v>0</v>
      </c>
      <c r="I110" s="4">
        <f t="shared" si="25"/>
        <v>0</v>
      </c>
      <c r="J110" s="4">
        <f t="shared" si="25"/>
        <v>0</v>
      </c>
      <c r="K110" s="4">
        <f t="shared" si="25"/>
        <v>0</v>
      </c>
      <c r="L110" s="4">
        <f t="shared" si="25"/>
        <v>0</v>
      </c>
    </row>
    <row r="111" spans="8:12" hidden="1" x14ac:dyDescent="0.25">
      <c r="H111" s="4">
        <f t="shared" si="25"/>
        <v>0</v>
      </c>
      <c r="I111" s="4">
        <f t="shared" si="25"/>
        <v>0</v>
      </c>
      <c r="J111" s="4">
        <f t="shared" si="25"/>
        <v>0</v>
      </c>
      <c r="K111" s="4">
        <f t="shared" si="25"/>
        <v>0</v>
      </c>
      <c r="L111" s="4">
        <f t="shared" si="25"/>
        <v>0</v>
      </c>
    </row>
    <row r="112" spans="8:12" hidden="1" x14ac:dyDescent="0.25">
      <c r="H112" s="4">
        <f t="shared" si="25"/>
        <v>0</v>
      </c>
      <c r="I112" s="4">
        <f t="shared" si="25"/>
        <v>0</v>
      </c>
      <c r="J112" s="4">
        <f t="shared" si="25"/>
        <v>0</v>
      </c>
      <c r="K112" s="4">
        <f t="shared" si="25"/>
        <v>0</v>
      </c>
      <c r="L112" s="4">
        <f t="shared" si="25"/>
        <v>0</v>
      </c>
    </row>
    <row r="113" spans="1:62" hidden="1" x14ac:dyDescent="0.25">
      <c r="H113" s="45">
        <f t="shared" si="25"/>
        <v>0</v>
      </c>
      <c r="I113" s="45">
        <f t="shared" si="25"/>
        <v>0</v>
      </c>
      <c r="J113" s="4">
        <f t="shared" si="25"/>
        <v>0</v>
      </c>
      <c r="K113" s="4">
        <f t="shared" si="25"/>
        <v>0</v>
      </c>
      <c r="L113" s="4">
        <f t="shared" si="25"/>
        <v>0</v>
      </c>
    </row>
    <row r="114" spans="1:62" x14ac:dyDescent="0.25">
      <c r="A114" s="168" t="s">
        <v>85</v>
      </c>
      <c r="B114" s="169"/>
      <c r="C114" s="170"/>
      <c r="D114" s="171">
        <v>46008</v>
      </c>
      <c r="E114" s="172"/>
      <c r="F114" s="172"/>
      <c r="G114" s="172"/>
      <c r="H114" s="46"/>
      <c r="I114" s="54"/>
    </row>
    <row r="115" spans="1:62" ht="15.75" thickBot="1" x14ac:dyDescent="0.3">
      <c r="A115" s="110"/>
      <c r="B115" s="110"/>
      <c r="C115" s="110"/>
      <c r="D115" s="110"/>
      <c r="E115" s="110"/>
      <c r="F115" s="110"/>
      <c r="G115" s="110"/>
      <c r="H115" s="54"/>
      <c r="I115" s="54"/>
    </row>
    <row r="116" spans="1:62" ht="16.5" thickBot="1" x14ac:dyDescent="0.3">
      <c r="A116" s="173" t="s">
        <v>248</v>
      </c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5"/>
      <c r="AH116" s="118" t="s">
        <v>35</v>
      </c>
      <c r="AI116" s="118"/>
      <c r="AJ116" s="118" t="str">
        <f>F2</f>
        <v>AP08</v>
      </c>
      <c r="AK116" s="118"/>
      <c r="AL116" s="118"/>
      <c r="AN116" s="118" t="s">
        <v>35</v>
      </c>
      <c r="AO116" s="118"/>
      <c r="AP116" s="118">
        <f>F3</f>
        <v>0</v>
      </c>
      <c r="AQ116" s="118"/>
      <c r="AR116" s="118"/>
      <c r="AT116" s="118" t="s">
        <v>35</v>
      </c>
      <c r="AU116" s="118"/>
      <c r="AV116" s="118">
        <f>F4</f>
        <v>0</v>
      </c>
      <c r="AW116" s="118"/>
      <c r="AX116" s="118"/>
      <c r="AZ116" s="118" t="s">
        <v>35</v>
      </c>
      <c r="BA116" s="118"/>
      <c r="BB116" s="118">
        <f>F5</f>
        <v>0</v>
      </c>
      <c r="BC116" s="118"/>
      <c r="BD116" s="118"/>
      <c r="BF116" s="118" t="s">
        <v>35</v>
      </c>
      <c r="BG116" s="118"/>
      <c r="BH116" s="118">
        <f>F6</f>
        <v>0</v>
      </c>
      <c r="BI116" s="118"/>
      <c r="BJ116" s="118"/>
    </row>
    <row r="117" spans="1:62" x14ac:dyDescent="0.25">
      <c r="A117" s="123" t="s">
        <v>31</v>
      </c>
      <c r="B117" s="113" t="s">
        <v>22</v>
      </c>
      <c r="C117" s="114"/>
      <c r="D117" s="114"/>
      <c r="E117" s="114"/>
      <c r="F117" s="115"/>
      <c r="G117" s="113" t="s">
        <v>20</v>
      </c>
      <c r="H117" s="114"/>
      <c r="I117" s="114"/>
      <c r="J117" s="114"/>
      <c r="K117" s="115"/>
      <c r="L117" s="113" t="s">
        <v>34</v>
      </c>
      <c r="M117" s="114"/>
      <c r="N117" s="114"/>
      <c r="O117" s="114"/>
      <c r="P117" s="115"/>
      <c r="Q117" s="113" t="s">
        <v>127</v>
      </c>
      <c r="R117" s="114"/>
      <c r="S117" s="114"/>
      <c r="T117" s="114"/>
      <c r="U117" s="115"/>
      <c r="V117" s="113" t="s">
        <v>129</v>
      </c>
      <c r="W117" s="114"/>
      <c r="X117" s="114"/>
      <c r="Y117" s="114"/>
      <c r="Z117" s="115"/>
      <c r="AA117" s="113" t="s">
        <v>26</v>
      </c>
      <c r="AB117" s="114"/>
      <c r="AC117" s="114"/>
      <c r="AD117" s="114"/>
      <c r="AE117" s="115"/>
      <c r="AF117" s="116" t="s">
        <v>24</v>
      </c>
      <c r="AG117" s="116" t="s">
        <v>86</v>
      </c>
      <c r="AH117" s="118" t="str">
        <f>G2</f>
        <v>PAWAN PUTRA AGENCY</v>
      </c>
      <c r="AI117" s="118"/>
      <c r="AJ117" s="118"/>
      <c r="AK117" s="118"/>
      <c r="AL117" s="118"/>
      <c r="AN117" s="118">
        <f>G3</f>
        <v>0</v>
      </c>
      <c r="AO117" s="118"/>
      <c r="AP117" s="118"/>
      <c r="AQ117" s="118"/>
      <c r="AR117" s="118"/>
      <c r="AT117" s="118">
        <f>G4</f>
        <v>0</v>
      </c>
      <c r="AU117" s="118"/>
      <c r="AV117" s="118"/>
      <c r="AW117" s="118"/>
      <c r="AX117" s="118"/>
      <c r="AZ117" s="118">
        <f>G5</f>
        <v>0</v>
      </c>
      <c r="BA117" s="118"/>
      <c r="BB117" s="118"/>
      <c r="BC117" s="118"/>
      <c r="BD117" s="118"/>
      <c r="BF117" s="118">
        <f>G6</f>
        <v>0</v>
      </c>
      <c r="BG117" s="118"/>
      <c r="BH117" s="118"/>
      <c r="BI117" s="118"/>
      <c r="BJ117" s="118"/>
    </row>
    <row r="118" spans="1:62" ht="15.75" thickBot="1" x14ac:dyDescent="0.3">
      <c r="A118" s="124"/>
      <c r="B118" s="9" t="s">
        <v>32</v>
      </c>
      <c r="C118" s="12" t="s">
        <v>17</v>
      </c>
      <c r="D118" s="12" t="s">
        <v>19</v>
      </c>
      <c r="E118" s="12" t="s">
        <v>33</v>
      </c>
      <c r="F118" s="14" t="s">
        <v>80</v>
      </c>
      <c r="G118" s="9" t="s">
        <v>32</v>
      </c>
      <c r="H118" s="12" t="s">
        <v>17</v>
      </c>
      <c r="I118" s="12" t="s">
        <v>19</v>
      </c>
      <c r="J118" s="12" t="s">
        <v>33</v>
      </c>
      <c r="K118" s="14" t="s">
        <v>80</v>
      </c>
      <c r="L118" s="9" t="s">
        <v>32</v>
      </c>
      <c r="M118" s="12" t="s">
        <v>17</v>
      </c>
      <c r="N118" s="12" t="s">
        <v>19</v>
      </c>
      <c r="O118" s="12" t="s">
        <v>33</v>
      </c>
      <c r="P118" s="14" t="s">
        <v>80</v>
      </c>
      <c r="Q118" s="9" t="s">
        <v>32</v>
      </c>
      <c r="R118" s="12" t="s">
        <v>17</v>
      </c>
      <c r="S118" s="12" t="s">
        <v>19</v>
      </c>
      <c r="T118" s="12" t="s">
        <v>33</v>
      </c>
      <c r="U118" s="14" t="s">
        <v>80</v>
      </c>
      <c r="V118" s="9" t="s">
        <v>32</v>
      </c>
      <c r="W118" s="12" t="s">
        <v>17</v>
      </c>
      <c r="X118" s="12" t="s">
        <v>19</v>
      </c>
      <c r="Y118" s="12" t="s">
        <v>33</v>
      </c>
      <c r="Z118" s="14" t="s">
        <v>80</v>
      </c>
      <c r="AA118" s="9" t="s">
        <v>32</v>
      </c>
      <c r="AB118" s="12" t="s">
        <v>17</v>
      </c>
      <c r="AC118" s="12" t="s">
        <v>19</v>
      </c>
      <c r="AD118" s="12" t="s">
        <v>33</v>
      </c>
      <c r="AE118" s="14" t="s">
        <v>80</v>
      </c>
      <c r="AF118" s="117"/>
      <c r="AG118" s="117"/>
      <c r="AH118" s="118" t="str">
        <f>H2</f>
        <v>TIRUPATHI</v>
      </c>
      <c r="AI118" s="118"/>
      <c r="AJ118" s="118"/>
      <c r="AK118" s="118"/>
      <c r="AL118" s="118"/>
      <c r="AN118" s="118">
        <f>H3</f>
        <v>0</v>
      </c>
      <c r="AO118" s="118"/>
      <c r="AP118" s="118"/>
      <c r="AQ118" s="118"/>
      <c r="AR118" s="118"/>
      <c r="AT118" s="118">
        <f>H4</f>
        <v>0</v>
      </c>
      <c r="AU118" s="118"/>
      <c r="AV118" s="118"/>
      <c r="AW118" s="118"/>
      <c r="AX118" s="118"/>
      <c r="AZ118" s="118">
        <f>H5</f>
        <v>0</v>
      </c>
      <c r="BA118" s="118"/>
      <c r="BB118" s="118"/>
      <c r="BC118" s="118"/>
      <c r="BD118" s="118"/>
      <c r="BF118" s="118">
        <f>H6</f>
        <v>0</v>
      </c>
      <c r="BG118" s="118"/>
      <c r="BH118" s="118"/>
      <c r="BI118" s="118"/>
      <c r="BJ118" s="118"/>
    </row>
    <row r="119" spans="1:62" ht="15.75" thickBot="1" x14ac:dyDescent="0.3">
      <c r="A119" s="16">
        <v>300</v>
      </c>
      <c r="B119" s="10">
        <f t="shared" ref="B119:F127" si="26">SUMIFS($J$14:$J$113,$I$14:$I$113,$A119,$K$14:$K$113,B$118,$L$14:$L$113,$B$117,$H$14:$H$113,"AG")</f>
        <v>0</v>
      </c>
      <c r="C119" s="11">
        <f t="shared" si="26"/>
        <v>0</v>
      </c>
      <c r="D119" s="11">
        <f t="shared" si="26"/>
        <v>0</v>
      </c>
      <c r="E119" s="11">
        <f t="shared" si="26"/>
        <v>0</v>
      </c>
      <c r="F119" s="17">
        <f t="shared" si="26"/>
        <v>0</v>
      </c>
      <c r="G119" s="10">
        <f t="shared" ref="G119:K127" si="27">SUMIFS($J$14:$J$113,$I$14:$I$113,$A119,$K$14:$K$113,G$118,$L$14:$L$113,$G$117,$H$14:$H$113,"AG")</f>
        <v>0</v>
      </c>
      <c r="H119" s="11">
        <f t="shared" si="27"/>
        <v>0</v>
      </c>
      <c r="I119" s="11">
        <f t="shared" si="27"/>
        <v>0</v>
      </c>
      <c r="J119" s="11">
        <f t="shared" si="27"/>
        <v>0</v>
      </c>
      <c r="K119" s="17">
        <f t="shared" si="27"/>
        <v>0</v>
      </c>
      <c r="L119" s="10">
        <f t="shared" ref="L119:P127" si="28">SUMIFS($J$14:$J$113,$I$14:$I$113,$A119,$K$14:$K$113,L$118,$L$14:$L$113,$L$117,$H$14:$H$113,"AG")</f>
        <v>0</v>
      </c>
      <c r="M119" s="11">
        <f t="shared" si="28"/>
        <v>0</v>
      </c>
      <c r="N119" s="11">
        <f t="shared" si="28"/>
        <v>0</v>
      </c>
      <c r="O119" s="11">
        <f t="shared" si="28"/>
        <v>0</v>
      </c>
      <c r="P119" s="17">
        <f t="shared" si="28"/>
        <v>0</v>
      </c>
      <c r="Q119" s="10">
        <f t="shared" ref="Q119:U127" si="29">SUMIFS($J$14:$J$113,$I$14:$I$113,$A119,$K$14:$K$113,Q$118,$L$14:$L$113,$Q$117,$H$14:$H$113,"AG")</f>
        <v>0</v>
      </c>
      <c r="R119" s="11">
        <f t="shared" si="29"/>
        <v>0</v>
      </c>
      <c r="S119" s="11">
        <f t="shared" si="29"/>
        <v>0</v>
      </c>
      <c r="T119" s="11">
        <f t="shared" si="29"/>
        <v>0</v>
      </c>
      <c r="U119" s="17">
        <f t="shared" si="29"/>
        <v>0</v>
      </c>
      <c r="V119" s="10">
        <f t="shared" ref="V119:AE127" si="30">SUMIFS($J$14:$J$113,$I$14:$I$113,$A119,$K$14:$K$113,V$118,$L$14:$L$113,$L$117,$H$14:$H$113,"AG")</f>
        <v>0</v>
      </c>
      <c r="W119" s="11">
        <f t="shared" si="30"/>
        <v>0</v>
      </c>
      <c r="X119" s="11">
        <f t="shared" si="30"/>
        <v>0</v>
      </c>
      <c r="Y119" s="11">
        <f t="shared" si="30"/>
        <v>0</v>
      </c>
      <c r="Z119" s="17">
        <f t="shared" si="30"/>
        <v>0</v>
      </c>
      <c r="AA119" s="10">
        <f t="shared" si="30"/>
        <v>0</v>
      </c>
      <c r="AB119" s="11">
        <f t="shared" si="30"/>
        <v>0</v>
      </c>
      <c r="AC119" s="11">
        <f t="shared" si="30"/>
        <v>0</v>
      </c>
      <c r="AD119" s="11">
        <f t="shared" si="30"/>
        <v>0</v>
      </c>
      <c r="AE119" s="17">
        <f t="shared" si="30"/>
        <v>0</v>
      </c>
      <c r="AF119" s="16">
        <f>SUM(B119:AE119)*A119</f>
        <v>0</v>
      </c>
      <c r="AG119" s="16">
        <f>SUM(B119:AE119)</f>
        <v>0</v>
      </c>
      <c r="AH119" s="30" t="s">
        <v>136</v>
      </c>
      <c r="AI119" s="30" t="s">
        <v>27</v>
      </c>
      <c r="AJ119" s="30" t="s">
        <v>28</v>
      </c>
      <c r="AK119" s="30" t="s">
        <v>29</v>
      </c>
      <c r="AL119" s="30" t="s">
        <v>30</v>
      </c>
      <c r="AN119" s="30" t="s">
        <v>136</v>
      </c>
      <c r="AO119" s="30" t="s">
        <v>27</v>
      </c>
      <c r="AP119" s="30" t="s">
        <v>28</v>
      </c>
      <c r="AQ119" s="30" t="s">
        <v>29</v>
      </c>
      <c r="AR119" s="30" t="s">
        <v>30</v>
      </c>
      <c r="AT119" s="30" t="s">
        <v>136</v>
      </c>
      <c r="AU119" s="30" t="s">
        <v>27</v>
      </c>
      <c r="AV119" s="30" t="s">
        <v>28</v>
      </c>
      <c r="AW119" s="30" t="s">
        <v>29</v>
      </c>
      <c r="AX119" s="30" t="s">
        <v>30</v>
      </c>
      <c r="AZ119" s="30" t="s">
        <v>136</v>
      </c>
      <c r="BA119" s="30" t="s">
        <v>27</v>
      </c>
      <c r="BB119" s="30" t="s">
        <v>28</v>
      </c>
      <c r="BC119" s="30" t="s">
        <v>29</v>
      </c>
      <c r="BD119" s="30" t="s">
        <v>30</v>
      </c>
      <c r="BF119" s="30" t="s">
        <v>136</v>
      </c>
      <c r="BG119" s="30" t="s">
        <v>27</v>
      </c>
      <c r="BH119" s="30" t="s">
        <v>28</v>
      </c>
      <c r="BI119" s="30" t="s">
        <v>29</v>
      </c>
      <c r="BJ119" s="30" t="s">
        <v>30</v>
      </c>
    </row>
    <row r="120" spans="1:62" x14ac:dyDescent="0.25">
      <c r="A120" s="16">
        <v>500</v>
      </c>
      <c r="B120" s="10">
        <f t="shared" si="26"/>
        <v>0</v>
      </c>
      <c r="C120" s="11">
        <f t="shared" si="26"/>
        <v>20</v>
      </c>
      <c r="D120" s="11">
        <f t="shared" si="26"/>
        <v>0</v>
      </c>
      <c r="E120" s="11">
        <f t="shared" si="26"/>
        <v>0</v>
      </c>
      <c r="F120" s="17">
        <f t="shared" si="26"/>
        <v>0</v>
      </c>
      <c r="G120" s="10">
        <f t="shared" si="27"/>
        <v>0</v>
      </c>
      <c r="H120" s="11">
        <f t="shared" si="27"/>
        <v>0</v>
      </c>
      <c r="I120" s="11">
        <f t="shared" si="27"/>
        <v>0</v>
      </c>
      <c r="J120" s="11">
        <f t="shared" si="27"/>
        <v>0</v>
      </c>
      <c r="K120" s="17">
        <f t="shared" si="27"/>
        <v>0</v>
      </c>
      <c r="L120" s="10">
        <f t="shared" si="28"/>
        <v>0</v>
      </c>
      <c r="M120" s="11">
        <f t="shared" si="28"/>
        <v>0</v>
      </c>
      <c r="N120" s="11">
        <f t="shared" si="28"/>
        <v>0</v>
      </c>
      <c r="O120" s="11">
        <f t="shared" si="28"/>
        <v>0</v>
      </c>
      <c r="P120" s="17">
        <f t="shared" si="28"/>
        <v>0</v>
      </c>
      <c r="Q120" s="10">
        <f t="shared" si="29"/>
        <v>0</v>
      </c>
      <c r="R120" s="11">
        <f t="shared" si="29"/>
        <v>0</v>
      </c>
      <c r="S120" s="11">
        <f t="shared" si="29"/>
        <v>0</v>
      </c>
      <c r="T120" s="11">
        <f t="shared" si="29"/>
        <v>0</v>
      </c>
      <c r="U120" s="17">
        <f t="shared" si="29"/>
        <v>0</v>
      </c>
      <c r="V120" s="10">
        <f t="shared" si="30"/>
        <v>0</v>
      </c>
      <c r="W120" s="11">
        <f t="shared" si="30"/>
        <v>0</v>
      </c>
      <c r="X120" s="11">
        <f t="shared" si="30"/>
        <v>0</v>
      </c>
      <c r="Y120" s="11">
        <f t="shared" si="30"/>
        <v>0</v>
      </c>
      <c r="Z120" s="17">
        <f t="shared" si="30"/>
        <v>0</v>
      </c>
      <c r="AA120" s="10">
        <f t="shared" si="30"/>
        <v>0</v>
      </c>
      <c r="AB120" s="11">
        <f t="shared" si="30"/>
        <v>0</v>
      </c>
      <c r="AC120" s="11">
        <f t="shared" si="30"/>
        <v>0</v>
      </c>
      <c r="AD120" s="11">
        <f t="shared" si="30"/>
        <v>0</v>
      </c>
      <c r="AE120" s="17">
        <f t="shared" si="30"/>
        <v>0</v>
      </c>
      <c r="AF120" s="16">
        <f t="shared" ref="AF120:AF127" si="31">SUM(B120:AE120)*A120</f>
        <v>10000</v>
      </c>
      <c r="AG120" s="16">
        <f t="shared" ref="AG120:AG128" si="32">SUM(B120:AE120)</f>
        <v>20</v>
      </c>
      <c r="AH120" s="16" t="str">
        <f>J2</f>
        <v>AG</v>
      </c>
      <c r="AI120" s="10">
        <f>K2</f>
        <v>1500</v>
      </c>
      <c r="AJ120" s="11">
        <f>L2</f>
        <v>8</v>
      </c>
      <c r="AK120" s="11" t="str">
        <f>M2</f>
        <v>Y</v>
      </c>
      <c r="AL120" s="17" t="str">
        <f>N2</f>
        <v>3L</v>
      </c>
      <c r="AN120" s="16">
        <f>J3</f>
        <v>0</v>
      </c>
      <c r="AO120" s="10">
        <f>K3</f>
        <v>0</v>
      </c>
      <c r="AP120" s="11">
        <f>L3</f>
        <v>0</v>
      </c>
      <c r="AQ120" s="11">
        <f>M3</f>
        <v>0</v>
      </c>
      <c r="AR120" s="17">
        <f>N3</f>
        <v>0</v>
      </c>
      <c r="AT120" s="16">
        <f>J4</f>
        <v>0</v>
      </c>
      <c r="AU120" s="10">
        <f>K4</f>
        <v>0</v>
      </c>
      <c r="AV120" s="11">
        <f>L4</f>
        <v>0</v>
      </c>
      <c r="AW120" s="11">
        <f>M4</f>
        <v>0</v>
      </c>
      <c r="AX120" s="17">
        <f>N4</f>
        <v>0</v>
      </c>
      <c r="AZ120" s="16">
        <f>J5</f>
        <v>0</v>
      </c>
      <c r="BA120" s="10">
        <f>K5</f>
        <v>0</v>
      </c>
      <c r="BB120" s="11">
        <f>L5</f>
        <v>0</v>
      </c>
      <c r="BC120" s="11">
        <f>M5</f>
        <v>0</v>
      </c>
      <c r="BD120" s="17">
        <f>N5</f>
        <v>0</v>
      </c>
      <c r="BF120" s="16">
        <f>J6</f>
        <v>0</v>
      </c>
      <c r="BG120" s="10">
        <f>K6</f>
        <v>0</v>
      </c>
      <c r="BH120" s="11">
        <f>L6</f>
        <v>0</v>
      </c>
      <c r="BI120" s="11">
        <f>M6</f>
        <v>0</v>
      </c>
      <c r="BJ120" s="17">
        <f>N6</f>
        <v>0</v>
      </c>
    </row>
    <row r="121" spans="1:62" x14ac:dyDescent="0.25">
      <c r="A121" s="15">
        <v>750</v>
      </c>
      <c r="B121" s="8">
        <f t="shared" si="26"/>
        <v>0</v>
      </c>
      <c r="C121" s="6">
        <f t="shared" si="26"/>
        <v>10</v>
      </c>
      <c r="D121" s="6">
        <f t="shared" si="26"/>
        <v>0</v>
      </c>
      <c r="E121" s="6">
        <f t="shared" si="26"/>
        <v>0</v>
      </c>
      <c r="F121" s="13">
        <f t="shared" si="26"/>
        <v>0</v>
      </c>
      <c r="G121" s="8">
        <f t="shared" si="27"/>
        <v>0</v>
      </c>
      <c r="H121" s="6">
        <f t="shared" si="27"/>
        <v>0</v>
      </c>
      <c r="I121" s="6">
        <f t="shared" si="27"/>
        <v>0</v>
      </c>
      <c r="J121" s="6">
        <f t="shared" si="27"/>
        <v>0</v>
      </c>
      <c r="K121" s="13">
        <f t="shared" si="27"/>
        <v>0</v>
      </c>
      <c r="L121" s="8">
        <f t="shared" si="28"/>
        <v>0</v>
      </c>
      <c r="M121" s="6">
        <f t="shared" si="28"/>
        <v>0</v>
      </c>
      <c r="N121" s="6">
        <f t="shared" si="28"/>
        <v>0</v>
      </c>
      <c r="O121" s="6">
        <f t="shared" si="28"/>
        <v>0</v>
      </c>
      <c r="P121" s="13">
        <f t="shared" si="28"/>
        <v>0</v>
      </c>
      <c r="Q121" s="8">
        <f t="shared" si="29"/>
        <v>0</v>
      </c>
      <c r="R121" s="6">
        <f t="shared" si="29"/>
        <v>0</v>
      </c>
      <c r="S121" s="6">
        <f t="shared" si="29"/>
        <v>0</v>
      </c>
      <c r="T121" s="6">
        <f t="shared" si="29"/>
        <v>0</v>
      </c>
      <c r="U121" s="13">
        <f t="shared" si="29"/>
        <v>0</v>
      </c>
      <c r="V121" s="8">
        <f t="shared" si="30"/>
        <v>0</v>
      </c>
      <c r="W121" s="6">
        <f t="shared" si="30"/>
        <v>0</v>
      </c>
      <c r="X121" s="6">
        <f t="shared" si="30"/>
        <v>0</v>
      </c>
      <c r="Y121" s="6">
        <f t="shared" si="30"/>
        <v>0</v>
      </c>
      <c r="Z121" s="13">
        <f t="shared" si="30"/>
        <v>0</v>
      </c>
      <c r="AA121" s="8">
        <f t="shared" si="30"/>
        <v>0</v>
      </c>
      <c r="AB121" s="6">
        <f t="shared" si="30"/>
        <v>0</v>
      </c>
      <c r="AC121" s="6">
        <f t="shared" si="30"/>
        <v>0</v>
      </c>
      <c r="AD121" s="6">
        <f t="shared" si="30"/>
        <v>0</v>
      </c>
      <c r="AE121" s="13">
        <f t="shared" si="30"/>
        <v>0</v>
      </c>
      <c r="AF121" s="16">
        <f t="shared" si="31"/>
        <v>7500</v>
      </c>
      <c r="AG121" s="16">
        <f t="shared" si="32"/>
        <v>10</v>
      </c>
      <c r="AH121" s="15" t="str">
        <f>P2</f>
        <v>AG</v>
      </c>
      <c r="AI121" s="8">
        <f>Q2</f>
        <v>1000</v>
      </c>
      <c r="AJ121" s="6">
        <f>R2</f>
        <v>10</v>
      </c>
      <c r="AK121" s="6" t="str">
        <f>S2</f>
        <v>Y</v>
      </c>
      <c r="AL121" s="13" t="str">
        <f>T2</f>
        <v>3L</v>
      </c>
      <c r="AN121" s="15">
        <f>P3</f>
        <v>0</v>
      </c>
      <c r="AO121" s="8">
        <f>Q3</f>
        <v>0</v>
      </c>
      <c r="AP121" s="6">
        <f>R3</f>
        <v>0</v>
      </c>
      <c r="AQ121" s="6">
        <f>S3</f>
        <v>0</v>
      </c>
      <c r="AR121" s="13">
        <f>T3</f>
        <v>0</v>
      </c>
      <c r="AT121" s="15">
        <f>P4</f>
        <v>0</v>
      </c>
      <c r="AU121" s="8">
        <f>Q4</f>
        <v>0</v>
      </c>
      <c r="AV121" s="6">
        <f>R4</f>
        <v>0</v>
      </c>
      <c r="AW121" s="6">
        <f>S4</f>
        <v>0</v>
      </c>
      <c r="AX121" s="13">
        <f>T4</f>
        <v>0</v>
      </c>
      <c r="AZ121" s="15">
        <f>P5</f>
        <v>0</v>
      </c>
      <c r="BA121" s="8">
        <f>Q5</f>
        <v>0</v>
      </c>
      <c r="BB121" s="6">
        <f>R5</f>
        <v>0</v>
      </c>
      <c r="BC121" s="6">
        <f>S5</f>
        <v>0</v>
      </c>
      <c r="BD121" s="13">
        <f>T5</f>
        <v>0</v>
      </c>
      <c r="BF121" s="15">
        <f>P6</f>
        <v>0</v>
      </c>
      <c r="BG121" s="8">
        <f>Q6</f>
        <v>0</v>
      </c>
      <c r="BH121" s="6">
        <f>R6</f>
        <v>0</v>
      </c>
      <c r="BI121" s="6">
        <f>S6</f>
        <v>0</v>
      </c>
      <c r="BJ121" s="13">
        <f>T6</f>
        <v>0</v>
      </c>
    </row>
    <row r="122" spans="1:62" x14ac:dyDescent="0.25">
      <c r="A122" s="15">
        <v>1000</v>
      </c>
      <c r="B122" s="8">
        <f t="shared" si="26"/>
        <v>0</v>
      </c>
      <c r="C122" s="6">
        <f t="shared" si="26"/>
        <v>10</v>
      </c>
      <c r="D122" s="6">
        <f t="shared" si="26"/>
        <v>0</v>
      </c>
      <c r="E122" s="6">
        <f t="shared" si="26"/>
        <v>0</v>
      </c>
      <c r="F122" s="13">
        <f t="shared" si="26"/>
        <v>0</v>
      </c>
      <c r="G122" s="8">
        <f t="shared" si="27"/>
        <v>0</v>
      </c>
      <c r="H122" s="6">
        <f t="shared" si="27"/>
        <v>0</v>
      </c>
      <c r="I122" s="6">
        <f t="shared" si="27"/>
        <v>0</v>
      </c>
      <c r="J122" s="6">
        <f t="shared" si="27"/>
        <v>0</v>
      </c>
      <c r="K122" s="13">
        <f t="shared" si="27"/>
        <v>0</v>
      </c>
      <c r="L122" s="8">
        <f t="shared" si="28"/>
        <v>0</v>
      </c>
      <c r="M122" s="6">
        <f t="shared" si="28"/>
        <v>0</v>
      </c>
      <c r="N122" s="6">
        <f t="shared" si="28"/>
        <v>0</v>
      </c>
      <c r="O122" s="6">
        <f t="shared" si="28"/>
        <v>0</v>
      </c>
      <c r="P122" s="13">
        <f t="shared" si="28"/>
        <v>0</v>
      </c>
      <c r="Q122" s="8">
        <f t="shared" si="29"/>
        <v>0</v>
      </c>
      <c r="R122" s="6">
        <f t="shared" si="29"/>
        <v>0</v>
      </c>
      <c r="S122" s="6">
        <f t="shared" si="29"/>
        <v>0</v>
      </c>
      <c r="T122" s="6">
        <f t="shared" si="29"/>
        <v>0</v>
      </c>
      <c r="U122" s="13">
        <f t="shared" si="29"/>
        <v>0</v>
      </c>
      <c r="V122" s="8">
        <f t="shared" si="30"/>
        <v>0</v>
      </c>
      <c r="W122" s="6">
        <f t="shared" si="30"/>
        <v>0</v>
      </c>
      <c r="X122" s="6">
        <f t="shared" si="30"/>
        <v>0</v>
      </c>
      <c r="Y122" s="6">
        <f t="shared" si="30"/>
        <v>0</v>
      </c>
      <c r="Z122" s="13">
        <f t="shared" si="30"/>
        <v>0</v>
      </c>
      <c r="AA122" s="8">
        <f t="shared" si="30"/>
        <v>0</v>
      </c>
      <c r="AB122" s="6">
        <f t="shared" si="30"/>
        <v>0</v>
      </c>
      <c r="AC122" s="6">
        <f t="shared" si="30"/>
        <v>0</v>
      </c>
      <c r="AD122" s="6">
        <f t="shared" si="30"/>
        <v>0</v>
      </c>
      <c r="AE122" s="13">
        <f t="shared" si="30"/>
        <v>0</v>
      </c>
      <c r="AF122" s="16">
        <f t="shared" si="31"/>
        <v>10000</v>
      </c>
      <c r="AG122" s="16">
        <f t="shared" si="32"/>
        <v>10</v>
      </c>
      <c r="AH122" s="15" t="str">
        <f>V2</f>
        <v>AG</v>
      </c>
      <c r="AI122" s="8">
        <f>W2</f>
        <v>750</v>
      </c>
      <c r="AJ122" s="6">
        <f>X2</f>
        <v>10</v>
      </c>
      <c r="AK122" s="6" t="str">
        <f>Y2</f>
        <v>Y</v>
      </c>
      <c r="AL122" s="13" t="str">
        <f>Z2</f>
        <v>3L</v>
      </c>
      <c r="AN122" s="15">
        <f>V3</f>
        <v>0</v>
      </c>
      <c r="AO122" s="8">
        <f>W3</f>
        <v>0</v>
      </c>
      <c r="AP122" s="6">
        <f>X3</f>
        <v>0</v>
      </c>
      <c r="AQ122" s="6">
        <f>Y3</f>
        <v>0</v>
      </c>
      <c r="AR122" s="13">
        <f>Z3</f>
        <v>0</v>
      </c>
      <c r="AT122" s="15">
        <f>V4</f>
        <v>0</v>
      </c>
      <c r="AU122" s="8">
        <f>W4</f>
        <v>0</v>
      </c>
      <c r="AV122" s="6">
        <f>X4</f>
        <v>0</v>
      </c>
      <c r="AW122" s="6">
        <f>Y4</f>
        <v>0</v>
      </c>
      <c r="AX122" s="13">
        <f>Z4</f>
        <v>0</v>
      </c>
      <c r="AZ122" s="15">
        <f>V5</f>
        <v>0</v>
      </c>
      <c r="BA122" s="8">
        <f>W5</f>
        <v>0</v>
      </c>
      <c r="BB122" s="6">
        <f>X5</f>
        <v>0</v>
      </c>
      <c r="BC122" s="6">
        <f>Y5</f>
        <v>0</v>
      </c>
      <c r="BD122" s="13">
        <f>Z5</f>
        <v>0</v>
      </c>
      <c r="BF122" s="15">
        <f>V6</f>
        <v>0</v>
      </c>
      <c r="BG122" s="8">
        <f>W6</f>
        <v>0</v>
      </c>
      <c r="BH122" s="6">
        <f>X6</f>
        <v>0</v>
      </c>
      <c r="BI122" s="6">
        <f>Y6</f>
        <v>0</v>
      </c>
      <c r="BJ122" s="13">
        <f>Z6</f>
        <v>0</v>
      </c>
    </row>
    <row r="123" spans="1:62" x14ac:dyDescent="0.25">
      <c r="A123" s="15">
        <v>1500</v>
      </c>
      <c r="B123" s="8">
        <f t="shared" si="26"/>
        <v>0</v>
      </c>
      <c r="C123" s="6">
        <f t="shared" si="26"/>
        <v>8</v>
      </c>
      <c r="D123" s="6">
        <f t="shared" si="26"/>
        <v>0</v>
      </c>
      <c r="E123" s="6">
        <f t="shared" si="26"/>
        <v>0</v>
      </c>
      <c r="F123" s="13">
        <f t="shared" si="26"/>
        <v>0</v>
      </c>
      <c r="G123" s="8">
        <f t="shared" si="27"/>
        <v>0</v>
      </c>
      <c r="H123" s="6">
        <f t="shared" si="27"/>
        <v>0</v>
      </c>
      <c r="I123" s="6">
        <f t="shared" si="27"/>
        <v>0</v>
      </c>
      <c r="J123" s="6">
        <f t="shared" si="27"/>
        <v>0</v>
      </c>
      <c r="K123" s="13">
        <f t="shared" si="27"/>
        <v>0</v>
      </c>
      <c r="L123" s="8">
        <f t="shared" si="28"/>
        <v>0</v>
      </c>
      <c r="M123" s="6">
        <f t="shared" si="28"/>
        <v>0</v>
      </c>
      <c r="N123" s="6">
        <f t="shared" si="28"/>
        <v>0</v>
      </c>
      <c r="O123" s="6">
        <f t="shared" si="28"/>
        <v>0</v>
      </c>
      <c r="P123" s="13">
        <f t="shared" si="28"/>
        <v>0</v>
      </c>
      <c r="Q123" s="8">
        <f t="shared" si="29"/>
        <v>0</v>
      </c>
      <c r="R123" s="6">
        <f t="shared" si="29"/>
        <v>0</v>
      </c>
      <c r="S123" s="6">
        <f t="shared" si="29"/>
        <v>0</v>
      </c>
      <c r="T123" s="6">
        <f t="shared" si="29"/>
        <v>0</v>
      </c>
      <c r="U123" s="13">
        <f t="shared" si="29"/>
        <v>0</v>
      </c>
      <c r="V123" s="8">
        <f t="shared" si="30"/>
        <v>0</v>
      </c>
      <c r="W123" s="6">
        <f t="shared" si="30"/>
        <v>0</v>
      </c>
      <c r="X123" s="6">
        <f t="shared" si="30"/>
        <v>0</v>
      </c>
      <c r="Y123" s="6">
        <f t="shared" si="30"/>
        <v>0</v>
      </c>
      <c r="Z123" s="13">
        <f t="shared" si="30"/>
        <v>0</v>
      </c>
      <c r="AA123" s="8">
        <f t="shared" si="30"/>
        <v>0</v>
      </c>
      <c r="AB123" s="6">
        <f t="shared" si="30"/>
        <v>0</v>
      </c>
      <c r="AC123" s="6">
        <f t="shared" si="30"/>
        <v>0</v>
      </c>
      <c r="AD123" s="6">
        <f t="shared" si="30"/>
        <v>0</v>
      </c>
      <c r="AE123" s="13">
        <f t="shared" si="30"/>
        <v>0</v>
      </c>
      <c r="AF123" s="16">
        <f t="shared" si="31"/>
        <v>12000</v>
      </c>
      <c r="AG123" s="16">
        <f t="shared" si="32"/>
        <v>8</v>
      </c>
      <c r="AH123" s="15" t="str">
        <f>AB2</f>
        <v>AG</v>
      </c>
      <c r="AI123" s="8">
        <f>AC2</f>
        <v>500</v>
      </c>
      <c r="AJ123" s="6">
        <f>AD2</f>
        <v>20</v>
      </c>
      <c r="AK123" s="6" t="str">
        <f>AE2</f>
        <v>Y</v>
      </c>
      <c r="AL123" s="13" t="str">
        <f>AF2</f>
        <v>3L</v>
      </c>
      <c r="AN123" s="15">
        <f>AB3</f>
        <v>0</v>
      </c>
      <c r="AO123" s="8">
        <f>AC3</f>
        <v>0</v>
      </c>
      <c r="AP123" s="6">
        <f>AD3</f>
        <v>0</v>
      </c>
      <c r="AQ123" s="6">
        <f>AE3</f>
        <v>0</v>
      </c>
      <c r="AR123" s="13">
        <f>AF3</f>
        <v>0</v>
      </c>
      <c r="AT123" s="15">
        <f>AB4</f>
        <v>0</v>
      </c>
      <c r="AU123" s="8">
        <f>AC4</f>
        <v>0</v>
      </c>
      <c r="AV123" s="6">
        <f>AD4</f>
        <v>0</v>
      </c>
      <c r="AW123" s="6">
        <f>AE4</f>
        <v>0</v>
      </c>
      <c r="AX123" s="13">
        <f>AF4</f>
        <v>0</v>
      </c>
      <c r="AZ123" s="15">
        <f>AB5</f>
        <v>0</v>
      </c>
      <c r="BA123" s="8">
        <f>AC5</f>
        <v>0</v>
      </c>
      <c r="BB123" s="6">
        <f>AD5</f>
        <v>0</v>
      </c>
      <c r="BC123" s="6">
        <f>AE5</f>
        <v>0</v>
      </c>
      <c r="BD123" s="13">
        <f>AF5</f>
        <v>0</v>
      </c>
      <c r="BF123" s="15">
        <f>AB6</f>
        <v>0</v>
      </c>
      <c r="BG123" s="8">
        <f>AC6</f>
        <v>0</v>
      </c>
      <c r="BH123" s="6">
        <f>AD6</f>
        <v>0</v>
      </c>
      <c r="BI123" s="6">
        <f>AE6</f>
        <v>0</v>
      </c>
      <c r="BJ123" s="13">
        <f>AF6</f>
        <v>0</v>
      </c>
    </row>
    <row r="124" spans="1:62" x14ac:dyDescent="0.25">
      <c r="A124" s="15">
        <v>2000</v>
      </c>
      <c r="B124" s="8">
        <f t="shared" si="26"/>
        <v>0</v>
      </c>
      <c r="C124" s="6">
        <f t="shared" si="26"/>
        <v>0</v>
      </c>
      <c r="D124" s="6">
        <f t="shared" si="26"/>
        <v>0</v>
      </c>
      <c r="E124" s="6">
        <f t="shared" si="26"/>
        <v>0</v>
      </c>
      <c r="F124" s="13">
        <f t="shared" si="26"/>
        <v>0</v>
      </c>
      <c r="G124" s="8">
        <f t="shared" si="27"/>
        <v>0</v>
      </c>
      <c r="H124" s="6">
        <f t="shared" si="27"/>
        <v>0</v>
      </c>
      <c r="I124" s="6">
        <f t="shared" si="27"/>
        <v>0</v>
      </c>
      <c r="J124" s="6">
        <f t="shared" si="27"/>
        <v>0</v>
      </c>
      <c r="K124" s="13">
        <f t="shared" si="27"/>
        <v>0</v>
      </c>
      <c r="L124" s="8">
        <f t="shared" si="28"/>
        <v>0</v>
      </c>
      <c r="M124" s="6">
        <f t="shared" si="28"/>
        <v>0</v>
      </c>
      <c r="N124" s="6">
        <f t="shared" si="28"/>
        <v>0</v>
      </c>
      <c r="O124" s="6">
        <f t="shared" si="28"/>
        <v>0</v>
      </c>
      <c r="P124" s="13">
        <f t="shared" si="28"/>
        <v>0</v>
      </c>
      <c r="Q124" s="8">
        <f t="shared" si="29"/>
        <v>0</v>
      </c>
      <c r="R124" s="6">
        <f t="shared" si="29"/>
        <v>0</v>
      </c>
      <c r="S124" s="6">
        <f t="shared" si="29"/>
        <v>0</v>
      </c>
      <c r="T124" s="6">
        <f t="shared" si="29"/>
        <v>0</v>
      </c>
      <c r="U124" s="13">
        <f t="shared" si="29"/>
        <v>0</v>
      </c>
      <c r="V124" s="8">
        <f t="shared" si="30"/>
        <v>0</v>
      </c>
      <c r="W124" s="6">
        <f t="shared" si="30"/>
        <v>0</v>
      </c>
      <c r="X124" s="6">
        <f t="shared" si="30"/>
        <v>0</v>
      </c>
      <c r="Y124" s="6">
        <f t="shared" si="30"/>
        <v>0</v>
      </c>
      <c r="Z124" s="13">
        <f t="shared" si="30"/>
        <v>0</v>
      </c>
      <c r="AA124" s="8">
        <f t="shared" si="30"/>
        <v>0</v>
      </c>
      <c r="AB124" s="6">
        <f t="shared" si="30"/>
        <v>0</v>
      </c>
      <c r="AC124" s="6">
        <f t="shared" si="30"/>
        <v>0</v>
      </c>
      <c r="AD124" s="6">
        <f t="shared" si="30"/>
        <v>0</v>
      </c>
      <c r="AE124" s="13">
        <f t="shared" si="30"/>
        <v>0</v>
      </c>
      <c r="AF124" s="16">
        <f t="shared" si="31"/>
        <v>0</v>
      </c>
      <c r="AG124" s="16">
        <f t="shared" si="32"/>
        <v>0</v>
      </c>
      <c r="AH124" s="15">
        <f>AH2</f>
        <v>0</v>
      </c>
      <c r="AI124" s="8">
        <f>AI2</f>
        <v>0</v>
      </c>
      <c r="AJ124" s="6">
        <f>AJ2</f>
        <v>0</v>
      </c>
      <c r="AK124" s="6">
        <f>AK2</f>
        <v>0</v>
      </c>
      <c r="AL124" s="13">
        <f>AL2</f>
        <v>0</v>
      </c>
      <c r="AN124" s="15">
        <f>AH3</f>
        <v>0</v>
      </c>
      <c r="AO124" s="8">
        <f>AI3</f>
        <v>0</v>
      </c>
      <c r="AP124" s="6">
        <f>AJ3</f>
        <v>0</v>
      </c>
      <c r="AQ124" s="6">
        <f>AK3</f>
        <v>0</v>
      </c>
      <c r="AR124" s="13">
        <f>AL3</f>
        <v>0</v>
      </c>
      <c r="AT124" s="15">
        <f>AH4</f>
        <v>0</v>
      </c>
      <c r="AU124" s="8">
        <f>AI4</f>
        <v>0</v>
      </c>
      <c r="AV124" s="6">
        <f>AJ4</f>
        <v>0</v>
      </c>
      <c r="AW124" s="6">
        <f>AK4</f>
        <v>0</v>
      </c>
      <c r="AX124" s="13">
        <f>AL4</f>
        <v>0</v>
      </c>
      <c r="AZ124" s="15">
        <f>AH5</f>
        <v>0</v>
      </c>
      <c r="BA124" s="8">
        <f>AI5</f>
        <v>0</v>
      </c>
      <c r="BB124" s="6">
        <f>AJ5</f>
        <v>0</v>
      </c>
      <c r="BC124" s="6">
        <f>AK5</f>
        <v>0</v>
      </c>
      <c r="BD124" s="13">
        <f>AL5</f>
        <v>0</v>
      </c>
      <c r="BF124" s="15">
        <f>AH6</f>
        <v>0</v>
      </c>
      <c r="BG124" s="8">
        <f>AI6</f>
        <v>0</v>
      </c>
      <c r="BH124" s="6">
        <f>AJ6</f>
        <v>0</v>
      </c>
      <c r="BI124" s="6">
        <f>AK6</f>
        <v>0</v>
      </c>
      <c r="BJ124" s="13">
        <f>AL6</f>
        <v>0</v>
      </c>
    </row>
    <row r="125" spans="1:62" x14ac:dyDescent="0.25">
      <c r="A125" s="15">
        <v>3000</v>
      </c>
      <c r="B125" s="8">
        <f t="shared" si="26"/>
        <v>0</v>
      </c>
      <c r="C125" s="6">
        <f t="shared" si="26"/>
        <v>0</v>
      </c>
      <c r="D125" s="6">
        <f t="shared" si="26"/>
        <v>0</v>
      </c>
      <c r="E125" s="6">
        <f t="shared" si="26"/>
        <v>0</v>
      </c>
      <c r="F125" s="13">
        <f t="shared" si="26"/>
        <v>0</v>
      </c>
      <c r="G125" s="8">
        <f t="shared" si="27"/>
        <v>0</v>
      </c>
      <c r="H125" s="6">
        <f t="shared" si="27"/>
        <v>0</v>
      </c>
      <c r="I125" s="6">
        <f t="shared" si="27"/>
        <v>0</v>
      </c>
      <c r="J125" s="6">
        <f t="shared" si="27"/>
        <v>0</v>
      </c>
      <c r="K125" s="13">
        <f t="shared" si="27"/>
        <v>0</v>
      </c>
      <c r="L125" s="8">
        <f t="shared" si="28"/>
        <v>0</v>
      </c>
      <c r="M125" s="6">
        <f t="shared" si="28"/>
        <v>0</v>
      </c>
      <c r="N125" s="6">
        <f t="shared" si="28"/>
        <v>0</v>
      </c>
      <c r="O125" s="6">
        <f t="shared" si="28"/>
        <v>0</v>
      </c>
      <c r="P125" s="13">
        <f t="shared" si="28"/>
        <v>0</v>
      </c>
      <c r="Q125" s="8">
        <f t="shared" si="29"/>
        <v>0</v>
      </c>
      <c r="R125" s="6">
        <f t="shared" si="29"/>
        <v>0</v>
      </c>
      <c r="S125" s="6">
        <f t="shared" si="29"/>
        <v>0</v>
      </c>
      <c r="T125" s="6">
        <f t="shared" si="29"/>
        <v>0</v>
      </c>
      <c r="U125" s="13">
        <f t="shared" si="29"/>
        <v>0</v>
      </c>
      <c r="V125" s="8">
        <f t="shared" si="30"/>
        <v>0</v>
      </c>
      <c r="W125" s="6">
        <f t="shared" si="30"/>
        <v>0</v>
      </c>
      <c r="X125" s="6">
        <f t="shared" si="30"/>
        <v>0</v>
      </c>
      <c r="Y125" s="6">
        <f t="shared" si="30"/>
        <v>0</v>
      </c>
      <c r="Z125" s="13">
        <f t="shared" si="30"/>
        <v>0</v>
      </c>
      <c r="AA125" s="8">
        <f t="shared" si="30"/>
        <v>0</v>
      </c>
      <c r="AB125" s="6">
        <f t="shared" si="30"/>
        <v>0</v>
      </c>
      <c r="AC125" s="6">
        <f t="shared" si="30"/>
        <v>0</v>
      </c>
      <c r="AD125" s="6">
        <f t="shared" si="30"/>
        <v>0</v>
      </c>
      <c r="AE125" s="13">
        <f t="shared" si="30"/>
        <v>0</v>
      </c>
      <c r="AF125" s="16">
        <f t="shared" si="31"/>
        <v>0</v>
      </c>
      <c r="AG125" s="16">
        <f t="shared" si="32"/>
        <v>0</v>
      </c>
      <c r="AH125" s="15">
        <f>AN2</f>
        <v>0</v>
      </c>
      <c r="AI125" s="8">
        <f>AO2</f>
        <v>0</v>
      </c>
      <c r="AJ125" s="6">
        <f>AP2</f>
        <v>0</v>
      </c>
      <c r="AK125" s="6">
        <f>AQ2</f>
        <v>0</v>
      </c>
      <c r="AL125" s="13">
        <f>AR2</f>
        <v>0</v>
      </c>
      <c r="AN125" s="15">
        <f>AN3</f>
        <v>0</v>
      </c>
      <c r="AO125" s="8">
        <f>AO3</f>
        <v>0</v>
      </c>
      <c r="AP125" s="6">
        <f>AP3</f>
        <v>0</v>
      </c>
      <c r="AQ125" s="6">
        <f>AQ3</f>
        <v>0</v>
      </c>
      <c r="AR125" s="13">
        <f>AR3</f>
        <v>0</v>
      </c>
      <c r="AT125" s="15">
        <f>AN4</f>
        <v>0</v>
      </c>
      <c r="AU125" s="8">
        <f>AO4</f>
        <v>0</v>
      </c>
      <c r="AV125" s="6">
        <f>AP4</f>
        <v>0</v>
      </c>
      <c r="AW125" s="6">
        <f>AQ4</f>
        <v>0</v>
      </c>
      <c r="AX125" s="13">
        <f>AR4</f>
        <v>0</v>
      </c>
      <c r="AZ125" s="15">
        <f>AN5</f>
        <v>0</v>
      </c>
      <c r="BA125" s="8">
        <f>AO5</f>
        <v>0</v>
      </c>
      <c r="BB125" s="6">
        <f>AP5</f>
        <v>0</v>
      </c>
      <c r="BC125" s="6">
        <f>AQ5</f>
        <v>0</v>
      </c>
      <c r="BD125" s="13">
        <f>AR5</f>
        <v>0</v>
      </c>
      <c r="BF125" s="15">
        <f>AN6</f>
        <v>0</v>
      </c>
      <c r="BG125" s="8">
        <f>AO6</f>
        <v>0</v>
      </c>
      <c r="BH125" s="6">
        <f>AP6</f>
        <v>0</v>
      </c>
      <c r="BI125" s="6">
        <f>AQ6</f>
        <v>0</v>
      </c>
      <c r="BJ125" s="13">
        <f>AR6</f>
        <v>0</v>
      </c>
    </row>
    <row r="126" spans="1:62" x14ac:dyDescent="0.25">
      <c r="A126" s="15">
        <v>5000</v>
      </c>
      <c r="B126" s="8">
        <f t="shared" si="26"/>
        <v>0</v>
      </c>
      <c r="C126" s="6">
        <f t="shared" si="26"/>
        <v>0</v>
      </c>
      <c r="D126" s="6">
        <f t="shared" si="26"/>
        <v>0</v>
      </c>
      <c r="E126" s="6">
        <f t="shared" si="26"/>
        <v>0</v>
      </c>
      <c r="F126" s="13">
        <f t="shared" si="26"/>
        <v>0</v>
      </c>
      <c r="G126" s="8">
        <f t="shared" si="27"/>
        <v>0</v>
      </c>
      <c r="H126" s="6">
        <f t="shared" si="27"/>
        <v>0</v>
      </c>
      <c r="I126" s="6">
        <f t="shared" si="27"/>
        <v>0</v>
      </c>
      <c r="J126" s="6">
        <f t="shared" si="27"/>
        <v>0</v>
      </c>
      <c r="K126" s="13">
        <f t="shared" si="27"/>
        <v>0</v>
      </c>
      <c r="L126" s="8">
        <f t="shared" si="28"/>
        <v>0</v>
      </c>
      <c r="M126" s="6">
        <f t="shared" si="28"/>
        <v>0</v>
      </c>
      <c r="N126" s="6">
        <f t="shared" si="28"/>
        <v>0</v>
      </c>
      <c r="O126" s="6">
        <f t="shared" si="28"/>
        <v>0</v>
      </c>
      <c r="P126" s="13">
        <f t="shared" si="28"/>
        <v>0</v>
      </c>
      <c r="Q126" s="8">
        <f t="shared" si="29"/>
        <v>0</v>
      </c>
      <c r="R126" s="6">
        <f t="shared" si="29"/>
        <v>0</v>
      </c>
      <c r="S126" s="6">
        <f t="shared" si="29"/>
        <v>0</v>
      </c>
      <c r="T126" s="6">
        <f t="shared" si="29"/>
        <v>0</v>
      </c>
      <c r="U126" s="13">
        <f t="shared" si="29"/>
        <v>0</v>
      </c>
      <c r="V126" s="8">
        <f t="shared" si="30"/>
        <v>0</v>
      </c>
      <c r="W126" s="6">
        <f t="shared" si="30"/>
        <v>0</v>
      </c>
      <c r="X126" s="6">
        <f t="shared" si="30"/>
        <v>0</v>
      </c>
      <c r="Y126" s="6">
        <f t="shared" si="30"/>
        <v>0</v>
      </c>
      <c r="Z126" s="13">
        <f t="shared" si="30"/>
        <v>0</v>
      </c>
      <c r="AA126" s="8">
        <f t="shared" si="30"/>
        <v>0</v>
      </c>
      <c r="AB126" s="6">
        <f t="shared" si="30"/>
        <v>0</v>
      </c>
      <c r="AC126" s="6">
        <f t="shared" si="30"/>
        <v>0</v>
      </c>
      <c r="AD126" s="6">
        <f t="shared" si="30"/>
        <v>0</v>
      </c>
      <c r="AE126" s="13">
        <f t="shared" si="30"/>
        <v>0</v>
      </c>
      <c r="AF126" s="16">
        <f t="shared" si="31"/>
        <v>0</v>
      </c>
      <c r="AG126" s="16">
        <f t="shared" si="32"/>
        <v>0</v>
      </c>
      <c r="AH126" s="15">
        <f>AT2</f>
        <v>0</v>
      </c>
      <c r="AI126" s="8">
        <f>AU2</f>
        <v>0</v>
      </c>
      <c r="AJ126" s="6">
        <f>AV2</f>
        <v>0</v>
      </c>
      <c r="AK126" s="6">
        <f>AW2</f>
        <v>0</v>
      </c>
      <c r="AL126" s="13">
        <f>AX2</f>
        <v>0</v>
      </c>
      <c r="AN126" s="15">
        <f>AT3</f>
        <v>0</v>
      </c>
      <c r="AO126" s="8">
        <f>AU3</f>
        <v>0</v>
      </c>
      <c r="AP126" s="6">
        <f>AV3</f>
        <v>0</v>
      </c>
      <c r="AQ126" s="6">
        <f>AW3</f>
        <v>0</v>
      </c>
      <c r="AR126" s="13">
        <f>AX3</f>
        <v>0</v>
      </c>
      <c r="AT126" s="15">
        <f>AT4</f>
        <v>0</v>
      </c>
      <c r="AU126" s="8">
        <f>AU4</f>
        <v>0</v>
      </c>
      <c r="AV126" s="6">
        <f>AV4</f>
        <v>0</v>
      </c>
      <c r="AW126" s="6">
        <f>AW4</f>
        <v>0</v>
      </c>
      <c r="AX126" s="13">
        <f>AX4</f>
        <v>0</v>
      </c>
      <c r="AZ126" s="15">
        <f>AT5</f>
        <v>0</v>
      </c>
      <c r="BA126" s="8">
        <f>AU5</f>
        <v>0</v>
      </c>
      <c r="BB126" s="6">
        <f>AV5</f>
        <v>0</v>
      </c>
      <c r="BC126" s="6">
        <f>AW5</f>
        <v>0</v>
      </c>
      <c r="BD126" s="13">
        <f>AX5</f>
        <v>0</v>
      </c>
      <c r="BF126" s="15">
        <f>AT6</f>
        <v>0</v>
      </c>
      <c r="BG126" s="8">
        <f>AU6</f>
        <v>0</v>
      </c>
      <c r="BH126" s="6">
        <f>AV6</f>
        <v>0</v>
      </c>
      <c r="BI126" s="6">
        <f>AW6</f>
        <v>0</v>
      </c>
      <c r="BJ126" s="13">
        <f>AX6</f>
        <v>0</v>
      </c>
    </row>
    <row r="127" spans="1:62" ht="15.75" thickBot="1" x14ac:dyDescent="0.3">
      <c r="A127" s="59">
        <v>10000</v>
      </c>
      <c r="B127" s="31">
        <f t="shared" si="26"/>
        <v>0</v>
      </c>
      <c r="C127" s="32">
        <f t="shared" si="26"/>
        <v>0</v>
      </c>
      <c r="D127" s="32">
        <f t="shared" si="26"/>
        <v>0</v>
      </c>
      <c r="E127" s="32">
        <f t="shared" si="26"/>
        <v>0</v>
      </c>
      <c r="F127" s="33">
        <f t="shared" si="26"/>
        <v>0</v>
      </c>
      <c r="G127" s="31">
        <f t="shared" si="27"/>
        <v>0</v>
      </c>
      <c r="H127" s="32">
        <f t="shared" si="27"/>
        <v>0</v>
      </c>
      <c r="I127" s="32">
        <f t="shared" si="27"/>
        <v>0</v>
      </c>
      <c r="J127" s="32">
        <f t="shared" si="27"/>
        <v>0</v>
      </c>
      <c r="K127" s="33">
        <f t="shared" si="27"/>
        <v>0</v>
      </c>
      <c r="L127" s="31">
        <f t="shared" si="28"/>
        <v>0</v>
      </c>
      <c r="M127" s="32">
        <f t="shared" si="28"/>
        <v>0</v>
      </c>
      <c r="N127" s="32">
        <f t="shared" si="28"/>
        <v>0</v>
      </c>
      <c r="O127" s="32">
        <f t="shared" si="28"/>
        <v>0</v>
      </c>
      <c r="P127" s="33">
        <f t="shared" si="28"/>
        <v>0</v>
      </c>
      <c r="Q127" s="31">
        <f t="shared" si="29"/>
        <v>0</v>
      </c>
      <c r="R127" s="32">
        <f t="shared" si="29"/>
        <v>0</v>
      </c>
      <c r="S127" s="32">
        <f t="shared" si="29"/>
        <v>0</v>
      </c>
      <c r="T127" s="32">
        <f t="shared" si="29"/>
        <v>0</v>
      </c>
      <c r="U127" s="33">
        <f t="shared" si="29"/>
        <v>0</v>
      </c>
      <c r="V127" s="31">
        <f t="shared" si="30"/>
        <v>0</v>
      </c>
      <c r="W127" s="32">
        <f t="shared" si="30"/>
        <v>0</v>
      </c>
      <c r="X127" s="32">
        <f t="shared" si="30"/>
        <v>0</v>
      </c>
      <c r="Y127" s="32">
        <f t="shared" si="30"/>
        <v>0</v>
      </c>
      <c r="Z127" s="33">
        <f t="shared" si="30"/>
        <v>0</v>
      </c>
      <c r="AA127" s="31">
        <f t="shared" si="30"/>
        <v>0</v>
      </c>
      <c r="AB127" s="32">
        <f t="shared" si="30"/>
        <v>0</v>
      </c>
      <c r="AC127" s="32">
        <f t="shared" si="30"/>
        <v>0</v>
      </c>
      <c r="AD127" s="32">
        <f t="shared" si="30"/>
        <v>0</v>
      </c>
      <c r="AE127" s="33">
        <f t="shared" si="30"/>
        <v>0</v>
      </c>
      <c r="AF127" s="16">
        <f t="shared" si="31"/>
        <v>0</v>
      </c>
      <c r="AG127" s="43">
        <f t="shared" si="32"/>
        <v>0</v>
      </c>
      <c r="AH127" s="15">
        <f>AZ2</f>
        <v>0</v>
      </c>
      <c r="AI127" s="8">
        <f>BA2</f>
        <v>0</v>
      </c>
      <c r="AJ127" s="6">
        <f>BB2</f>
        <v>0</v>
      </c>
      <c r="AK127" s="6">
        <f>BC2</f>
        <v>0</v>
      </c>
      <c r="AL127" s="13">
        <f>BD2</f>
        <v>0</v>
      </c>
      <c r="AN127" s="15">
        <f>AZ3</f>
        <v>0</v>
      </c>
      <c r="AO127" s="8">
        <f>BA3</f>
        <v>0</v>
      </c>
      <c r="AP127" s="6">
        <f>BB3</f>
        <v>0</v>
      </c>
      <c r="AQ127" s="6">
        <f>BC3</f>
        <v>0</v>
      </c>
      <c r="AR127" s="13">
        <f>BD3</f>
        <v>0</v>
      </c>
      <c r="AT127" s="15">
        <f>AZ4</f>
        <v>0</v>
      </c>
      <c r="AU127" s="8">
        <f>BA4</f>
        <v>0</v>
      </c>
      <c r="AV127" s="6">
        <f>BB4</f>
        <v>0</v>
      </c>
      <c r="AW127" s="6">
        <f>BC4</f>
        <v>0</v>
      </c>
      <c r="AX127" s="13">
        <f>BD4</f>
        <v>0</v>
      </c>
      <c r="AZ127" s="15">
        <f>AZ5</f>
        <v>0</v>
      </c>
      <c r="BA127" s="8">
        <f>BA5</f>
        <v>0</v>
      </c>
      <c r="BB127" s="6">
        <f>BB5</f>
        <v>0</v>
      </c>
      <c r="BC127" s="6">
        <f>BC5</f>
        <v>0</v>
      </c>
      <c r="BD127" s="13">
        <f>BD5</f>
        <v>0</v>
      </c>
      <c r="BF127" s="15">
        <f>AZ6</f>
        <v>0</v>
      </c>
      <c r="BG127" s="8">
        <f>BA6</f>
        <v>0</v>
      </c>
      <c r="BH127" s="6">
        <f>BB6</f>
        <v>0</v>
      </c>
      <c r="BI127" s="6">
        <f>BC6</f>
        <v>0</v>
      </c>
      <c r="BJ127" s="13">
        <f>BD6</f>
        <v>0</v>
      </c>
    </row>
    <row r="128" spans="1:62" ht="15.75" thickBot="1" x14ac:dyDescent="0.3">
      <c r="A128" s="35"/>
      <c r="B128" s="60">
        <f t="shared" ref="B128:AG128" si="33">SUM(B119:B127)</f>
        <v>0</v>
      </c>
      <c r="C128" s="61">
        <f t="shared" si="33"/>
        <v>48</v>
      </c>
      <c r="D128" s="61">
        <f t="shared" si="33"/>
        <v>0</v>
      </c>
      <c r="E128" s="61">
        <f t="shared" si="33"/>
        <v>0</v>
      </c>
      <c r="F128" s="62">
        <f t="shared" si="33"/>
        <v>0</v>
      </c>
      <c r="G128" s="60">
        <f t="shared" si="33"/>
        <v>0</v>
      </c>
      <c r="H128" s="61">
        <f t="shared" si="33"/>
        <v>0</v>
      </c>
      <c r="I128" s="61">
        <f t="shared" si="33"/>
        <v>0</v>
      </c>
      <c r="J128" s="61">
        <f t="shared" si="33"/>
        <v>0</v>
      </c>
      <c r="K128" s="62">
        <f t="shared" si="33"/>
        <v>0</v>
      </c>
      <c r="L128" s="60">
        <f t="shared" si="33"/>
        <v>0</v>
      </c>
      <c r="M128" s="61">
        <f t="shared" si="33"/>
        <v>0</v>
      </c>
      <c r="N128" s="61">
        <f t="shared" si="33"/>
        <v>0</v>
      </c>
      <c r="O128" s="61">
        <f t="shared" si="33"/>
        <v>0</v>
      </c>
      <c r="P128" s="62">
        <f t="shared" si="33"/>
        <v>0</v>
      </c>
      <c r="Q128" s="60">
        <f t="shared" si="33"/>
        <v>0</v>
      </c>
      <c r="R128" s="61">
        <f t="shared" si="33"/>
        <v>0</v>
      </c>
      <c r="S128" s="61">
        <f t="shared" si="33"/>
        <v>0</v>
      </c>
      <c r="T128" s="61">
        <f t="shared" si="33"/>
        <v>0</v>
      </c>
      <c r="U128" s="62">
        <f t="shared" si="33"/>
        <v>0</v>
      </c>
      <c r="V128" s="60">
        <f t="shared" si="33"/>
        <v>0</v>
      </c>
      <c r="W128" s="61">
        <f t="shared" si="33"/>
        <v>0</v>
      </c>
      <c r="X128" s="61">
        <f t="shared" si="33"/>
        <v>0</v>
      </c>
      <c r="Y128" s="61">
        <f t="shared" si="33"/>
        <v>0</v>
      </c>
      <c r="Z128" s="62">
        <f t="shared" si="33"/>
        <v>0</v>
      </c>
      <c r="AA128" s="60">
        <f t="shared" si="33"/>
        <v>0</v>
      </c>
      <c r="AB128" s="61">
        <f t="shared" si="33"/>
        <v>0</v>
      </c>
      <c r="AC128" s="61">
        <f t="shared" si="33"/>
        <v>0</v>
      </c>
      <c r="AD128" s="61">
        <f t="shared" si="33"/>
        <v>0</v>
      </c>
      <c r="AE128" s="62">
        <f t="shared" si="33"/>
        <v>0</v>
      </c>
      <c r="AF128" s="35">
        <f>SUM(AF119:AF127)</f>
        <v>39500</v>
      </c>
      <c r="AG128" s="35">
        <f t="shared" si="32"/>
        <v>48</v>
      </c>
      <c r="AH128" s="15">
        <f>BF2</f>
        <v>0</v>
      </c>
      <c r="AI128" s="8">
        <f>BG2</f>
        <v>0</v>
      </c>
      <c r="AJ128" s="6">
        <f>BH2</f>
        <v>0</v>
      </c>
      <c r="AK128" s="6">
        <f>BI2</f>
        <v>0</v>
      </c>
      <c r="AL128" s="13">
        <f>BJ2</f>
        <v>0</v>
      </c>
      <c r="AN128" s="15">
        <f>BF3</f>
        <v>0</v>
      </c>
      <c r="AO128" s="8">
        <f>BG3</f>
        <v>0</v>
      </c>
      <c r="AP128" s="6">
        <f>BH3</f>
        <v>0</v>
      </c>
      <c r="AQ128" s="6">
        <f>BI3</f>
        <v>0</v>
      </c>
      <c r="AR128" s="13">
        <f>BJ3</f>
        <v>0</v>
      </c>
      <c r="AT128" s="15">
        <f>BF4</f>
        <v>0</v>
      </c>
      <c r="AU128" s="8">
        <f>BG4</f>
        <v>0</v>
      </c>
      <c r="AV128" s="6">
        <f>BH4</f>
        <v>0</v>
      </c>
      <c r="AW128" s="6">
        <f>BI4</f>
        <v>0</v>
      </c>
      <c r="AX128" s="13">
        <f>BJ4</f>
        <v>0</v>
      </c>
      <c r="AZ128" s="15">
        <f>BF5</f>
        <v>0</v>
      </c>
      <c r="BA128" s="8">
        <f>BG5</f>
        <v>0</v>
      </c>
      <c r="BB128" s="6">
        <f>BH5</f>
        <v>0</v>
      </c>
      <c r="BC128" s="6">
        <f>BI5</f>
        <v>0</v>
      </c>
      <c r="BD128" s="13">
        <f>BJ5</f>
        <v>0</v>
      </c>
      <c r="BF128" s="15">
        <f>BF6</f>
        <v>0</v>
      </c>
      <c r="BG128" s="8">
        <f>BG6</f>
        <v>0</v>
      </c>
      <c r="BH128" s="6">
        <f>BH6</f>
        <v>0</v>
      </c>
      <c r="BI128" s="6">
        <f>BI6</f>
        <v>0</v>
      </c>
      <c r="BJ128" s="13">
        <f>BJ6</f>
        <v>0</v>
      </c>
    </row>
    <row r="129" spans="1:62" ht="15.75" thickBo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9">
        <f>BL2</f>
        <v>0</v>
      </c>
      <c r="AI129" s="31">
        <f>BM2</f>
        <v>0</v>
      </c>
      <c r="AJ129" s="32">
        <f>BN2</f>
        <v>0</v>
      </c>
      <c r="AK129" s="32">
        <f>BO2</f>
        <v>0</v>
      </c>
      <c r="AL129" s="33">
        <f>BP2</f>
        <v>0</v>
      </c>
      <c r="AN129" s="59">
        <f>BL3</f>
        <v>0</v>
      </c>
      <c r="AO129" s="31">
        <f>BM3</f>
        <v>0</v>
      </c>
      <c r="AP129" s="32">
        <f>BN3</f>
        <v>0</v>
      </c>
      <c r="AQ129" s="32">
        <f>BO3</f>
        <v>0</v>
      </c>
      <c r="AR129" s="33">
        <f>BP3</f>
        <v>0</v>
      </c>
      <c r="AT129" s="59">
        <f>BL4</f>
        <v>0</v>
      </c>
      <c r="AU129" s="31">
        <f>BM4</f>
        <v>0</v>
      </c>
      <c r="AV129" s="32">
        <f>BN4</f>
        <v>0</v>
      </c>
      <c r="AW129" s="32">
        <f>BO4</f>
        <v>0</v>
      </c>
      <c r="AX129" s="33">
        <f>BP4</f>
        <v>0</v>
      </c>
      <c r="AZ129" s="59">
        <f>BL5</f>
        <v>0</v>
      </c>
      <c r="BA129" s="31">
        <f>BM5</f>
        <v>0</v>
      </c>
      <c r="BB129" s="32">
        <f>BN5</f>
        <v>0</v>
      </c>
      <c r="BC129" s="32">
        <f>BO5</f>
        <v>0</v>
      </c>
      <c r="BD129" s="33">
        <f>BP5</f>
        <v>0</v>
      </c>
      <c r="BF129" s="59">
        <f>BL6</f>
        <v>0</v>
      </c>
      <c r="BG129" s="31">
        <f>BM6</f>
        <v>0</v>
      </c>
      <c r="BH129" s="32">
        <f>BN6</f>
        <v>0</v>
      </c>
      <c r="BI129" s="32">
        <f>BO6</f>
        <v>0</v>
      </c>
      <c r="BJ129" s="33">
        <f>BP6</f>
        <v>0</v>
      </c>
    </row>
    <row r="130" spans="1:62" ht="16.5" thickBot="1" x14ac:dyDescent="0.3">
      <c r="A130" s="173" t="s">
        <v>249</v>
      </c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5"/>
      <c r="AH130" s="35" t="str">
        <f>C2</f>
        <v>A/C</v>
      </c>
      <c r="AI130" s="158">
        <f>SUM(AJ120:AJ129)</f>
        <v>48</v>
      </c>
      <c r="AJ130" s="159"/>
      <c r="AK130" s="158">
        <f>BT2</f>
        <v>39500</v>
      </c>
      <c r="AL130" s="159"/>
      <c r="AN130" s="35">
        <f>C3</f>
        <v>0</v>
      </c>
      <c r="AO130" s="158">
        <f>SUM(AP120:AP129)</f>
        <v>0</v>
      </c>
      <c r="AP130" s="159"/>
      <c r="AQ130" s="158">
        <f>BT3</f>
        <v>0</v>
      </c>
      <c r="AR130" s="159"/>
      <c r="AT130" s="35">
        <f>C4</f>
        <v>0</v>
      </c>
      <c r="AU130" s="158">
        <f>SUM(AV120:AV129)</f>
        <v>0</v>
      </c>
      <c r="AV130" s="159"/>
      <c r="AW130" s="158">
        <f>BT4</f>
        <v>0</v>
      </c>
      <c r="AX130" s="159"/>
      <c r="AZ130" s="35">
        <f>C5</f>
        <v>0</v>
      </c>
      <c r="BA130" s="158">
        <f>SUM(BB120:BB129)</f>
        <v>0</v>
      </c>
      <c r="BB130" s="159"/>
      <c r="BC130" s="158">
        <f>BT5</f>
        <v>0</v>
      </c>
      <c r="BD130" s="159"/>
      <c r="BF130" s="35">
        <f>C6</f>
        <v>0</v>
      </c>
      <c r="BG130" s="158">
        <f>SUM(BG120:BG129)</f>
        <v>0</v>
      </c>
      <c r="BH130" s="159"/>
      <c r="BI130" s="158">
        <f>BT6</f>
        <v>0</v>
      </c>
      <c r="BJ130" s="159"/>
    </row>
    <row r="131" spans="1:62" ht="15.75" thickBot="1" x14ac:dyDescent="0.3">
      <c r="A131" s="123" t="s">
        <v>31</v>
      </c>
      <c r="B131" s="113" t="s">
        <v>22</v>
      </c>
      <c r="C131" s="114"/>
      <c r="D131" s="114"/>
      <c r="E131" s="114"/>
      <c r="F131" s="115"/>
      <c r="G131" s="113" t="s">
        <v>20</v>
      </c>
      <c r="H131" s="114"/>
      <c r="I131" s="114"/>
      <c r="J131" s="114"/>
      <c r="K131" s="115"/>
      <c r="L131" s="113" t="s">
        <v>34</v>
      </c>
      <c r="M131" s="114"/>
      <c r="N131" s="114"/>
      <c r="O131" s="114"/>
      <c r="P131" s="115"/>
      <c r="Q131" s="113" t="s">
        <v>127</v>
      </c>
      <c r="R131" s="114"/>
      <c r="S131" s="114"/>
      <c r="T131" s="114"/>
      <c r="U131" s="115"/>
      <c r="V131" s="113" t="s">
        <v>129</v>
      </c>
      <c r="W131" s="114"/>
      <c r="X131" s="114"/>
      <c r="Y131" s="114"/>
      <c r="Z131" s="115"/>
      <c r="AA131" s="113" t="s">
        <v>26</v>
      </c>
      <c r="AB131" s="114"/>
      <c r="AC131" s="114"/>
      <c r="AD131" s="114"/>
      <c r="AE131" s="115"/>
      <c r="AF131" s="116" t="s">
        <v>24</v>
      </c>
      <c r="AG131" s="116" t="s">
        <v>86</v>
      </c>
      <c r="AH131" s="35" t="s">
        <v>25</v>
      </c>
      <c r="AI131" s="158">
        <f>A2</f>
        <v>21420</v>
      </c>
      <c r="AJ131" s="160"/>
      <c r="AK131" s="158" t="str">
        <f>BR2</f>
        <v>COD</v>
      </c>
      <c r="AL131" s="159"/>
      <c r="AN131" s="35" t="s">
        <v>25</v>
      </c>
      <c r="AO131" s="158">
        <f>A3</f>
        <v>0</v>
      </c>
      <c r="AP131" s="160"/>
      <c r="AQ131" s="158">
        <f>BR3</f>
        <v>0</v>
      </c>
      <c r="AR131" s="159"/>
      <c r="AT131" s="35" t="s">
        <v>25</v>
      </c>
      <c r="AU131" s="158">
        <f>A4</f>
        <v>0</v>
      </c>
      <c r="AV131" s="160"/>
      <c r="AW131" s="158">
        <f>BR4</f>
        <v>0</v>
      </c>
      <c r="AX131" s="159"/>
      <c r="AZ131" s="35" t="s">
        <v>25</v>
      </c>
      <c r="BA131" s="158">
        <f>A5</f>
        <v>0</v>
      </c>
      <c r="BB131" s="160"/>
      <c r="BC131" s="158">
        <f>BR5</f>
        <v>0</v>
      </c>
      <c r="BD131" s="159"/>
      <c r="BF131" s="35" t="s">
        <v>25</v>
      </c>
      <c r="BG131" s="158">
        <f>A6</f>
        <v>0</v>
      </c>
      <c r="BH131" s="160"/>
      <c r="BI131" s="158">
        <f>BR6</f>
        <v>0</v>
      </c>
      <c r="BJ131" s="159"/>
    </row>
    <row r="132" spans="1:62" ht="15.75" thickBot="1" x14ac:dyDescent="0.3">
      <c r="A132" s="124"/>
      <c r="B132" s="9" t="s">
        <v>32</v>
      </c>
      <c r="C132" s="12" t="s">
        <v>17</v>
      </c>
      <c r="D132" s="12" t="s">
        <v>19</v>
      </c>
      <c r="E132" s="12" t="s">
        <v>33</v>
      </c>
      <c r="F132" s="14" t="s">
        <v>80</v>
      </c>
      <c r="G132" s="9" t="s">
        <v>32</v>
      </c>
      <c r="H132" s="12" t="s">
        <v>17</v>
      </c>
      <c r="I132" s="12" t="s">
        <v>19</v>
      </c>
      <c r="J132" s="12" t="s">
        <v>33</v>
      </c>
      <c r="K132" s="14" t="s">
        <v>80</v>
      </c>
      <c r="L132" s="9" t="s">
        <v>32</v>
      </c>
      <c r="M132" s="12" t="s">
        <v>17</v>
      </c>
      <c r="N132" s="12" t="s">
        <v>19</v>
      </c>
      <c r="O132" s="12" t="s">
        <v>33</v>
      </c>
      <c r="P132" s="14" t="s">
        <v>80</v>
      </c>
      <c r="Q132" s="9" t="s">
        <v>32</v>
      </c>
      <c r="R132" s="12" t="s">
        <v>17</v>
      </c>
      <c r="S132" s="12" t="s">
        <v>19</v>
      </c>
      <c r="T132" s="12" t="s">
        <v>33</v>
      </c>
      <c r="U132" s="14" t="s">
        <v>80</v>
      </c>
      <c r="V132" s="9" t="s">
        <v>32</v>
      </c>
      <c r="W132" s="12" t="s">
        <v>17</v>
      </c>
      <c r="X132" s="12" t="s">
        <v>19</v>
      </c>
      <c r="Y132" s="12" t="s">
        <v>33</v>
      </c>
      <c r="Z132" s="14" t="s">
        <v>80</v>
      </c>
      <c r="AA132" s="9" t="s">
        <v>32</v>
      </c>
      <c r="AB132" s="12" t="s">
        <v>17</v>
      </c>
      <c r="AC132" s="12" t="s">
        <v>19</v>
      </c>
      <c r="AD132" s="12" t="s">
        <v>33</v>
      </c>
      <c r="AE132" s="14" t="s">
        <v>80</v>
      </c>
      <c r="AF132" s="117"/>
      <c r="AG132" s="117"/>
      <c r="AH132" s="58" t="s">
        <v>130</v>
      </c>
      <c r="AI132" s="58" t="s">
        <v>131</v>
      </c>
      <c r="AJ132" s="58" t="s">
        <v>132</v>
      </c>
      <c r="AK132" s="58" t="s">
        <v>166</v>
      </c>
      <c r="AL132" s="58" t="s">
        <v>33</v>
      </c>
      <c r="AN132" s="58" t="s">
        <v>130</v>
      </c>
      <c r="AO132" s="58" t="s">
        <v>131</v>
      </c>
      <c r="AP132" s="58" t="s">
        <v>132</v>
      </c>
      <c r="AQ132" s="58" t="s">
        <v>166</v>
      </c>
      <c r="AR132" s="58" t="s">
        <v>33</v>
      </c>
      <c r="AT132" s="58" t="s">
        <v>130</v>
      </c>
      <c r="AU132" s="58" t="s">
        <v>131</v>
      </c>
      <c r="AV132" s="58" t="s">
        <v>132</v>
      </c>
      <c r="AW132" s="58" t="s">
        <v>166</v>
      </c>
      <c r="AX132" s="58" t="s">
        <v>33</v>
      </c>
      <c r="AZ132" s="58" t="s">
        <v>130</v>
      </c>
      <c r="BA132" s="58" t="s">
        <v>131</v>
      </c>
      <c r="BB132" s="58" t="s">
        <v>132</v>
      </c>
      <c r="BC132" s="58" t="s">
        <v>166</v>
      </c>
      <c r="BD132" s="58" t="s">
        <v>33</v>
      </c>
      <c r="BF132" s="58" t="s">
        <v>130</v>
      </c>
      <c r="BG132" s="58" t="s">
        <v>131</v>
      </c>
      <c r="BH132" s="58" t="s">
        <v>132</v>
      </c>
      <c r="BI132" s="58" t="s">
        <v>166</v>
      </c>
      <c r="BJ132" s="58" t="s">
        <v>33</v>
      </c>
    </row>
    <row r="133" spans="1:62" ht="15.75" thickBot="1" x14ac:dyDescent="0.3">
      <c r="A133" s="16">
        <v>300</v>
      </c>
      <c r="B133" s="10">
        <f t="shared" ref="B133:F141" si="34">SUMIFS($J$14:$J$113,$I$14:$I$113,$A133,$K$14:$K$113,B$118,$L$14:$L$113,$B$117,$H$14:$H$113,"NG")</f>
        <v>0</v>
      </c>
      <c r="C133" s="11">
        <f t="shared" si="34"/>
        <v>0</v>
      </c>
      <c r="D133" s="11">
        <f t="shared" si="34"/>
        <v>0</v>
      </c>
      <c r="E133" s="11">
        <f t="shared" si="34"/>
        <v>0</v>
      </c>
      <c r="F133" s="17">
        <f t="shared" si="34"/>
        <v>0</v>
      </c>
      <c r="G133" s="10">
        <f t="shared" ref="G133:K141" si="35">SUMIFS($J$14:$J$113,$I$14:$I$113,$A133,$K$14:$K$113,G$118,$L$14:$L$113,$G$117,$H$14:$H$113,"NG")</f>
        <v>0</v>
      </c>
      <c r="H133" s="11">
        <f t="shared" si="35"/>
        <v>0</v>
      </c>
      <c r="I133" s="11">
        <f t="shared" si="35"/>
        <v>0</v>
      </c>
      <c r="J133" s="11">
        <f t="shared" si="35"/>
        <v>0</v>
      </c>
      <c r="K133" s="17">
        <f t="shared" si="35"/>
        <v>0</v>
      </c>
      <c r="L133" s="10">
        <f t="shared" ref="L133:P141" si="36">SUMIFS($J$14:$J$113,$I$14:$I$113,$A133,$K$14:$K$113,L$118,$L$14:$L$113,$L$117,$H$14:$H$113,"NG")</f>
        <v>0</v>
      </c>
      <c r="M133" s="11">
        <f t="shared" si="36"/>
        <v>0</v>
      </c>
      <c r="N133" s="11">
        <f t="shared" si="36"/>
        <v>0</v>
      </c>
      <c r="O133" s="11">
        <f t="shared" si="36"/>
        <v>0</v>
      </c>
      <c r="P133" s="17">
        <f t="shared" si="36"/>
        <v>0</v>
      </c>
      <c r="Q133" s="10">
        <f t="shared" ref="Q133:U141" si="37">SUMIFS($J$14:$J$113,$I$14:$I$113,$A133,$K$14:$K$113,Q$118,$L$14:$L$113,$Q$117,$H$14:$H$113,"NG")</f>
        <v>0</v>
      </c>
      <c r="R133" s="11">
        <f t="shared" si="37"/>
        <v>0</v>
      </c>
      <c r="S133" s="11">
        <f t="shared" si="37"/>
        <v>0</v>
      </c>
      <c r="T133" s="11">
        <f t="shared" si="37"/>
        <v>0</v>
      </c>
      <c r="U133" s="17">
        <f t="shared" si="37"/>
        <v>0</v>
      </c>
      <c r="V133" s="10">
        <f t="shared" ref="V133:AE141" si="38">SUMIFS($J$14:$J$113,$I$14:$I$113,$A133,$K$14:$K$113,V$118,$L$14:$L$113,$L$117,$H$14:$H$113,"NG")</f>
        <v>0</v>
      </c>
      <c r="W133" s="11">
        <f t="shared" si="38"/>
        <v>0</v>
      </c>
      <c r="X133" s="11">
        <f t="shared" si="38"/>
        <v>0</v>
      </c>
      <c r="Y133" s="11">
        <f t="shared" si="38"/>
        <v>0</v>
      </c>
      <c r="Z133" s="17">
        <f t="shared" si="38"/>
        <v>0</v>
      </c>
      <c r="AA133" s="10">
        <f t="shared" si="38"/>
        <v>0</v>
      </c>
      <c r="AB133" s="11">
        <f t="shared" si="38"/>
        <v>0</v>
      </c>
      <c r="AC133" s="11">
        <f t="shared" si="38"/>
        <v>0</v>
      </c>
      <c r="AD133" s="11">
        <f t="shared" si="38"/>
        <v>0</v>
      </c>
      <c r="AE133" s="17">
        <f t="shared" si="38"/>
        <v>0</v>
      </c>
      <c r="AF133" s="16">
        <f>SUM(B133:AE133)*A133</f>
        <v>0</v>
      </c>
      <c r="AG133" s="16">
        <f>SUM(B133:AE133)</f>
        <v>0</v>
      </c>
      <c r="AH133" s="34" t="str">
        <f>AZ14</f>
        <v/>
      </c>
      <c r="AI133" s="34" t="str">
        <f>BA14</f>
        <v/>
      </c>
      <c r="AJ133" s="34" t="str">
        <f>BB14</f>
        <v/>
      </c>
      <c r="AK133" s="35" t="str">
        <f>BC14</f>
        <v/>
      </c>
      <c r="AL133" s="35" t="str">
        <f>BD14</f>
        <v/>
      </c>
      <c r="AN133" s="34" t="str">
        <f>AZ15</f>
        <v/>
      </c>
      <c r="AO133" s="34" t="str">
        <f>BA15</f>
        <v/>
      </c>
      <c r="AP133" s="34" t="str">
        <f>BB15</f>
        <v/>
      </c>
      <c r="AQ133" s="35" t="str">
        <f>BC15</f>
        <v/>
      </c>
      <c r="AR133" s="35" t="str">
        <f>BD15</f>
        <v/>
      </c>
      <c r="AT133" s="34" t="str">
        <f>AZ16</f>
        <v/>
      </c>
      <c r="AU133" s="34" t="str">
        <f>BA16</f>
        <v/>
      </c>
      <c r="AV133" s="34" t="str">
        <f>BB16</f>
        <v/>
      </c>
      <c r="AW133" s="35" t="str">
        <f>BC16</f>
        <v/>
      </c>
      <c r="AX133" s="35" t="str">
        <f>BD16</f>
        <v/>
      </c>
      <c r="AZ133" s="34" t="str">
        <f>AZ17</f>
        <v/>
      </c>
      <c r="BA133" s="34" t="str">
        <f>BA17</f>
        <v/>
      </c>
      <c r="BB133" s="34" t="str">
        <f>BB17</f>
        <v/>
      </c>
      <c r="BC133" s="35" t="str">
        <f>BC17</f>
        <v/>
      </c>
      <c r="BD133" s="35" t="str">
        <f>BD17</f>
        <v/>
      </c>
      <c r="BF133" s="34" t="str">
        <f>AZ18</f>
        <v/>
      </c>
      <c r="BG133" s="34" t="str">
        <f>BA18</f>
        <v/>
      </c>
      <c r="BH133" s="34" t="str">
        <f>BB18</f>
        <v/>
      </c>
      <c r="BI133" s="35" t="str">
        <f>BC18</f>
        <v/>
      </c>
      <c r="BJ133" s="35" t="str">
        <f>BD18</f>
        <v/>
      </c>
    </row>
    <row r="134" spans="1:62" ht="15.75" thickBot="1" x14ac:dyDescent="0.3">
      <c r="A134" s="16">
        <v>500</v>
      </c>
      <c r="B134" s="10">
        <f t="shared" si="34"/>
        <v>0</v>
      </c>
      <c r="C134" s="11">
        <f t="shared" si="34"/>
        <v>0</v>
      </c>
      <c r="D134" s="11">
        <f t="shared" si="34"/>
        <v>0</v>
      </c>
      <c r="E134" s="11">
        <f t="shared" si="34"/>
        <v>0</v>
      </c>
      <c r="F134" s="17">
        <f t="shared" si="34"/>
        <v>0</v>
      </c>
      <c r="G134" s="10">
        <f t="shared" si="35"/>
        <v>0</v>
      </c>
      <c r="H134" s="11">
        <f t="shared" si="35"/>
        <v>0</v>
      </c>
      <c r="I134" s="11">
        <f t="shared" si="35"/>
        <v>0</v>
      </c>
      <c r="J134" s="11">
        <f t="shared" si="35"/>
        <v>0</v>
      </c>
      <c r="K134" s="17">
        <f t="shared" si="35"/>
        <v>0</v>
      </c>
      <c r="L134" s="10">
        <f t="shared" si="36"/>
        <v>0</v>
      </c>
      <c r="M134" s="11">
        <f t="shared" si="36"/>
        <v>0</v>
      </c>
      <c r="N134" s="11">
        <f t="shared" si="36"/>
        <v>0</v>
      </c>
      <c r="O134" s="11">
        <f t="shared" si="36"/>
        <v>0</v>
      </c>
      <c r="P134" s="17">
        <f t="shared" si="36"/>
        <v>0</v>
      </c>
      <c r="Q134" s="10">
        <f t="shared" si="37"/>
        <v>0</v>
      </c>
      <c r="R134" s="11">
        <f t="shared" si="37"/>
        <v>0</v>
      </c>
      <c r="S134" s="11">
        <f t="shared" si="37"/>
        <v>0</v>
      </c>
      <c r="T134" s="11">
        <f t="shared" si="37"/>
        <v>0</v>
      </c>
      <c r="U134" s="17">
        <f t="shared" si="37"/>
        <v>0</v>
      </c>
      <c r="V134" s="10">
        <f t="shared" si="38"/>
        <v>0</v>
      </c>
      <c r="W134" s="11">
        <f t="shared" si="38"/>
        <v>0</v>
      </c>
      <c r="X134" s="11">
        <f t="shared" si="38"/>
        <v>0</v>
      </c>
      <c r="Y134" s="11">
        <f t="shared" si="38"/>
        <v>0</v>
      </c>
      <c r="Z134" s="17">
        <f t="shared" si="38"/>
        <v>0</v>
      </c>
      <c r="AA134" s="10">
        <f t="shared" si="38"/>
        <v>0</v>
      </c>
      <c r="AB134" s="11">
        <f t="shared" si="38"/>
        <v>0</v>
      </c>
      <c r="AC134" s="11">
        <f t="shared" si="38"/>
        <v>0</v>
      </c>
      <c r="AD134" s="11">
        <f t="shared" si="38"/>
        <v>0</v>
      </c>
      <c r="AE134" s="17">
        <f t="shared" si="38"/>
        <v>0</v>
      </c>
      <c r="AF134" s="16">
        <f t="shared" ref="AF134:AF141" si="39">SUM(B134:AE134)*A134</f>
        <v>0</v>
      </c>
      <c r="AG134" s="16">
        <f t="shared" ref="AG134:AG142" si="40">SUM(B134:AE134)</f>
        <v>0</v>
      </c>
      <c r="AH134" s="58" t="s">
        <v>22</v>
      </c>
      <c r="AI134" s="58" t="s">
        <v>20</v>
      </c>
      <c r="AJ134" s="58" t="s">
        <v>34</v>
      </c>
      <c r="AK134" s="58" t="s">
        <v>127</v>
      </c>
      <c r="AL134" s="58" t="s">
        <v>129</v>
      </c>
      <c r="AN134" s="58" t="s">
        <v>22</v>
      </c>
      <c r="AO134" s="58" t="s">
        <v>20</v>
      </c>
      <c r="AP134" s="58" t="s">
        <v>34</v>
      </c>
      <c r="AQ134" s="58" t="s">
        <v>127</v>
      </c>
      <c r="AR134" s="58" t="s">
        <v>129</v>
      </c>
      <c r="AT134" s="58" t="s">
        <v>22</v>
      </c>
      <c r="AU134" s="58" t="s">
        <v>20</v>
      </c>
      <c r="AV134" s="58" t="s">
        <v>34</v>
      </c>
      <c r="AW134" s="58" t="s">
        <v>127</v>
      </c>
      <c r="AX134" s="58" t="s">
        <v>129</v>
      </c>
      <c r="AZ134" s="58" t="s">
        <v>22</v>
      </c>
      <c r="BA134" s="58" t="s">
        <v>20</v>
      </c>
      <c r="BB134" s="58" t="s">
        <v>34</v>
      </c>
      <c r="BC134" s="58" t="s">
        <v>127</v>
      </c>
      <c r="BD134" s="58" t="s">
        <v>129</v>
      </c>
      <c r="BF134" s="58" t="s">
        <v>22</v>
      </c>
      <c r="BG134" s="58" t="s">
        <v>20</v>
      </c>
      <c r="BH134" s="58" t="s">
        <v>34</v>
      </c>
      <c r="BI134" s="58" t="s">
        <v>127</v>
      </c>
      <c r="BJ134" s="58" t="s">
        <v>129</v>
      </c>
    </row>
    <row r="135" spans="1:62" ht="15.75" thickBot="1" x14ac:dyDescent="0.3">
      <c r="A135" s="15">
        <v>750</v>
      </c>
      <c r="B135" s="8">
        <f t="shared" si="34"/>
        <v>0</v>
      </c>
      <c r="C135" s="6">
        <f t="shared" si="34"/>
        <v>0</v>
      </c>
      <c r="D135" s="6">
        <f t="shared" si="34"/>
        <v>0</v>
      </c>
      <c r="E135" s="6">
        <f t="shared" si="34"/>
        <v>0</v>
      </c>
      <c r="F135" s="13">
        <f t="shared" si="34"/>
        <v>0</v>
      </c>
      <c r="G135" s="8">
        <f t="shared" si="35"/>
        <v>0</v>
      </c>
      <c r="H135" s="6">
        <f t="shared" si="35"/>
        <v>0</v>
      </c>
      <c r="I135" s="6">
        <f t="shared" si="35"/>
        <v>0</v>
      </c>
      <c r="J135" s="6">
        <f t="shared" si="35"/>
        <v>0</v>
      </c>
      <c r="K135" s="13">
        <f t="shared" si="35"/>
        <v>0</v>
      </c>
      <c r="L135" s="8">
        <f t="shared" si="36"/>
        <v>0</v>
      </c>
      <c r="M135" s="6">
        <f t="shared" si="36"/>
        <v>0</v>
      </c>
      <c r="N135" s="6">
        <f t="shared" si="36"/>
        <v>0</v>
      </c>
      <c r="O135" s="6">
        <f t="shared" si="36"/>
        <v>0</v>
      </c>
      <c r="P135" s="13">
        <f t="shared" si="36"/>
        <v>0</v>
      </c>
      <c r="Q135" s="8">
        <f t="shared" si="37"/>
        <v>0</v>
      </c>
      <c r="R135" s="6">
        <f t="shared" si="37"/>
        <v>0</v>
      </c>
      <c r="S135" s="6">
        <f t="shared" si="37"/>
        <v>0</v>
      </c>
      <c r="T135" s="6">
        <f t="shared" si="37"/>
        <v>0</v>
      </c>
      <c r="U135" s="13">
        <f t="shared" si="37"/>
        <v>0</v>
      </c>
      <c r="V135" s="8">
        <f t="shared" si="38"/>
        <v>0</v>
      </c>
      <c r="W135" s="6">
        <f t="shared" si="38"/>
        <v>0</v>
      </c>
      <c r="X135" s="6">
        <f t="shared" si="38"/>
        <v>0</v>
      </c>
      <c r="Y135" s="6">
        <f t="shared" si="38"/>
        <v>0</v>
      </c>
      <c r="Z135" s="13">
        <f t="shared" si="38"/>
        <v>0</v>
      </c>
      <c r="AA135" s="8">
        <f t="shared" si="38"/>
        <v>0</v>
      </c>
      <c r="AB135" s="6">
        <f t="shared" si="38"/>
        <v>0</v>
      </c>
      <c r="AC135" s="6">
        <f t="shared" si="38"/>
        <v>0</v>
      </c>
      <c r="AD135" s="6">
        <f t="shared" si="38"/>
        <v>0</v>
      </c>
      <c r="AE135" s="13">
        <f t="shared" si="38"/>
        <v>0</v>
      </c>
      <c r="AF135" s="16">
        <f t="shared" si="39"/>
        <v>0</v>
      </c>
      <c r="AG135" s="16">
        <f t="shared" si="40"/>
        <v>0</v>
      </c>
      <c r="AH135" s="34">
        <f>AU14</f>
        <v>3.5</v>
      </c>
      <c r="AI135" s="34" t="str">
        <f>AV14</f>
        <v/>
      </c>
      <c r="AJ135" s="34" t="str">
        <f>AW14</f>
        <v/>
      </c>
      <c r="AK135" s="35" t="str">
        <f>AX14</f>
        <v/>
      </c>
      <c r="AL135" s="35" t="str">
        <f>AY14</f>
        <v/>
      </c>
      <c r="AN135" s="34" t="str">
        <f>AU15</f>
        <v/>
      </c>
      <c r="AO135" s="34" t="str">
        <f>AV15</f>
        <v/>
      </c>
      <c r="AP135" s="34" t="str">
        <f>AW15</f>
        <v/>
      </c>
      <c r="AQ135" s="35" t="str">
        <f>AX15</f>
        <v/>
      </c>
      <c r="AR135" s="35" t="str">
        <f>AY15</f>
        <v/>
      </c>
      <c r="AT135" s="34" t="str">
        <f>AU16</f>
        <v/>
      </c>
      <c r="AU135" s="34" t="str">
        <f>AV16</f>
        <v/>
      </c>
      <c r="AV135" s="34" t="str">
        <f>AW16</f>
        <v/>
      </c>
      <c r="AW135" s="35" t="str">
        <f>AX16</f>
        <v/>
      </c>
      <c r="AX135" s="35" t="str">
        <f>AY16</f>
        <v/>
      </c>
      <c r="AZ135" s="34" t="str">
        <f>AU17</f>
        <v/>
      </c>
      <c r="BA135" s="34" t="str">
        <f>AV17</f>
        <v/>
      </c>
      <c r="BB135" s="34" t="str">
        <f>AW17</f>
        <v/>
      </c>
      <c r="BC135" s="35" t="str">
        <f>AX17</f>
        <v/>
      </c>
      <c r="BD135" s="35" t="str">
        <f>AY17</f>
        <v/>
      </c>
      <c r="BF135" s="34" t="str">
        <f>AU18</f>
        <v/>
      </c>
      <c r="BG135" s="34" t="str">
        <f>AV18</f>
        <v/>
      </c>
      <c r="BH135" s="34" t="str">
        <f>AW18</f>
        <v/>
      </c>
      <c r="BI135" s="35" t="str">
        <f>AX18</f>
        <v/>
      </c>
      <c r="BJ135" s="35" t="str">
        <f>AY18</f>
        <v/>
      </c>
    </row>
    <row r="136" spans="1:62" x14ac:dyDescent="0.25">
      <c r="A136" s="15">
        <v>1000</v>
      </c>
      <c r="B136" s="8">
        <f t="shared" si="34"/>
        <v>0</v>
      </c>
      <c r="C136" s="6">
        <f t="shared" si="34"/>
        <v>0</v>
      </c>
      <c r="D136" s="6">
        <f t="shared" si="34"/>
        <v>0</v>
      </c>
      <c r="E136" s="6">
        <f t="shared" si="34"/>
        <v>0</v>
      </c>
      <c r="F136" s="13">
        <f t="shared" si="34"/>
        <v>0</v>
      </c>
      <c r="G136" s="8">
        <f t="shared" si="35"/>
        <v>0</v>
      </c>
      <c r="H136" s="6">
        <f t="shared" si="35"/>
        <v>0</v>
      </c>
      <c r="I136" s="6">
        <f t="shared" si="35"/>
        <v>0</v>
      </c>
      <c r="J136" s="6">
        <f t="shared" si="35"/>
        <v>0</v>
      </c>
      <c r="K136" s="13">
        <f t="shared" si="35"/>
        <v>0</v>
      </c>
      <c r="L136" s="8">
        <f t="shared" si="36"/>
        <v>0</v>
      </c>
      <c r="M136" s="6">
        <f t="shared" si="36"/>
        <v>0</v>
      </c>
      <c r="N136" s="6">
        <f t="shared" si="36"/>
        <v>0</v>
      </c>
      <c r="O136" s="6">
        <f t="shared" si="36"/>
        <v>0</v>
      </c>
      <c r="P136" s="13">
        <f t="shared" si="36"/>
        <v>0</v>
      </c>
      <c r="Q136" s="8">
        <f t="shared" si="37"/>
        <v>0</v>
      </c>
      <c r="R136" s="6">
        <f t="shared" si="37"/>
        <v>0</v>
      </c>
      <c r="S136" s="6">
        <f t="shared" si="37"/>
        <v>0</v>
      </c>
      <c r="T136" s="6">
        <f t="shared" si="37"/>
        <v>0</v>
      </c>
      <c r="U136" s="13">
        <f t="shared" si="37"/>
        <v>0</v>
      </c>
      <c r="V136" s="8">
        <f t="shared" si="38"/>
        <v>0</v>
      </c>
      <c r="W136" s="6">
        <f t="shared" si="38"/>
        <v>0</v>
      </c>
      <c r="X136" s="6">
        <f t="shared" si="38"/>
        <v>0</v>
      </c>
      <c r="Y136" s="6">
        <f t="shared" si="38"/>
        <v>0</v>
      </c>
      <c r="Z136" s="13">
        <f t="shared" si="38"/>
        <v>0</v>
      </c>
      <c r="AA136" s="8">
        <f t="shared" si="38"/>
        <v>0</v>
      </c>
      <c r="AB136" s="6">
        <f t="shared" si="38"/>
        <v>0</v>
      </c>
      <c r="AC136" s="6">
        <f t="shared" si="38"/>
        <v>0</v>
      </c>
      <c r="AD136" s="6">
        <f t="shared" si="38"/>
        <v>0</v>
      </c>
      <c r="AE136" s="13">
        <f t="shared" si="38"/>
        <v>0</v>
      </c>
      <c r="AF136" s="16">
        <f t="shared" si="39"/>
        <v>0</v>
      </c>
      <c r="AG136" s="16">
        <f t="shared" si="40"/>
        <v>0</v>
      </c>
    </row>
    <row r="137" spans="1:62" x14ac:dyDescent="0.25">
      <c r="A137" s="15">
        <v>1500</v>
      </c>
      <c r="B137" s="8">
        <f t="shared" si="34"/>
        <v>0</v>
      </c>
      <c r="C137" s="6">
        <f t="shared" si="34"/>
        <v>0</v>
      </c>
      <c r="D137" s="6">
        <f t="shared" si="34"/>
        <v>0</v>
      </c>
      <c r="E137" s="6">
        <f t="shared" si="34"/>
        <v>0</v>
      </c>
      <c r="F137" s="13">
        <f t="shared" si="34"/>
        <v>0</v>
      </c>
      <c r="G137" s="8">
        <f t="shared" si="35"/>
        <v>0</v>
      </c>
      <c r="H137" s="6">
        <f t="shared" si="35"/>
        <v>0</v>
      </c>
      <c r="I137" s="6">
        <f t="shared" si="35"/>
        <v>0</v>
      </c>
      <c r="J137" s="6">
        <f t="shared" si="35"/>
        <v>0</v>
      </c>
      <c r="K137" s="13">
        <f t="shared" si="35"/>
        <v>0</v>
      </c>
      <c r="L137" s="8">
        <f t="shared" si="36"/>
        <v>0</v>
      </c>
      <c r="M137" s="6">
        <f t="shared" si="36"/>
        <v>0</v>
      </c>
      <c r="N137" s="6">
        <f t="shared" si="36"/>
        <v>0</v>
      </c>
      <c r="O137" s="6">
        <f t="shared" si="36"/>
        <v>0</v>
      </c>
      <c r="P137" s="13">
        <f t="shared" si="36"/>
        <v>0</v>
      </c>
      <c r="Q137" s="8">
        <f t="shared" si="37"/>
        <v>0</v>
      </c>
      <c r="R137" s="6">
        <f t="shared" si="37"/>
        <v>0</v>
      </c>
      <c r="S137" s="6">
        <f t="shared" si="37"/>
        <v>0</v>
      </c>
      <c r="T137" s="6">
        <f t="shared" si="37"/>
        <v>0</v>
      </c>
      <c r="U137" s="13">
        <f t="shared" si="37"/>
        <v>0</v>
      </c>
      <c r="V137" s="8">
        <f t="shared" si="38"/>
        <v>0</v>
      </c>
      <c r="W137" s="6">
        <f t="shared" si="38"/>
        <v>0</v>
      </c>
      <c r="X137" s="6">
        <f t="shared" si="38"/>
        <v>0</v>
      </c>
      <c r="Y137" s="6">
        <f t="shared" si="38"/>
        <v>0</v>
      </c>
      <c r="Z137" s="13">
        <f t="shared" si="38"/>
        <v>0</v>
      </c>
      <c r="AA137" s="8">
        <f t="shared" si="38"/>
        <v>0</v>
      </c>
      <c r="AB137" s="6">
        <f t="shared" si="38"/>
        <v>0</v>
      </c>
      <c r="AC137" s="6">
        <f t="shared" si="38"/>
        <v>0</v>
      </c>
      <c r="AD137" s="6">
        <f t="shared" si="38"/>
        <v>0</v>
      </c>
      <c r="AE137" s="13">
        <f t="shared" si="38"/>
        <v>0</v>
      </c>
      <c r="AF137" s="16">
        <f t="shared" si="39"/>
        <v>0</v>
      </c>
      <c r="AG137" s="16">
        <f t="shared" si="40"/>
        <v>0</v>
      </c>
      <c r="AH137" s="118" t="s">
        <v>35</v>
      </c>
      <c r="AI137" s="118"/>
      <c r="AJ137" s="118">
        <f>F7</f>
        <v>0</v>
      </c>
      <c r="AK137" s="118"/>
      <c r="AL137" s="118"/>
      <c r="AN137" s="118" t="s">
        <v>35</v>
      </c>
      <c r="AO137" s="118"/>
      <c r="AP137" s="118">
        <f>F8</f>
        <v>0</v>
      </c>
      <c r="AQ137" s="118"/>
      <c r="AR137" s="118"/>
      <c r="AT137" s="118" t="s">
        <v>35</v>
      </c>
      <c r="AU137" s="118"/>
      <c r="AV137" s="118">
        <f>F9</f>
        <v>0</v>
      </c>
      <c r="AW137" s="118"/>
      <c r="AX137" s="118"/>
      <c r="AZ137" s="118" t="s">
        <v>35</v>
      </c>
      <c r="BA137" s="118"/>
      <c r="BB137" s="118">
        <f>F10</f>
        <v>0</v>
      </c>
      <c r="BC137" s="118"/>
      <c r="BD137" s="118"/>
      <c r="BF137" s="118" t="s">
        <v>35</v>
      </c>
      <c r="BG137" s="118"/>
      <c r="BH137" s="118">
        <f>F11</f>
        <v>0</v>
      </c>
      <c r="BI137" s="118"/>
      <c r="BJ137" s="118"/>
    </row>
    <row r="138" spans="1:62" x14ac:dyDescent="0.25">
      <c r="A138" s="15">
        <v>2000</v>
      </c>
      <c r="B138" s="8">
        <f t="shared" si="34"/>
        <v>0</v>
      </c>
      <c r="C138" s="6">
        <f t="shared" si="34"/>
        <v>0</v>
      </c>
      <c r="D138" s="6">
        <f t="shared" si="34"/>
        <v>0</v>
      </c>
      <c r="E138" s="6">
        <f t="shared" si="34"/>
        <v>0</v>
      </c>
      <c r="F138" s="13">
        <f t="shared" si="34"/>
        <v>0</v>
      </c>
      <c r="G138" s="8">
        <f t="shared" si="35"/>
        <v>0</v>
      </c>
      <c r="H138" s="6">
        <f t="shared" si="35"/>
        <v>0</v>
      </c>
      <c r="I138" s="6">
        <f t="shared" si="35"/>
        <v>0</v>
      </c>
      <c r="J138" s="6">
        <f t="shared" si="35"/>
        <v>0</v>
      </c>
      <c r="K138" s="13">
        <f t="shared" si="35"/>
        <v>0</v>
      </c>
      <c r="L138" s="8">
        <f t="shared" si="36"/>
        <v>0</v>
      </c>
      <c r="M138" s="6">
        <f t="shared" si="36"/>
        <v>0</v>
      </c>
      <c r="N138" s="6">
        <f t="shared" si="36"/>
        <v>0</v>
      </c>
      <c r="O138" s="6">
        <f t="shared" si="36"/>
        <v>0</v>
      </c>
      <c r="P138" s="13">
        <f t="shared" si="36"/>
        <v>0</v>
      </c>
      <c r="Q138" s="8">
        <f t="shared" si="37"/>
        <v>0</v>
      </c>
      <c r="R138" s="6">
        <f t="shared" si="37"/>
        <v>0</v>
      </c>
      <c r="S138" s="6">
        <f t="shared" si="37"/>
        <v>0</v>
      </c>
      <c r="T138" s="6">
        <f t="shared" si="37"/>
        <v>0</v>
      </c>
      <c r="U138" s="13">
        <f t="shared" si="37"/>
        <v>0</v>
      </c>
      <c r="V138" s="8">
        <f t="shared" si="38"/>
        <v>0</v>
      </c>
      <c r="W138" s="6">
        <f t="shared" si="38"/>
        <v>0</v>
      </c>
      <c r="X138" s="6">
        <f t="shared" si="38"/>
        <v>0</v>
      </c>
      <c r="Y138" s="6">
        <f t="shared" si="38"/>
        <v>0</v>
      </c>
      <c r="Z138" s="13">
        <f t="shared" si="38"/>
        <v>0</v>
      </c>
      <c r="AA138" s="8">
        <f t="shared" si="38"/>
        <v>0</v>
      </c>
      <c r="AB138" s="6">
        <f t="shared" si="38"/>
        <v>0</v>
      </c>
      <c r="AC138" s="6">
        <f t="shared" si="38"/>
        <v>0</v>
      </c>
      <c r="AD138" s="6">
        <f t="shared" si="38"/>
        <v>0</v>
      </c>
      <c r="AE138" s="13">
        <f t="shared" si="38"/>
        <v>0</v>
      </c>
      <c r="AF138" s="16">
        <f t="shared" si="39"/>
        <v>0</v>
      </c>
      <c r="AG138" s="16">
        <f t="shared" si="40"/>
        <v>0</v>
      </c>
      <c r="AH138" s="118">
        <f>G7</f>
        <v>0</v>
      </c>
      <c r="AI138" s="118"/>
      <c r="AJ138" s="118"/>
      <c r="AK138" s="118"/>
      <c r="AL138" s="118"/>
      <c r="AN138" s="118">
        <f>G8</f>
        <v>0</v>
      </c>
      <c r="AO138" s="118">
        <f>G8</f>
        <v>0</v>
      </c>
      <c r="AP138" s="118"/>
      <c r="AQ138" s="118"/>
      <c r="AR138" s="118"/>
      <c r="AT138" s="118">
        <f>G9</f>
        <v>0</v>
      </c>
      <c r="AU138" s="118"/>
      <c r="AV138" s="118"/>
      <c r="AW138" s="118"/>
      <c r="AX138" s="118"/>
      <c r="AZ138" s="118">
        <f>G10</f>
        <v>0</v>
      </c>
      <c r="BA138" s="118"/>
      <c r="BB138" s="118"/>
      <c r="BC138" s="118"/>
      <c r="BD138" s="118"/>
      <c r="BF138" s="118">
        <f>G11</f>
        <v>0</v>
      </c>
      <c r="BG138" s="118"/>
      <c r="BH138" s="118"/>
      <c r="BI138" s="118"/>
      <c r="BJ138" s="118"/>
    </row>
    <row r="139" spans="1:62" ht="15.75" thickBot="1" x14ac:dyDescent="0.3">
      <c r="A139" s="15">
        <v>3000</v>
      </c>
      <c r="B139" s="8">
        <f t="shared" si="34"/>
        <v>0</v>
      </c>
      <c r="C139" s="6">
        <f t="shared" si="34"/>
        <v>0</v>
      </c>
      <c r="D139" s="6">
        <f t="shared" si="34"/>
        <v>0</v>
      </c>
      <c r="E139" s="6">
        <f t="shared" si="34"/>
        <v>0</v>
      </c>
      <c r="F139" s="13">
        <f t="shared" si="34"/>
        <v>0</v>
      </c>
      <c r="G139" s="8">
        <f t="shared" si="35"/>
        <v>0</v>
      </c>
      <c r="H139" s="6">
        <f t="shared" si="35"/>
        <v>0</v>
      </c>
      <c r="I139" s="6">
        <f t="shared" si="35"/>
        <v>0</v>
      </c>
      <c r="J139" s="6">
        <f t="shared" si="35"/>
        <v>0</v>
      </c>
      <c r="K139" s="13">
        <f t="shared" si="35"/>
        <v>0</v>
      </c>
      <c r="L139" s="8">
        <f t="shared" si="36"/>
        <v>0</v>
      </c>
      <c r="M139" s="6">
        <f t="shared" si="36"/>
        <v>0</v>
      </c>
      <c r="N139" s="6">
        <f t="shared" si="36"/>
        <v>0</v>
      </c>
      <c r="O139" s="6">
        <f t="shared" si="36"/>
        <v>0</v>
      </c>
      <c r="P139" s="13">
        <f t="shared" si="36"/>
        <v>0</v>
      </c>
      <c r="Q139" s="8">
        <f t="shared" si="37"/>
        <v>0</v>
      </c>
      <c r="R139" s="6">
        <f t="shared" si="37"/>
        <v>0</v>
      </c>
      <c r="S139" s="6">
        <f t="shared" si="37"/>
        <v>0</v>
      </c>
      <c r="T139" s="6">
        <f t="shared" si="37"/>
        <v>0</v>
      </c>
      <c r="U139" s="13">
        <f t="shared" si="37"/>
        <v>0</v>
      </c>
      <c r="V139" s="8">
        <f t="shared" si="38"/>
        <v>0</v>
      </c>
      <c r="W139" s="6">
        <f t="shared" si="38"/>
        <v>0</v>
      </c>
      <c r="X139" s="6">
        <f t="shared" si="38"/>
        <v>0</v>
      </c>
      <c r="Y139" s="6">
        <f t="shared" si="38"/>
        <v>0</v>
      </c>
      <c r="Z139" s="13">
        <f t="shared" si="38"/>
        <v>0</v>
      </c>
      <c r="AA139" s="8">
        <f t="shared" si="38"/>
        <v>0</v>
      </c>
      <c r="AB139" s="6">
        <f t="shared" si="38"/>
        <v>0</v>
      </c>
      <c r="AC139" s="6">
        <f t="shared" si="38"/>
        <v>0</v>
      </c>
      <c r="AD139" s="6">
        <f t="shared" si="38"/>
        <v>0</v>
      </c>
      <c r="AE139" s="13">
        <f t="shared" si="38"/>
        <v>0</v>
      </c>
      <c r="AF139" s="16">
        <f t="shared" si="39"/>
        <v>0</v>
      </c>
      <c r="AG139" s="16">
        <f t="shared" si="40"/>
        <v>0</v>
      </c>
      <c r="AH139" s="118">
        <f>H7</f>
        <v>0</v>
      </c>
      <c r="AI139" s="118"/>
      <c r="AJ139" s="118"/>
      <c r="AK139" s="118"/>
      <c r="AL139" s="118"/>
      <c r="AN139" s="118">
        <f>H8</f>
        <v>0</v>
      </c>
      <c r="AO139" s="118">
        <f>H8</f>
        <v>0</v>
      </c>
      <c r="AP139" s="118"/>
      <c r="AQ139" s="118"/>
      <c r="AR139" s="118"/>
      <c r="AT139" s="118">
        <f>H9</f>
        <v>0</v>
      </c>
      <c r="AU139" s="118"/>
      <c r="AV139" s="118"/>
      <c r="AW139" s="118"/>
      <c r="AX139" s="118"/>
      <c r="AZ139" s="118">
        <f>H10</f>
        <v>0</v>
      </c>
      <c r="BA139" s="118"/>
      <c r="BB139" s="118"/>
      <c r="BC139" s="118"/>
      <c r="BD139" s="118"/>
      <c r="BF139" s="118">
        <f>H11</f>
        <v>0</v>
      </c>
      <c r="BG139" s="118"/>
      <c r="BH139" s="118"/>
      <c r="BI139" s="118"/>
      <c r="BJ139" s="118"/>
    </row>
    <row r="140" spans="1:62" ht="15.75" thickBot="1" x14ac:dyDescent="0.3">
      <c r="A140" s="15">
        <v>5000</v>
      </c>
      <c r="B140" s="8">
        <f t="shared" si="34"/>
        <v>0</v>
      </c>
      <c r="C140" s="6">
        <f t="shared" si="34"/>
        <v>0</v>
      </c>
      <c r="D140" s="6">
        <f t="shared" si="34"/>
        <v>0</v>
      </c>
      <c r="E140" s="6">
        <f t="shared" si="34"/>
        <v>0</v>
      </c>
      <c r="F140" s="13">
        <f t="shared" si="34"/>
        <v>0</v>
      </c>
      <c r="G140" s="8">
        <f t="shared" si="35"/>
        <v>0</v>
      </c>
      <c r="H140" s="6">
        <f t="shared" si="35"/>
        <v>0</v>
      </c>
      <c r="I140" s="6">
        <f t="shared" si="35"/>
        <v>0</v>
      </c>
      <c r="J140" s="6">
        <f t="shared" si="35"/>
        <v>0</v>
      </c>
      <c r="K140" s="13">
        <f t="shared" si="35"/>
        <v>0</v>
      </c>
      <c r="L140" s="8">
        <f t="shared" si="36"/>
        <v>0</v>
      </c>
      <c r="M140" s="6">
        <f t="shared" si="36"/>
        <v>0</v>
      </c>
      <c r="N140" s="6">
        <f t="shared" si="36"/>
        <v>0</v>
      </c>
      <c r="O140" s="6">
        <f t="shared" si="36"/>
        <v>0</v>
      </c>
      <c r="P140" s="13">
        <f t="shared" si="36"/>
        <v>0</v>
      </c>
      <c r="Q140" s="8">
        <f t="shared" si="37"/>
        <v>0</v>
      </c>
      <c r="R140" s="6">
        <f t="shared" si="37"/>
        <v>0</v>
      </c>
      <c r="S140" s="6">
        <f t="shared" si="37"/>
        <v>0</v>
      </c>
      <c r="T140" s="6">
        <f t="shared" si="37"/>
        <v>0</v>
      </c>
      <c r="U140" s="13">
        <f t="shared" si="37"/>
        <v>0</v>
      </c>
      <c r="V140" s="8">
        <f t="shared" si="38"/>
        <v>0</v>
      </c>
      <c r="W140" s="6">
        <f t="shared" si="38"/>
        <v>0</v>
      </c>
      <c r="X140" s="6">
        <f t="shared" si="38"/>
        <v>0</v>
      </c>
      <c r="Y140" s="6">
        <f t="shared" si="38"/>
        <v>0</v>
      </c>
      <c r="Z140" s="13">
        <f t="shared" si="38"/>
        <v>0</v>
      </c>
      <c r="AA140" s="8">
        <f t="shared" si="38"/>
        <v>0</v>
      </c>
      <c r="AB140" s="6">
        <f t="shared" si="38"/>
        <v>0</v>
      </c>
      <c r="AC140" s="6">
        <f t="shared" si="38"/>
        <v>0</v>
      </c>
      <c r="AD140" s="6">
        <f t="shared" si="38"/>
        <v>0</v>
      </c>
      <c r="AE140" s="13">
        <f t="shared" si="38"/>
        <v>0</v>
      </c>
      <c r="AF140" s="16">
        <f t="shared" si="39"/>
        <v>0</v>
      </c>
      <c r="AG140" s="16">
        <f t="shared" si="40"/>
        <v>0</v>
      </c>
      <c r="AH140" s="30" t="s">
        <v>136</v>
      </c>
      <c r="AI140" s="30" t="s">
        <v>27</v>
      </c>
      <c r="AJ140" s="30" t="s">
        <v>28</v>
      </c>
      <c r="AK140" s="30" t="s">
        <v>29</v>
      </c>
      <c r="AL140" s="30" t="s">
        <v>30</v>
      </c>
      <c r="AN140" s="30" t="s">
        <v>136</v>
      </c>
      <c r="AO140" s="30" t="s">
        <v>27</v>
      </c>
      <c r="AP140" s="30" t="s">
        <v>28</v>
      </c>
      <c r="AQ140" s="30" t="s">
        <v>29</v>
      </c>
      <c r="AR140" s="30" t="s">
        <v>30</v>
      </c>
      <c r="AT140" s="30" t="s">
        <v>136</v>
      </c>
      <c r="AU140" s="30" t="s">
        <v>27</v>
      </c>
      <c r="AV140" s="30" t="s">
        <v>28</v>
      </c>
      <c r="AW140" s="30" t="s">
        <v>29</v>
      </c>
      <c r="AX140" s="30" t="s">
        <v>30</v>
      </c>
      <c r="AZ140" s="30" t="s">
        <v>136</v>
      </c>
      <c r="BA140" s="30" t="s">
        <v>27</v>
      </c>
      <c r="BB140" s="30" t="s">
        <v>28</v>
      </c>
      <c r="BC140" s="30" t="s">
        <v>29</v>
      </c>
      <c r="BD140" s="30" t="s">
        <v>30</v>
      </c>
      <c r="BF140" s="30" t="s">
        <v>136</v>
      </c>
      <c r="BG140" s="30" t="s">
        <v>27</v>
      </c>
      <c r="BH140" s="30" t="s">
        <v>28</v>
      </c>
      <c r="BI140" s="30" t="s">
        <v>29</v>
      </c>
      <c r="BJ140" s="30" t="s">
        <v>30</v>
      </c>
    </row>
    <row r="141" spans="1:62" ht="15.75" thickBot="1" x14ac:dyDescent="0.3">
      <c r="A141" s="59">
        <v>10000</v>
      </c>
      <c r="B141" s="31">
        <f t="shared" si="34"/>
        <v>0</v>
      </c>
      <c r="C141" s="32">
        <f t="shared" si="34"/>
        <v>0</v>
      </c>
      <c r="D141" s="32">
        <f t="shared" si="34"/>
        <v>0</v>
      </c>
      <c r="E141" s="32">
        <f t="shared" si="34"/>
        <v>0</v>
      </c>
      <c r="F141" s="33">
        <f t="shared" si="34"/>
        <v>0</v>
      </c>
      <c r="G141" s="31">
        <f t="shared" si="35"/>
        <v>0</v>
      </c>
      <c r="H141" s="32">
        <f t="shared" si="35"/>
        <v>0</v>
      </c>
      <c r="I141" s="32">
        <f t="shared" si="35"/>
        <v>0</v>
      </c>
      <c r="J141" s="32">
        <f t="shared" si="35"/>
        <v>0</v>
      </c>
      <c r="K141" s="33">
        <f t="shared" si="35"/>
        <v>0</v>
      </c>
      <c r="L141" s="31">
        <f t="shared" si="36"/>
        <v>0</v>
      </c>
      <c r="M141" s="32">
        <f t="shared" si="36"/>
        <v>0</v>
      </c>
      <c r="N141" s="32">
        <f t="shared" si="36"/>
        <v>0</v>
      </c>
      <c r="O141" s="32">
        <f t="shared" si="36"/>
        <v>0</v>
      </c>
      <c r="P141" s="33">
        <f t="shared" si="36"/>
        <v>0</v>
      </c>
      <c r="Q141" s="31">
        <f t="shared" si="37"/>
        <v>0</v>
      </c>
      <c r="R141" s="32">
        <f t="shared" si="37"/>
        <v>0</v>
      </c>
      <c r="S141" s="32">
        <f t="shared" si="37"/>
        <v>0</v>
      </c>
      <c r="T141" s="32">
        <f t="shared" si="37"/>
        <v>0</v>
      </c>
      <c r="U141" s="33">
        <f t="shared" si="37"/>
        <v>0</v>
      </c>
      <c r="V141" s="31">
        <f t="shared" si="38"/>
        <v>0</v>
      </c>
      <c r="W141" s="32">
        <f t="shared" si="38"/>
        <v>0</v>
      </c>
      <c r="X141" s="32">
        <f t="shared" si="38"/>
        <v>0</v>
      </c>
      <c r="Y141" s="32">
        <f t="shared" si="38"/>
        <v>0</v>
      </c>
      <c r="Z141" s="33">
        <f t="shared" si="38"/>
        <v>0</v>
      </c>
      <c r="AA141" s="31">
        <f t="shared" si="38"/>
        <v>0</v>
      </c>
      <c r="AB141" s="32">
        <f t="shared" si="38"/>
        <v>0</v>
      </c>
      <c r="AC141" s="32">
        <f t="shared" si="38"/>
        <v>0</v>
      </c>
      <c r="AD141" s="32">
        <f t="shared" si="38"/>
        <v>0</v>
      </c>
      <c r="AE141" s="33">
        <f t="shared" si="38"/>
        <v>0</v>
      </c>
      <c r="AF141" s="16">
        <f t="shared" si="39"/>
        <v>0</v>
      </c>
      <c r="AG141" s="43">
        <f t="shared" si="40"/>
        <v>0</v>
      </c>
      <c r="AH141" s="16">
        <f>J7</f>
        <v>0</v>
      </c>
      <c r="AI141" s="10">
        <f>K7</f>
        <v>0</v>
      </c>
      <c r="AJ141" s="11">
        <f>L7</f>
        <v>0</v>
      </c>
      <c r="AK141" s="11">
        <f>M7</f>
        <v>0</v>
      </c>
      <c r="AL141" s="17">
        <f>N7</f>
        <v>0</v>
      </c>
      <c r="AN141" s="16">
        <f>J8</f>
        <v>0</v>
      </c>
      <c r="AO141" s="10">
        <f>K8</f>
        <v>0</v>
      </c>
      <c r="AP141" s="11">
        <f>L8</f>
        <v>0</v>
      </c>
      <c r="AQ141" s="11">
        <f>M8</f>
        <v>0</v>
      </c>
      <c r="AR141" s="17">
        <f>N8</f>
        <v>0</v>
      </c>
      <c r="AT141" s="16">
        <f>J9</f>
        <v>0</v>
      </c>
      <c r="AU141" s="10">
        <f>K9</f>
        <v>0</v>
      </c>
      <c r="AV141" s="11">
        <f>L9</f>
        <v>0</v>
      </c>
      <c r="AW141" s="11">
        <f>M9</f>
        <v>0</v>
      </c>
      <c r="AX141" s="17">
        <f>N9</f>
        <v>0</v>
      </c>
      <c r="AZ141" s="16">
        <f>J10</f>
        <v>0</v>
      </c>
      <c r="BA141" s="10">
        <f>K10</f>
        <v>0</v>
      </c>
      <c r="BB141" s="11">
        <f>L10</f>
        <v>0</v>
      </c>
      <c r="BC141" s="11">
        <f>M10</f>
        <v>0</v>
      </c>
      <c r="BD141" s="17">
        <f>N10</f>
        <v>0</v>
      </c>
      <c r="BF141" s="16">
        <f>J11</f>
        <v>0</v>
      </c>
      <c r="BG141" s="10">
        <f>K11</f>
        <v>0</v>
      </c>
      <c r="BH141" s="11">
        <f>L11</f>
        <v>0</v>
      </c>
      <c r="BI141" s="11">
        <f>M11</f>
        <v>0</v>
      </c>
      <c r="BJ141" s="17">
        <f>N11</f>
        <v>0</v>
      </c>
    </row>
    <row r="142" spans="1:62" ht="15.75" thickBot="1" x14ac:dyDescent="0.3">
      <c r="A142" s="35"/>
      <c r="B142" s="60">
        <f t="shared" ref="B142:AG142" si="41">SUM(B133:B141)</f>
        <v>0</v>
      </c>
      <c r="C142" s="61">
        <f t="shared" si="41"/>
        <v>0</v>
      </c>
      <c r="D142" s="61">
        <f t="shared" si="41"/>
        <v>0</v>
      </c>
      <c r="E142" s="61">
        <f t="shared" si="41"/>
        <v>0</v>
      </c>
      <c r="F142" s="62">
        <f t="shared" si="41"/>
        <v>0</v>
      </c>
      <c r="G142" s="60">
        <f t="shared" si="41"/>
        <v>0</v>
      </c>
      <c r="H142" s="61">
        <f t="shared" si="41"/>
        <v>0</v>
      </c>
      <c r="I142" s="61">
        <f t="shared" si="41"/>
        <v>0</v>
      </c>
      <c r="J142" s="61">
        <f t="shared" si="41"/>
        <v>0</v>
      </c>
      <c r="K142" s="62">
        <f t="shared" si="41"/>
        <v>0</v>
      </c>
      <c r="L142" s="60">
        <f t="shared" si="41"/>
        <v>0</v>
      </c>
      <c r="M142" s="61">
        <f t="shared" si="41"/>
        <v>0</v>
      </c>
      <c r="N142" s="61">
        <f t="shared" si="41"/>
        <v>0</v>
      </c>
      <c r="O142" s="61">
        <f t="shared" si="41"/>
        <v>0</v>
      </c>
      <c r="P142" s="62">
        <f t="shared" si="41"/>
        <v>0</v>
      </c>
      <c r="Q142" s="60">
        <f t="shared" si="41"/>
        <v>0</v>
      </c>
      <c r="R142" s="61">
        <f t="shared" si="41"/>
        <v>0</v>
      </c>
      <c r="S142" s="61">
        <f t="shared" si="41"/>
        <v>0</v>
      </c>
      <c r="T142" s="61">
        <f t="shared" si="41"/>
        <v>0</v>
      </c>
      <c r="U142" s="62">
        <f t="shared" si="41"/>
        <v>0</v>
      </c>
      <c r="V142" s="60">
        <f t="shared" si="41"/>
        <v>0</v>
      </c>
      <c r="W142" s="61">
        <f t="shared" si="41"/>
        <v>0</v>
      </c>
      <c r="X142" s="61">
        <f t="shared" si="41"/>
        <v>0</v>
      </c>
      <c r="Y142" s="61">
        <f t="shared" si="41"/>
        <v>0</v>
      </c>
      <c r="Z142" s="62">
        <f t="shared" si="41"/>
        <v>0</v>
      </c>
      <c r="AA142" s="60">
        <f t="shared" si="41"/>
        <v>0</v>
      </c>
      <c r="AB142" s="61">
        <f t="shared" si="41"/>
        <v>0</v>
      </c>
      <c r="AC142" s="61">
        <f t="shared" si="41"/>
        <v>0</v>
      </c>
      <c r="AD142" s="61">
        <f t="shared" si="41"/>
        <v>0</v>
      </c>
      <c r="AE142" s="62">
        <f t="shared" si="41"/>
        <v>0</v>
      </c>
      <c r="AF142" s="35">
        <f t="shared" si="41"/>
        <v>0</v>
      </c>
      <c r="AG142" s="35">
        <f t="shared" si="40"/>
        <v>0</v>
      </c>
      <c r="AH142" s="15">
        <f>P7</f>
        <v>0</v>
      </c>
      <c r="AI142" s="8">
        <f>Q7</f>
        <v>0</v>
      </c>
      <c r="AJ142" s="6">
        <f>R7</f>
        <v>0</v>
      </c>
      <c r="AK142" s="6">
        <f>S7</f>
        <v>0</v>
      </c>
      <c r="AL142" s="13">
        <f>T7</f>
        <v>0</v>
      </c>
      <c r="AN142" s="15">
        <f>P8</f>
        <v>0</v>
      </c>
      <c r="AO142" s="8">
        <f>Q8</f>
        <v>0</v>
      </c>
      <c r="AP142" s="6">
        <f>R8</f>
        <v>0</v>
      </c>
      <c r="AQ142" s="6">
        <f>S8</f>
        <v>0</v>
      </c>
      <c r="AR142" s="13">
        <f>T8</f>
        <v>0</v>
      </c>
      <c r="AT142" s="15">
        <f>P9</f>
        <v>0</v>
      </c>
      <c r="AU142" s="8">
        <f>Q9</f>
        <v>0</v>
      </c>
      <c r="AV142" s="6">
        <f>R9</f>
        <v>0</v>
      </c>
      <c r="AW142" s="6">
        <f>S9</f>
        <v>0</v>
      </c>
      <c r="AX142" s="13">
        <f>T9</f>
        <v>0</v>
      </c>
      <c r="AZ142" s="15">
        <f>P10</f>
        <v>0</v>
      </c>
      <c r="BA142" s="8">
        <f>Q10</f>
        <v>0</v>
      </c>
      <c r="BB142" s="6">
        <f>R10</f>
        <v>0</v>
      </c>
      <c r="BC142" s="6">
        <f>S10</f>
        <v>0</v>
      </c>
      <c r="BD142" s="13">
        <f>T10</f>
        <v>0</v>
      </c>
      <c r="BF142" s="15">
        <f>P11</f>
        <v>0</v>
      </c>
      <c r="BG142" s="8">
        <f>Q11</f>
        <v>0</v>
      </c>
      <c r="BH142" s="6">
        <f>R11</f>
        <v>0</v>
      </c>
      <c r="BI142" s="6">
        <f>S11</f>
        <v>0</v>
      </c>
      <c r="BJ142" s="13">
        <f>T11</f>
        <v>0</v>
      </c>
    </row>
    <row r="143" spans="1:62" ht="15.75" thickBot="1" x14ac:dyDescent="0.3">
      <c r="AH143" s="15">
        <f>V7</f>
        <v>0</v>
      </c>
      <c r="AI143" s="8">
        <f>W7</f>
        <v>0</v>
      </c>
      <c r="AJ143" s="6">
        <f>X7</f>
        <v>0</v>
      </c>
      <c r="AK143" s="6">
        <f>Y7</f>
        <v>0</v>
      </c>
      <c r="AL143" s="13">
        <f>Z7</f>
        <v>0</v>
      </c>
      <c r="AN143" s="15">
        <f>V8</f>
        <v>0</v>
      </c>
      <c r="AO143" s="8">
        <f>W8</f>
        <v>0</v>
      </c>
      <c r="AP143" s="6">
        <f>X8</f>
        <v>0</v>
      </c>
      <c r="AQ143" s="6">
        <f>Y8</f>
        <v>0</v>
      </c>
      <c r="AR143" s="13">
        <f>Z8</f>
        <v>0</v>
      </c>
      <c r="AT143" s="15">
        <f>V9</f>
        <v>0</v>
      </c>
      <c r="AU143" s="8">
        <f>W9</f>
        <v>0</v>
      </c>
      <c r="AV143" s="6">
        <f>X9</f>
        <v>0</v>
      </c>
      <c r="AW143" s="6">
        <f>Y9</f>
        <v>0</v>
      </c>
      <c r="AX143" s="13">
        <f>Z9</f>
        <v>0</v>
      </c>
      <c r="AZ143" s="15">
        <f>V10</f>
        <v>0</v>
      </c>
      <c r="BA143" s="8">
        <f>W10</f>
        <v>0</v>
      </c>
      <c r="BB143" s="6">
        <f>X10</f>
        <v>0</v>
      </c>
      <c r="BC143" s="6">
        <f>Y10</f>
        <v>0</v>
      </c>
      <c r="BD143" s="13">
        <f>Z10</f>
        <v>0</v>
      </c>
      <c r="BF143" s="15">
        <f>V11</f>
        <v>0</v>
      </c>
      <c r="BG143" s="8">
        <f>W11</f>
        <v>0</v>
      </c>
      <c r="BH143" s="6">
        <f>X11</f>
        <v>0</v>
      </c>
      <c r="BI143" s="6">
        <f>Y11</f>
        <v>0</v>
      </c>
      <c r="BJ143" s="13">
        <f>Z11</f>
        <v>0</v>
      </c>
    </row>
    <row r="144" spans="1:62" ht="15.75" customHeight="1" thickBot="1" x14ac:dyDescent="0.3">
      <c r="A144" s="111" t="s">
        <v>130</v>
      </c>
      <c r="B144" s="112"/>
      <c r="D144" s="111" t="s">
        <v>131</v>
      </c>
      <c r="E144" s="112"/>
      <c r="G144" s="111" t="s">
        <v>132</v>
      </c>
      <c r="H144" s="112"/>
      <c r="J144" s="161" t="s">
        <v>250</v>
      </c>
      <c r="K144" s="162"/>
      <c r="M144" s="161" t="s">
        <v>251</v>
      </c>
      <c r="N144" s="162"/>
      <c r="P144" s="161" t="s">
        <v>252</v>
      </c>
      <c r="Q144" s="162"/>
      <c r="S144" s="123" t="s">
        <v>31</v>
      </c>
      <c r="T144" s="113" t="s">
        <v>84</v>
      </c>
      <c r="U144" s="115"/>
      <c r="V144" s="116" t="s">
        <v>24</v>
      </c>
      <c r="W144" s="116" t="s">
        <v>86</v>
      </c>
      <c r="AH144" s="15">
        <f>AB7</f>
        <v>0</v>
      </c>
      <c r="AI144" s="8">
        <f>AC7</f>
        <v>0</v>
      </c>
      <c r="AJ144" s="6">
        <f>AD7</f>
        <v>0</v>
      </c>
      <c r="AK144" s="6">
        <f>AE7</f>
        <v>0</v>
      </c>
      <c r="AL144" s="13">
        <f>AF7</f>
        <v>0</v>
      </c>
      <c r="AN144" s="15">
        <f>AB8</f>
        <v>0</v>
      </c>
      <c r="AO144" s="8">
        <f>AC8</f>
        <v>0</v>
      </c>
      <c r="AP144" s="6">
        <f>AD8</f>
        <v>0</v>
      </c>
      <c r="AQ144" s="6">
        <f>AE8</f>
        <v>0</v>
      </c>
      <c r="AR144" s="13">
        <f>AF8</f>
        <v>0</v>
      </c>
      <c r="AT144" s="15">
        <f>AB9</f>
        <v>0</v>
      </c>
      <c r="AU144" s="8">
        <f>AC9</f>
        <v>0</v>
      </c>
      <c r="AV144" s="6">
        <f>AD9</f>
        <v>0</v>
      </c>
      <c r="AW144" s="6">
        <f>AE9</f>
        <v>0</v>
      </c>
      <c r="AX144" s="13">
        <f>AF9</f>
        <v>0</v>
      </c>
      <c r="AZ144" s="15">
        <f>AB10</f>
        <v>0</v>
      </c>
      <c r="BA144" s="8">
        <f>AC10</f>
        <v>0</v>
      </c>
      <c r="BB144" s="6">
        <f>AD10</f>
        <v>0</v>
      </c>
      <c r="BC144" s="6">
        <f>AE10</f>
        <v>0</v>
      </c>
      <c r="BD144" s="13">
        <f>AF10</f>
        <v>0</v>
      </c>
      <c r="BF144" s="15">
        <f>AB11</f>
        <v>0</v>
      </c>
      <c r="BG144" s="8">
        <f>AC11</f>
        <v>0</v>
      </c>
      <c r="BH144" s="6">
        <f>AD11</f>
        <v>0</v>
      </c>
      <c r="BI144" s="6">
        <f>AE11</f>
        <v>0</v>
      </c>
      <c r="BJ144" s="13">
        <f>AF11</f>
        <v>0</v>
      </c>
    </row>
    <row r="145" spans="1:62" ht="15.75" thickBot="1" x14ac:dyDescent="0.3">
      <c r="A145" s="60" t="s">
        <v>27</v>
      </c>
      <c r="B145" s="62" t="s">
        <v>102</v>
      </c>
      <c r="D145" s="34" t="s">
        <v>27</v>
      </c>
      <c r="E145" s="79" t="s">
        <v>102</v>
      </c>
      <c r="G145" s="34" t="s">
        <v>27</v>
      </c>
      <c r="H145" s="79" t="s">
        <v>102</v>
      </c>
      <c r="J145" s="163"/>
      <c r="K145" s="164"/>
      <c r="M145" s="163"/>
      <c r="N145" s="164"/>
      <c r="P145" s="163"/>
      <c r="Q145" s="164"/>
      <c r="S145" s="124"/>
      <c r="T145" s="12" t="s">
        <v>17</v>
      </c>
      <c r="U145" s="12" t="s">
        <v>19</v>
      </c>
      <c r="V145" s="117"/>
      <c r="W145" s="117"/>
      <c r="AH145" s="15">
        <f>AH7</f>
        <v>0</v>
      </c>
      <c r="AI145" s="8">
        <f>AI7</f>
        <v>0</v>
      </c>
      <c r="AJ145" s="6">
        <f>AJ7</f>
        <v>0</v>
      </c>
      <c r="AK145" s="6">
        <f>AK7</f>
        <v>0</v>
      </c>
      <c r="AL145" s="13">
        <f>AL7</f>
        <v>0</v>
      </c>
      <c r="AN145" s="15">
        <f>AH8</f>
        <v>0</v>
      </c>
      <c r="AO145" s="8">
        <f>AI8</f>
        <v>0</v>
      </c>
      <c r="AP145" s="6">
        <f>AJ8</f>
        <v>0</v>
      </c>
      <c r="AQ145" s="6">
        <f>AK8</f>
        <v>0</v>
      </c>
      <c r="AR145" s="13">
        <f>AL8</f>
        <v>0</v>
      </c>
      <c r="AT145" s="15">
        <f>AH9</f>
        <v>0</v>
      </c>
      <c r="AU145" s="8">
        <f>AI9</f>
        <v>0</v>
      </c>
      <c r="AV145" s="6">
        <f>AJ9</f>
        <v>0</v>
      </c>
      <c r="AW145" s="6">
        <f>AK9</f>
        <v>0</v>
      </c>
      <c r="AX145" s="13">
        <f>AL9</f>
        <v>0</v>
      </c>
      <c r="AZ145" s="15">
        <f>AH10</f>
        <v>0</v>
      </c>
      <c r="BA145" s="8">
        <f>AI10</f>
        <v>0</v>
      </c>
      <c r="BB145" s="6">
        <f>AJ10</f>
        <v>0</v>
      </c>
      <c r="BC145" s="6">
        <f>AK10</f>
        <v>0</v>
      </c>
      <c r="BD145" s="13">
        <f>AL10</f>
        <v>0</v>
      </c>
      <c r="BF145" s="15">
        <f>AH11</f>
        <v>0</v>
      </c>
      <c r="BG145" s="8">
        <f>AI11</f>
        <v>0</v>
      </c>
      <c r="BH145" s="6">
        <f>AJ11</f>
        <v>0</v>
      </c>
      <c r="BI145" s="6">
        <f>AK11</f>
        <v>0</v>
      </c>
      <c r="BJ145" s="13">
        <f>AL11</f>
        <v>0</v>
      </c>
    </row>
    <row r="146" spans="1:62" x14ac:dyDescent="0.25">
      <c r="A146" s="10">
        <v>225</v>
      </c>
      <c r="B146" s="17">
        <f t="shared" ref="B146:B151" si="42">SUMIFS($J$14:$J$113,$H$14:$H$113,$A$144,$I$14:$I$113,A146)</f>
        <v>0</v>
      </c>
      <c r="D146" s="10">
        <v>1000</v>
      </c>
      <c r="E146" s="17">
        <f>SUMIFS($J$14:$J$113,$H$14:$H$113,$D$144,$I$14:$I$113,D146)</f>
        <v>0</v>
      </c>
      <c r="G146" s="10">
        <v>1000</v>
      </c>
      <c r="H146" s="17">
        <f>SUMIFS($J$14:$J$113,$H$14:$H$113,$G$144,$I$14:$I$113,G146)</f>
        <v>0</v>
      </c>
      <c r="J146" s="163"/>
      <c r="K146" s="164"/>
      <c r="M146" s="163"/>
      <c r="N146" s="164"/>
      <c r="P146" s="163"/>
      <c r="Q146" s="164"/>
      <c r="S146" s="16">
        <v>300</v>
      </c>
      <c r="T146" s="11">
        <f>SUMIFS($J$14:$J$113,$I$14:$I$113,$S146,$K$14:$K$113,T$145,$H$14:$H$113,$T$144)</f>
        <v>0</v>
      </c>
      <c r="U146" s="11">
        <f>SUMIFS($J$14:$J$113,$I$14:$I$113,$S146,$K$14:$K$113,U$145,$H$14:$H$113,$T$144)</f>
        <v>0</v>
      </c>
      <c r="V146" s="16">
        <f>SUM(T146:U146)*S146</f>
        <v>0</v>
      </c>
      <c r="W146" s="16">
        <f>T146+U146</f>
        <v>0</v>
      </c>
      <c r="AH146" s="15">
        <f>AN7</f>
        <v>0</v>
      </c>
      <c r="AI146" s="8">
        <f>AO7</f>
        <v>0</v>
      </c>
      <c r="AJ146" s="6">
        <f>AP7</f>
        <v>0</v>
      </c>
      <c r="AK146" s="6">
        <f>AQ7</f>
        <v>0</v>
      </c>
      <c r="AL146" s="13">
        <f>AR7</f>
        <v>0</v>
      </c>
      <c r="AN146" s="15">
        <f>AN8</f>
        <v>0</v>
      </c>
      <c r="AO146" s="8">
        <f>AO8</f>
        <v>0</v>
      </c>
      <c r="AP146" s="6">
        <f>AP8</f>
        <v>0</v>
      </c>
      <c r="AQ146" s="6">
        <f>AQ8</f>
        <v>0</v>
      </c>
      <c r="AR146" s="13">
        <f>AR8</f>
        <v>0</v>
      </c>
      <c r="AT146" s="15">
        <f>AN9</f>
        <v>0</v>
      </c>
      <c r="AU146" s="8">
        <f>AO9</f>
        <v>0</v>
      </c>
      <c r="AV146" s="6">
        <f>AP9</f>
        <v>0</v>
      </c>
      <c r="AW146" s="6">
        <f>AQ9</f>
        <v>0</v>
      </c>
      <c r="AX146" s="13">
        <f>AR9</f>
        <v>0</v>
      </c>
      <c r="AZ146" s="15">
        <f>AN10</f>
        <v>0</v>
      </c>
      <c r="BA146" s="8">
        <f>AO10</f>
        <v>0</v>
      </c>
      <c r="BB146" s="6">
        <f>AP10</f>
        <v>0</v>
      </c>
      <c r="BC146" s="6">
        <f>AQ10</f>
        <v>0</v>
      </c>
      <c r="BD146" s="13">
        <f>AR10</f>
        <v>0</v>
      </c>
      <c r="BF146" s="15">
        <f>AN11</f>
        <v>0</v>
      </c>
      <c r="BG146" s="8">
        <f>AO11</f>
        <v>0</v>
      </c>
      <c r="BH146" s="6">
        <f>AP11</f>
        <v>0</v>
      </c>
      <c r="BI146" s="6">
        <f>AQ11</f>
        <v>0</v>
      </c>
      <c r="BJ146" s="13">
        <f>AR11</f>
        <v>0</v>
      </c>
    </row>
    <row r="147" spans="1:62" ht="15.75" thickBot="1" x14ac:dyDescent="0.3">
      <c r="A147" s="8">
        <v>325</v>
      </c>
      <c r="B147" s="17">
        <f t="shared" si="42"/>
        <v>0</v>
      </c>
      <c r="D147" s="9">
        <v>3000</v>
      </c>
      <c r="E147" s="17">
        <f>SUMIFS($J$14:$J$113,$H$14:$H$113,$D$144,$I$14:$I$113,D147)</f>
        <v>0</v>
      </c>
      <c r="G147" s="31">
        <v>2000</v>
      </c>
      <c r="H147" s="17">
        <f>SUMIFS($J$14:$J$113,$H$14:$H$113,$G$144,$I$14:$I$113,G147)</f>
        <v>0</v>
      </c>
      <c r="J147" s="165"/>
      <c r="K147" s="166"/>
      <c r="M147" s="165"/>
      <c r="N147" s="166"/>
      <c r="P147" s="165"/>
      <c r="Q147" s="166"/>
      <c r="S147" s="16">
        <v>500</v>
      </c>
      <c r="T147" s="11">
        <f t="shared" ref="T147:U154" si="43">SUMIFS($J$14:$J$113,$I$14:$I$113,$S147,$K$14:$K$113,T$145,$H$14:$H$113,$T$144)</f>
        <v>0</v>
      </c>
      <c r="U147" s="11">
        <f t="shared" si="43"/>
        <v>0</v>
      </c>
      <c r="V147" s="16">
        <f t="shared" ref="V147:V154" si="44">SUM(T147:U147)*S147</f>
        <v>0</v>
      </c>
      <c r="W147" s="16">
        <f t="shared" ref="W147:W154" si="45">T147+U147</f>
        <v>0</v>
      </c>
      <c r="AA147" s="167" t="s">
        <v>37</v>
      </c>
      <c r="AB147" s="167"/>
      <c r="AC147" s="167"/>
      <c r="AD147" s="167" t="s">
        <v>113</v>
      </c>
      <c r="AE147" s="167"/>
      <c r="AF147" s="167"/>
      <c r="AH147" s="15">
        <f>AT7</f>
        <v>0</v>
      </c>
      <c r="AI147" s="8">
        <f>AU7</f>
        <v>0</v>
      </c>
      <c r="AJ147" s="6">
        <f>AV7</f>
        <v>0</v>
      </c>
      <c r="AK147" s="6">
        <f>AW7</f>
        <v>0</v>
      </c>
      <c r="AL147" s="13">
        <f>AX7</f>
        <v>0</v>
      </c>
      <c r="AN147" s="15">
        <f>AT8</f>
        <v>0</v>
      </c>
      <c r="AO147" s="8">
        <f>AU8</f>
        <v>0</v>
      </c>
      <c r="AP147" s="6">
        <f>AV8</f>
        <v>0</v>
      </c>
      <c r="AQ147" s="6">
        <f>AW8</f>
        <v>0</v>
      </c>
      <c r="AR147" s="13">
        <f>AX8</f>
        <v>0</v>
      </c>
      <c r="AT147" s="15">
        <f>AT9</f>
        <v>0</v>
      </c>
      <c r="AU147" s="8">
        <f>AU9</f>
        <v>0</v>
      </c>
      <c r="AV147" s="6">
        <f>AV9</f>
        <v>0</v>
      </c>
      <c r="AW147" s="6">
        <f>AW9</f>
        <v>0</v>
      </c>
      <c r="AX147" s="13">
        <f>AX9</f>
        <v>0</v>
      </c>
      <c r="AZ147" s="15">
        <f>AT10</f>
        <v>0</v>
      </c>
      <c r="BA147" s="8">
        <f>AU10</f>
        <v>0</v>
      </c>
      <c r="BB147" s="6">
        <f>AV10</f>
        <v>0</v>
      </c>
      <c r="BC147" s="6">
        <f>AW10</f>
        <v>0</v>
      </c>
      <c r="BD147" s="13">
        <f>AX10</f>
        <v>0</v>
      </c>
      <c r="BF147" s="15">
        <f>AT11</f>
        <v>0</v>
      </c>
      <c r="BG147" s="8">
        <f>AU11</f>
        <v>0</v>
      </c>
      <c r="BH147" s="6">
        <f>AV11</f>
        <v>0</v>
      </c>
      <c r="BI147" s="6">
        <f>AW11</f>
        <v>0</v>
      </c>
      <c r="BJ147" s="13">
        <f>AX11</f>
        <v>0</v>
      </c>
    </row>
    <row r="148" spans="1:62" ht="15.75" thickBot="1" x14ac:dyDescent="0.3">
      <c r="A148" s="8">
        <v>400</v>
      </c>
      <c r="B148" s="17">
        <f t="shared" si="42"/>
        <v>0</v>
      </c>
      <c r="D148" s="60" t="s">
        <v>24</v>
      </c>
      <c r="E148" s="62">
        <f>SUMPRODUCT(D146:D147,E146:E147)</f>
        <v>0</v>
      </c>
      <c r="G148" s="60" t="s">
        <v>24</v>
      </c>
      <c r="H148" s="62">
        <f>SUMPRODUCT(G146:G147,H146:H147)</f>
        <v>0</v>
      </c>
      <c r="J148" s="60" t="s">
        <v>29</v>
      </c>
      <c r="K148" s="62" t="s">
        <v>102</v>
      </c>
      <c r="M148" s="60" t="s">
        <v>29</v>
      </c>
      <c r="N148" s="62" t="s">
        <v>102</v>
      </c>
      <c r="P148" s="60" t="s">
        <v>29</v>
      </c>
      <c r="Q148" s="62" t="s">
        <v>102</v>
      </c>
      <c r="S148" s="15">
        <v>750</v>
      </c>
      <c r="T148" s="11">
        <f t="shared" si="43"/>
        <v>0</v>
      </c>
      <c r="U148" s="11">
        <f t="shared" si="43"/>
        <v>0</v>
      </c>
      <c r="V148" s="16">
        <f t="shared" si="44"/>
        <v>0</v>
      </c>
      <c r="W148" s="16">
        <f t="shared" si="45"/>
        <v>0</v>
      </c>
      <c r="AA148" s="167" t="str">
        <f>"TANKS: " &amp; SUM(B128:AE128,B146:B151,E146:E147,H146:H147,B142:AE142,W155)</f>
        <v>TANKS: 48</v>
      </c>
      <c r="AB148" s="167"/>
      <c r="AC148" s="167"/>
      <c r="AD148" s="167" t="str">
        <f>"LTRS: " &amp;SUM(AF128,B152,E148,H148,AF142,V155)</f>
        <v>LTRS: 39500</v>
      </c>
      <c r="AE148" s="167"/>
      <c r="AF148" s="167"/>
      <c r="AH148" s="15">
        <f>AZ7</f>
        <v>0</v>
      </c>
      <c r="AI148" s="8">
        <f>BA7</f>
        <v>0</v>
      </c>
      <c r="AJ148" s="6">
        <f>BB7</f>
        <v>0</v>
      </c>
      <c r="AK148" s="6">
        <f>BC7</f>
        <v>0</v>
      </c>
      <c r="AL148" s="13">
        <f>BD7</f>
        <v>0</v>
      </c>
      <c r="AN148" s="15">
        <f>AZ8</f>
        <v>0</v>
      </c>
      <c r="AO148" s="8">
        <f>BA8</f>
        <v>0</v>
      </c>
      <c r="AP148" s="6">
        <f>BB8</f>
        <v>0</v>
      </c>
      <c r="AQ148" s="6">
        <f>BC8</f>
        <v>0</v>
      </c>
      <c r="AR148" s="13">
        <f>BD8</f>
        <v>0</v>
      </c>
      <c r="AT148" s="15">
        <f>AZ9</f>
        <v>0</v>
      </c>
      <c r="AU148" s="8">
        <f>BA9</f>
        <v>0</v>
      </c>
      <c r="AV148" s="6">
        <f>BB9</f>
        <v>0</v>
      </c>
      <c r="AW148" s="6">
        <f>BC9</f>
        <v>0</v>
      </c>
      <c r="AX148" s="13">
        <f>BD9</f>
        <v>0</v>
      </c>
      <c r="AZ148" s="15">
        <f>AZ10</f>
        <v>0</v>
      </c>
      <c r="BA148" s="8">
        <f>BA10</f>
        <v>0</v>
      </c>
      <c r="BB148" s="6">
        <f>BB10</f>
        <v>0</v>
      </c>
      <c r="BC148" s="6">
        <f>BC10</f>
        <v>0</v>
      </c>
      <c r="BD148" s="13">
        <f>BD10</f>
        <v>0</v>
      </c>
      <c r="BF148" s="15">
        <f>AZ11</f>
        <v>0</v>
      </c>
      <c r="BG148" s="8">
        <f>BA11</f>
        <v>0</v>
      </c>
      <c r="BH148" s="6">
        <f>BB11</f>
        <v>0</v>
      </c>
      <c r="BI148" s="6">
        <f>BC11</f>
        <v>0</v>
      </c>
      <c r="BJ148" s="13">
        <f>BD11</f>
        <v>0</v>
      </c>
    </row>
    <row r="149" spans="1:62" x14ac:dyDescent="0.25">
      <c r="A149" s="8">
        <v>500</v>
      </c>
      <c r="B149" s="17">
        <f t="shared" si="42"/>
        <v>0</v>
      </c>
      <c r="J149" s="10" t="s">
        <v>17</v>
      </c>
      <c r="K149" s="17">
        <f>SUMIFS($J$14:$J$113,$H$14:$H$113,"CAP16_1",$K$14:$K$113,J149)</f>
        <v>0</v>
      </c>
      <c r="M149" s="10" t="s">
        <v>17</v>
      </c>
      <c r="N149" s="17">
        <f>SUMIFS($J$14:$J$113,$H$14:$H$113,"CAP16_2",$K$14:$K$113,M149)</f>
        <v>0</v>
      </c>
      <c r="P149" s="10" t="s">
        <v>17</v>
      </c>
      <c r="Q149" s="17">
        <f>SUMIFS($J$14:$J$113,$H$14:$H$113,"CAP19",$K$14:$K$113,P149)</f>
        <v>0</v>
      </c>
      <c r="S149" s="15">
        <v>1000</v>
      </c>
      <c r="T149" s="11">
        <f t="shared" si="43"/>
        <v>0</v>
      </c>
      <c r="U149" s="11">
        <f t="shared" si="43"/>
        <v>0</v>
      </c>
      <c r="V149" s="16">
        <f t="shared" si="44"/>
        <v>0</v>
      </c>
      <c r="W149" s="16">
        <f t="shared" si="45"/>
        <v>0</v>
      </c>
      <c r="AA149" s="167" t="s">
        <v>76</v>
      </c>
      <c r="AB149" s="167"/>
      <c r="AC149" s="167"/>
      <c r="AD149" s="176">
        <f>D114</f>
        <v>46008</v>
      </c>
      <c r="AE149" s="176"/>
      <c r="AF149" s="176"/>
      <c r="AH149" s="15">
        <f>BF7</f>
        <v>0</v>
      </c>
      <c r="AI149" s="8">
        <f>BG7</f>
        <v>0</v>
      </c>
      <c r="AJ149" s="6">
        <f>BH7</f>
        <v>0</v>
      </c>
      <c r="AK149" s="6">
        <f>BI7</f>
        <v>0</v>
      </c>
      <c r="AL149" s="13">
        <f>BJ7</f>
        <v>0</v>
      </c>
      <c r="AN149" s="15">
        <f>BF8</f>
        <v>0</v>
      </c>
      <c r="AO149" s="8">
        <f>BG8</f>
        <v>0</v>
      </c>
      <c r="AP149" s="6">
        <f>BH8</f>
        <v>0</v>
      </c>
      <c r="AQ149" s="6">
        <f>BI8</f>
        <v>0</v>
      </c>
      <c r="AR149" s="13">
        <f>BJ8</f>
        <v>0</v>
      </c>
      <c r="AT149" s="15">
        <f>BF9</f>
        <v>0</v>
      </c>
      <c r="AU149" s="8">
        <f>BG9</f>
        <v>0</v>
      </c>
      <c r="AV149" s="6">
        <f>BH9</f>
        <v>0</v>
      </c>
      <c r="AW149" s="6">
        <f>BI9</f>
        <v>0</v>
      </c>
      <c r="AX149" s="13">
        <f>BJ9</f>
        <v>0</v>
      </c>
      <c r="AZ149" s="15">
        <f>BF10</f>
        <v>0</v>
      </c>
      <c r="BA149" s="8">
        <f>BG10</f>
        <v>0</v>
      </c>
      <c r="BB149" s="6">
        <f>BH10</f>
        <v>0</v>
      </c>
      <c r="BC149" s="6">
        <f>BI10</f>
        <v>0</v>
      </c>
      <c r="BD149" s="13">
        <f>BJ10</f>
        <v>0</v>
      </c>
      <c r="BF149" s="15">
        <f>BF11</f>
        <v>0</v>
      </c>
      <c r="BG149" s="8">
        <f>BG11</f>
        <v>0</v>
      </c>
      <c r="BH149" s="6">
        <f>BH11</f>
        <v>0</v>
      </c>
      <c r="BI149" s="6">
        <f>BI11</f>
        <v>0</v>
      </c>
      <c r="BJ149" s="13">
        <f>BJ11</f>
        <v>0</v>
      </c>
    </row>
    <row r="150" spans="1:62" ht="15.75" thickBot="1" x14ac:dyDescent="0.3">
      <c r="A150" s="8">
        <v>750</v>
      </c>
      <c r="B150" s="17">
        <f t="shared" si="42"/>
        <v>0</v>
      </c>
      <c r="J150" s="8" t="s">
        <v>19</v>
      </c>
      <c r="K150" s="17">
        <f t="shared" ref="K150:K153" si="46">SUMIFS($J$14:$J$113,$H$14:$H$113,"CAP16_1",$K$14:$K$113,J150)</f>
        <v>0</v>
      </c>
      <c r="M150" s="8" t="s">
        <v>19</v>
      </c>
      <c r="N150" s="17">
        <f t="shared" ref="N150:N153" si="47">SUMIFS($J$14:$J$113,$H$14:$H$113,"CAP16_2",$K$14:$K$113,M150)</f>
        <v>0</v>
      </c>
      <c r="P150" s="8" t="s">
        <v>19</v>
      </c>
      <c r="Q150" s="17">
        <f t="shared" ref="Q150:Q153" si="48">SUMIFS($J$14:$J$113,$H$14:$H$113,"CAP19",$K$14:$K$113,P150)</f>
        <v>0</v>
      </c>
      <c r="S150" s="15">
        <v>1500</v>
      </c>
      <c r="T150" s="11">
        <f t="shared" si="43"/>
        <v>0</v>
      </c>
      <c r="U150" s="11">
        <f t="shared" si="43"/>
        <v>0</v>
      </c>
      <c r="V150" s="16">
        <f t="shared" si="44"/>
        <v>0</v>
      </c>
      <c r="W150" s="16">
        <f t="shared" si="45"/>
        <v>0</v>
      </c>
      <c r="AH150" s="59">
        <f>BL7</f>
        <v>0</v>
      </c>
      <c r="AI150" s="31">
        <f>BM7</f>
        <v>0</v>
      </c>
      <c r="AJ150" s="32">
        <f>BN7</f>
        <v>0</v>
      </c>
      <c r="AK150" s="32">
        <f>BO7</f>
        <v>0</v>
      </c>
      <c r="AL150" s="33">
        <f>BP7</f>
        <v>0</v>
      </c>
      <c r="AN150" s="59">
        <f>BL8</f>
        <v>0</v>
      </c>
      <c r="AO150" s="31">
        <f>BM8</f>
        <v>0</v>
      </c>
      <c r="AP150" s="32">
        <f>BN8</f>
        <v>0</v>
      </c>
      <c r="AQ150" s="32">
        <f>BO8</f>
        <v>0</v>
      </c>
      <c r="AR150" s="33">
        <f>BP8</f>
        <v>0</v>
      </c>
      <c r="AT150" s="59">
        <f>BL9</f>
        <v>0</v>
      </c>
      <c r="AU150" s="31">
        <f>BM9</f>
        <v>0</v>
      </c>
      <c r="AV150" s="32">
        <f>BN9</f>
        <v>0</v>
      </c>
      <c r="AW150" s="32">
        <f>BO9</f>
        <v>0</v>
      </c>
      <c r="AX150" s="33">
        <f>BP9</f>
        <v>0</v>
      </c>
      <c r="AZ150" s="59">
        <f>BL10</f>
        <v>0</v>
      </c>
      <c r="BA150" s="31">
        <f>BM10</f>
        <v>0</v>
      </c>
      <c r="BB150" s="32">
        <f>BN10</f>
        <v>0</v>
      </c>
      <c r="BC150" s="32">
        <f>BO10</f>
        <v>0</v>
      </c>
      <c r="BD150" s="33">
        <f>BP10</f>
        <v>0</v>
      </c>
      <c r="BF150" s="59">
        <f>BL11</f>
        <v>0</v>
      </c>
      <c r="BG150" s="31">
        <f>BM11</f>
        <v>0</v>
      </c>
      <c r="BH150" s="32">
        <f>BN11</f>
        <v>0</v>
      </c>
      <c r="BI150" s="32">
        <f>BO11</f>
        <v>0</v>
      </c>
      <c r="BJ150" s="33">
        <f>BP11</f>
        <v>0</v>
      </c>
    </row>
    <row r="151" spans="1:62" ht="15.75" thickBot="1" x14ac:dyDescent="0.3">
      <c r="A151" s="9">
        <v>1000</v>
      </c>
      <c r="B151" s="17">
        <f t="shared" si="42"/>
        <v>0</v>
      </c>
      <c r="J151" s="8" t="s">
        <v>32</v>
      </c>
      <c r="K151" s="17">
        <f t="shared" si="46"/>
        <v>0</v>
      </c>
      <c r="M151" s="8" t="s">
        <v>32</v>
      </c>
      <c r="N151" s="17">
        <f t="shared" si="47"/>
        <v>0</v>
      </c>
      <c r="P151" s="8" t="s">
        <v>32</v>
      </c>
      <c r="Q151" s="17">
        <f t="shared" si="48"/>
        <v>0</v>
      </c>
      <c r="S151" s="15">
        <v>2000</v>
      </c>
      <c r="T151" s="11">
        <f t="shared" si="43"/>
        <v>0</v>
      </c>
      <c r="U151" s="11">
        <f t="shared" si="43"/>
        <v>0</v>
      </c>
      <c r="V151" s="16">
        <f t="shared" si="44"/>
        <v>0</v>
      </c>
      <c r="W151" s="16">
        <f t="shared" si="45"/>
        <v>0</v>
      </c>
      <c r="AH151" s="35">
        <f>C7</f>
        <v>0</v>
      </c>
      <c r="AI151" s="158">
        <f>SUM(AI141:AI150)</f>
        <v>0</v>
      </c>
      <c r="AJ151" s="159"/>
      <c r="AK151" s="158">
        <f>BT7</f>
        <v>0</v>
      </c>
      <c r="AL151" s="159"/>
      <c r="AN151" s="35">
        <f>C8</f>
        <v>0</v>
      </c>
      <c r="AO151" s="158">
        <f>SUM(AO141:AO150)</f>
        <v>0</v>
      </c>
      <c r="AP151" s="159"/>
      <c r="AQ151" s="158">
        <f>BT8</f>
        <v>0</v>
      </c>
      <c r="AR151" s="159"/>
      <c r="AT151" s="35">
        <f>C9</f>
        <v>0</v>
      </c>
      <c r="AU151" s="158">
        <f>SUM(AU141:AU150)</f>
        <v>0</v>
      </c>
      <c r="AV151" s="159"/>
      <c r="AW151" s="158">
        <f>BT9</f>
        <v>0</v>
      </c>
      <c r="AX151" s="159"/>
      <c r="AZ151" s="35">
        <f>C10</f>
        <v>0</v>
      </c>
      <c r="BA151" s="158">
        <f>SUM(BA141:BA150)</f>
        <v>0</v>
      </c>
      <c r="BB151" s="159"/>
      <c r="BC151" s="158">
        <f>BT10</f>
        <v>0</v>
      </c>
      <c r="BD151" s="159"/>
      <c r="BF151" s="35">
        <f>C11</f>
        <v>0</v>
      </c>
      <c r="BG151" s="158">
        <f>SUM(BG141:BG150)</f>
        <v>0</v>
      </c>
      <c r="BH151" s="159"/>
      <c r="BI151" s="158">
        <f>BT11</f>
        <v>0</v>
      </c>
      <c r="BJ151" s="159"/>
    </row>
    <row r="152" spans="1:62" ht="15.75" thickBot="1" x14ac:dyDescent="0.3">
      <c r="A152" s="60" t="s">
        <v>24</v>
      </c>
      <c r="B152" s="62">
        <f>SUMPRODUCT(A146:A151,B146:B151)</f>
        <v>0</v>
      </c>
      <c r="J152" s="8" t="s">
        <v>33</v>
      </c>
      <c r="K152" s="17">
        <f t="shared" si="46"/>
        <v>0</v>
      </c>
      <c r="M152" s="8" t="s">
        <v>33</v>
      </c>
      <c r="N152" s="17">
        <f t="shared" si="47"/>
        <v>0</v>
      </c>
      <c r="P152" s="8" t="s">
        <v>33</v>
      </c>
      <c r="Q152" s="17">
        <f t="shared" si="48"/>
        <v>0</v>
      </c>
      <c r="S152" s="15">
        <v>3000</v>
      </c>
      <c r="T152" s="11">
        <f t="shared" si="43"/>
        <v>0</v>
      </c>
      <c r="U152" s="11">
        <f t="shared" si="43"/>
        <v>0</v>
      </c>
      <c r="V152" s="16">
        <f t="shared" si="44"/>
        <v>0</v>
      </c>
      <c r="W152" s="16">
        <f t="shared" si="45"/>
        <v>0</v>
      </c>
      <c r="AH152" s="35" t="s">
        <v>25</v>
      </c>
      <c r="AI152" s="158">
        <f>A7</f>
        <v>0</v>
      </c>
      <c r="AJ152" s="160"/>
      <c r="AK152" s="158">
        <f>BR7</f>
        <v>0</v>
      </c>
      <c r="AL152" s="159"/>
      <c r="AN152" s="35" t="s">
        <v>25</v>
      </c>
      <c r="AO152" s="158">
        <f>A8</f>
        <v>0</v>
      </c>
      <c r="AP152" s="160"/>
      <c r="AQ152" s="158">
        <f>BR8</f>
        <v>0</v>
      </c>
      <c r="AR152" s="159"/>
      <c r="AT152" s="35" t="s">
        <v>25</v>
      </c>
      <c r="AU152" s="158">
        <f>A9</f>
        <v>0</v>
      </c>
      <c r="AV152" s="160"/>
      <c r="AW152" s="158">
        <f>BR9</f>
        <v>0</v>
      </c>
      <c r="AX152" s="159"/>
      <c r="AZ152" s="35" t="s">
        <v>25</v>
      </c>
      <c r="BA152" s="158">
        <f>A10</f>
        <v>0</v>
      </c>
      <c r="BB152" s="160"/>
      <c r="BC152" s="158">
        <f>BR10</f>
        <v>0</v>
      </c>
      <c r="BD152" s="159"/>
      <c r="BF152" s="35" t="s">
        <v>25</v>
      </c>
      <c r="BG152" s="158">
        <f>A11</f>
        <v>0</v>
      </c>
      <c r="BH152" s="160"/>
      <c r="BI152" s="158">
        <f>BR11</f>
        <v>0</v>
      </c>
      <c r="BJ152" s="159"/>
    </row>
    <row r="153" spans="1:62" ht="15.75" thickBot="1" x14ac:dyDescent="0.3">
      <c r="J153" s="9" t="s">
        <v>80</v>
      </c>
      <c r="K153" s="17">
        <f t="shared" si="46"/>
        <v>0</v>
      </c>
      <c r="M153" s="9" t="s">
        <v>80</v>
      </c>
      <c r="N153" s="17">
        <f t="shared" si="47"/>
        <v>0</v>
      </c>
      <c r="P153" s="9" t="s">
        <v>80</v>
      </c>
      <c r="Q153" s="17">
        <f t="shared" si="48"/>
        <v>0</v>
      </c>
      <c r="S153" s="15">
        <v>5000</v>
      </c>
      <c r="T153" s="11">
        <f t="shared" si="43"/>
        <v>0</v>
      </c>
      <c r="U153" s="11">
        <f t="shared" si="43"/>
        <v>0</v>
      </c>
      <c r="V153" s="16">
        <f t="shared" si="44"/>
        <v>0</v>
      </c>
      <c r="W153" s="16">
        <f t="shared" si="45"/>
        <v>0</v>
      </c>
      <c r="AH153" s="58" t="s">
        <v>130</v>
      </c>
      <c r="AI153" s="58" t="s">
        <v>131</v>
      </c>
      <c r="AJ153" s="58" t="s">
        <v>132</v>
      </c>
      <c r="AK153" s="58" t="s">
        <v>166</v>
      </c>
      <c r="AL153" s="58" t="s">
        <v>33</v>
      </c>
      <c r="AN153" s="58" t="s">
        <v>130</v>
      </c>
      <c r="AO153" s="58" t="s">
        <v>131</v>
      </c>
      <c r="AP153" s="58" t="s">
        <v>132</v>
      </c>
      <c r="AQ153" s="58" t="s">
        <v>166</v>
      </c>
      <c r="AR153" s="58" t="s">
        <v>33</v>
      </c>
      <c r="AT153" s="58" t="s">
        <v>130</v>
      </c>
      <c r="AU153" s="58" t="s">
        <v>131</v>
      </c>
      <c r="AV153" s="58" t="s">
        <v>132</v>
      </c>
      <c r="AW153" s="58" t="s">
        <v>166</v>
      </c>
      <c r="AX153" s="58" t="s">
        <v>33</v>
      </c>
      <c r="AZ153" s="58" t="s">
        <v>130</v>
      </c>
      <c r="BA153" s="58" t="s">
        <v>131</v>
      </c>
      <c r="BB153" s="58" t="s">
        <v>132</v>
      </c>
      <c r="BC153" s="58" t="s">
        <v>166</v>
      </c>
      <c r="BD153" s="58" t="s">
        <v>33</v>
      </c>
      <c r="BF153" s="58" t="s">
        <v>130</v>
      </c>
      <c r="BG153" s="58" t="s">
        <v>131</v>
      </c>
      <c r="BH153" s="58" t="s">
        <v>132</v>
      </c>
      <c r="BI153" s="58" t="s">
        <v>166</v>
      </c>
      <c r="BJ153" s="58" t="s">
        <v>33</v>
      </c>
    </row>
    <row r="154" spans="1:62" ht="15.75" thickBot="1" x14ac:dyDescent="0.3">
      <c r="J154" s="60" t="s">
        <v>24</v>
      </c>
      <c r="K154" s="62">
        <f>SUM(K149:K153)</f>
        <v>0</v>
      </c>
      <c r="M154" s="60" t="s">
        <v>24</v>
      </c>
      <c r="N154" s="62">
        <f>SUM(N149:N153)</f>
        <v>0</v>
      </c>
      <c r="P154" s="60" t="s">
        <v>24</v>
      </c>
      <c r="Q154" s="62">
        <f>SUM(Q149:Q153)</f>
        <v>0</v>
      </c>
      <c r="S154" s="59">
        <v>10000</v>
      </c>
      <c r="T154" s="11">
        <f t="shared" si="43"/>
        <v>0</v>
      </c>
      <c r="U154" s="11">
        <f t="shared" si="43"/>
        <v>0</v>
      </c>
      <c r="V154" s="16">
        <f t="shared" si="44"/>
        <v>0</v>
      </c>
      <c r="W154" s="16">
        <f t="shared" si="45"/>
        <v>0</v>
      </c>
      <c r="AH154" s="34" t="str">
        <f>AZ19</f>
        <v/>
      </c>
      <c r="AI154" s="34" t="str">
        <f>BA19</f>
        <v/>
      </c>
      <c r="AJ154" s="34" t="str">
        <f>BB19</f>
        <v/>
      </c>
      <c r="AK154" s="35" t="str">
        <f>BC19</f>
        <v/>
      </c>
      <c r="AL154" s="35" t="str">
        <f>BD19</f>
        <v/>
      </c>
      <c r="AN154" s="34" t="str">
        <f>AZ20</f>
        <v/>
      </c>
      <c r="AO154" s="34" t="str">
        <f>BA20</f>
        <v/>
      </c>
      <c r="AP154" s="34" t="str">
        <f>BB20</f>
        <v/>
      </c>
      <c r="AQ154" s="35" t="str">
        <f>BC20</f>
        <v/>
      </c>
      <c r="AR154" s="35" t="str">
        <f>BD20</f>
        <v/>
      </c>
      <c r="AT154" s="34" t="str">
        <f>AZ21</f>
        <v/>
      </c>
      <c r="AU154" s="34" t="str">
        <f>BA21</f>
        <v/>
      </c>
      <c r="AV154" s="34" t="str">
        <f>BB21</f>
        <v/>
      </c>
      <c r="AW154" s="35" t="str">
        <f>BC21</f>
        <v/>
      </c>
      <c r="AX154" s="35" t="str">
        <f>BD21</f>
        <v/>
      </c>
      <c r="AZ154" s="34" t="str">
        <f>AZ22</f>
        <v/>
      </c>
      <c r="BA154" s="34" t="str">
        <f>BA22</f>
        <v/>
      </c>
      <c r="BB154" s="34" t="str">
        <f>BB22</f>
        <v/>
      </c>
      <c r="BC154" s="35" t="str">
        <f>BC22</f>
        <v/>
      </c>
      <c r="BD154" s="35" t="str">
        <f>BD22</f>
        <v/>
      </c>
      <c r="BF154" s="34" t="str">
        <f>AZ23</f>
        <v/>
      </c>
      <c r="BG154" s="34" t="str">
        <f>BA23</f>
        <v/>
      </c>
      <c r="BH154" s="34" t="str">
        <f>BB23</f>
        <v/>
      </c>
      <c r="BI154" s="35" t="str">
        <f>BC23</f>
        <v/>
      </c>
      <c r="BJ154" s="35" t="str">
        <f>BD23</f>
        <v/>
      </c>
    </row>
    <row r="155" spans="1:62" ht="15.75" thickBot="1" x14ac:dyDescent="0.3">
      <c r="S155" s="35"/>
      <c r="T155" s="61">
        <f>SUM(T146:T154)</f>
        <v>0</v>
      </c>
      <c r="U155" s="61">
        <f t="shared" ref="U155:W155" si="49">SUM(U146:U154)</f>
        <v>0</v>
      </c>
      <c r="V155" s="35">
        <f t="shared" si="49"/>
        <v>0</v>
      </c>
      <c r="W155" s="35">
        <f t="shared" si="49"/>
        <v>0</v>
      </c>
      <c r="AH155" s="58" t="s">
        <v>22</v>
      </c>
      <c r="AI155" s="58" t="s">
        <v>20</v>
      </c>
      <c r="AJ155" s="58" t="s">
        <v>34</v>
      </c>
      <c r="AK155" s="58" t="s">
        <v>127</v>
      </c>
      <c r="AL155" s="58" t="s">
        <v>129</v>
      </c>
      <c r="AN155" s="58" t="s">
        <v>22</v>
      </c>
      <c r="AO155" s="58" t="s">
        <v>20</v>
      </c>
      <c r="AP155" s="58" t="s">
        <v>34</v>
      </c>
      <c r="AQ155" s="58" t="s">
        <v>127</v>
      </c>
      <c r="AR155" s="58" t="s">
        <v>129</v>
      </c>
      <c r="AT155" s="58" t="s">
        <v>22</v>
      </c>
      <c r="AU155" s="58" t="s">
        <v>20</v>
      </c>
      <c r="AV155" s="58" t="s">
        <v>34</v>
      </c>
      <c r="AW155" s="58" t="s">
        <v>127</v>
      </c>
      <c r="AX155" s="58" t="s">
        <v>129</v>
      </c>
      <c r="AZ155" s="58" t="s">
        <v>22</v>
      </c>
      <c r="BA155" s="58" t="s">
        <v>20</v>
      </c>
      <c r="BB155" s="58" t="s">
        <v>34</v>
      </c>
      <c r="BC155" s="58" t="s">
        <v>127</v>
      </c>
      <c r="BD155" s="58" t="s">
        <v>129</v>
      </c>
      <c r="BF155" s="58" t="s">
        <v>22</v>
      </c>
      <c r="BG155" s="58" t="s">
        <v>20</v>
      </c>
      <c r="BH155" s="58" t="s">
        <v>34</v>
      </c>
      <c r="BI155" s="58" t="s">
        <v>127</v>
      </c>
      <c r="BJ155" s="58" t="s">
        <v>129</v>
      </c>
    </row>
    <row r="156" spans="1:62" ht="15.75" thickBot="1" x14ac:dyDescent="0.3">
      <c r="AH156" s="34" t="str">
        <f>AU19</f>
        <v/>
      </c>
      <c r="AI156" s="34" t="str">
        <f>AV19</f>
        <v/>
      </c>
      <c r="AJ156" s="34" t="str">
        <f>AW19</f>
        <v/>
      </c>
      <c r="AK156" s="35" t="str">
        <f>AX19</f>
        <v/>
      </c>
      <c r="AL156" s="35" t="str">
        <f>AY19</f>
        <v/>
      </c>
      <c r="AN156" s="34" t="str">
        <f>AU20</f>
        <v/>
      </c>
      <c r="AO156" s="34" t="str">
        <f>AV20</f>
        <v/>
      </c>
      <c r="AP156" s="34" t="str">
        <f>AW20</f>
        <v/>
      </c>
      <c r="AQ156" s="35" t="str">
        <f>AX20</f>
        <v/>
      </c>
      <c r="AR156" s="35" t="str">
        <f>AY20</f>
        <v/>
      </c>
      <c r="AT156" s="34" t="str">
        <f>AU21</f>
        <v/>
      </c>
      <c r="AU156" s="34" t="str">
        <f>AV21</f>
        <v/>
      </c>
      <c r="AV156" s="34" t="str">
        <f>AW21</f>
        <v/>
      </c>
      <c r="AW156" s="35" t="str">
        <f>AX21</f>
        <v/>
      </c>
      <c r="AX156" s="35" t="str">
        <f>AY21</f>
        <v/>
      </c>
      <c r="AZ156" s="34" t="str">
        <f>AU22</f>
        <v/>
      </c>
      <c r="BA156" s="34" t="str">
        <f>AV22</f>
        <v/>
      </c>
      <c r="BB156" s="34" t="str">
        <f>AW22</f>
        <v/>
      </c>
      <c r="BC156" s="35" t="str">
        <f>AX22</f>
        <v/>
      </c>
      <c r="BD156" s="35" t="str">
        <f>AY22</f>
        <v/>
      </c>
      <c r="BF156" s="34" t="str">
        <f>AU23</f>
        <v/>
      </c>
      <c r="BG156" s="34" t="str">
        <f>AV23</f>
        <v/>
      </c>
      <c r="BH156" s="34" t="str">
        <f>AW23</f>
        <v/>
      </c>
      <c r="BI156" s="35" t="str">
        <f>AX23</f>
        <v/>
      </c>
      <c r="BJ156" s="35" t="str">
        <f>AY23</f>
        <v/>
      </c>
    </row>
    <row r="157" spans="1:62" ht="13.7" customHeight="1" thickBot="1" x14ac:dyDescent="0.3"/>
    <row r="158" spans="1:62" ht="15.75" thickBot="1" x14ac:dyDescent="0.3">
      <c r="AH158" s="149" t="s">
        <v>37</v>
      </c>
      <c r="AI158" s="150"/>
      <c r="AJ158" s="150"/>
      <c r="AK158" s="151" t="str">
        <f>AD147</f>
        <v>KA41C4059</v>
      </c>
      <c r="AL158" s="151"/>
      <c r="AM158" s="152"/>
      <c r="AN158" s="157" t="str">
        <f>AA148</f>
        <v>TANKS: 48</v>
      </c>
      <c r="AO158" s="153"/>
      <c r="AP158" s="153" t="str">
        <f>AD148</f>
        <v>LTRS: 39500</v>
      </c>
      <c r="AQ158" s="153"/>
      <c r="AR158" s="154"/>
      <c r="AS158" s="150" t="s">
        <v>76</v>
      </c>
      <c r="AT158" s="150"/>
      <c r="AU158" s="155">
        <f>AD149</f>
        <v>46008</v>
      </c>
      <c r="AV158" s="155"/>
      <c r="AW158" s="156"/>
    </row>
    <row r="159" spans="1:62" ht="13.7" customHeight="1" x14ac:dyDescent="0.25"/>
    <row r="160" spans="1:62" ht="13.7" customHeight="1" thickBot="1" x14ac:dyDescent="0.3"/>
    <row r="161" spans="1:52" ht="13.7" customHeight="1" x14ac:dyDescent="0.25">
      <c r="A161" s="123" t="s">
        <v>31</v>
      </c>
      <c r="B161" s="113" t="s">
        <v>84</v>
      </c>
      <c r="C161" s="115"/>
      <c r="D161" s="113" t="s">
        <v>22</v>
      </c>
      <c r="E161" s="114"/>
      <c r="F161" s="114"/>
      <c r="G161" s="114"/>
      <c r="H161" s="115"/>
      <c r="I161" s="113" t="s">
        <v>20</v>
      </c>
      <c r="J161" s="114"/>
      <c r="K161" s="114"/>
      <c r="L161" s="114"/>
      <c r="M161" s="115"/>
      <c r="N161" s="113" t="s">
        <v>34</v>
      </c>
      <c r="O161" s="114"/>
      <c r="P161" s="114"/>
      <c r="Q161" s="114"/>
      <c r="R161" s="115"/>
      <c r="S161" s="113" t="s">
        <v>127</v>
      </c>
      <c r="T161" s="114"/>
      <c r="U161" s="114"/>
      <c r="V161" s="114"/>
      <c r="W161" s="115"/>
      <c r="X161" s="113" t="s">
        <v>129</v>
      </c>
      <c r="Y161" s="114"/>
      <c r="Z161" s="114"/>
      <c r="AA161" s="114"/>
      <c r="AB161" s="115"/>
      <c r="AC161" s="113" t="s">
        <v>26</v>
      </c>
      <c r="AD161" s="114"/>
      <c r="AE161" s="114"/>
      <c r="AF161" s="114"/>
      <c r="AG161" s="115"/>
      <c r="AH161" s="116" t="s">
        <v>24</v>
      </c>
      <c r="AI161" s="116" t="s">
        <v>86</v>
      </c>
      <c r="AJ161" s="81"/>
    </row>
    <row r="162" spans="1:52" ht="13.7" customHeight="1" thickBot="1" x14ac:dyDescent="0.3">
      <c r="A162" s="124"/>
      <c r="B162" s="12" t="s">
        <v>17</v>
      </c>
      <c r="C162" s="12" t="s">
        <v>19</v>
      </c>
      <c r="D162" s="9" t="s">
        <v>32</v>
      </c>
      <c r="E162" s="12" t="s">
        <v>17</v>
      </c>
      <c r="F162" s="12" t="s">
        <v>19</v>
      </c>
      <c r="G162" s="12" t="s">
        <v>33</v>
      </c>
      <c r="H162" s="14" t="s">
        <v>80</v>
      </c>
      <c r="I162" s="9" t="s">
        <v>32</v>
      </c>
      <c r="J162" s="12" t="s">
        <v>17</v>
      </c>
      <c r="K162" s="12" t="s">
        <v>19</v>
      </c>
      <c r="L162" s="12" t="s">
        <v>33</v>
      </c>
      <c r="M162" s="14" t="s">
        <v>80</v>
      </c>
      <c r="N162" s="9" t="s">
        <v>32</v>
      </c>
      <c r="O162" s="12" t="s">
        <v>17</v>
      </c>
      <c r="P162" s="12" t="s">
        <v>19</v>
      </c>
      <c r="Q162" s="12" t="s">
        <v>33</v>
      </c>
      <c r="R162" s="14" t="s">
        <v>80</v>
      </c>
      <c r="S162" s="9" t="s">
        <v>32</v>
      </c>
      <c r="T162" s="12" t="s">
        <v>17</v>
      </c>
      <c r="U162" s="12" t="s">
        <v>19</v>
      </c>
      <c r="V162" s="12" t="s">
        <v>33</v>
      </c>
      <c r="W162" s="14" t="s">
        <v>80</v>
      </c>
      <c r="X162" s="9" t="s">
        <v>32</v>
      </c>
      <c r="Y162" s="12" t="s">
        <v>17</v>
      </c>
      <c r="Z162" s="12" t="s">
        <v>19</v>
      </c>
      <c r="AA162" s="12" t="s">
        <v>33</v>
      </c>
      <c r="AB162" s="14" t="s">
        <v>80</v>
      </c>
      <c r="AC162" s="9" t="s">
        <v>32</v>
      </c>
      <c r="AD162" s="12" t="s">
        <v>17</v>
      </c>
      <c r="AE162" s="12" t="s">
        <v>19</v>
      </c>
      <c r="AF162" s="12" t="s">
        <v>33</v>
      </c>
      <c r="AG162" s="14" t="s">
        <v>80</v>
      </c>
      <c r="AH162" s="117"/>
      <c r="AI162" s="117"/>
      <c r="AJ162" s="81"/>
    </row>
    <row r="163" spans="1:52" ht="13.7" customHeight="1" x14ac:dyDescent="0.25">
      <c r="A163" s="16">
        <v>300</v>
      </c>
      <c r="B163" s="11">
        <f>T146</f>
        <v>0</v>
      </c>
      <c r="C163" s="11">
        <f>U146</f>
        <v>0</v>
      </c>
      <c r="D163" s="10">
        <f>B119+B133</f>
        <v>0</v>
      </c>
      <c r="E163" s="11">
        <f t="shared" ref="E163:AG171" si="50">C119+C133</f>
        <v>0</v>
      </c>
      <c r="F163" s="11">
        <f t="shared" si="50"/>
        <v>0</v>
      </c>
      <c r="G163" s="11">
        <f t="shared" si="50"/>
        <v>0</v>
      </c>
      <c r="H163" s="17">
        <f t="shared" si="50"/>
        <v>0</v>
      </c>
      <c r="I163" s="10">
        <f t="shared" si="50"/>
        <v>0</v>
      </c>
      <c r="J163" s="11">
        <f t="shared" si="50"/>
        <v>0</v>
      </c>
      <c r="K163" s="11">
        <f t="shared" si="50"/>
        <v>0</v>
      </c>
      <c r="L163" s="11">
        <f t="shared" si="50"/>
        <v>0</v>
      </c>
      <c r="M163" s="17">
        <f t="shared" si="50"/>
        <v>0</v>
      </c>
      <c r="N163" s="10">
        <f t="shared" si="50"/>
        <v>0</v>
      </c>
      <c r="O163" s="11">
        <f t="shared" si="50"/>
        <v>0</v>
      </c>
      <c r="P163" s="11">
        <f t="shared" si="50"/>
        <v>0</v>
      </c>
      <c r="Q163" s="11">
        <f t="shared" si="50"/>
        <v>0</v>
      </c>
      <c r="R163" s="17">
        <f t="shared" si="50"/>
        <v>0</v>
      </c>
      <c r="S163" s="10">
        <f t="shared" si="50"/>
        <v>0</v>
      </c>
      <c r="T163" s="11">
        <f t="shared" si="50"/>
        <v>0</v>
      </c>
      <c r="U163" s="11">
        <f t="shared" si="50"/>
        <v>0</v>
      </c>
      <c r="V163" s="11">
        <f t="shared" si="50"/>
        <v>0</v>
      </c>
      <c r="W163" s="17">
        <f t="shared" si="50"/>
        <v>0</v>
      </c>
      <c r="X163" s="10">
        <f t="shared" si="50"/>
        <v>0</v>
      </c>
      <c r="Y163" s="11">
        <f t="shared" si="50"/>
        <v>0</v>
      </c>
      <c r="Z163" s="11">
        <f t="shared" si="50"/>
        <v>0</v>
      </c>
      <c r="AA163" s="11">
        <f t="shared" si="50"/>
        <v>0</v>
      </c>
      <c r="AB163" s="17">
        <f t="shared" si="50"/>
        <v>0</v>
      </c>
      <c r="AC163" s="10">
        <f t="shared" si="50"/>
        <v>0</v>
      </c>
      <c r="AD163" s="11">
        <f t="shared" si="50"/>
        <v>0</v>
      </c>
      <c r="AE163" s="11">
        <f t="shared" si="50"/>
        <v>0</v>
      </c>
      <c r="AF163" s="11">
        <f t="shared" si="50"/>
        <v>0</v>
      </c>
      <c r="AG163" s="17">
        <f t="shared" si="50"/>
        <v>0</v>
      </c>
      <c r="AH163" s="16">
        <f>SUM(D163:AG163)*A163</f>
        <v>0</v>
      </c>
      <c r="AI163" s="16">
        <f>SUM(D163:AG163)</f>
        <v>0</v>
      </c>
      <c r="AJ163" s="82"/>
    </row>
    <row r="164" spans="1:52" ht="13.7" customHeight="1" x14ac:dyDescent="0.25">
      <c r="A164" s="16">
        <v>500</v>
      </c>
      <c r="B164" s="11">
        <f t="shared" ref="B164:C171" si="51">T147</f>
        <v>0</v>
      </c>
      <c r="C164" s="11">
        <f t="shared" si="51"/>
        <v>0</v>
      </c>
      <c r="D164" s="10">
        <f t="shared" ref="D164:D171" si="52">B120+B134</f>
        <v>0</v>
      </c>
      <c r="E164" s="11">
        <f t="shared" si="50"/>
        <v>20</v>
      </c>
      <c r="F164" s="11">
        <f t="shared" si="50"/>
        <v>0</v>
      </c>
      <c r="G164" s="11">
        <f t="shared" si="50"/>
        <v>0</v>
      </c>
      <c r="H164" s="17">
        <f t="shared" si="50"/>
        <v>0</v>
      </c>
      <c r="I164" s="10">
        <f t="shared" si="50"/>
        <v>0</v>
      </c>
      <c r="J164" s="11">
        <f t="shared" si="50"/>
        <v>0</v>
      </c>
      <c r="K164" s="11">
        <f t="shared" si="50"/>
        <v>0</v>
      </c>
      <c r="L164" s="11">
        <f t="shared" si="50"/>
        <v>0</v>
      </c>
      <c r="M164" s="17">
        <f t="shared" si="50"/>
        <v>0</v>
      </c>
      <c r="N164" s="10">
        <f t="shared" si="50"/>
        <v>0</v>
      </c>
      <c r="O164" s="11">
        <f t="shared" si="50"/>
        <v>0</v>
      </c>
      <c r="P164" s="11">
        <f t="shared" si="50"/>
        <v>0</v>
      </c>
      <c r="Q164" s="11">
        <f t="shared" si="50"/>
        <v>0</v>
      </c>
      <c r="R164" s="17">
        <f t="shared" si="50"/>
        <v>0</v>
      </c>
      <c r="S164" s="10">
        <f t="shared" si="50"/>
        <v>0</v>
      </c>
      <c r="T164" s="11">
        <f t="shared" si="50"/>
        <v>0</v>
      </c>
      <c r="U164" s="11">
        <f t="shared" si="50"/>
        <v>0</v>
      </c>
      <c r="V164" s="11">
        <f t="shared" si="50"/>
        <v>0</v>
      </c>
      <c r="W164" s="17">
        <f t="shared" si="50"/>
        <v>0</v>
      </c>
      <c r="X164" s="10">
        <f t="shared" si="50"/>
        <v>0</v>
      </c>
      <c r="Y164" s="11">
        <f t="shared" si="50"/>
        <v>0</v>
      </c>
      <c r="Z164" s="11">
        <f t="shared" si="50"/>
        <v>0</v>
      </c>
      <c r="AA164" s="11">
        <f t="shared" si="50"/>
        <v>0</v>
      </c>
      <c r="AB164" s="17">
        <f t="shared" si="50"/>
        <v>0</v>
      </c>
      <c r="AC164" s="10">
        <f t="shared" si="50"/>
        <v>0</v>
      </c>
      <c r="AD164" s="11">
        <f t="shared" si="50"/>
        <v>0</v>
      </c>
      <c r="AE164" s="11">
        <f t="shared" si="50"/>
        <v>0</v>
      </c>
      <c r="AF164" s="11">
        <f t="shared" si="50"/>
        <v>0</v>
      </c>
      <c r="AG164" s="17">
        <f t="shared" si="50"/>
        <v>0</v>
      </c>
      <c r="AH164" s="16">
        <f>SUM(D164:AG164)*A164</f>
        <v>10000</v>
      </c>
      <c r="AI164" s="16">
        <f t="shared" ref="AI164:AI172" si="53">SUM(D164:AG164)</f>
        <v>20</v>
      </c>
    </row>
    <row r="165" spans="1:52" ht="13.7" customHeight="1" x14ac:dyDescent="0.25">
      <c r="A165" s="15">
        <v>750</v>
      </c>
      <c r="B165" s="11">
        <f t="shared" si="51"/>
        <v>0</v>
      </c>
      <c r="C165" s="11">
        <f t="shared" si="51"/>
        <v>0</v>
      </c>
      <c r="D165" s="8">
        <f t="shared" si="52"/>
        <v>0</v>
      </c>
      <c r="E165" s="6">
        <f t="shared" si="50"/>
        <v>10</v>
      </c>
      <c r="F165" s="6">
        <f t="shared" si="50"/>
        <v>0</v>
      </c>
      <c r="G165" s="6">
        <f t="shared" si="50"/>
        <v>0</v>
      </c>
      <c r="H165" s="13">
        <f t="shared" si="50"/>
        <v>0</v>
      </c>
      <c r="I165" s="8">
        <f t="shared" si="50"/>
        <v>0</v>
      </c>
      <c r="J165" s="6">
        <f t="shared" si="50"/>
        <v>0</v>
      </c>
      <c r="K165" s="6">
        <f t="shared" si="50"/>
        <v>0</v>
      </c>
      <c r="L165" s="6">
        <f t="shared" si="50"/>
        <v>0</v>
      </c>
      <c r="M165" s="13">
        <f t="shared" si="50"/>
        <v>0</v>
      </c>
      <c r="N165" s="8">
        <f t="shared" si="50"/>
        <v>0</v>
      </c>
      <c r="O165" s="6">
        <f t="shared" si="50"/>
        <v>0</v>
      </c>
      <c r="P165" s="6">
        <f t="shared" si="50"/>
        <v>0</v>
      </c>
      <c r="Q165" s="6">
        <f t="shared" si="50"/>
        <v>0</v>
      </c>
      <c r="R165" s="13">
        <f t="shared" si="50"/>
        <v>0</v>
      </c>
      <c r="S165" s="8">
        <f t="shared" si="50"/>
        <v>0</v>
      </c>
      <c r="T165" s="6">
        <f t="shared" si="50"/>
        <v>0</v>
      </c>
      <c r="U165" s="6">
        <f t="shared" si="50"/>
        <v>0</v>
      </c>
      <c r="V165" s="6">
        <f t="shared" si="50"/>
        <v>0</v>
      </c>
      <c r="W165" s="13">
        <f t="shared" si="50"/>
        <v>0</v>
      </c>
      <c r="X165" s="8">
        <f t="shared" si="50"/>
        <v>0</v>
      </c>
      <c r="Y165" s="6">
        <f t="shared" si="50"/>
        <v>0</v>
      </c>
      <c r="Z165" s="6">
        <f t="shared" si="50"/>
        <v>0</v>
      </c>
      <c r="AA165" s="6">
        <f t="shared" si="50"/>
        <v>0</v>
      </c>
      <c r="AB165" s="13">
        <f t="shared" si="50"/>
        <v>0</v>
      </c>
      <c r="AC165" s="8">
        <f t="shared" si="50"/>
        <v>0</v>
      </c>
      <c r="AD165" s="6">
        <f t="shared" si="50"/>
        <v>0</v>
      </c>
      <c r="AE165" s="6">
        <f t="shared" si="50"/>
        <v>0</v>
      </c>
      <c r="AF165" s="6">
        <f t="shared" si="50"/>
        <v>0</v>
      </c>
      <c r="AG165" s="13">
        <f t="shared" si="50"/>
        <v>0</v>
      </c>
      <c r="AH165" s="16">
        <f>SUM(D165:AG165)*A165</f>
        <v>7500</v>
      </c>
      <c r="AI165" s="16">
        <f t="shared" si="53"/>
        <v>10</v>
      </c>
    </row>
    <row r="166" spans="1:52" ht="13.7" customHeight="1" x14ac:dyDescent="0.25">
      <c r="A166" s="15">
        <v>1000</v>
      </c>
      <c r="B166" s="11">
        <f t="shared" si="51"/>
        <v>0</v>
      </c>
      <c r="C166" s="11">
        <f t="shared" si="51"/>
        <v>0</v>
      </c>
      <c r="D166" s="8">
        <f t="shared" si="52"/>
        <v>0</v>
      </c>
      <c r="E166" s="6">
        <f t="shared" si="50"/>
        <v>10</v>
      </c>
      <c r="F166" s="6">
        <f t="shared" si="50"/>
        <v>0</v>
      </c>
      <c r="G166" s="6">
        <f t="shared" si="50"/>
        <v>0</v>
      </c>
      <c r="H166" s="13">
        <f t="shared" si="50"/>
        <v>0</v>
      </c>
      <c r="I166" s="8">
        <f t="shared" si="50"/>
        <v>0</v>
      </c>
      <c r="J166" s="6">
        <f t="shared" si="50"/>
        <v>0</v>
      </c>
      <c r="K166" s="6">
        <f t="shared" si="50"/>
        <v>0</v>
      </c>
      <c r="L166" s="6">
        <f t="shared" si="50"/>
        <v>0</v>
      </c>
      <c r="M166" s="13">
        <f t="shared" si="50"/>
        <v>0</v>
      </c>
      <c r="N166" s="8">
        <f t="shared" si="50"/>
        <v>0</v>
      </c>
      <c r="O166" s="6">
        <f t="shared" si="50"/>
        <v>0</v>
      </c>
      <c r="P166" s="6">
        <f t="shared" si="50"/>
        <v>0</v>
      </c>
      <c r="Q166" s="6">
        <f t="shared" si="50"/>
        <v>0</v>
      </c>
      <c r="R166" s="13">
        <f t="shared" si="50"/>
        <v>0</v>
      </c>
      <c r="S166" s="8">
        <f t="shared" si="50"/>
        <v>0</v>
      </c>
      <c r="T166" s="6">
        <f t="shared" si="50"/>
        <v>0</v>
      </c>
      <c r="U166" s="6">
        <f t="shared" si="50"/>
        <v>0</v>
      </c>
      <c r="V166" s="6">
        <f t="shared" si="50"/>
        <v>0</v>
      </c>
      <c r="W166" s="13">
        <f t="shared" si="50"/>
        <v>0</v>
      </c>
      <c r="X166" s="8">
        <f t="shared" si="50"/>
        <v>0</v>
      </c>
      <c r="Y166" s="6">
        <f t="shared" si="50"/>
        <v>0</v>
      </c>
      <c r="Z166" s="6">
        <f t="shared" si="50"/>
        <v>0</v>
      </c>
      <c r="AA166" s="6">
        <f t="shared" si="50"/>
        <v>0</v>
      </c>
      <c r="AB166" s="13">
        <f t="shared" si="50"/>
        <v>0</v>
      </c>
      <c r="AC166" s="8">
        <f t="shared" si="50"/>
        <v>0</v>
      </c>
      <c r="AD166" s="6">
        <f t="shared" si="50"/>
        <v>0</v>
      </c>
      <c r="AE166" s="6">
        <f t="shared" si="50"/>
        <v>0</v>
      </c>
      <c r="AF166" s="6">
        <f t="shared" si="50"/>
        <v>0</v>
      </c>
      <c r="AG166" s="13">
        <f t="shared" si="50"/>
        <v>0</v>
      </c>
      <c r="AH166" s="16">
        <f>SUM(D166:AG166)*A166</f>
        <v>10000</v>
      </c>
      <c r="AI166" s="16">
        <f t="shared" si="53"/>
        <v>10</v>
      </c>
    </row>
    <row r="167" spans="1:52" ht="13.7" customHeight="1" x14ac:dyDescent="0.25">
      <c r="A167" s="15">
        <v>1500</v>
      </c>
      <c r="B167" s="11">
        <f t="shared" si="51"/>
        <v>0</v>
      </c>
      <c r="C167" s="11">
        <f t="shared" si="51"/>
        <v>0</v>
      </c>
      <c r="D167" s="8">
        <f t="shared" si="52"/>
        <v>0</v>
      </c>
      <c r="E167" s="6">
        <f t="shared" si="50"/>
        <v>8</v>
      </c>
      <c r="F167" s="6">
        <f t="shared" si="50"/>
        <v>0</v>
      </c>
      <c r="G167" s="6">
        <f t="shared" si="50"/>
        <v>0</v>
      </c>
      <c r="H167" s="13">
        <f t="shared" si="50"/>
        <v>0</v>
      </c>
      <c r="I167" s="8">
        <f t="shared" si="50"/>
        <v>0</v>
      </c>
      <c r="J167" s="6">
        <f t="shared" si="50"/>
        <v>0</v>
      </c>
      <c r="K167" s="6">
        <f t="shared" si="50"/>
        <v>0</v>
      </c>
      <c r="L167" s="6">
        <f t="shared" si="50"/>
        <v>0</v>
      </c>
      <c r="M167" s="13">
        <f t="shared" si="50"/>
        <v>0</v>
      </c>
      <c r="N167" s="8">
        <f t="shared" si="50"/>
        <v>0</v>
      </c>
      <c r="O167" s="6">
        <f t="shared" si="50"/>
        <v>0</v>
      </c>
      <c r="P167" s="6">
        <f t="shared" si="50"/>
        <v>0</v>
      </c>
      <c r="Q167" s="6">
        <f t="shared" si="50"/>
        <v>0</v>
      </c>
      <c r="R167" s="13">
        <f t="shared" si="50"/>
        <v>0</v>
      </c>
      <c r="S167" s="8">
        <f t="shared" si="50"/>
        <v>0</v>
      </c>
      <c r="T167" s="6">
        <f t="shared" si="50"/>
        <v>0</v>
      </c>
      <c r="U167" s="6">
        <f t="shared" si="50"/>
        <v>0</v>
      </c>
      <c r="V167" s="6">
        <f t="shared" si="50"/>
        <v>0</v>
      </c>
      <c r="W167" s="13">
        <f t="shared" si="50"/>
        <v>0</v>
      </c>
      <c r="X167" s="8">
        <f t="shared" si="50"/>
        <v>0</v>
      </c>
      <c r="Y167" s="6">
        <f t="shared" si="50"/>
        <v>0</v>
      </c>
      <c r="Z167" s="6">
        <f t="shared" si="50"/>
        <v>0</v>
      </c>
      <c r="AA167" s="6">
        <f t="shared" si="50"/>
        <v>0</v>
      </c>
      <c r="AB167" s="13">
        <f t="shared" si="50"/>
        <v>0</v>
      </c>
      <c r="AC167" s="8">
        <f t="shared" si="50"/>
        <v>0</v>
      </c>
      <c r="AD167" s="6">
        <f t="shared" si="50"/>
        <v>0</v>
      </c>
      <c r="AE167" s="6">
        <f t="shared" si="50"/>
        <v>0</v>
      </c>
      <c r="AF167" s="6">
        <f t="shared" si="50"/>
        <v>0</v>
      </c>
      <c r="AG167" s="13">
        <f t="shared" si="50"/>
        <v>0</v>
      </c>
      <c r="AH167" s="16">
        <f>SUM(D167:AG167)*A167</f>
        <v>12000</v>
      </c>
      <c r="AI167" s="16">
        <f t="shared" si="53"/>
        <v>8</v>
      </c>
    </row>
    <row r="168" spans="1:52" ht="13.7" customHeight="1" x14ac:dyDescent="0.25">
      <c r="A168" s="15">
        <v>2000</v>
      </c>
      <c r="B168" s="11">
        <f t="shared" si="51"/>
        <v>0</v>
      </c>
      <c r="C168" s="11">
        <f t="shared" si="51"/>
        <v>0</v>
      </c>
      <c r="D168" s="8">
        <f t="shared" si="52"/>
        <v>0</v>
      </c>
      <c r="E168" s="6">
        <f t="shared" si="50"/>
        <v>0</v>
      </c>
      <c r="F168" s="6">
        <f t="shared" si="50"/>
        <v>0</v>
      </c>
      <c r="G168" s="6">
        <f t="shared" si="50"/>
        <v>0</v>
      </c>
      <c r="H168" s="13">
        <f t="shared" si="50"/>
        <v>0</v>
      </c>
      <c r="I168" s="8">
        <f t="shared" si="50"/>
        <v>0</v>
      </c>
      <c r="J168" s="6">
        <f t="shared" si="50"/>
        <v>0</v>
      </c>
      <c r="K168" s="6">
        <f t="shared" si="50"/>
        <v>0</v>
      </c>
      <c r="L168" s="6">
        <f t="shared" si="50"/>
        <v>0</v>
      </c>
      <c r="M168" s="13">
        <f t="shared" si="50"/>
        <v>0</v>
      </c>
      <c r="N168" s="8">
        <f t="shared" si="50"/>
        <v>0</v>
      </c>
      <c r="O168" s="6">
        <f t="shared" si="50"/>
        <v>0</v>
      </c>
      <c r="P168" s="6">
        <f t="shared" si="50"/>
        <v>0</v>
      </c>
      <c r="Q168" s="6">
        <f t="shared" si="50"/>
        <v>0</v>
      </c>
      <c r="R168" s="13">
        <f t="shared" si="50"/>
        <v>0</v>
      </c>
      <c r="S168" s="8">
        <f t="shared" si="50"/>
        <v>0</v>
      </c>
      <c r="T168" s="6">
        <f t="shared" si="50"/>
        <v>0</v>
      </c>
      <c r="U168" s="6">
        <f t="shared" si="50"/>
        <v>0</v>
      </c>
      <c r="V168" s="6">
        <f t="shared" si="50"/>
        <v>0</v>
      </c>
      <c r="W168" s="13">
        <f t="shared" si="50"/>
        <v>0</v>
      </c>
      <c r="X168" s="8">
        <f t="shared" si="50"/>
        <v>0</v>
      </c>
      <c r="Y168" s="6">
        <f t="shared" si="50"/>
        <v>0</v>
      </c>
      <c r="Z168" s="6">
        <f t="shared" si="50"/>
        <v>0</v>
      </c>
      <c r="AA168" s="6">
        <f t="shared" si="50"/>
        <v>0</v>
      </c>
      <c r="AB168" s="13">
        <f t="shared" si="50"/>
        <v>0</v>
      </c>
      <c r="AC168" s="8">
        <f t="shared" si="50"/>
        <v>0</v>
      </c>
      <c r="AD168" s="6">
        <f t="shared" si="50"/>
        <v>0</v>
      </c>
      <c r="AE168" s="6">
        <f t="shared" si="50"/>
        <v>0</v>
      </c>
      <c r="AF168" s="6">
        <f t="shared" si="50"/>
        <v>0</v>
      </c>
      <c r="AG168" s="13">
        <f t="shared" si="50"/>
        <v>0</v>
      </c>
      <c r="AH168" s="16">
        <f>SUM(D168:AG168)*A168</f>
        <v>0</v>
      </c>
      <c r="AI168" s="16">
        <f t="shared" si="53"/>
        <v>0</v>
      </c>
    </row>
    <row r="169" spans="1:52" ht="13.7" customHeight="1" x14ac:dyDescent="0.25">
      <c r="A169" s="15">
        <v>3000</v>
      </c>
      <c r="B169" s="11">
        <f t="shared" si="51"/>
        <v>0</v>
      </c>
      <c r="C169" s="11">
        <f t="shared" si="51"/>
        <v>0</v>
      </c>
      <c r="D169" s="8">
        <f t="shared" si="52"/>
        <v>0</v>
      </c>
      <c r="E169" s="6">
        <f t="shared" si="50"/>
        <v>0</v>
      </c>
      <c r="F169" s="6">
        <f t="shared" si="50"/>
        <v>0</v>
      </c>
      <c r="G169" s="6">
        <f t="shared" si="50"/>
        <v>0</v>
      </c>
      <c r="H169" s="13">
        <f t="shared" si="50"/>
        <v>0</v>
      </c>
      <c r="I169" s="8">
        <f t="shared" si="50"/>
        <v>0</v>
      </c>
      <c r="J169" s="6">
        <f t="shared" si="50"/>
        <v>0</v>
      </c>
      <c r="K169" s="6">
        <f t="shared" si="50"/>
        <v>0</v>
      </c>
      <c r="L169" s="6">
        <f t="shared" si="50"/>
        <v>0</v>
      </c>
      <c r="M169" s="13">
        <f t="shared" si="50"/>
        <v>0</v>
      </c>
      <c r="N169" s="8">
        <f t="shared" si="50"/>
        <v>0</v>
      </c>
      <c r="O169" s="6">
        <f t="shared" si="50"/>
        <v>0</v>
      </c>
      <c r="P169" s="6">
        <f t="shared" si="50"/>
        <v>0</v>
      </c>
      <c r="Q169" s="6">
        <f t="shared" si="50"/>
        <v>0</v>
      </c>
      <c r="R169" s="13">
        <f t="shared" si="50"/>
        <v>0</v>
      </c>
      <c r="S169" s="8">
        <f t="shared" si="50"/>
        <v>0</v>
      </c>
      <c r="T169" s="6">
        <f t="shared" si="50"/>
        <v>0</v>
      </c>
      <c r="U169" s="6">
        <f t="shared" si="50"/>
        <v>0</v>
      </c>
      <c r="V169" s="6">
        <f t="shared" si="50"/>
        <v>0</v>
      </c>
      <c r="W169" s="13">
        <f t="shared" si="50"/>
        <v>0</v>
      </c>
      <c r="X169" s="8">
        <f t="shared" si="50"/>
        <v>0</v>
      </c>
      <c r="Y169" s="6">
        <f t="shared" si="50"/>
        <v>0</v>
      </c>
      <c r="Z169" s="6">
        <f t="shared" si="50"/>
        <v>0</v>
      </c>
      <c r="AA169" s="6">
        <f t="shared" si="50"/>
        <v>0</v>
      </c>
      <c r="AB169" s="13">
        <f t="shared" si="50"/>
        <v>0</v>
      </c>
      <c r="AC169" s="8">
        <f t="shared" si="50"/>
        <v>0</v>
      </c>
      <c r="AD169" s="6">
        <f t="shared" si="50"/>
        <v>0</v>
      </c>
      <c r="AE169" s="6">
        <f t="shared" si="50"/>
        <v>0</v>
      </c>
      <c r="AF169" s="6">
        <f t="shared" si="50"/>
        <v>0</v>
      </c>
      <c r="AG169" s="13">
        <f t="shared" si="50"/>
        <v>0</v>
      </c>
      <c r="AH169" s="16">
        <f>SUM(D169:AG169)*A169</f>
        <v>0</v>
      </c>
      <c r="AI169" s="16">
        <f t="shared" si="53"/>
        <v>0</v>
      </c>
    </row>
    <row r="170" spans="1:52" ht="13.7" customHeight="1" x14ac:dyDescent="0.25">
      <c r="A170" s="15">
        <v>5000</v>
      </c>
      <c r="B170" s="11">
        <f t="shared" si="51"/>
        <v>0</v>
      </c>
      <c r="C170" s="11">
        <f t="shared" si="51"/>
        <v>0</v>
      </c>
      <c r="D170" s="8">
        <f t="shared" si="52"/>
        <v>0</v>
      </c>
      <c r="E170" s="6">
        <f t="shared" si="50"/>
        <v>0</v>
      </c>
      <c r="F170" s="6">
        <f t="shared" si="50"/>
        <v>0</v>
      </c>
      <c r="G170" s="6">
        <f t="shared" si="50"/>
        <v>0</v>
      </c>
      <c r="H170" s="13">
        <f t="shared" si="50"/>
        <v>0</v>
      </c>
      <c r="I170" s="8">
        <f t="shared" si="50"/>
        <v>0</v>
      </c>
      <c r="J170" s="6">
        <f t="shared" si="50"/>
        <v>0</v>
      </c>
      <c r="K170" s="6">
        <f t="shared" si="50"/>
        <v>0</v>
      </c>
      <c r="L170" s="6">
        <f t="shared" si="50"/>
        <v>0</v>
      </c>
      <c r="M170" s="13">
        <f t="shared" si="50"/>
        <v>0</v>
      </c>
      <c r="N170" s="8">
        <f t="shared" si="50"/>
        <v>0</v>
      </c>
      <c r="O170" s="6">
        <f t="shared" si="50"/>
        <v>0</v>
      </c>
      <c r="P170" s="6">
        <f t="shared" si="50"/>
        <v>0</v>
      </c>
      <c r="Q170" s="6">
        <f t="shared" si="50"/>
        <v>0</v>
      </c>
      <c r="R170" s="13">
        <f t="shared" si="50"/>
        <v>0</v>
      </c>
      <c r="S170" s="8">
        <f t="shared" si="50"/>
        <v>0</v>
      </c>
      <c r="T170" s="6">
        <f t="shared" si="50"/>
        <v>0</v>
      </c>
      <c r="U170" s="6">
        <f t="shared" si="50"/>
        <v>0</v>
      </c>
      <c r="V170" s="6">
        <f t="shared" si="50"/>
        <v>0</v>
      </c>
      <c r="W170" s="13">
        <f t="shared" si="50"/>
        <v>0</v>
      </c>
      <c r="X170" s="8">
        <f t="shared" si="50"/>
        <v>0</v>
      </c>
      <c r="Y170" s="6">
        <f t="shared" si="50"/>
        <v>0</v>
      </c>
      <c r="Z170" s="6">
        <f t="shared" si="50"/>
        <v>0</v>
      </c>
      <c r="AA170" s="6">
        <f t="shared" si="50"/>
        <v>0</v>
      </c>
      <c r="AB170" s="13">
        <f t="shared" si="50"/>
        <v>0</v>
      </c>
      <c r="AC170" s="8">
        <f t="shared" si="50"/>
        <v>0</v>
      </c>
      <c r="AD170" s="6">
        <f t="shared" si="50"/>
        <v>0</v>
      </c>
      <c r="AE170" s="6">
        <f t="shared" si="50"/>
        <v>0</v>
      </c>
      <c r="AF170" s="6">
        <f t="shared" si="50"/>
        <v>0</v>
      </c>
      <c r="AG170" s="13">
        <f t="shared" si="50"/>
        <v>0</v>
      </c>
      <c r="AH170" s="16">
        <f>SUM(D170:AG170)*A170</f>
        <v>0</v>
      </c>
      <c r="AI170" s="16">
        <f t="shared" si="53"/>
        <v>0</v>
      </c>
    </row>
    <row r="171" spans="1:52" ht="15" customHeight="1" thickBot="1" x14ac:dyDescent="0.3">
      <c r="A171" s="59">
        <v>10000</v>
      </c>
      <c r="B171" s="11">
        <f t="shared" si="51"/>
        <v>0</v>
      </c>
      <c r="C171" s="11">
        <f t="shared" si="51"/>
        <v>0</v>
      </c>
      <c r="D171" s="31">
        <f t="shared" si="52"/>
        <v>0</v>
      </c>
      <c r="E171" s="32">
        <f t="shared" si="50"/>
        <v>0</v>
      </c>
      <c r="F171" s="32">
        <f t="shared" si="50"/>
        <v>0</v>
      </c>
      <c r="G171" s="32">
        <f t="shared" si="50"/>
        <v>0</v>
      </c>
      <c r="H171" s="33">
        <f t="shared" si="50"/>
        <v>0</v>
      </c>
      <c r="I171" s="31">
        <f t="shared" si="50"/>
        <v>0</v>
      </c>
      <c r="J171" s="32">
        <f t="shared" si="50"/>
        <v>0</v>
      </c>
      <c r="K171" s="32">
        <f t="shared" si="50"/>
        <v>0</v>
      </c>
      <c r="L171" s="32">
        <f t="shared" si="50"/>
        <v>0</v>
      </c>
      <c r="M171" s="33">
        <f t="shared" si="50"/>
        <v>0</v>
      </c>
      <c r="N171" s="31">
        <f t="shared" si="50"/>
        <v>0</v>
      </c>
      <c r="O171" s="32">
        <f t="shared" si="50"/>
        <v>0</v>
      </c>
      <c r="P171" s="32">
        <f t="shared" si="50"/>
        <v>0</v>
      </c>
      <c r="Q171" s="32">
        <f t="shared" si="50"/>
        <v>0</v>
      </c>
      <c r="R171" s="33">
        <f t="shared" si="50"/>
        <v>0</v>
      </c>
      <c r="S171" s="31">
        <f t="shared" si="50"/>
        <v>0</v>
      </c>
      <c r="T171" s="32">
        <f t="shared" si="50"/>
        <v>0</v>
      </c>
      <c r="U171" s="32">
        <f t="shared" si="50"/>
        <v>0</v>
      </c>
      <c r="V171" s="32">
        <f t="shared" si="50"/>
        <v>0</v>
      </c>
      <c r="W171" s="33">
        <f t="shared" si="50"/>
        <v>0</v>
      </c>
      <c r="X171" s="31">
        <f t="shared" si="50"/>
        <v>0</v>
      </c>
      <c r="Y171" s="32">
        <f t="shared" si="50"/>
        <v>0</v>
      </c>
      <c r="Z171" s="32">
        <f t="shared" si="50"/>
        <v>0</v>
      </c>
      <c r="AA171" s="32">
        <f t="shared" si="50"/>
        <v>0</v>
      </c>
      <c r="AB171" s="33">
        <f t="shared" ref="AB171:AG171" si="54">Z127+Z141</f>
        <v>0</v>
      </c>
      <c r="AC171" s="31">
        <f t="shared" si="54"/>
        <v>0</v>
      </c>
      <c r="AD171" s="32">
        <f t="shared" si="54"/>
        <v>0</v>
      </c>
      <c r="AE171" s="32">
        <f t="shared" si="54"/>
        <v>0</v>
      </c>
      <c r="AF171" s="32">
        <f t="shared" si="54"/>
        <v>0</v>
      </c>
      <c r="AG171" s="33">
        <f t="shared" si="54"/>
        <v>0</v>
      </c>
      <c r="AH171" s="16">
        <f>SUM(D171:AG171)*A171</f>
        <v>0</v>
      </c>
      <c r="AI171" s="43">
        <f t="shared" si="53"/>
        <v>0</v>
      </c>
    </row>
    <row r="172" spans="1:52" ht="15" customHeight="1" thickBot="1" x14ac:dyDescent="0.3">
      <c r="A172" s="35"/>
      <c r="B172" s="61">
        <f>SUM(B163:B171)</f>
        <v>0</v>
      </c>
      <c r="C172" s="61">
        <f t="shared" ref="C172" si="55">SUM(C163:C171)</f>
        <v>0</v>
      </c>
      <c r="D172" s="60">
        <f t="shared" ref="D172:AI172" si="56">SUM(D163:D171)</f>
        <v>0</v>
      </c>
      <c r="E172" s="61">
        <f t="shared" si="56"/>
        <v>48</v>
      </c>
      <c r="F172" s="61">
        <f t="shared" si="56"/>
        <v>0</v>
      </c>
      <c r="G172" s="61">
        <f t="shared" si="56"/>
        <v>0</v>
      </c>
      <c r="H172" s="62">
        <f t="shared" si="56"/>
        <v>0</v>
      </c>
      <c r="I172" s="60">
        <f t="shared" si="56"/>
        <v>0</v>
      </c>
      <c r="J172" s="61">
        <f t="shared" si="56"/>
        <v>0</v>
      </c>
      <c r="K172" s="61">
        <f t="shared" si="56"/>
        <v>0</v>
      </c>
      <c r="L172" s="61">
        <f t="shared" si="56"/>
        <v>0</v>
      </c>
      <c r="M172" s="62">
        <f t="shared" si="56"/>
        <v>0</v>
      </c>
      <c r="N172" s="60">
        <f t="shared" si="56"/>
        <v>0</v>
      </c>
      <c r="O172" s="61">
        <f t="shared" si="56"/>
        <v>0</v>
      </c>
      <c r="P172" s="61">
        <f t="shared" si="56"/>
        <v>0</v>
      </c>
      <c r="Q172" s="61">
        <f t="shared" si="56"/>
        <v>0</v>
      </c>
      <c r="R172" s="62">
        <f t="shared" si="56"/>
        <v>0</v>
      </c>
      <c r="S172" s="60">
        <f t="shared" si="56"/>
        <v>0</v>
      </c>
      <c r="T172" s="61">
        <f t="shared" si="56"/>
        <v>0</v>
      </c>
      <c r="U172" s="61">
        <f t="shared" si="56"/>
        <v>0</v>
      </c>
      <c r="V172" s="61">
        <f t="shared" si="56"/>
        <v>0</v>
      </c>
      <c r="W172" s="62">
        <f t="shared" si="56"/>
        <v>0</v>
      </c>
      <c r="X172" s="60">
        <f t="shared" si="56"/>
        <v>0</v>
      </c>
      <c r="Y172" s="61">
        <f t="shared" si="56"/>
        <v>0</v>
      </c>
      <c r="Z172" s="61">
        <f t="shared" si="56"/>
        <v>0</v>
      </c>
      <c r="AA172" s="61">
        <f t="shared" si="56"/>
        <v>0</v>
      </c>
      <c r="AB172" s="62">
        <f t="shared" si="56"/>
        <v>0</v>
      </c>
      <c r="AC172" s="60">
        <f t="shared" si="56"/>
        <v>0</v>
      </c>
      <c r="AD172" s="61">
        <f t="shared" si="56"/>
        <v>0</v>
      </c>
      <c r="AE172" s="61">
        <f t="shared" si="56"/>
        <v>0</v>
      </c>
      <c r="AF172" s="61">
        <f t="shared" si="56"/>
        <v>0</v>
      </c>
      <c r="AG172" s="62">
        <f t="shared" si="56"/>
        <v>0</v>
      </c>
      <c r="AH172" s="35">
        <f>SUM(AH163:AH171)</f>
        <v>39500</v>
      </c>
      <c r="AI172" s="35">
        <f t="shared" si="53"/>
        <v>48</v>
      </c>
    </row>
    <row r="173" spans="1:52" ht="15.75" customHeight="1" x14ac:dyDescent="0.25"/>
    <row r="174" spans="1:52" ht="15.75" customHeight="1" x14ac:dyDescent="0.25"/>
    <row r="175" spans="1:52" ht="15" customHeight="1" x14ac:dyDescent="0.25">
      <c r="AX175" s="44"/>
      <c r="AY175" s="44"/>
      <c r="AZ175" s="44"/>
    </row>
    <row r="176" spans="1:52" ht="15" customHeight="1" x14ac:dyDescent="0.25">
      <c r="AX176" s="44"/>
      <c r="AY176" s="44"/>
      <c r="AZ176" s="44"/>
    </row>
    <row r="177" spans="50:54" ht="15" customHeight="1" x14ac:dyDescent="0.25">
      <c r="AX177" s="44"/>
      <c r="AY177" s="44"/>
      <c r="AZ177" s="44"/>
    </row>
    <row r="178" spans="50:54" ht="15" customHeight="1" x14ac:dyDescent="0.25">
      <c r="AX178" s="44"/>
      <c r="AY178" s="44"/>
      <c r="AZ178" s="44"/>
    </row>
    <row r="179" spans="50:54" ht="15" customHeight="1" x14ac:dyDescent="0.25">
      <c r="AX179" s="44"/>
      <c r="AY179" s="44"/>
      <c r="AZ179" s="44"/>
    </row>
    <row r="180" spans="50:54" ht="15" customHeight="1" x14ac:dyDescent="0.25">
      <c r="AX180" s="44"/>
      <c r="AY180" s="44"/>
      <c r="AZ180" s="44"/>
    </row>
    <row r="181" spans="50:54" ht="15" customHeight="1" x14ac:dyDescent="0.25">
      <c r="AX181" s="44"/>
    </row>
    <row r="182" spans="50:54" ht="15" customHeight="1" x14ac:dyDescent="0.25">
      <c r="AX182" s="44"/>
    </row>
    <row r="183" spans="50:54" ht="15" customHeight="1" x14ac:dyDescent="0.25">
      <c r="AX183" s="44"/>
    </row>
    <row r="184" spans="50:54" ht="15.75" customHeight="1" x14ac:dyDescent="0.25"/>
    <row r="186" spans="50:54" x14ac:dyDescent="0.25">
      <c r="BB186" s="44"/>
    </row>
    <row r="187" spans="50:54" ht="15" customHeight="1" x14ac:dyDescent="0.25"/>
    <row r="188" spans="50:54" ht="15" customHeight="1" x14ac:dyDescent="0.25"/>
    <row r="189" spans="50:54" ht="15" customHeight="1" x14ac:dyDescent="0.25"/>
  </sheetData>
  <mergeCells count="134">
    <mergeCell ref="AH158:AJ158"/>
    <mergeCell ref="AK158:AM158"/>
    <mergeCell ref="AN158:AO158"/>
    <mergeCell ref="AP158:AR158"/>
    <mergeCell ref="AS158:AT158"/>
    <mergeCell ref="AU158:AW158"/>
    <mergeCell ref="A161:A162"/>
    <mergeCell ref="B161:C161"/>
    <mergeCell ref="D161:H161"/>
    <mergeCell ref="I161:M161"/>
    <mergeCell ref="N161:R161"/>
    <mergeCell ref="S161:W161"/>
    <mergeCell ref="X161:AB161"/>
    <mergeCell ref="AC161:AG161"/>
    <mergeCell ref="AH161:AH162"/>
    <mergeCell ref="AI161:AI162"/>
    <mergeCell ref="BI151:BJ151"/>
    <mergeCell ref="AI152:AJ152"/>
    <mergeCell ref="AK152:AL152"/>
    <mergeCell ref="AO152:AP152"/>
    <mergeCell ref="AQ152:AR152"/>
    <mergeCell ref="AU152:AV152"/>
    <mergeCell ref="AW152:AX152"/>
    <mergeCell ref="BA152:BB152"/>
    <mergeCell ref="BC152:BD152"/>
    <mergeCell ref="BG152:BH152"/>
    <mergeCell ref="BI152:BJ152"/>
    <mergeCell ref="AI151:AJ151"/>
    <mergeCell ref="AK151:AL151"/>
    <mergeCell ref="AO151:AP151"/>
    <mergeCell ref="AQ151:AR151"/>
    <mergeCell ref="AU151:AV151"/>
    <mergeCell ref="AW151:AX151"/>
    <mergeCell ref="BA151:BB151"/>
    <mergeCell ref="BC151:BD151"/>
    <mergeCell ref="BG151:BH151"/>
    <mergeCell ref="BH137:BJ137"/>
    <mergeCell ref="AH138:AL138"/>
    <mergeCell ref="AN138:AR138"/>
    <mergeCell ref="AT138:AX138"/>
    <mergeCell ref="AZ138:BD138"/>
    <mergeCell ref="BF138:BJ138"/>
    <mergeCell ref="AH139:AL139"/>
    <mergeCell ref="AN139:AR139"/>
    <mergeCell ref="AT139:AX139"/>
    <mergeCell ref="AZ139:BD139"/>
    <mergeCell ref="BF139:BJ139"/>
    <mergeCell ref="AH137:AI137"/>
    <mergeCell ref="AJ137:AL137"/>
    <mergeCell ref="AN137:AO137"/>
    <mergeCell ref="AP137:AR137"/>
    <mergeCell ref="AT137:AU137"/>
    <mergeCell ref="AV137:AX137"/>
    <mergeCell ref="AZ137:BA137"/>
    <mergeCell ref="BB137:BD137"/>
    <mergeCell ref="BF137:BG137"/>
    <mergeCell ref="BG130:BH130"/>
    <mergeCell ref="BI130:BJ130"/>
    <mergeCell ref="A131:A132"/>
    <mergeCell ref="B131:F131"/>
    <mergeCell ref="L131:P131"/>
    <mergeCell ref="Q131:U131"/>
    <mergeCell ref="V131:Z131"/>
    <mergeCell ref="AA131:AE131"/>
    <mergeCell ref="AF131:AF132"/>
    <mergeCell ref="AG131:AG132"/>
    <mergeCell ref="AI131:AJ131"/>
    <mergeCell ref="AK131:AL131"/>
    <mergeCell ref="AO131:AP131"/>
    <mergeCell ref="AQ131:AR131"/>
    <mergeCell ref="AU131:AV131"/>
    <mergeCell ref="AW131:AX131"/>
    <mergeCell ref="BA131:BB131"/>
    <mergeCell ref="BC131:BD131"/>
    <mergeCell ref="BG131:BH131"/>
    <mergeCell ref="BI131:BJ131"/>
    <mergeCell ref="A130:AG130"/>
    <mergeCell ref="AI130:AJ130"/>
    <mergeCell ref="AK130:AL130"/>
    <mergeCell ref="AO130:AP130"/>
    <mergeCell ref="AQ130:AR130"/>
    <mergeCell ref="AU130:AV130"/>
    <mergeCell ref="AW130:AX130"/>
    <mergeCell ref="BA130:BB130"/>
    <mergeCell ref="BC130:BD130"/>
    <mergeCell ref="AN117:AR117"/>
    <mergeCell ref="AT117:AX117"/>
    <mergeCell ref="AZ117:BD117"/>
    <mergeCell ref="BF117:BJ117"/>
    <mergeCell ref="AH118:AL118"/>
    <mergeCell ref="AN118:AR118"/>
    <mergeCell ref="AT118:AX118"/>
    <mergeCell ref="AZ118:BD118"/>
    <mergeCell ref="BF118:BJ118"/>
    <mergeCell ref="AJ116:AL116"/>
    <mergeCell ref="AN116:AO116"/>
    <mergeCell ref="AP116:AR116"/>
    <mergeCell ref="AT116:AU116"/>
    <mergeCell ref="AV116:AX116"/>
    <mergeCell ref="AZ116:BA116"/>
    <mergeCell ref="BB116:BD116"/>
    <mergeCell ref="BF116:BG116"/>
    <mergeCell ref="BH116:BJ116"/>
    <mergeCell ref="D144:E144"/>
    <mergeCell ref="T144:U144"/>
    <mergeCell ref="A144:B144"/>
    <mergeCell ref="G144:H144"/>
    <mergeCell ref="J144:K147"/>
    <mergeCell ref="M144:N147"/>
    <mergeCell ref="P144:Q147"/>
    <mergeCell ref="S144:S145"/>
    <mergeCell ref="V144:V145"/>
    <mergeCell ref="W144:W145"/>
    <mergeCell ref="AA147:AC147"/>
    <mergeCell ref="A114:C114"/>
    <mergeCell ref="D114:G114"/>
    <mergeCell ref="A116:AG116"/>
    <mergeCell ref="AH116:AI116"/>
    <mergeCell ref="A117:A118"/>
    <mergeCell ref="B117:F117"/>
    <mergeCell ref="G117:K117"/>
    <mergeCell ref="L117:P117"/>
    <mergeCell ref="Q117:U117"/>
    <mergeCell ref="V117:Z117"/>
    <mergeCell ref="AA117:AE117"/>
    <mergeCell ref="AF117:AF118"/>
    <mergeCell ref="AG117:AG118"/>
    <mergeCell ref="AH117:AL117"/>
    <mergeCell ref="G131:K131"/>
    <mergeCell ref="AD147:AF147"/>
    <mergeCell ref="AA148:AC148"/>
    <mergeCell ref="AD148:AF148"/>
    <mergeCell ref="AA149:AC149"/>
    <mergeCell ref="AD149:AF149"/>
  </mergeCells>
  <pageMargins left="0" right="0" top="0" bottom="0" header="0.31496062992125984" footer="0.31496062992125984"/>
  <pageSetup paperSize="9" scale="90" orientation="landscape" r:id="rId1"/>
  <headerFooter>
    <oddFooter>&amp;LPRINTED ON &amp;D AT &amp;T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Y189"/>
  <sheetViews>
    <sheetView showZeros="0" zoomScaleNormal="100" workbookViewId="0">
      <selection sqref="A1:XFD1048576"/>
    </sheetView>
  </sheetViews>
  <sheetFormatPr defaultColWidth="9.140625" defaultRowHeight="15" x14ac:dyDescent="0.25"/>
  <cols>
    <col min="1" max="1" width="6.28515625" style="28" customWidth="1"/>
    <col min="2" max="2" width="5.85546875" style="28" customWidth="1"/>
    <col min="3" max="3" width="4.42578125" style="28" customWidth="1"/>
    <col min="4" max="4" width="6.28515625" style="28" customWidth="1"/>
    <col min="5" max="5" width="5.85546875" style="28" customWidth="1"/>
    <col min="6" max="6" width="4.42578125" style="28" customWidth="1"/>
    <col min="7" max="7" width="6.28515625" style="28" customWidth="1"/>
    <col min="8" max="8" width="5.85546875" style="28" customWidth="1"/>
    <col min="9" max="9" width="4.42578125" style="28" customWidth="1"/>
    <col min="10" max="10" width="6.28515625" style="28" customWidth="1"/>
    <col min="11" max="12" width="4.42578125" style="28" customWidth="1"/>
    <col min="13" max="13" width="6.28515625" style="28" customWidth="1"/>
    <col min="14" max="15" width="4.42578125" style="28" customWidth="1"/>
    <col min="16" max="16" width="6.28515625" style="28" customWidth="1"/>
    <col min="17" max="18" width="4.42578125" style="28" customWidth="1"/>
    <col min="19" max="19" width="6.28515625" style="28" customWidth="1"/>
    <col min="20" max="21" width="4.7109375" style="28" customWidth="1"/>
    <col min="22" max="22" width="6.28515625" style="28" customWidth="1"/>
    <col min="23" max="23" width="5.42578125" style="28" customWidth="1"/>
    <col min="24" max="31" width="4.42578125" style="28" customWidth="1"/>
    <col min="32" max="33" width="6.28515625" style="28" customWidth="1"/>
    <col min="34" max="62" width="5.85546875" style="28" customWidth="1"/>
    <col min="63" max="63" width="5.140625" style="28" bestFit="1" customWidth="1"/>
    <col min="64" max="64" width="5.7109375" style="28" bestFit="1" customWidth="1"/>
    <col min="65" max="65" width="5" style="28" bestFit="1" customWidth="1"/>
    <col min="66" max="67" width="4.140625" style="28" bestFit="1" customWidth="1"/>
    <col min="68" max="68" width="4.28515625" style="28" bestFit="1" customWidth="1"/>
    <col min="69" max="69" width="5.140625" style="28" bestFit="1" customWidth="1"/>
    <col min="70" max="70" width="7.42578125" style="28" bestFit="1" customWidth="1"/>
    <col min="71" max="71" width="12.5703125" style="28" bestFit="1" customWidth="1"/>
    <col min="72" max="72" width="6.140625" style="28" bestFit="1" customWidth="1"/>
    <col min="73" max="16384" width="9.140625" style="28"/>
  </cols>
  <sheetData>
    <row r="1" spans="1:77" ht="16.5" customHeight="1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15</v>
      </c>
      <c r="J1" s="24" t="s">
        <v>133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133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133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12</v>
      </c>
      <c r="AB1" s="24" t="s">
        <v>133</v>
      </c>
      <c r="AC1" s="24" t="s">
        <v>8</v>
      </c>
      <c r="AD1" s="24" t="s">
        <v>9</v>
      </c>
      <c r="AE1" s="24" t="s">
        <v>10</v>
      </c>
      <c r="AF1" s="24" t="s">
        <v>11</v>
      </c>
      <c r="AG1" s="24" t="s">
        <v>12</v>
      </c>
      <c r="AH1" s="24" t="s">
        <v>133</v>
      </c>
      <c r="AI1" s="24" t="s">
        <v>8</v>
      </c>
      <c r="AJ1" s="24" t="s">
        <v>9</v>
      </c>
      <c r="AK1" s="24" t="s">
        <v>10</v>
      </c>
      <c r="AL1" s="24" t="s">
        <v>11</v>
      </c>
      <c r="AM1" s="24" t="s">
        <v>12</v>
      </c>
      <c r="AN1" s="24" t="s">
        <v>133</v>
      </c>
      <c r="AO1" s="24" t="s">
        <v>8</v>
      </c>
      <c r="AP1" s="24" t="s">
        <v>9</v>
      </c>
      <c r="AQ1" s="24" t="s">
        <v>10</v>
      </c>
      <c r="AR1" s="24" t="s">
        <v>11</v>
      </c>
      <c r="AS1" s="24" t="s">
        <v>12</v>
      </c>
      <c r="AT1" s="24" t="s">
        <v>133</v>
      </c>
      <c r="AU1" s="24" t="s">
        <v>8</v>
      </c>
      <c r="AV1" s="24" t="s">
        <v>9</v>
      </c>
      <c r="AW1" s="24" t="s">
        <v>10</v>
      </c>
      <c r="AX1" s="24" t="s">
        <v>11</v>
      </c>
      <c r="AY1" s="24" t="s">
        <v>12</v>
      </c>
      <c r="AZ1" s="24" t="s">
        <v>133</v>
      </c>
      <c r="BA1" s="24" t="s">
        <v>8</v>
      </c>
      <c r="BB1" s="24" t="s">
        <v>9</v>
      </c>
      <c r="BC1" s="24" t="s">
        <v>10</v>
      </c>
      <c r="BD1" s="24" t="s">
        <v>11</v>
      </c>
      <c r="BE1" s="24" t="s">
        <v>12</v>
      </c>
      <c r="BF1" s="24" t="s">
        <v>133</v>
      </c>
      <c r="BG1" s="24" t="s">
        <v>8</v>
      </c>
      <c r="BH1" s="24" t="s">
        <v>9</v>
      </c>
      <c r="BI1" s="24" t="s">
        <v>10</v>
      </c>
      <c r="BJ1" s="24" t="s">
        <v>11</v>
      </c>
      <c r="BK1" s="24" t="s">
        <v>12</v>
      </c>
      <c r="BL1" s="24" t="s">
        <v>133</v>
      </c>
      <c r="BM1" s="24" t="s">
        <v>8</v>
      </c>
      <c r="BN1" s="24" t="s">
        <v>9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36</v>
      </c>
      <c r="BU1" s="26"/>
      <c r="BV1" s="27"/>
      <c r="BW1" s="27"/>
      <c r="BX1" s="27"/>
      <c r="BY1" s="27"/>
    </row>
    <row r="2" spans="1:77" s="56" customFormat="1" ht="78" thickBot="1" x14ac:dyDescent="0.3">
      <c r="A2" s="188">
        <v>21420</v>
      </c>
      <c r="B2" s="189">
        <v>46031</v>
      </c>
      <c r="C2" s="41" t="s">
        <v>239</v>
      </c>
      <c r="D2" s="41" t="s">
        <v>90</v>
      </c>
      <c r="E2" s="41" t="s">
        <v>42</v>
      </c>
      <c r="F2" s="41" t="s">
        <v>121</v>
      </c>
      <c r="G2" s="41" t="s">
        <v>122</v>
      </c>
      <c r="H2" s="41" t="s">
        <v>123</v>
      </c>
      <c r="I2" s="41"/>
      <c r="J2" s="41" t="s">
        <v>134</v>
      </c>
      <c r="K2" s="188">
        <v>1500</v>
      </c>
      <c r="L2" s="188">
        <v>8</v>
      </c>
      <c r="M2" s="41" t="s">
        <v>17</v>
      </c>
      <c r="N2" s="41" t="s">
        <v>22</v>
      </c>
      <c r="O2" s="188">
        <v>3.5</v>
      </c>
      <c r="P2" s="41" t="s">
        <v>134</v>
      </c>
      <c r="Q2" s="188">
        <v>1000</v>
      </c>
      <c r="R2" s="188">
        <v>10</v>
      </c>
      <c r="S2" s="41" t="s">
        <v>17</v>
      </c>
      <c r="T2" s="41" t="s">
        <v>22</v>
      </c>
      <c r="U2" s="188">
        <v>3.5</v>
      </c>
      <c r="V2" s="41" t="s">
        <v>134</v>
      </c>
      <c r="W2" s="188">
        <v>750</v>
      </c>
      <c r="X2" s="188">
        <v>10</v>
      </c>
      <c r="Y2" s="41" t="s">
        <v>17</v>
      </c>
      <c r="Z2" s="41" t="s">
        <v>22</v>
      </c>
      <c r="AA2" s="188">
        <v>3.5</v>
      </c>
      <c r="AB2" s="41" t="s">
        <v>134</v>
      </c>
      <c r="AC2" s="188">
        <v>500</v>
      </c>
      <c r="AD2" s="188">
        <v>20</v>
      </c>
      <c r="AE2" s="41" t="s">
        <v>17</v>
      </c>
      <c r="AF2" s="41" t="s">
        <v>22</v>
      </c>
      <c r="AG2" s="188">
        <v>3.5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 t="s">
        <v>91</v>
      </c>
      <c r="BS2" s="41" t="s">
        <v>253</v>
      </c>
      <c r="BT2" s="108">
        <f t="shared" ref="BT2" si="0">K2*L2+Q2*R2+W2*X2+AC2*AD2+AI2*AJ2+AO2*AP2+AU2*AV2+BA2*BB2+BG2*BH2+BM2*BN2</f>
        <v>39500</v>
      </c>
    </row>
    <row r="3" spans="1:77" s="56" customFormat="1" ht="15.75" thickBot="1" x14ac:dyDescent="0.3">
      <c r="A3" s="80"/>
      <c r="B3" s="49"/>
      <c r="C3" s="20"/>
      <c r="D3" s="20"/>
      <c r="E3" s="20"/>
      <c r="F3" s="20"/>
      <c r="G3" s="20"/>
      <c r="H3" s="20"/>
      <c r="I3" s="20"/>
      <c r="J3" s="48"/>
      <c r="K3" s="48"/>
      <c r="L3" s="48"/>
      <c r="M3" s="20"/>
      <c r="N3" s="20"/>
      <c r="O3" s="48"/>
      <c r="P3" s="48"/>
      <c r="Q3" s="48"/>
      <c r="R3" s="48"/>
      <c r="S3" s="20"/>
      <c r="T3" s="20"/>
      <c r="U3" s="48"/>
      <c r="V3" s="48"/>
      <c r="W3" s="48"/>
      <c r="X3" s="48"/>
      <c r="Y3" s="48"/>
      <c r="Z3" s="20"/>
      <c r="AA3" s="48"/>
      <c r="AB3" s="48"/>
      <c r="AC3" s="48"/>
      <c r="AD3" s="48"/>
      <c r="AE3" s="20"/>
      <c r="AF3" s="20"/>
      <c r="AG3" s="48"/>
      <c r="AH3" s="48"/>
      <c r="AI3" s="48"/>
      <c r="AJ3" s="48"/>
      <c r="AK3" s="20"/>
      <c r="AL3" s="20"/>
      <c r="AM3" s="48"/>
      <c r="AN3" s="48"/>
      <c r="AO3" s="48"/>
      <c r="AP3" s="48"/>
      <c r="AQ3" s="20"/>
      <c r="AR3" s="20"/>
      <c r="AS3" s="48"/>
      <c r="AT3" s="48"/>
      <c r="AU3" s="48"/>
      <c r="AV3" s="48"/>
      <c r="AW3" s="20"/>
      <c r="AX3" s="20"/>
      <c r="AY3" s="48"/>
      <c r="AZ3" s="48"/>
      <c r="BA3" s="48"/>
      <c r="BB3" s="48"/>
      <c r="BC3" s="20"/>
      <c r="BD3" s="20"/>
      <c r="BE3" s="48"/>
      <c r="BF3" s="48"/>
      <c r="BG3" s="48"/>
      <c r="BH3" s="48"/>
      <c r="BI3" s="20"/>
      <c r="BJ3" s="20"/>
      <c r="BK3" s="48"/>
      <c r="BL3" s="48"/>
      <c r="BM3" s="48"/>
      <c r="BN3" s="48"/>
      <c r="BO3" s="20"/>
      <c r="BP3" s="20"/>
      <c r="BQ3" s="48"/>
      <c r="BR3" s="20"/>
      <c r="BS3" s="20"/>
      <c r="BT3" s="55"/>
      <c r="BU3" s="20"/>
      <c r="BV3" s="20"/>
      <c r="BW3" s="20"/>
      <c r="BX3" s="20"/>
      <c r="BY3" s="20"/>
    </row>
    <row r="4" spans="1:77" s="56" customFormat="1" ht="15.75" thickBot="1" x14ac:dyDescent="0.3">
      <c r="A4" s="80"/>
      <c r="B4" s="49"/>
      <c r="C4" s="20"/>
      <c r="D4" s="20"/>
      <c r="E4" s="20"/>
      <c r="F4" s="20"/>
      <c r="G4" s="20"/>
      <c r="H4" s="20"/>
      <c r="I4" s="20"/>
      <c r="J4" s="48"/>
      <c r="K4" s="48"/>
      <c r="L4" s="48"/>
      <c r="M4" s="20"/>
      <c r="N4" s="20"/>
      <c r="O4" s="48"/>
      <c r="P4" s="48"/>
      <c r="Q4" s="48"/>
      <c r="R4" s="48"/>
      <c r="S4" s="20"/>
      <c r="T4" s="20"/>
      <c r="U4" s="48"/>
      <c r="V4" s="48"/>
      <c r="W4" s="48"/>
      <c r="X4" s="48"/>
      <c r="Y4" s="48"/>
      <c r="Z4" s="20"/>
      <c r="AA4" s="48"/>
      <c r="AB4" s="48"/>
      <c r="AC4" s="48"/>
      <c r="AD4" s="48"/>
      <c r="AE4" s="20"/>
      <c r="AF4" s="20"/>
      <c r="AG4" s="48"/>
      <c r="AH4" s="48"/>
      <c r="AI4" s="48"/>
      <c r="AJ4" s="48"/>
      <c r="AK4" s="20"/>
      <c r="AL4" s="20"/>
      <c r="AM4" s="48"/>
      <c r="AN4" s="48"/>
      <c r="AO4" s="48"/>
      <c r="AP4" s="48"/>
      <c r="AQ4" s="20"/>
      <c r="AR4" s="20"/>
      <c r="AS4" s="48"/>
      <c r="AT4" s="48"/>
      <c r="AU4" s="48"/>
      <c r="AV4" s="48"/>
      <c r="AW4" s="20"/>
      <c r="AX4" s="20"/>
      <c r="AY4" s="48"/>
      <c r="AZ4" s="48"/>
      <c r="BA4" s="48"/>
      <c r="BB4" s="48"/>
      <c r="BC4" s="20"/>
      <c r="BD4" s="20"/>
      <c r="BE4" s="48"/>
      <c r="BF4" s="48"/>
      <c r="BG4" s="48"/>
      <c r="BH4" s="48"/>
      <c r="BI4" s="20"/>
      <c r="BJ4" s="20"/>
      <c r="BK4" s="48"/>
      <c r="BL4" s="48"/>
      <c r="BM4" s="48"/>
      <c r="BN4" s="48"/>
      <c r="BO4" s="20"/>
      <c r="BP4" s="20"/>
      <c r="BQ4" s="48"/>
      <c r="BR4" s="20"/>
      <c r="BS4" s="20"/>
      <c r="BT4" s="55"/>
      <c r="BU4" s="20"/>
      <c r="BV4" s="20"/>
      <c r="BW4" s="20"/>
      <c r="BX4" s="20"/>
      <c r="BY4" s="20"/>
    </row>
    <row r="5" spans="1:77" s="56" customFormat="1" ht="15.75" thickBot="1" x14ac:dyDescent="0.3">
      <c r="A5" s="80"/>
      <c r="B5" s="49"/>
      <c r="C5" s="20"/>
      <c r="D5" s="20"/>
      <c r="E5" s="20"/>
      <c r="F5" s="20"/>
      <c r="G5" s="20"/>
      <c r="H5" s="20"/>
      <c r="I5" s="20"/>
      <c r="J5" s="48"/>
      <c r="K5" s="48"/>
      <c r="L5" s="48"/>
      <c r="M5" s="20"/>
      <c r="N5" s="20"/>
      <c r="O5" s="48"/>
      <c r="P5" s="48"/>
      <c r="Q5" s="48"/>
      <c r="R5" s="48"/>
      <c r="S5" s="20"/>
      <c r="T5" s="20"/>
      <c r="U5" s="48"/>
      <c r="V5" s="48"/>
      <c r="W5" s="48"/>
      <c r="X5" s="48"/>
      <c r="Y5" s="48"/>
      <c r="Z5" s="20"/>
      <c r="AA5" s="48"/>
      <c r="AB5" s="48"/>
      <c r="AC5" s="48"/>
      <c r="AD5" s="48"/>
      <c r="AE5" s="20"/>
      <c r="AF5" s="20"/>
      <c r="AG5" s="48"/>
      <c r="AH5" s="48"/>
      <c r="AI5" s="48"/>
      <c r="AJ5" s="48"/>
      <c r="AK5" s="20"/>
      <c r="AL5" s="20"/>
      <c r="AM5" s="48"/>
      <c r="AN5" s="48"/>
      <c r="AO5" s="48"/>
      <c r="AP5" s="48"/>
      <c r="AQ5" s="20"/>
      <c r="AR5" s="20"/>
      <c r="AS5" s="48"/>
      <c r="AT5" s="48"/>
      <c r="AU5" s="48"/>
      <c r="AV5" s="48"/>
      <c r="AW5" s="20"/>
      <c r="AX5" s="20"/>
      <c r="AY5" s="48"/>
      <c r="AZ5" s="48"/>
      <c r="BA5" s="48"/>
      <c r="BB5" s="48"/>
      <c r="BC5" s="20"/>
      <c r="BD5" s="20"/>
      <c r="BE5" s="48"/>
      <c r="BF5" s="48"/>
      <c r="BG5" s="48"/>
      <c r="BH5" s="48"/>
      <c r="BI5" s="20"/>
      <c r="BJ5" s="20"/>
      <c r="BK5" s="48"/>
      <c r="BL5" s="48"/>
      <c r="BM5" s="48"/>
      <c r="BN5" s="48"/>
      <c r="BO5" s="20"/>
      <c r="BP5" s="20"/>
      <c r="BQ5" s="48"/>
      <c r="BR5" s="20"/>
      <c r="BS5" s="20"/>
      <c r="BT5" s="55"/>
      <c r="BU5" s="20"/>
      <c r="BV5" s="20"/>
      <c r="BW5" s="20"/>
      <c r="BX5" s="20"/>
      <c r="BY5" s="20"/>
    </row>
    <row r="6" spans="1:77" s="56" customFormat="1" ht="15.75" thickBot="1" x14ac:dyDescent="0.3">
      <c r="A6" s="80"/>
      <c r="B6" s="49"/>
      <c r="C6" s="20"/>
      <c r="D6" s="20"/>
      <c r="E6" s="20"/>
      <c r="F6" s="20"/>
      <c r="G6" s="20"/>
      <c r="H6" s="20"/>
      <c r="I6" s="20"/>
      <c r="J6" s="48"/>
      <c r="K6" s="48"/>
      <c r="L6" s="48"/>
      <c r="M6" s="20"/>
      <c r="N6" s="20"/>
      <c r="O6" s="48"/>
      <c r="P6" s="48"/>
      <c r="Q6" s="48"/>
      <c r="R6" s="48"/>
      <c r="S6" s="20"/>
      <c r="T6" s="20"/>
      <c r="U6" s="48"/>
      <c r="V6" s="48"/>
      <c r="W6" s="48"/>
      <c r="X6" s="48"/>
      <c r="Y6" s="48"/>
      <c r="Z6" s="20"/>
      <c r="AA6" s="48"/>
      <c r="AB6" s="48"/>
      <c r="AC6" s="48"/>
      <c r="AD6" s="48"/>
      <c r="AE6" s="20"/>
      <c r="AF6" s="20"/>
      <c r="AG6" s="48"/>
      <c r="AH6" s="48"/>
      <c r="AI6" s="48"/>
      <c r="AJ6" s="48"/>
      <c r="AK6" s="20"/>
      <c r="AL6" s="20"/>
      <c r="AM6" s="48"/>
      <c r="AN6" s="48"/>
      <c r="AO6" s="48"/>
      <c r="AP6" s="48"/>
      <c r="AQ6" s="20"/>
      <c r="AR6" s="20"/>
      <c r="AS6" s="48"/>
      <c r="AT6" s="48"/>
      <c r="AU6" s="48"/>
      <c r="AV6" s="48"/>
      <c r="AW6" s="20"/>
      <c r="AX6" s="20"/>
      <c r="AY6" s="48"/>
      <c r="AZ6" s="48"/>
      <c r="BA6" s="48"/>
      <c r="BB6" s="48"/>
      <c r="BC6" s="20"/>
      <c r="BD6" s="20"/>
      <c r="BE6" s="48"/>
      <c r="BF6" s="48"/>
      <c r="BG6" s="48"/>
      <c r="BH6" s="48"/>
      <c r="BI6" s="20"/>
      <c r="BJ6" s="20"/>
      <c r="BK6" s="48"/>
      <c r="BL6" s="48"/>
      <c r="BM6" s="48"/>
      <c r="BN6" s="48"/>
      <c r="BO6" s="20"/>
      <c r="BP6" s="20"/>
      <c r="BQ6" s="48"/>
      <c r="BR6" s="20"/>
      <c r="BS6" s="20"/>
      <c r="BT6" s="55"/>
      <c r="BU6" s="20"/>
      <c r="BV6" s="20"/>
      <c r="BW6" s="20"/>
      <c r="BX6" s="20"/>
      <c r="BY6" s="20"/>
    </row>
    <row r="7" spans="1:77" s="56" customFormat="1" ht="15.75" thickBot="1" x14ac:dyDescent="0.3">
      <c r="A7" s="80"/>
      <c r="B7" s="49"/>
      <c r="C7" s="20"/>
      <c r="D7" s="20"/>
      <c r="E7" s="20"/>
      <c r="F7" s="20"/>
      <c r="G7" s="20"/>
      <c r="H7" s="20"/>
      <c r="I7" s="20"/>
      <c r="J7" s="48"/>
      <c r="K7" s="48"/>
      <c r="L7" s="48"/>
      <c r="M7" s="20"/>
      <c r="N7" s="20"/>
      <c r="O7" s="48"/>
      <c r="P7" s="48"/>
      <c r="Q7" s="48"/>
      <c r="R7" s="48"/>
      <c r="S7" s="20"/>
      <c r="T7" s="20"/>
      <c r="U7" s="48"/>
      <c r="V7" s="48"/>
      <c r="W7" s="48"/>
      <c r="X7" s="48"/>
      <c r="Y7" s="48"/>
      <c r="Z7" s="20"/>
      <c r="AA7" s="48"/>
      <c r="AB7" s="48"/>
      <c r="AC7" s="48"/>
      <c r="AD7" s="48"/>
      <c r="AE7" s="20"/>
      <c r="AF7" s="20"/>
      <c r="AG7" s="48"/>
      <c r="AH7" s="48"/>
      <c r="AI7" s="48"/>
      <c r="AJ7" s="48"/>
      <c r="AK7" s="20"/>
      <c r="AL7" s="20"/>
      <c r="AM7" s="48"/>
      <c r="AN7" s="48"/>
      <c r="AO7" s="48"/>
      <c r="AP7" s="48"/>
      <c r="AQ7" s="20"/>
      <c r="AR7" s="20"/>
      <c r="AS7" s="48"/>
      <c r="AT7" s="48"/>
      <c r="AU7" s="48"/>
      <c r="AV7" s="48"/>
      <c r="AW7" s="20"/>
      <c r="AX7" s="20"/>
      <c r="AY7" s="48"/>
      <c r="AZ7" s="48"/>
      <c r="BA7" s="48"/>
      <c r="BB7" s="48"/>
      <c r="BC7" s="20"/>
      <c r="BD7" s="20"/>
      <c r="BE7" s="48"/>
      <c r="BF7" s="48"/>
      <c r="BG7" s="48"/>
      <c r="BH7" s="48"/>
      <c r="BI7" s="20"/>
      <c r="BJ7" s="20"/>
      <c r="BK7" s="48"/>
      <c r="BL7" s="48"/>
      <c r="BM7" s="48"/>
      <c r="BN7" s="48"/>
      <c r="BO7" s="20"/>
      <c r="BP7" s="20"/>
      <c r="BQ7" s="48"/>
      <c r="BR7" s="20"/>
      <c r="BS7" s="20"/>
      <c r="BT7" s="55"/>
      <c r="BU7" s="20"/>
      <c r="BV7" s="20"/>
      <c r="BW7" s="20"/>
      <c r="BX7" s="20"/>
      <c r="BY7" s="20"/>
    </row>
    <row r="8" spans="1:77" s="56" customFormat="1" ht="15.75" thickBot="1" x14ac:dyDescent="0.3">
      <c r="A8" s="80"/>
      <c r="B8" s="49"/>
      <c r="C8" s="20"/>
      <c r="D8" s="20"/>
      <c r="E8" s="20"/>
      <c r="F8" s="20"/>
      <c r="G8" s="20"/>
      <c r="H8" s="20"/>
      <c r="I8" s="20"/>
      <c r="J8" s="48"/>
      <c r="K8" s="48"/>
      <c r="L8" s="48"/>
      <c r="M8" s="20"/>
      <c r="N8" s="20"/>
      <c r="O8" s="48"/>
      <c r="P8" s="48"/>
      <c r="Q8" s="48"/>
      <c r="R8" s="48"/>
      <c r="S8" s="20"/>
      <c r="T8" s="20"/>
      <c r="U8" s="48"/>
      <c r="V8" s="48"/>
      <c r="W8" s="48"/>
      <c r="X8" s="48"/>
      <c r="Y8" s="48"/>
      <c r="Z8" s="20"/>
      <c r="AA8" s="48"/>
      <c r="AB8" s="48"/>
      <c r="AC8" s="48"/>
      <c r="AD8" s="48"/>
      <c r="AE8" s="20"/>
      <c r="AF8" s="20"/>
      <c r="AG8" s="48"/>
      <c r="AH8" s="48"/>
      <c r="AI8" s="48"/>
      <c r="AJ8" s="48"/>
      <c r="AK8" s="20"/>
      <c r="AL8" s="20"/>
      <c r="AM8" s="48"/>
      <c r="AN8" s="48"/>
      <c r="AO8" s="48"/>
      <c r="AP8" s="48"/>
      <c r="AQ8" s="20"/>
      <c r="AR8" s="20"/>
      <c r="AS8" s="48"/>
      <c r="AT8" s="48"/>
      <c r="AU8" s="48"/>
      <c r="AV8" s="48"/>
      <c r="AW8" s="20"/>
      <c r="AX8" s="20"/>
      <c r="AY8" s="48"/>
      <c r="AZ8" s="48"/>
      <c r="BA8" s="48"/>
      <c r="BB8" s="48"/>
      <c r="BC8" s="20"/>
      <c r="BD8" s="20"/>
      <c r="BE8" s="48"/>
      <c r="BF8" s="48"/>
      <c r="BG8" s="48"/>
      <c r="BH8" s="48"/>
      <c r="BI8" s="20"/>
      <c r="BJ8" s="20"/>
      <c r="BK8" s="48"/>
      <c r="BL8" s="48"/>
      <c r="BM8" s="48"/>
      <c r="BN8" s="48"/>
      <c r="BO8" s="20"/>
      <c r="BP8" s="20"/>
      <c r="BQ8" s="48"/>
      <c r="BR8" s="20"/>
      <c r="BS8" s="20"/>
      <c r="BT8" s="55"/>
      <c r="BU8" s="20"/>
      <c r="BV8" s="20"/>
      <c r="BW8" s="20"/>
      <c r="BX8" s="20"/>
      <c r="BY8" s="20"/>
    </row>
    <row r="9" spans="1:77" s="56" customFormat="1" ht="15.75" thickBot="1" x14ac:dyDescent="0.3">
      <c r="A9" s="80"/>
      <c r="B9" s="49"/>
      <c r="C9" s="20"/>
      <c r="D9" s="20"/>
      <c r="E9" s="20"/>
      <c r="F9" s="20"/>
      <c r="G9" s="20"/>
      <c r="H9" s="20"/>
      <c r="I9" s="20"/>
      <c r="J9" s="48"/>
      <c r="K9" s="48"/>
      <c r="L9" s="48"/>
      <c r="M9" s="20"/>
      <c r="N9" s="20"/>
      <c r="O9" s="48"/>
      <c r="P9" s="48"/>
      <c r="Q9" s="48"/>
      <c r="R9" s="48"/>
      <c r="S9" s="20"/>
      <c r="T9" s="20"/>
      <c r="U9" s="48"/>
      <c r="V9" s="48"/>
      <c r="W9" s="48"/>
      <c r="X9" s="48"/>
      <c r="Y9" s="48"/>
      <c r="Z9" s="20"/>
      <c r="AA9" s="48"/>
      <c r="AB9" s="48"/>
      <c r="AC9" s="48"/>
      <c r="AD9" s="48"/>
      <c r="AE9" s="20"/>
      <c r="AF9" s="20"/>
      <c r="AG9" s="48"/>
      <c r="AH9" s="48"/>
      <c r="AI9" s="48"/>
      <c r="AJ9" s="48"/>
      <c r="AK9" s="20"/>
      <c r="AL9" s="20"/>
      <c r="AM9" s="48"/>
      <c r="AN9" s="48"/>
      <c r="AO9" s="48"/>
      <c r="AP9" s="48"/>
      <c r="AQ9" s="20"/>
      <c r="AR9" s="20"/>
      <c r="AS9" s="48"/>
      <c r="AT9" s="48"/>
      <c r="AU9" s="48"/>
      <c r="AV9" s="48"/>
      <c r="AW9" s="20"/>
      <c r="AX9" s="20"/>
      <c r="AY9" s="48"/>
      <c r="AZ9" s="48"/>
      <c r="BA9" s="48"/>
      <c r="BB9" s="48"/>
      <c r="BC9" s="20"/>
      <c r="BD9" s="20"/>
      <c r="BE9" s="48"/>
      <c r="BF9" s="48"/>
      <c r="BG9" s="48"/>
      <c r="BH9" s="48"/>
      <c r="BI9" s="20"/>
      <c r="BJ9" s="20"/>
      <c r="BK9" s="48"/>
      <c r="BL9" s="48"/>
      <c r="BM9" s="48"/>
      <c r="BN9" s="48"/>
      <c r="BO9" s="20"/>
      <c r="BP9" s="20"/>
      <c r="BQ9" s="48"/>
      <c r="BR9" s="20"/>
      <c r="BS9" s="20"/>
      <c r="BT9" s="55"/>
      <c r="BU9" s="20"/>
      <c r="BV9" s="20"/>
      <c r="BW9" s="20"/>
      <c r="BX9" s="20"/>
      <c r="BY9" s="20"/>
    </row>
    <row r="10" spans="1:77" s="56" customFormat="1" ht="15.75" thickBot="1" x14ac:dyDescent="0.3">
      <c r="A10" s="80"/>
      <c r="B10" s="49"/>
      <c r="C10" s="20"/>
      <c r="D10" s="20"/>
      <c r="E10" s="20"/>
      <c r="F10" s="20"/>
      <c r="G10" s="20"/>
      <c r="H10" s="20"/>
      <c r="I10" s="20"/>
      <c r="J10" s="48"/>
      <c r="K10" s="48"/>
      <c r="L10" s="48"/>
      <c r="M10" s="20"/>
      <c r="N10" s="20"/>
      <c r="O10" s="48"/>
      <c r="P10" s="48"/>
      <c r="Q10" s="48"/>
      <c r="R10" s="48"/>
      <c r="S10" s="20"/>
      <c r="T10" s="20"/>
      <c r="U10" s="48"/>
      <c r="V10" s="48"/>
      <c r="W10" s="48"/>
      <c r="X10" s="48"/>
      <c r="Y10" s="48"/>
      <c r="Z10" s="20"/>
      <c r="AA10" s="48"/>
      <c r="AB10" s="48"/>
      <c r="AC10" s="48"/>
      <c r="AD10" s="48"/>
      <c r="AE10" s="20"/>
      <c r="AF10" s="20"/>
      <c r="AG10" s="48"/>
      <c r="AH10" s="48"/>
      <c r="AI10" s="48"/>
      <c r="AJ10" s="48"/>
      <c r="AK10" s="20"/>
      <c r="AL10" s="20"/>
      <c r="AM10" s="48"/>
      <c r="AN10" s="48"/>
      <c r="AO10" s="48"/>
      <c r="AP10" s="48"/>
      <c r="AQ10" s="20"/>
      <c r="AR10" s="20"/>
      <c r="AS10" s="48"/>
      <c r="AT10" s="48"/>
      <c r="AU10" s="48"/>
      <c r="AV10" s="48"/>
      <c r="AW10" s="20"/>
      <c r="AX10" s="20"/>
      <c r="AY10" s="48"/>
      <c r="AZ10" s="48"/>
      <c r="BA10" s="48"/>
      <c r="BB10" s="48"/>
      <c r="BC10" s="20"/>
      <c r="BD10" s="20"/>
      <c r="BE10" s="48"/>
      <c r="BF10" s="48"/>
      <c r="BG10" s="48"/>
      <c r="BH10" s="48"/>
      <c r="BI10" s="20"/>
      <c r="BJ10" s="20"/>
      <c r="BK10" s="48"/>
      <c r="BL10" s="48"/>
      <c r="BM10" s="48"/>
      <c r="BN10" s="48"/>
      <c r="BO10" s="20"/>
      <c r="BP10" s="20"/>
      <c r="BQ10" s="48"/>
      <c r="BR10" s="20"/>
      <c r="BS10" s="20"/>
      <c r="BT10" s="55"/>
      <c r="BU10" s="20"/>
      <c r="BV10" s="20"/>
      <c r="BW10" s="20"/>
      <c r="BX10" s="20"/>
      <c r="BY10" s="20"/>
    </row>
    <row r="11" spans="1:77" s="56" customFormat="1" ht="15.75" thickBot="1" x14ac:dyDescent="0.3">
      <c r="A11" s="80"/>
      <c r="B11" s="49"/>
      <c r="C11" s="20"/>
      <c r="D11" s="20"/>
      <c r="E11" s="20"/>
      <c r="F11" s="20"/>
      <c r="G11" s="20"/>
      <c r="H11" s="20"/>
      <c r="I11" s="20"/>
      <c r="J11" s="48"/>
      <c r="K11" s="48"/>
      <c r="L11" s="48"/>
      <c r="M11" s="20"/>
      <c r="N11" s="20"/>
      <c r="O11" s="48"/>
      <c r="P11" s="48"/>
      <c r="Q11" s="48"/>
      <c r="R11" s="48"/>
      <c r="S11" s="20"/>
      <c r="T11" s="20"/>
      <c r="U11" s="48"/>
      <c r="V11" s="48"/>
      <c r="W11" s="48"/>
      <c r="X11" s="48"/>
      <c r="Y11" s="48"/>
      <c r="Z11" s="20"/>
      <c r="AA11" s="48"/>
      <c r="AB11" s="48"/>
      <c r="AC11" s="48"/>
      <c r="AD11" s="48"/>
      <c r="AE11" s="20"/>
      <c r="AF11" s="20"/>
      <c r="AG11" s="48"/>
      <c r="AH11" s="48"/>
      <c r="AI11" s="48"/>
      <c r="AJ11" s="48"/>
      <c r="AK11" s="20"/>
      <c r="AL11" s="20"/>
      <c r="AM11" s="48"/>
      <c r="AN11" s="48"/>
      <c r="AO11" s="48"/>
      <c r="AP11" s="48"/>
      <c r="AQ11" s="20"/>
      <c r="AR11" s="20"/>
      <c r="AS11" s="48"/>
      <c r="AT11" s="48"/>
      <c r="AU11" s="48"/>
      <c r="AV11" s="48"/>
      <c r="AW11" s="20"/>
      <c r="AX11" s="20"/>
      <c r="AY11" s="48"/>
      <c r="AZ11" s="48"/>
      <c r="BA11" s="48"/>
      <c r="BB11" s="48"/>
      <c r="BC11" s="20"/>
      <c r="BD11" s="20"/>
      <c r="BE11" s="48"/>
      <c r="BF11" s="48"/>
      <c r="BG11" s="48"/>
      <c r="BH11" s="48"/>
      <c r="BI11" s="20"/>
      <c r="BJ11" s="20"/>
      <c r="BK11" s="48"/>
      <c r="BL11" s="48"/>
      <c r="BM11" s="48"/>
      <c r="BN11" s="48"/>
      <c r="BO11" s="20"/>
      <c r="BP11" s="20"/>
      <c r="BQ11" s="48"/>
      <c r="BR11" s="20"/>
      <c r="BS11" s="20"/>
      <c r="BT11" s="55"/>
      <c r="BU11" s="20"/>
      <c r="BV11" s="20"/>
      <c r="BW11" s="20"/>
      <c r="BX11" s="20"/>
      <c r="BY11" s="20"/>
    </row>
    <row r="12" spans="1:77" s="40" customFormat="1" ht="15.75" thickBot="1" x14ac:dyDescent="0.3">
      <c r="A12" s="75"/>
      <c r="B12" s="2"/>
      <c r="C12" s="1"/>
      <c r="D12" s="1"/>
      <c r="E12" s="1"/>
      <c r="F12" s="25"/>
      <c r="G12" s="1"/>
      <c r="H12" s="1"/>
      <c r="I12" s="1"/>
      <c r="J12" s="3"/>
      <c r="K12" s="3"/>
      <c r="L12" s="3"/>
      <c r="M12" s="1"/>
      <c r="N12" s="1"/>
      <c r="O12" s="3"/>
      <c r="P12" s="3"/>
      <c r="Q12" s="3"/>
      <c r="R12" s="3"/>
      <c r="S12" s="1"/>
      <c r="T12" s="1"/>
      <c r="U12" s="3"/>
      <c r="V12" s="3"/>
      <c r="W12" s="1"/>
      <c r="X12" s="1"/>
      <c r="Y12" s="1"/>
      <c r="Z12" s="1"/>
      <c r="AA12" s="1"/>
      <c r="AB12" s="3"/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3"/>
      <c r="AO12" s="1"/>
      <c r="AP12" s="1"/>
      <c r="AQ12" s="1"/>
      <c r="AR12" s="1"/>
      <c r="AS12" s="1"/>
      <c r="AT12" s="3"/>
      <c r="AU12" s="1"/>
      <c r="AV12" s="1"/>
      <c r="AW12" s="1"/>
      <c r="AX12" s="1"/>
      <c r="AY12" s="1"/>
      <c r="AZ12" s="3"/>
      <c r="BA12" s="1"/>
      <c r="BB12" s="1"/>
      <c r="BC12" s="1"/>
      <c r="BD12" s="1"/>
      <c r="BE12" s="1"/>
      <c r="BF12" s="3"/>
      <c r="BG12" s="1"/>
      <c r="BH12" s="1"/>
      <c r="BI12" s="1"/>
      <c r="BJ12" s="1"/>
      <c r="BK12" s="1"/>
      <c r="BL12" s="3"/>
      <c r="BM12" s="1"/>
      <c r="BN12" s="1"/>
      <c r="BO12" s="1"/>
      <c r="BP12" s="1"/>
      <c r="BQ12" s="1"/>
      <c r="BR12" s="19"/>
      <c r="BS12" s="1"/>
      <c r="BT12" s="37"/>
      <c r="BU12" s="1"/>
      <c r="BV12" s="1"/>
      <c r="BW12" s="1"/>
      <c r="BX12" s="1"/>
      <c r="BY12" s="39"/>
    </row>
    <row r="13" spans="1:77" s="40" customFormat="1" ht="15.75" thickBot="1" x14ac:dyDescent="0.3">
      <c r="A13" s="48"/>
      <c r="B13" s="49"/>
      <c r="C13" s="20"/>
      <c r="D13" s="20"/>
      <c r="E13" s="20"/>
      <c r="F13" s="20"/>
      <c r="G13" s="20"/>
      <c r="H13" s="20"/>
      <c r="I13" s="20"/>
      <c r="J13" s="48"/>
      <c r="K13" s="48"/>
      <c r="L13" s="48"/>
      <c r="M13" s="20"/>
      <c r="N13" s="20"/>
      <c r="O13" s="48"/>
      <c r="P13" s="48"/>
      <c r="Q13" s="20"/>
      <c r="R13" s="20"/>
      <c r="S13" s="20"/>
      <c r="T13" s="20"/>
      <c r="U13" s="20"/>
      <c r="V13" s="48"/>
      <c r="W13" s="20"/>
      <c r="X13" s="20"/>
      <c r="Y13" s="20"/>
      <c r="Z13" s="20"/>
      <c r="AA13" s="20"/>
      <c r="AB13" s="48"/>
      <c r="AC13" s="20"/>
      <c r="AD13" s="20"/>
      <c r="AE13" s="20"/>
      <c r="AF13" s="20"/>
      <c r="AG13" s="20"/>
      <c r="AH13" s="48"/>
      <c r="AI13" s="20"/>
      <c r="AJ13" s="20"/>
      <c r="AK13" s="20"/>
      <c r="AL13" s="20"/>
      <c r="AM13" s="20"/>
      <c r="AN13" s="48"/>
      <c r="AO13" s="20"/>
      <c r="AP13" s="20"/>
      <c r="AQ13" s="20"/>
      <c r="AR13" s="20"/>
      <c r="AS13" s="20"/>
      <c r="AT13" s="48"/>
      <c r="AU13" s="20"/>
      <c r="AV13" s="20"/>
      <c r="AW13" s="20"/>
      <c r="AX13" s="20"/>
      <c r="AY13" s="20"/>
      <c r="AZ13" s="48"/>
      <c r="BA13" s="20"/>
      <c r="BB13" s="20"/>
      <c r="BC13" s="20"/>
      <c r="BD13" s="20"/>
      <c r="BE13" s="20"/>
      <c r="BF13" s="48"/>
      <c r="BG13" s="20"/>
      <c r="BH13" s="20"/>
      <c r="BI13" s="20"/>
      <c r="BJ13" s="20"/>
      <c r="BK13" s="20"/>
      <c r="BL13" s="48"/>
      <c r="BM13" s="20"/>
      <c r="BN13" s="20"/>
      <c r="BO13" s="20"/>
      <c r="BP13" s="20"/>
      <c r="BQ13" s="20"/>
      <c r="BR13" s="20"/>
      <c r="BS13" s="20"/>
      <c r="BT13" s="50"/>
      <c r="BU13" s="20"/>
      <c r="BV13" s="20"/>
      <c r="BW13" s="20"/>
      <c r="BX13" s="20"/>
      <c r="BY13" s="39"/>
    </row>
    <row r="14" spans="1:77" hidden="1" x14ac:dyDescent="0.25">
      <c r="H14" s="4" t="str">
        <f t="shared" ref="H14:L23" si="1">J2</f>
        <v>AG</v>
      </c>
      <c r="I14" s="4">
        <f t="shared" si="1"/>
        <v>1500</v>
      </c>
      <c r="J14" s="4">
        <f t="shared" si="1"/>
        <v>8</v>
      </c>
      <c r="K14" s="4" t="str">
        <f t="shared" si="1"/>
        <v>Y</v>
      </c>
      <c r="L14" s="4" t="str">
        <f t="shared" si="1"/>
        <v>3L</v>
      </c>
      <c r="O14" s="28" t="str">
        <f>J2</f>
        <v>AG</v>
      </c>
      <c r="P14" s="4" t="str">
        <f t="shared" ref="P14:R23" si="2">N2</f>
        <v>3L</v>
      </c>
      <c r="Q14" s="4">
        <f t="shared" si="2"/>
        <v>3.5</v>
      </c>
      <c r="R14" s="4" t="str">
        <f t="shared" si="2"/>
        <v>AG</v>
      </c>
      <c r="S14" s="4" t="str">
        <f t="shared" ref="S14:U23" si="3">T2</f>
        <v>3L</v>
      </c>
      <c r="T14" s="4">
        <f t="shared" si="3"/>
        <v>3.5</v>
      </c>
      <c r="U14" s="4" t="str">
        <f t="shared" si="3"/>
        <v>AG</v>
      </c>
      <c r="V14" s="4" t="str">
        <f t="shared" ref="V14:X23" si="4">Z2</f>
        <v>3L</v>
      </c>
      <c r="W14" s="4">
        <f t="shared" si="4"/>
        <v>3.5</v>
      </c>
      <c r="X14" s="4" t="str">
        <f t="shared" si="4"/>
        <v>AG</v>
      </c>
      <c r="Y14" s="4" t="str">
        <f t="shared" ref="Y14:AA23" si="5">AF2</f>
        <v>3L</v>
      </c>
      <c r="Z14" s="4">
        <f t="shared" si="5"/>
        <v>3.5</v>
      </c>
      <c r="AA14" s="4">
        <f t="shared" si="5"/>
        <v>0</v>
      </c>
      <c r="AB14" s="4">
        <f t="shared" ref="AB14:AD23" si="6">AL2</f>
        <v>0</v>
      </c>
      <c r="AC14" s="4">
        <f t="shared" si="6"/>
        <v>0</v>
      </c>
      <c r="AD14" s="4">
        <f t="shared" si="6"/>
        <v>0</v>
      </c>
      <c r="AE14" s="4">
        <f t="shared" ref="AE14:AG23" si="7">AR2</f>
        <v>0</v>
      </c>
      <c r="AF14" s="4">
        <f t="shared" si="7"/>
        <v>0</v>
      </c>
      <c r="AG14" s="4">
        <f t="shared" si="7"/>
        <v>0</v>
      </c>
      <c r="AH14" s="4">
        <f t="shared" ref="AH14:AJ23" si="8">AX2</f>
        <v>0</v>
      </c>
      <c r="AI14" s="4">
        <f t="shared" si="8"/>
        <v>0</v>
      </c>
      <c r="AJ14" s="4">
        <f t="shared" si="8"/>
        <v>0</v>
      </c>
      <c r="AK14" s="4">
        <f t="shared" ref="AK14:AM23" si="9">BD2</f>
        <v>0</v>
      </c>
      <c r="AL14" s="4">
        <f t="shared" si="9"/>
        <v>0</v>
      </c>
      <c r="AM14" s="4">
        <f t="shared" si="9"/>
        <v>0</v>
      </c>
      <c r="AN14" s="4">
        <f t="shared" ref="AN14:AP23" si="10">BJ2</f>
        <v>0</v>
      </c>
      <c r="AO14" s="4">
        <f t="shared" si="10"/>
        <v>0</v>
      </c>
      <c r="AP14" s="4">
        <f t="shared" si="10"/>
        <v>0</v>
      </c>
      <c r="AQ14" s="4">
        <f t="shared" ref="AQ14:AR23" si="11">BP2</f>
        <v>0</v>
      </c>
      <c r="AR14" s="4">
        <f t="shared" si="11"/>
        <v>0</v>
      </c>
      <c r="AT14" s="28">
        <v>1</v>
      </c>
      <c r="AU14" s="29">
        <f>IF($P$14="3L",$Q$14,IF($S$14="3L",$T$14,IF($V$14="3L",$W$14,IF($Y$14="3L",$Z$14,IF($AB$14="3L",$AC$14,IF($AE$14="3L",$AF$14,IF($AH$14="3L",$AI$14,IF($AK$14="3L",$AL$14,IF($AN$14="3L",$AO$14,IF($AQ$14="3L",$AR$14,""))))))))))</f>
        <v>3.5</v>
      </c>
      <c r="AV14" s="29" t="str">
        <f>IF($P$14="4L",$Q$14,IF($S$14="4L",$T$14,IF($V$14="4L",$W$14,IF($Y$14="4L",$Z$14,IF($AB$14="4L",$AC$14,IF($AE$14="4L",$AF$14,IF($AH$14="4L",$AI$14,IF($AK$14="4L",$AL$14,IF($AN$14="4L",$AO$14,IF($AQ$14="4L",$AR$14,""))))))))))</f>
        <v/>
      </c>
      <c r="AW14" s="29" t="str">
        <f>IF($P$14="5L",$Q$14,IF($S$14="5L",$T$14,IF($V$14="5L",$W$14,IF($Y$14="5L",$Z$14,IF($AB$14="5L",$AC$14,IF($AE$14="5L",$AF$14,IF($AH$14="5L",$AI$14,IF($AK$14="5L",$AL$14,IF($AN$14="5L",$AO$14,IF($AQ$14="5L",$AR$14,""))))))))))</f>
        <v/>
      </c>
      <c r="AX14" s="29" t="str">
        <f>IF($P$14="6L",$Q$14,IF($S$14="6L",$T$14,IF($V$14="6L",$W$14,IF($Y$14="6L",$Z$14,IF($AB$14="6L",$AC$14,IF($AE$14="6L",$AF$14,IF($AH$14="6L",$AI$14,IF($AK$14="6L",$AL$14,IF($AN$14="6L",$AO$14,IF($AQ$14="6L",$AR$14,""))))))))))</f>
        <v/>
      </c>
      <c r="AY14" s="29" t="str">
        <f>IF($P$14="7L",$Q$14,IF($S$14="7L",$T$14,IF($V$14="7L",$W$14,IF($Y$14="7L",$Z$14,IF($AB$14="7L",$AC$14,IF($AE$14="7L",$AF$14,IF($AH$14="7L",$AI$14,IF($AK$14="7L",$AL$14,IF($AN$14="7L",$AO$14,IF($AQ$14="7L",$AR$14,""))))))))))</f>
        <v/>
      </c>
      <c r="AZ14" s="29" t="str">
        <f t="shared" ref="AZ14:AZ23" si="12">IF($O$14="LOFT",$Q$14,IF($R$14="LOFT",$T$14,IF($U$14="LOFT",$W$14,IF($X$14="LOFT",$Z$14,IF($AA$14="LOFT",$AC$14,IF($AD$14="LOFT",$AF$14,IF($AG$14="LOFT",$AI$14,IF($AJ$14="LOFT",$AL$14,IF($AM$14="LOFT",$AO$14,IF($AP$14="LOFT",$AR$14,""))))))))))</f>
        <v/>
      </c>
      <c r="BA14" s="29" t="str">
        <f t="shared" ref="BA14:BA23" si="13">IF($O$14="UT",$Q$14,IF($R$14="UT",$T$14,IF($U$14="UT",$W$14,IF($X$14="UT",$Z$14,IF($AA$14="UT",$AC$14,IF($AD$14="UT",$AF$14,IF($AG$14="UT",$AI$14,IF($AJ$14="UT",$AL$14,IF($AM$14="UT",$AO$14,IF($AP$14="UT",$AR$14,""))))))))))</f>
        <v/>
      </c>
      <c r="BB14" s="29" t="str">
        <f t="shared" ref="BB14:BB23" si="14">IF($O$14="HT",$Q$14,IF($R$14="HT",$T$14,IF($U$14="HT",$W$14,IF($X$14="HT",$Z$14,IF($AA$14="HT",$AC$14,IF($AD$14="HT",$AF$14,IF($AG$14="HT",$AI$14,IF($AJ$14="HT",$AL$14,IF($AM$14="HT",$AO$14,IF($AP$14="HT",$AR$14,""))))))))))</f>
        <v/>
      </c>
      <c r="BC14" s="29" t="str">
        <f t="shared" ref="BC14:BC23" si="15">IF($O$14="PURE",$Q$14,IF($R$14="PURE",$T$14,IF($U$14="PURE",$W$14,IF($X$14="PURE",$Z$14,IF($AA$14="PURE",$AC$14,IF($AD$14="PURE",$AF$14,IF($AG$14="PURE",$AI$14,IF($AJ$14="PURE",$AL$14,IF($AM$14="PURE",$AO$14,IF($AP$14="PURE",$AR$14,""))))))))))</f>
        <v/>
      </c>
      <c r="BD14" s="29" t="str">
        <f>IF($P$14="FUM",$Q$14,IF($S$14="FUM",$T$14,IF($V$14="FUM",$W$14,IF($Y$14="FUM",$Z$14,IF($AB$14="FUM",$AC$14,IF($AE$14="FUM",$AF$14,IF($AH$14="FUM",$AI$14,IF($AK$14="FUM",$AL$14,IF($AN$14="FUM",$AO$14,IF($AQ$14="FUM",$AR$14,""))))))))))</f>
        <v/>
      </c>
    </row>
    <row r="15" spans="1:77" hidden="1" x14ac:dyDescent="0.25">
      <c r="H15" s="4">
        <f t="shared" si="1"/>
        <v>0</v>
      </c>
      <c r="I15" s="4">
        <f t="shared" si="1"/>
        <v>0</v>
      </c>
      <c r="J15" s="4">
        <f t="shared" si="1"/>
        <v>0</v>
      </c>
      <c r="K15" s="4">
        <f t="shared" si="1"/>
        <v>0</v>
      </c>
      <c r="L15" s="4">
        <f t="shared" si="1"/>
        <v>0</v>
      </c>
      <c r="O15" s="28">
        <f t="shared" ref="O15:O23" si="16">J3</f>
        <v>0</v>
      </c>
      <c r="P15" s="4">
        <f t="shared" si="2"/>
        <v>0</v>
      </c>
      <c r="Q15" s="4">
        <f t="shared" si="2"/>
        <v>0</v>
      </c>
      <c r="R15" s="4">
        <f t="shared" si="2"/>
        <v>0</v>
      </c>
      <c r="S15" s="4">
        <f t="shared" si="3"/>
        <v>0</v>
      </c>
      <c r="T15" s="4">
        <f t="shared" si="3"/>
        <v>0</v>
      </c>
      <c r="U15" s="4">
        <f t="shared" si="3"/>
        <v>0</v>
      </c>
      <c r="V15" s="4">
        <f t="shared" si="4"/>
        <v>0</v>
      </c>
      <c r="W15" s="4">
        <f t="shared" si="4"/>
        <v>0</v>
      </c>
      <c r="X15" s="4">
        <f t="shared" si="4"/>
        <v>0</v>
      </c>
      <c r="Y15" s="4">
        <f t="shared" si="5"/>
        <v>0</v>
      </c>
      <c r="Z15" s="4">
        <f t="shared" si="5"/>
        <v>0</v>
      </c>
      <c r="AA15" s="4">
        <f t="shared" si="5"/>
        <v>0</v>
      </c>
      <c r="AB15" s="4">
        <f t="shared" si="6"/>
        <v>0</v>
      </c>
      <c r="AC15" s="4">
        <f t="shared" si="6"/>
        <v>0</v>
      </c>
      <c r="AD15" s="4">
        <f t="shared" si="6"/>
        <v>0</v>
      </c>
      <c r="AE15" s="4">
        <f t="shared" si="7"/>
        <v>0</v>
      </c>
      <c r="AF15" s="4">
        <f t="shared" si="7"/>
        <v>0</v>
      </c>
      <c r="AG15" s="4">
        <f t="shared" si="7"/>
        <v>0</v>
      </c>
      <c r="AH15" s="4">
        <f t="shared" si="8"/>
        <v>0</v>
      </c>
      <c r="AI15" s="4">
        <f t="shared" si="8"/>
        <v>0</v>
      </c>
      <c r="AJ15" s="4">
        <f t="shared" si="8"/>
        <v>0</v>
      </c>
      <c r="AK15" s="4">
        <f t="shared" si="9"/>
        <v>0</v>
      </c>
      <c r="AL15" s="4">
        <f t="shared" si="9"/>
        <v>0</v>
      </c>
      <c r="AM15" s="4">
        <f t="shared" si="9"/>
        <v>0</v>
      </c>
      <c r="AN15" s="4">
        <f t="shared" si="10"/>
        <v>0</v>
      </c>
      <c r="AO15" s="4">
        <f t="shared" si="10"/>
        <v>0</v>
      </c>
      <c r="AP15" s="4">
        <f t="shared" si="10"/>
        <v>0</v>
      </c>
      <c r="AQ15" s="4">
        <f t="shared" si="11"/>
        <v>0</v>
      </c>
      <c r="AR15" s="4">
        <f t="shared" si="11"/>
        <v>0</v>
      </c>
      <c r="AT15" s="28">
        <v>2</v>
      </c>
      <c r="AU15" s="29" t="str">
        <f>IF($P$15="3L",$Q$15,IF($S$15="3L",$T$15,IF($V$15="3L",$W$15,IF($Y$15="3L",$Z$15,IF($AB$15="3L",$AC$15,IF($AE$15="3L",$AF$15,IF($AH$15="3L",$AI$15,IF($AK$15="3L",$AL$15,IF($AN$15="3L",$AO$15,IF($AQ$15="3L",$AR$15,""))))))))))</f>
        <v/>
      </c>
      <c r="AV15" s="29" t="str">
        <f>IF($P$15="4L",$Q$15,IF($S$15="4L",$T$15,IF($V$15="4L",$W$15,IF($Y$15="4L",$Z$15,IF($AB$15="4L",$AC$15,IF($AE$15="4L",$AF$15,IF($AH$15="4L",$AI$15,IF($AK$15="4L",$AL$15,IF($AN$15="4L",$AO$15,IF($AQ$15="4L",$AR$15,""))))))))))</f>
        <v/>
      </c>
      <c r="AW15" s="29" t="str">
        <f>IF($P$15="5L",$Q$15,IF($S$15="5L",$T$15,IF($V$15="5L",$W$15,IF($Y$15="5L",$Z$15,IF($AB$15="5L",$AC$15,IF($AE$15="5L",$AF$15,IF($AH$15="5L",$AI$15,IF($AK$15="5L",$AL$15,IF($AN$15="5L",$AO$15,IF($AQ$15="5L",$AR$15,""))))))))))</f>
        <v/>
      </c>
      <c r="AX15" s="29" t="str">
        <f>IF($P$15="6L",$Q$15,IF($S$15="6L",$T$15,IF($V$15="6L",$W$15,IF($Y$15="6L",$Z$15,IF($AB$15="6L",$AC$15,IF($AE$15="6L",$AF$15,IF($AH$15="6L",$AI$15,IF($AK$15="6L",$AL$15,IF($AN$15="6L",$AO$15,IF($AQ$15="6L",$AR$15,""))))))))))</f>
        <v/>
      </c>
      <c r="AY15" s="29" t="str">
        <f>IF($P$15="7L",$Q$15,IF($S$15="7L",$T$15,IF($V$15="7L",$W$15,IF($Y$15="7L",$Z$15,IF($AB$15="7L",$AC$15,IF($AE$15="7L",$AF$15,IF($AH$15="7L",$AI$15,IF($AK$15="7L",$AL$15,IF($AN$15="7L",$AO$15,IF($AQ$15="7L",$AR$15,""))))))))))</f>
        <v/>
      </c>
      <c r="AZ15" s="29" t="str">
        <f t="shared" si="12"/>
        <v/>
      </c>
      <c r="BA15" s="29" t="str">
        <f t="shared" si="13"/>
        <v/>
      </c>
      <c r="BB15" s="29" t="str">
        <f t="shared" si="14"/>
        <v/>
      </c>
      <c r="BC15" s="29" t="str">
        <f t="shared" si="15"/>
        <v/>
      </c>
      <c r="BD15" s="29" t="str">
        <f>IF($P$15="FUM",$Q$15,IF($S$15="FUM",$T$15,IF($V$15="FUM",$W$15,IF($Y$15="FUM",$Z$15,IF($AB$15="FUM",$AC$15,IF($AE$15="FUM",$AF$15,IF($AH$15="FUM",$AI$15,IF($AK$15="FUM",$AL$15,IF($AN$15="FUM",$AO$15,IF($AQ$15="FUM",$AR$15,""))))))))))</f>
        <v/>
      </c>
    </row>
    <row r="16" spans="1:77" hidden="1" x14ac:dyDescent="0.25">
      <c r="H16" s="4">
        <f t="shared" si="1"/>
        <v>0</v>
      </c>
      <c r="I16" s="4">
        <f t="shared" si="1"/>
        <v>0</v>
      </c>
      <c r="J16" s="4">
        <f t="shared" si="1"/>
        <v>0</v>
      </c>
      <c r="K16" s="4">
        <f t="shared" si="1"/>
        <v>0</v>
      </c>
      <c r="L16" s="4">
        <f t="shared" si="1"/>
        <v>0</v>
      </c>
      <c r="O16" s="28">
        <f t="shared" si="16"/>
        <v>0</v>
      </c>
      <c r="P16" s="4">
        <f t="shared" si="2"/>
        <v>0</v>
      </c>
      <c r="Q16" s="4">
        <f t="shared" si="2"/>
        <v>0</v>
      </c>
      <c r="R16" s="4">
        <f t="shared" si="2"/>
        <v>0</v>
      </c>
      <c r="S16" s="4">
        <f t="shared" si="3"/>
        <v>0</v>
      </c>
      <c r="T16" s="4">
        <f t="shared" si="3"/>
        <v>0</v>
      </c>
      <c r="U16" s="4">
        <f t="shared" si="3"/>
        <v>0</v>
      </c>
      <c r="V16" s="4">
        <f t="shared" si="4"/>
        <v>0</v>
      </c>
      <c r="W16" s="4">
        <f t="shared" si="4"/>
        <v>0</v>
      </c>
      <c r="X16" s="4">
        <f t="shared" si="4"/>
        <v>0</v>
      </c>
      <c r="Y16" s="4">
        <f t="shared" si="5"/>
        <v>0</v>
      </c>
      <c r="Z16" s="4">
        <f t="shared" si="5"/>
        <v>0</v>
      </c>
      <c r="AA16" s="4">
        <f t="shared" si="5"/>
        <v>0</v>
      </c>
      <c r="AB16" s="4">
        <f t="shared" si="6"/>
        <v>0</v>
      </c>
      <c r="AC16" s="4">
        <f t="shared" si="6"/>
        <v>0</v>
      </c>
      <c r="AD16" s="4">
        <f t="shared" si="6"/>
        <v>0</v>
      </c>
      <c r="AE16" s="4">
        <f t="shared" si="7"/>
        <v>0</v>
      </c>
      <c r="AF16" s="4">
        <f t="shared" si="7"/>
        <v>0</v>
      </c>
      <c r="AG16" s="4">
        <f t="shared" si="7"/>
        <v>0</v>
      </c>
      <c r="AH16" s="4">
        <f t="shared" si="8"/>
        <v>0</v>
      </c>
      <c r="AI16" s="4">
        <f t="shared" si="8"/>
        <v>0</v>
      </c>
      <c r="AJ16" s="4">
        <f t="shared" si="8"/>
        <v>0</v>
      </c>
      <c r="AK16" s="4">
        <f t="shared" si="9"/>
        <v>0</v>
      </c>
      <c r="AL16" s="4">
        <f t="shared" si="9"/>
        <v>0</v>
      </c>
      <c r="AM16" s="4">
        <f t="shared" si="9"/>
        <v>0</v>
      </c>
      <c r="AN16" s="4">
        <f t="shared" si="10"/>
        <v>0</v>
      </c>
      <c r="AO16" s="4">
        <f t="shared" si="10"/>
        <v>0</v>
      </c>
      <c r="AP16" s="4">
        <f t="shared" si="10"/>
        <v>0</v>
      </c>
      <c r="AQ16" s="4">
        <f t="shared" si="11"/>
        <v>0</v>
      </c>
      <c r="AR16" s="4">
        <f t="shared" si="11"/>
        <v>0</v>
      </c>
      <c r="AT16" s="28">
        <v>3</v>
      </c>
      <c r="AU16" s="29" t="str">
        <f>IF($P$16="3L",$Q$16,IF($S$16="3L",$T$16,IF($V$16="3L",$W$16,IF($Y$16="3L",$Z$16,IF($AB$16="3L",$AC$16,IF($AE$16="3L",$AF$16,IF($AH$16="3L",$AI$16,IF($AK$16="3L",$AL$16,IF($AN$16="3L",$AO$16,IF($AQ$16="3L",$AR$16,""))))))))))</f>
        <v/>
      </c>
      <c r="AV16" s="29" t="str">
        <f>IF($P$16="4L",$Q$16,IF($S$16="4L",$T$16,IF($V$16="4L",$W$16,IF($Y$16="4L",$Z$16,IF($AB$16="4L",$AC$16,IF($AE$16="4L",$AF$16,IF($AH$16="4L",$AI$16,IF($AK$16="4L",$AL$16,IF($AN$16="4L",$AO$16,IF($AQ$16="4L",$AR$16,""))))))))))</f>
        <v/>
      </c>
      <c r="AW16" s="29" t="str">
        <f>IF($P$16="5L",$Q$16,IF($S$16="5L",$T$16,IF($V$16="5L",$W$16,IF($Y$16="5L",$Z$16,IF($AB$16="5L",$AC$16,IF($AE$16="5L",$AF$16,IF($AH$16="5L",$AI$16,IF($AK$16="5L",$AL$16,IF($AN$16="5L",$AO$16,IF($AQ$16="5L",$AR$16,""))))))))))</f>
        <v/>
      </c>
      <c r="AX16" s="29" t="str">
        <f>IF($P$16="6L",$Q$16,IF($S$16="6L",$T$16,IF($V$16="6L",$W$16,IF($Y$16="6L",$Z$16,IF($AB$16="6L",$AC$16,IF($AE$16="6L",$AF$16,IF($AH$16="6L",$AI$16,IF($AK$16="6L",$AL$16,IF($AN$16="6L",$AO$16,IF($AQ$16="6L",$AR$16,""))))))))))</f>
        <v/>
      </c>
      <c r="AY16" s="29" t="str">
        <f>IF($P$16="7L",$Q$16,IF($S$16="7L",$T$16,IF($V$16="7L",$W$16,IF($Y$16="7L",$Z$16,IF($AB$16="7L",$AC$16,IF($AE$16="7L",$AF$16,IF($AH$16="7L",$AI$16,IF($AK$16="7L",$AL$16,IF($AN$16="7L",$AO$16,IF($AQ$16="7L",$AR$16,""))))))))))</f>
        <v/>
      </c>
      <c r="AZ16" s="29" t="str">
        <f t="shared" si="12"/>
        <v/>
      </c>
      <c r="BA16" s="29" t="str">
        <f t="shared" si="13"/>
        <v/>
      </c>
      <c r="BB16" s="29" t="str">
        <f t="shared" si="14"/>
        <v/>
      </c>
      <c r="BC16" s="29" t="str">
        <f t="shared" si="15"/>
        <v/>
      </c>
      <c r="BD16" s="29" t="str">
        <f>IF($P$16="FUM",$Q$16,IF($S$16="FUM",$T$16,IF($V$16="FUM",$W$16,IF($Y$16="FUM",$Z$16,IF($AB$16="FUM",$AC$16,IF($AE$16="FUM",$AF$16,IF($AH$16="FUM",$AI$16,IF($AK$16="FUM",$AL$16,IF($AN$16="FUM",$AO$16,IF($AQ$16="FUM",$AR$16,""))))))))))</f>
        <v/>
      </c>
    </row>
    <row r="17" spans="8:56" hidden="1" x14ac:dyDescent="0.25">
      <c r="H17" s="4">
        <f t="shared" si="1"/>
        <v>0</v>
      </c>
      <c r="I17" s="4">
        <f t="shared" si="1"/>
        <v>0</v>
      </c>
      <c r="J17" s="4">
        <f t="shared" si="1"/>
        <v>0</v>
      </c>
      <c r="K17" s="4">
        <f t="shared" si="1"/>
        <v>0</v>
      </c>
      <c r="L17" s="4">
        <f t="shared" si="1"/>
        <v>0</v>
      </c>
      <c r="O17" s="28">
        <f t="shared" si="16"/>
        <v>0</v>
      </c>
      <c r="P17" s="4">
        <f t="shared" si="2"/>
        <v>0</v>
      </c>
      <c r="Q17" s="4">
        <f t="shared" si="2"/>
        <v>0</v>
      </c>
      <c r="R17" s="4">
        <f t="shared" si="2"/>
        <v>0</v>
      </c>
      <c r="S17" s="4">
        <f t="shared" si="3"/>
        <v>0</v>
      </c>
      <c r="T17" s="4">
        <f t="shared" si="3"/>
        <v>0</v>
      </c>
      <c r="U17" s="4">
        <f t="shared" si="3"/>
        <v>0</v>
      </c>
      <c r="V17" s="4">
        <f t="shared" si="4"/>
        <v>0</v>
      </c>
      <c r="W17" s="4">
        <f t="shared" si="4"/>
        <v>0</v>
      </c>
      <c r="X17" s="4">
        <f t="shared" si="4"/>
        <v>0</v>
      </c>
      <c r="Y17" s="4">
        <f t="shared" si="5"/>
        <v>0</v>
      </c>
      <c r="Z17" s="4">
        <f t="shared" si="5"/>
        <v>0</v>
      </c>
      <c r="AA17" s="4">
        <f t="shared" si="5"/>
        <v>0</v>
      </c>
      <c r="AB17" s="4">
        <f t="shared" si="6"/>
        <v>0</v>
      </c>
      <c r="AC17" s="4">
        <f t="shared" si="6"/>
        <v>0</v>
      </c>
      <c r="AD17" s="4">
        <f t="shared" si="6"/>
        <v>0</v>
      </c>
      <c r="AE17" s="4">
        <f t="shared" si="7"/>
        <v>0</v>
      </c>
      <c r="AF17" s="4">
        <f t="shared" si="7"/>
        <v>0</v>
      </c>
      <c r="AG17" s="4">
        <f t="shared" si="7"/>
        <v>0</v>
      </c>
      <c r="AH17" s="4">
        <f t="shared" si="8"/>
        <v>0</v>
      </c>
      <c r="AI17" s="4">
        <f t="shared" si="8"/>
        <v>0</v>
      </c>
      <c r="AJ17" s="4">
        <f t="shared" si="8"/>
        <v>0</v>
      </c>
      <c r="AK17" s="4">
        <f t="shared" si="9"/>
        <v>0</v>
      </c>
      <c r="AL17" s="4">
        <f t="shared" si="9"/>
        <v>0</v>
      </c>
      <c r="AM17" s="4">
        <f t="shared" si="9"/>
        <v>0</v>
      </c>
      <c r="AN17" s="4">
        <f t="shared" si="10"/>
        <v>0</v>
      </c>
      <c r="AO17" s="4">
        <f t="shared" si="10"/>
        <v>0</v>
      </c>
      <c r="AP17" s="4">
        <f t="shared" si="10"/>
        <v>0</v>
      </c>
      <c r="AQ17" s="4">
        <f t="shared" si="11"/>
        <v>0</v>
      </c>
      <c r="AR17" s="4">
        <f t="shared" si="11"/>
        <v>0</v>
      </c>
      <c r="AT17" s="28">
        <v>4</v>
      </c>
      <c r="AU17" s="29" t="str">
        <f>IF($P$17="3L",$Q$17,IF($S$17="3L",$T$17,IF($V$17="3L",$W$17,IF($Y$17="3L",$Z$17,IF($AB$17="3L",$AC$17,IF($AE$17="3L",$AF$17,IF($AH$17="3L",$AI$17,IF($AK$17="3L",$AL$17,IF($AN$17="3L",$AO$17,IF($AQ$17="3L",$AR$17,""))))))))))</f>
        <v/>
      </c>
      <c r="AV17" s="29" t="str">
        <f>IF($P$17="4L",$Q$17,IF($S$17="4L",$T$17,IF($V$17="4L",$W$17,IF($Y$17="4L",$Z$17,IF($AB$17="4L",$AC$17,IF($AE$17="4L",$AF$17,IF($AH$17="4L",$AI$17,IF($AK$17="4L",$AL$17,IF($AN$17="4L",$AO$17,IF($AQ$17="4L",$AR$17,""))))))))))</f>
        <v/>
      </c>
      <c r="AW17" s="29" t="str">
        <f>IF($P$17="5L",$Q$17,IF($S$17="5L",$T$17,IF($V$17="5L",$W$17,IF($Y$17="5L",$Z$17,IF($AB$17="5L",$AC$17,IF($AE$17="5L",$AF$17,IF($AH$17="5L",$AI$17,IF($AK$17="5L",$AL$17,IF($AN$17="5L",$AO$17,IF($AQ$17="5L",$AR$17,""))))))))))</f>
        <v/>
      </c>
      <c r="AX17" s="29" t="str">
        <f>IF($P$17="6L",$Q$17,IF($S$17="6L",$T$17,IF($V$17="6L",$W$17,IF($Y$17="6L",$Z$17,IF($AB$17="6L",$AC$17,IF($AE$17="6L",$AF$17,IF($AH$17="6L",$AI$17,IF($AK$17="6L",$AL$17,IF($AN$17="6L",$AO$17,IF($AQ$17="6L",$AR$17,""))))))))))</f>
        <v/>
      </c>
      <c r="AY17" s="29" t="str">
        <f>IF($P$17="7L",$Q$17,IF($S$17="7L",$T$17,IF($V$17="7L",$W$17,IF($Y$17="7L",$Z$17,IF($AB$17="7L",$AC$17,IF($AE$17="7L",$AF$17,IF($AH$17="7L",$AI$17,IF($AK$17="7L",$AL$17,IF($AN$17="7L",$AO$17,IF($AQ$17="7L",$AR$17,""))))))))))</f>
        <v/>
      </c>
      <c r="AZ17" s="29" t="str">
        <f t="shared" si="12"/>
        <v/>
      </c>
      <c r="BA17" s="29" t="str">
        <f t="shared" si="13"/>
        <v/>
      </c>
      <c r="BB17" s="29" t="str">
        <f t="shared" si="14"/>
        <v/>
      </c>
      <c r="BC17" s="29" t="str">
        <f t="shared" si="15"/>
        <v/>
      </c>
      <c r="BD17" s="29" t="str">
        <f>IF($P$17="FUM",$Q$17,IF($S$17="FUM",$T$17,IF($V$17="FUM",$W$17,IF($Y$17="FUM",$Z$17,IF($AB$17="FUM",$AC$17,IF($AE$17="FUM",$AF$17,IF($AH$17="FUM",$AI$17,IF($AK$17="FUM",$AL$17,IF($AN$17="FUM",$AO$17,IF($AQ$17="FUM",$AR$17,""))))))))))</f>
        <v/>
      </c>
    </row>
    <row r="18" spans="8:56" hidden="1" x14ac:dyDescent="0.25">
      <c r="H18" s="4">
        <f t="shared" si="1"/>
        <v>0</v>
      </c>
      <c r="I18" s="4">
        <f t="shared" si="1"/>
        <v>0</v>
      </c>
      <c r="J18" s="4">
        <f t="shared" si="1"/>
        <v>0</v>
      </c>
      <c r="K18" s="4">
        <f t="shared" si="1"/>
        <v>0</v>
      </c>
      <c r="L18" s="4">
        <f t="shared" si="1"/>
        <v>0</v>
      </c>
      <c r="O18" s="28">
        <f t="shared" si="16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3"/>
        <v>0</v>
      </c>
      <c r="T18" s="4">
        <f t="shared" si="3"/>
        <v>0</v>
      </c>
      <c r="U18" s="4">
        <f t="shared" si="3"/>
        <v>0</v>
      </c>
      <c r="V18" s="4">
        <f t="shared" si="4"/>
        <v>0</v>
      </c>
      <c r="W18" s="4">
        <f t="shared" si="4"/>
        <v>0</v>
      </c>
      <c r="X18" s="4">
        <f t="shared" si="4"/>
        <v>0</v>
      </c>
      <c r="Y18" s="4">
        <f t="shared" si="5"/>
        <v>0</v>
      </c>
      <c r="Z18" s="4">
        <f t="shared" si="5"/>
        <v>0</v>
      </c>
      <c r="AA18" s="4">
        <f t="shared" si="5"/>
        <v>0</v>
      </c>
      <c r="AB18" s="4">
        <f t="shared" si="6"/>
        <v>0</v>
      </c>
      <c r="AC18" s="4">
        <f t="shared" si="6"/>
        <v>0</v>
      </c>
      <c r="AD18" s="4">
        <f t="shared" si="6"/>
        <v>0</v>
      </c>
      <c r="AE18" s="4">
        <f t="shared" si="7"/>
        <v>0</v>
      </c>
      <c r="AF18" s="4">
        <f t="shared" si="7"/>
        <v>0</v>
      </c>
      <c r="AG18" s="4">
        <f t="shared" si="7"/>
        <v>0</v>
      </c>
      <c r="AH18" s="4">
        <f t="shared" si="8"/>
        <v>0</v>
      </c>
      <c r="AI18" s="4">
        <f t="shared" si="8"/>
        <v>0</v>
      </c>
      <c r="AJ18" s="4">
        <f t="shared" si="8"/>
        <v>0</v>
      </c>
      <c r="AK18" s="4">
        <f t="shared" si="9"/>
        <v>0</v>
      </c>
      <c r="AL18" s="4">
        <f t="shared" si="9"/>
        <v>0</v>
      </c>
      <c r="AM18" s="4">
        <f t="shared" si="9"/>
        <v>0</v>
      </c>
      <c r="AN18" s="4">
        <f t="shared" si="10"/>
        <v>0</v>
      </c>
      <c r="AO18" s="4">
        <f t="shared" si="10"/>
        <v>0</v>
      </c>
      <c r="AP18" s="4">
        <f t="shared" si="10"/>
        <v>0</v>
      </c>
      <c r="AQ18" s="4">
        <f t="shared" si="11"/>
        <v>0</v>
      </c>
      <c r="AR18" s="4">
        <f t="shared" si="11"/>
        <v>0</v>
      </c>
      <c r="AT18" s="28">
        <v>5</v>
      </c>
      <c r="AU18" s="29" t="str">
        <f>IF($P$18="3L",$Q$18,IF($S$18="3L",$T$18,IF($V$18="3L",$W$18,IF($Y$18="3L",$Z$18,IF($AB$18="3L",$AC$18,IF($AE$18="3L",$AF$18,IF($AH$18="3L",$AI$18,IF($AK$18="3L",$AL$18,IF($AN$18="3L",$AO$18,IF($AQ$18="3L",$AR$18,""))))))))))</f>
        <v/>
      </c>
      <c r="AV18" s="29" t="str">
        <f>IF($P$18="4L",$Q$18,IF($S$18="4L",$T$18,IF($V$18="4L",$W$18,IF($Y$18="4L",$Z$18,IF($AB$18="4L",$AC$18,IF($AE$18="4L",$AF$18,IF($AH$18="4L",$AI$18,IF($AK$18="4L",$AL$18,IF($AN$18="4L",$AO$18,IF($AQ$18="4L",$AR$18,""))))))))))</f>
        <v/>
      </c>
      <c r="AW18" s="29" t="str">
        <f>IF($P$18="5L",$Q$18,IF($S$18="5L",$T$18,IF($V$18="5L",$W$18,IF($Y$18="5L",$Z$18,IF($AB$18="5L",$AC$18,IF($AE$18="5L",$AF$18,IF($AH$18="5L",$AI$18,IF($AK$18="5L",$AL$18,IF($AN$18="5L",$AO$18,IF($AQ$18="5L",$AR$18,""))))))))))</f>
        <v/>
      </c>
      <c r="AX18" s="29" t="str">
        <f>IF($P$18="6L",$Q$18,IF($S$18="6L",$T$18,IF($V$18="6L",$W$18,IF($Y$18="6L",$Z$18,IF($AB$18="6L",$AC$18,IF($AE$18="6L",$AF$18,IF($AH$18="6L",$AI$18,IF($AK$18="6L",$AL$18,IF($AN$18="6L",$AO$18,IF($AQ$18="6L",$AR$18,""))))))))))</f>
        <v/>
      </c>
      <c r="AY18" s="29" t="str">
        <f>IF($P$18="7L",$Q$18,IF($S$18="7L",$T$18,IF($V$18="7L",$W$18,IF($Y$18="7L",$Z$18,IF($AB$18="7L",$AC$18,IF($AE$18="7L",$AF$18,IF($AH$18="7L",$AI$18,IF($AK$18="7L",$AL$18,IF($AN$18="7L",$AO$18,IF($AQ$18="7L",$AR$18,""))))))))))</f>
        <v/>
      </c>
      <c r="AZ18" s="29" t="str">
        <f t="shared" si="12"/>
        <v/>
      </c>
      <c r="BA18" s="29" t="str">
        <f t="shared" si="13"/>
        <v/>
      </c>
      <c r="BB18" s="29" t="str">
        <f t="shared" si="14"/>
        <v/>
      </c>
      <c r="BC18" s="29" t="str">
        <f t="shared" si="15"/>
        <v/>
      </c>
      <c r="BD18" s="29" t="str">
        <f>IF($P$18="FUM",$Q$18,IF($S$18="FUM",$T$18,IF($V$18="FUM",$W$18,IF($Y$18="FUM",$Z$18,IF($AB$18="FUM",$AC$18,IF($AE$18="FUM",$AF$18,IF($AH$18="FUM",$AI$18,IF($AK$18="FUM",$AL$18,IF($AN$18="FUM",$AO$18,IF($AQ$18="FUM",$AR$18,""))))))))))</f>
        <v/>
      </c>
    </row>
    <row r="19" spans="8:56" hidden="1" x14ac:dyDescent="0.25"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0</v>
      </c>
      <c r="L19" s="4">
        <f t="shared" si="1"/>
        <v>0</v>
      </c>
      <c r="O19" s="28">
        <f t="shared" si="16"/>
        <v>0</v>
      </c>
      <c r="P19" s="4">
        <f t="shared" si="2"/>
        <v>0</v>
      </c>
      <c r="Q19" s="4">
        <f t="shared" si="2"/>
        <v>0</v>
      </c>
      <c r="R19" s="4">
        <f t="shared" si="2"/>
        <v>0</v>
      </c>
      <c r="S19" s="4">
        <f t="shared" si="3"/>
        <v>0</v>
      </c>
      <c r="T19" s="4">
        <f t="shared" si="3"/>
        <v>0</v>
      </c>
      <c r="U19" s="4">
        <f t="shared" si="3"/>
        <v>0</v>
      </c>
      <c r="V19" s="4">
        <f t="shared" si="4"/>
        <v>0</v>
      </c>
      <c r="W19" s="4">
        <f t="shared" si="4"/>
        <v>0</v>
      </c>
      <c r="X19" s="4">
        <f t="shared" si="4"/>
        <v>0</v>
      </c>
      <c r="Y19" s="4">
        <f t="shared" si="5"/>
        <v>0</v>
      </c>
      <c r="Z19" s="4">
        <f t="shared" si="5"/>
        <v>0</v>
      </c>
      <c r="AA19" s="4">
        <f t="shared" si="5"/>
        <v>0</v>
      </c>
      <c r="AB19" s="4">
        <f t="shared" si="6"/>
        <v>0</v>
      </c>
      <c r="AC19" s="4">
        <f t="shared" si="6"/>
        <v>0</v>
      </c>
      <c r="AD19" s="4">
        <f t="shared" si="6"/>
        <v>0</v>
      </c>
      <c r="AE19" s="4">
        <f t="shared" si="7"/>
        <v>0</v>
      </c>
      <c r="AF19" s="4">
        <f t="shared" si="7"/>
        <v>0</v>
      </c>
      <c r="AG19" s="4">
        <f t="shared" si="7"/>
        <v>0</v>
      </c>
      <c r="AH19" s="4">
        <f t="shared" si="8"/>
        <v>0</v>
      </c>
      <c r="AI19" s="4">
        <f t="shared" si="8"/>
        <v>0</v>
      </c>
      <c r="AJ19" s="4">
        <f t="shared" si="8"/>
        <v>0</v>
      </c>
      <c r="AK19" s="4">
        <f t="shared" si="9"/>
        <v>0</v>
      </c>
      <c r="AL19" s="4">
        <f t="shared" si="9"/>
        <v>0</v>
      </c>
      <c r="AM19" s="4">
        <f t="shared" si="9"/>
        <v>0</v>
      </c>
      <c r="AN19" s="4">
        <f t="shared" si="10"/>
        <v>0</v>
      </c>
      <c r="AO19" s="4">
        <f t="shared" si="10"/>
        <v>0</v>
      </c>
      <c r="AP19" s="4">
        <f t="shared" si="10"/>
        <v>0</v>
      </c>
      <c r="AQ19" s="4">
        <f t="shared" si="11"/>
        <v>0</v>
      </c>
      <c r="AR19" s="4">
        <f t="shared" si="11"/>
        <v>0</v>
      </c>
      <c r="AT19" s="28">
        <v>6</v>
      </c>
      <c r="AU19" s="29" t="str">
        <f>IF($P$19="3L",$Q$19,IF($S$19="3L",$T$19,IF($V$19="3L",$W$19,IF($Y$19="3L",$Z$19,IF($AB$19="3L",$AC$19,IF($AE$19="3L",$AF$19,IF($AH$19="3L",$AI$19,IF($AK$19="3L",$AL$19,IF($AN$19="3L",$AO$19,IF($AQ$19="3L",$AR$19,""))))))))))</f>
        <v/>
      </c>
      <c r="AV19" s="29" t="str">
        <f>IF($P$19="4L",$Q$19,IF($S$19="4L",$T$19,IF($V$19="4L",$W$19,IF($Y$19="4L",$Z$19,IF($AB$19="4L",$AC$19,IF($AE$19="4L",$AF$19,IF($AH$19="4L",$AI$19,IF($AK$19="4L",$AL$19,IF($AN$19="4L",$AO$19,IF($AQ$19="4L",$AR$19,""))))))))))</f>
        <v/>
      </c>
      <c r="AW19" s="29" t="str">
        <f>IF($P$19="5L",$Q$19,IF($S$19="5L",$T$19,IF($V$19="5L",$W$19,IF($Y$19="5L",$Z$19,IF($AB$19="5L",$AC$19,IF($AE$19="5L",$AF$19,IF($AH$19="5L",$AI$19,IF($AK$19="5L",$AL$19,IF($AN$19="5L",$AO$19,IF($AQ$19="5L",$AR$19,""))))))))))</f>
        <v/>
      </c>
      <c r="AX19" s="29" t="str">
        <f>IF($P$19="6L",$Q$19,IF($S$19="6L",$T$19,IF($V$19="6L",$W$19,IF($Y$19="6L",$Z$19,IF($AB$19="6L",$AC$19,IF($AE$19="6L",$AF$19,IF($AH$19="6L",$AI$19,IF($AK$19="6L",$AL$19,IF($AN$19="6L",$AO$19,IF($AQ$19="6L",$AR$19,""))))))))))</f>
        <v/>
      </c>
      <c r="AY19" s="29" t="str">
        <f>IF($P$19="7L",$Q$19,IF($S$19="7L",$T$19,IF($V$19="7L",$W$19,IF($Y$19="7L",$Z$19,IF($AB$19="7L",$AC$19,IF($AE$19="7L",$AF$19,IF($AH$19="7L",$AI$19,IF($AK$19="7L",$AL$19,IF($AN$19="7L",$AO$19,IF($AQ$19="7L",$AR$19,""))))))))))</f>
        <v/>
      </c>
      <c r="AZ19" s="29" t="str">
        <f t="shared" si="12"/>
        <v/>
      </c>
      <c r="BA19" s="29" t="str">
        <f t="shared" si="13"/>
        <v/>
      </c>
      <c r="BB19" s="29" t="str">
        <f t="shared" si="14"/>
        <v/>
      </c>
      <c r="BC19" s="29" t="str">
        <f t="shared" si="15"/>
        <v/>
      </c>
      <c r="BD19" s="29" t="str">
        <f>IF($P$19="FUM",$Q$19,IF($S$19="FUM",$T$19,IF($V$19="FUM",$W$19,IF($Y$19="FUM",$Z$19,IF($AB$19="FUM",$AC$19,IF($AE$19="FUM",$AF$19,IF($AH$19="FUM",$AI$19,IF($AK$19="FUM",$AL$19,IF($AN$19="FUM",$AO$19,IF($AQ$19="FUM",$AR$19,""))))))))))</f>
        <v/>
      </c>
    </row>
    <row r="20" spans="8:56" hidden="1" x14ac:dyDescent="0.25"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0</v>
      </c>
      <c r="O20" s="28">
        <f t="shared" si="16"/>
        <v>0</v>
      </c>
      <c r="P20" s="4">
        <f t="shared" si="2"/>
        <v>0</v>
      </c>
      <c r="Q20" s="4">
        <f t="shared" si="2"/>
        <v>0</v>
      </c>
      <c r="R20" s="4">
        <f t="shared" si="2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4"/>
        <v>0</v>
      </c>
      <c r="W20" s="4">
        <f t="shared" si="4"/>
        <v>0</v>
      </c>
      <c r="X20" s="4">
        <f t="shared" si="4"/>
        <v>0</v>
      </c>
      <c r="Y20" s="4">
        <f t="shared" si="5"/>
        <v>0</v>
      </c>
      <c r="Z20" s="4">
        <f t="shared" si="5"/>
        <v>0</v>
      </c>
      <c r="AA20" s="4">
        <f t="shared" si="5"/>
        <v>0</v>
      </c>
      <c r="AB20" s="4">
        <f t="shared" si="6"/>
        <v>0</v>
      </c>
      <c r="AC20" s="4">
        <f t="shared" si="6"/>
        <v>0</v>
      </c>
      <c r="AD20" s="4">
        <f t="shared" si="6"/>
        <v>0</v>
      </c>
      <c r="AE20" s="4">
        <f t="shared" si="7"/>
        <v>0</v>
      </c>
      <c r="AF20" s="4">
        <f t="shared" si="7"/>
        <v>0</v>
      </c>
      <c r="AG20" s="4">
        <f t="shared" si="7"/>
        <v>0</v>
      </c>
      <c r="AH20" s="4">
        <f t="shared" si="8"/>
        <v>0</v>
      </c>
      <c r="AI20" s="4">
        <f t="shared" si="8"/>
        <v>0</v>
      </c>
      <c r="AJ20" s="4">
        <f t="shared" si="8"/>
        <v>0</v>
      </c>
      <c r="AK20" s="4">
        <f t="shared" si="9"/>
        <v>0</v>
      </c>
      <c r="AL20" s="4">
        <f t="shared" si="9"/>
        <v>0</v>
      </c>
      <c r="AM20" s="4">
        <f t="shared" si="9"/>
        <v>0</v>
      </c>
      <c r="AN20" s="4">
        <f t="shared" si="10"/>
        <v>0</v>
      </c>
      <c r="AO20" s="4">
        <f t="shared" si="10"/>
        <v>0</v>
      </c>
      <c r="AP20" s="4">
        <f t="shared" si="10"/>
        <v>0</v>
      </c>
      <c r="AQ20" s="4">
        <f t="shared" si="11"/>
        <v>0</v>
      </c>
      <c r="AR20" s="4">
        <f t="shared" si="11"/>
        <v>0</v>
      </c>
      <c r="AT20" s="28">
        <v>7</v>
      </c>
      <c r="AU20" s="29" t="str">
        <f>IF($P$20="3L",$Q$20,IF($S$20="3L",$T$20,IF($V$20="3L",$W$20,IF($Y$20="3L",$Z$20,IF($AB$20="3L",$AC$20,IF($AE$20="3L",$AF$20,IF($AH$20="3L",$AI$20,IF($AK$20="3L",$AL$20,IF($AN$20="3L",$AO$20,IF($AQ$20="3L",$AR$20,""))))))))))</f>
        <v/>
      </c>
      <c r="AV20" s="29" t="str">
        <f>IF($P$20="4L",$Q$20,IF($S$20="4L",$T$20,IF($V$20="4L",$W$20,IF($Y$20="4L",$Z$20,IF($AB$20="4L",$AC$20,IF($AE$20="4L",$AF$20,IF($AH$20="4L",$AI$20,IF($AK$20="4L",$AL$20,IF($AN$20="4L",$AO$20,IF($AQ$20="4L",$AR$20,""))))))))))</f>
        <v/>
      </c>
      <c r="AW20" s="29" t="str">
        <f>IF($P$20="5L",$Q$20,IF($S$20="5L",$T$20,IF($V$20="5L",$W$20,IF($Y$20="5L",$Z$20,IF($AB$20="5L",$AC$20,IF($AE$20="5L",$AF$20,IF($AH$20="5L",$AI$20,IF($AK$20="5L",$AL$20,IF($AN$20="5L",$AO$20,IF($AQ$20="5L",$AR$20,""))))))))))</f>
        <v/>
      </c>
      <c r="AX20" s="29" t="str">
        <f>IF($P$20="6L",$Q$20,IF($S$20="6L",$T$20,IF($V$20="6L",$W$20,IF($Y$20="6L",$Z$20,IF($AB$20="6L",$AC$20,IF($AE$20="6L",$AF$20,IF($AH$20="6L",$AI$20,IF($AK$20="6L",$AL$20,IF($AN$20="6L",$AO$20,IF($AQ$20="6L",$AR$20,""))))))))))</f>
        <v/>
      </c>
      <c r="AY20" s="29" t="str">
        <f>IF($P$20="7L",$Q$20,IF($S$20="7L",$T$20,IF($V$20="7L",$W$20,IF($Y$20="7L",$Z$20,IF($AB$20="7L",$AC$20,IF($AE$20="7L",$AF$20,IF($AH$20="7L",$AI$20,IF($AK$20="7L",$AL$20,IF($AN$20="7L",$AO$20,IF($AQ$20="7L",$AR$20,""))))))))))</f>
        <v/>
      </c>
      <c r="AZ20" s="29" t="str">
        <f t="shared" si="12"/>
        <v/>
      </c>
      <c r="BA20" s="29" t="str">
        <f t="shared" si="13"/>
        <v/>
      </c>
      <c r="BB20" s="29" t="str">
        <f t="shared" si="14"/>
        <v/>
      </c>
      <c r="BC20" s="29" t="str">
        <f t="shared" si="15"/>
        <v/>
      </c>
      <c r="BD20" s="29" t="str">
        <f>IF($P$20="FUM",$Q$20,IF($S$20="FUM",$T$20,IF($V$20="FUM",$W$20,IF($Y$20="FUM",$Z$20,IF($AB$20="FUM",$AC$20,IF($AE$20="FUM",$AF$20,IF($AH$20="FUM",$AI$20,IF($AK$20="FUM",$AL$20,IF($AN$20="FUM",$AO$20,IF($AQ$20="FUM",$AR$20,""))))))))))</f>
        <v/>
      </c>
    </row>
    <row r="21" spans="8:56" hidden="1" x14ac:dyDescent="0.25">
      <c r="H21" s="4">
        <f t="shared" si="1"/>
        <v>0</v>
      </c>
      <c r="I21" s="4">
        <f t="shared" si="1"/>
        <v>0</v>
      </c>
      <c r="J21" s="4">
        <f t="shared" si="1"/>
        <v>0</v>
      </c>
      <c r="K21" s="4">
        <f t="shared" si="1"/>
        <v>0</v>
      </c>
      <c r="L21" s="4">
        <f t="shared" si="1"/>
        <v>0</v>
      </c>
      <c r="O21" s="28">
        <f t="shared" si="16"/>
        <v>0</v>
      </c>
      <c r="P21" s="4">
        <f t="shared" si="2"/>
        <v>0</v>
      </c>
      <c r="Q21" s="4">
        <f t="shared" si="2"/>
        <v>0</v>
      </c>
      <c r="R21" s="4">
        <f t="shared" si="2"/>
        <v>0</v>
      </c>
      <c r="S21" s="4">
        <f t="shared" si="3"/>
        <v>0</v>
      </c>
      <c r="T21" s="4">
        <f t="shared" si="3"/>
        <v>0</v>
      </c>
      <c r="U21" s="4">
        <f t="shared" si="3"/>
        <v>0</v>
      </c>
      <c r="V21" s="4">
        <f t="shared" si="4"/>
        <v>0</v>
      </c>
      <c r="W21" s="4">
        <f t="shared" si="4"/>
        <v>0</v>
      </c>
      <c r="X21" s="4">
        <f t="shared" si="4"/>
        <v>0</v>
      </c>
      <c r="Y21" s="4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6"/>
        <v>0</v>
      </c>
      <c r="AC21" s="4">
        <f t="shared" si="6"/>
        <v>0</v>
      </c>
      <c r="AD21" s="4">
        <f t="shared" si="6"/>
        <v>0</v>
      </c>
      <c r="AE21" s="4">
        <f t="shared" si="7"/>
        <v>0</v>
      </c>
      <c r="AF21" s="4">
        <f t="shared" si="7"/>
        <v>0</v>
      </c>
      <c r="AG21" s="4">
        <f t="shared" si="7"/>
        <v>0</v>
      </c>
      <c r="AH21" s="4">
        <f t="shared" si="8"/>
        <v>0</v>
      </c>
      <c r="AI21" s="4">
        <f t="shared" si="8"/>
        <v>0</v>
      </c>
      <c r="AJ21" s="4">
        <f t="shared" si="8"/>
        <v>0</v>
      </c>
      <c r="AK21" s="4">
        <f t="shared" si="9"/>
        <v>0</v>
      </c>
      <c r="AL21" s="4">
        <f t="shared" si="9"/>
        <v>0</v>
      </c>
      <c r="AM21" s="4">
        <f t="shared" si="9"/>
        <v>0</v>
      </c>
      <c r="AN21" s="4">
        <f t="shared" si="10"/>
        <v>0</v>
      </c>
      <c r="AO21" s="4">
        <f t="shared" si="10"/>
        <v>0</v>
      </c>
      <c r="AP21" s="4">
        <f t="shared" si="10"/>
        <v>0</v>
      </c>
      <c r="AQ21" s="4">
        <f t="shared" si="11"/>
        <v>0</v>
      </c>
      <c r="AR21" s="4">
        <f t="shared" si="11"/>
        <v>0</v>
      </c>
      <c r="AT21" s="28">
        <v>8</v>
      </c>
      <c r="AU21" s="29" t="str">
        <f>IF($P$21="3L",$Q$21,IF($S$21="3L",$T$21,IF($V$21="3L",$W$21,IF($Y$21="3L",$Z$21,IF($AB$21="3L",$AC$21,IF($AE$21="3L",$AF$21,IF($AH$21="3L",$AI$21,IF($AK$21="3L",$AL$21,IF($AN$21="3L",$AO$21,IF($AQ$21="3L",$AR$21,""))))))))))</f>
        <v/>
      </c>
      <c r="AV21" s="29" t="str">
        <f>IF($P$21="4L",$Q$21,IF($S$21="4L",$T$21,IF($V$21="4L",$W$21,IF($Y$21="4L",$Z$21,IF($AB$21="4L",$AC$21,IF($AE$21="4L",$AF$21,IF($AH$21="4L",$AI$21,IF($AK$21="4L",$AL$21,IF($AN$21="4L",$AO$21,IF($AQ$21="4L",$AR$21,""))))))))))</f>
        <v/>
      </c>
      <c r="AW21" s="29" t="str">
        <f>IF($P$21="5L",$Q$21,IF($S$21="5L",$T$21,IF($V$21="5L",$W$21,IF($Y$21="5L",$Z$21,IF($AB$21="5L",$AC$21,IF($AE$21="5L",$AF$21,IF($AH$21="5L",$AI$21,IF($AK$21="5L",$AL$21,IF($AN$21="5L",$AO$21,IF($AQ$21="5L",$AR$21,""))))))))))</f>
        <v/>
      </c>
      <c r="AX21" s="29" t="str">
        <f>IF($P$21="6L",$Q$21,IF($S$21="6L",$T$21,IF($V$21="6L",$W$21,IF($Y$21="6L",$Z$21,IF($AB$21="6L",$AC$21,IF($AE$21="6L",$AF$21,IF($AH$21="6L",$AI$21,IF($AK$21="6L",$AL$21,IF($AN$21="6L",$AO$21,IF($AQ$21="6L",$AR$21,""))))))))))</f>
        <v/>
      </c>
      <c r="AY21" s="29" t="str">
        <f>IF($P$21="7L",$Q$21,IF($S$21="7L",$T$21,IF($V$21="7L",$W$21,IF($Y$21="7L",$Z$21,IF($AB$21="7L",$AC$21,IF($AE$21="7L",$AF$21,IF($AH$21="7L",$AI$21,IF($AK$21="7L",$AL$21,IF($AN$21="7L",$AO$21,IF($AQ$21="7L",$AR$21,""))))))))))</f>
        <v/>
      </c>
      <c r="AZ21" s="29" t="str">
        <f t="shared" si="12"/>
        <v/>
      </c>
      <c r="BA21" s="29" t="str">
        <f t="shared" si="13"/>
        <v/>
      </c>
      <c r="BB21" s="29" t="str">
        <f t="shared" si="14"/>
        <v/>
      </c>
      <c r="BC21" s="29" t="str">
        <f t="shared" si="15"/>
        <v/>
      </c>
      <c r="BD21" s="29" t="str">
        <f>IF($P$21="FUM",$Q$21,IF($S$21="FUM",$T$21,IF($V$21="FUM",$W$21,IF($Y$21="FUM",$Z$21,IF($AB$21="FUM",$AC$21,IF($AE$21="FUM",$AF$21,IF($AH$21="FUM",$AI$21,IF($AK$21="FUM",$AL$21,IF($AN$21="FUM",$AO$21,IF($AQ$21="FUM",$AR$21,""))))))))))</f>
        <v/>
      </c>
    </row>
    <row r="22" spans="8:56" hidden="1" x14ac:dyDescent="0.25">
      <c r="H22" s="4">
        <f t="shared" si="1"/>
        <v>0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O22" s="28">
        <f t="shared" si="16"/>
        <v>0</v>
      </c>
      <c r="P22" s="4">
        <f t="shared" si="2"/>
        <v>0</v>
      </c>
      <c r="Q22" s="4">
        <f t="shared" si="2"/>
        <v>0</v>
      </c>
      <c r="R22" s="4">
        <f t="shared" si="2"/>
        <v>0</v>
      </c>
      <c r="S22" s="4">
        <f t="shared" si="3"/>
        <v>0</v>
      </c>
      <c r="T22" s="4">
        <f t="shared" si="3"/>
        <v>0</v>
      </c>
      <c r="U22" s="4">
        <f t="shared" si="3"/>
        <v>0</v>
      </c>
      <c r="V22" s="4">
        <f t="shared" si="4"/>
        <v>0</v>
      </c>
      <c r="W22" s="4">
        <f t="shared" si="4"/>
        <v>0</v>
      </c>
      <c r="X22" s="4">
        <f t="shared" si="4"/>
        <v>0</v>
      </c>
      <c r="Y22" s="4">
        <f t="shared" si="5"/>
        <v>0</v>
      </c>
      <c r="Z22" s="4">
        <f t="shared" si="5"/>
        <v>0</v>
      </c>
      <c r="AA22" s="4">
        <f t="shared" si="5"/>
        <v>0</v>
      </c>
      <c r="AB22" s="4">
        <f t="shared" si="6"/>
        <v>0</v>
      </c>
      <c r="AC22" s="4">
        <f t="shared" si="6"/>
        <v>0</v>
      </c>
      <c r="AD22" s="4">
        <f t="shared" si="6"/>
        <v>0</v>
      </c>
      <c r="AE22" s="4">
        <f t="shared" si="7"/>
        <v>0</v>
      </c>
      <c r="AF22" s="4">
        <f t="shared" si="7"/>
        <v>0</v>
      </c>
      <c r="AG22" s="4">
        <f t="shared" si="7"/>
        <v>0</v>
      </c>
      <c r="AH22" s="4">
        <f t="shared" si="8"/>
        <v>0</v>
      </c>
      <c r="AI22" s="4">
        <f t="shared" si="8"/>
        <v>0</v>
      </c>
      <c r="AJ22" s="4">
        <f t="shared" si="8"/>
        <v>0</v>
      </c>
      <c r="AK22" s="4">
        <f t="shared" si="9"/>
        <v>0</v>
      </c>
      <c r="AL22" s="4">
        <f t="shared" si="9"/>
        <v>0</v>
      </c>
      <c r="AM22" s="4">
        <f t="shared" si="9"/>
        <v>0</v>
      </c>
      <c r="AN22" s="4">
        <f t="shared" si="10"/>
        <v>0</v>
      </c>
      <c r="AO22" s="4">
        <f t="shared" si="10"/>
        <v>0</v>
      </c>
      <c r="AP22" s="4">
        <f t="shared" si="10"/>
        <v>0</v>
      </c>
      <c r="AQ22" s="4">
        <f t="shared" si="11"/>
        <v>0</v>
      </c>
      <c r="AR22" s="4">
        <f t="shared" si="11"/>
        <v>0</v>
      </c>
      <c r="AT22" s="28">
        <v>9</v>
      </c>
      <c r="AU22" s="29" t="str">
        <f>IF($P$22="3L",$Q$22,IF($S$22="3L",$T$22,IF($V$22="3L",$W$22,IF($Y$22="3L",$Z$22,IF($AB$22="3L",$AC$22,IF($AE$22="3L",$AF$22,IF($AH$22="3L",$AI$22,IF($AK$22="3L",$AL$22,IF($AN$22="3L",$AO$22,IF($AQ$22="3L",$AR$22,""))))))))))</f>
        <v/>
      </c>
      <c r="AV22" s="29" t="str">
        <f>IF($P$22="4L",$Q$22,IF($S$22="4L",$T$22,IF($V$22="4L",$W$22,IF($Y$22="4L",$Z$22,IF($AB$22="4L",$AC$22,IF($AE$22="4L",$AF$22,IF($AH$22="4L",$AI$22,IF($AK$22="4L",$AL$22,IF($AN$22="4L",$AO$22,IF($AQ$22="4L",$AR$22,""))))))))))</f>
        <v/>
      </c>
      <c r="AW22" s="29" t="str">
        <f>IF($P$22="5L",$Q$22,IF($S$22="5L",$T$22,IF($V$22="5L",$W$22,IF($Y$22="5L",$Z$22,IF($AB$22="5L",$AC$22,IF($AE$22="5L",$AF$22,IF($AH$22="5L",$AI$22,IF($AK$22="5L",$AL$22,IF($AN$22="5L",$AO$22,IF($AQ$22="5L",$AR$22,""))))))))))</f>
        <v/>
      </c>
      <c r="AX22" s="29" t="str">
        <f>IF($P$22="6L",$Q$22,IF($S$22="6L",$T$22,IF($V$22="6L",$W$22,IF($Y$22="6L",$Z$22,IF($AB$22="6L",$AC$22,IF($AE$22="6L",$AF$22,IF($AH$22="6L",$AI$22,IF($AK$22="6L",$AL$22,IF($AN$22="6L",$AO$22,IF($AQ$22="6L",$AR$22,""))))))))))</f>
        <v/>
      </c>
      <c r="AY22" s="29" t="str">
        <f>IF($P$22="7L",$Q$22,IF($S$22="7L",$T$22,IF($V$22="7L",$W$22,IF($Y$22="7L",$Z$22,IF($AB$22="7L",$AC$22,IF($AE$22="7L",$AF$22,IF($AH$22="7L",$AI$22,IF($AK$22="7L",$AL$22,IF($AN$22="7L",$AO$22,IF($AQ$22="7L",$AR$22,""))))))))))</f>
        <v/>
      </c>
      <c r="AZ22" s="29" t="str">
        <f t="shared" si="12"/>
        <v/>
      </c>
      <c r="BA22" s="29" t="str">
        <f t="shared" si="13"/>
        <v/>
      </c>
      <c r="BB22" s="29" t="str">
        <f t="shared" si="14"/>
        <v/>
      </c>
      <c r="BC22" s="29" t="str">
        <f t="shared" si="15"/>
        <v/>
      </c>
      <c r="BD22" s="29" t="str">
        <f>IF($P$22="FUM",$Q$22,IF($S$22="FUM",$T$22,IF($V$22="FUM",$W$22,IF($Y$22="FUM",$Z$22,IF($AB$22="FUM",$AC$22,IF($AE$22="FUM",$AF$22,IF($AH$22="FUM",$AI$22,IF($AK$22="FUM",$AL$22,IF($AN$22="FUM",$AO$22,IF($AQ$22="FUM",$AR$22,""))))))))))</f>
        <v/>
      </c>
    </row>
    <row r="23" spans="8:56" hidden="1" x14ac:dyDescent="0.25">
      <c r="H23" s="4">
        <f t="shared" si="1"/>
        <v>0</v>
      </c>
      <c r="I23" s="4">
        <f t="shared" si="1"/>
        <v>0</v>
      </c>
      <c r="J23" s="4">
        <f t="shared" si="1"/>
        <v>0</v>
      </c>
      <c r="K23" s="4">
        <f t="shared" si="1"/>
        <v>0</v>
      </c>
      <c r="L23" s="4">
        <f t="shared" si="1"/>
        <v>0</v>
      </c>
      <c r="O23" s="28">
        <f t="shared" si="16"/>
        <v>0</v>
      </c>
      <c r="P23" s="4">
        <f t="shared" si="2"/>
        <v>0</v>
      </c>
      <c r="Q23" s="4">
        <f t="shared" si="2"/>
        <v>0</v>
      </c>
      <c r="R23" s="4">
        <f t="shared" si="2"/>
        <v>0</v>
      </c>
      <c r="S23" s="4">
        <f t="shared" si="3"/>
        <v>0</v>
      </c>
      <c r="T23" s="4">
        <f t="shared" si="3"/>
        <v>0</v>
      </c>
      <c r="U23" s="4">
        <f t="shared" si="3"/>
        <v>0</v>
      </c>
      <c r="V23" s="4">
        <f t="shared" si="4"/>
        <v>0</v>
      </c>
      <c r="W23" s="4">
        <f t="shared" si="4"/>
        <v>0</v>
      </c>
      <c r="X23" s="4">
        <f t="shared" si="4"/>
        <v>0</v>
      </c>
      <c r="Y23" s="4">
        <f t="shared" si="5"/>
        <v>0</v>
      </c>
      <c r="Z23" s="4">
        <f t="shared" si="5"/>
        <v>0</v>
      </c>
      <c r="AA23" s="4">
        <f t="shared" si="5"/>
        <v>0</v>
      </c>
      <c r="AB23" s="4">
        <f t="shared" si="6"/>
        <v>0</v>
      </c>
      <c r="AC23" s="4">
        <f t="shared" si="6"/>
        <v>0</v>
      </c>
      <c r="AD23" s="4">
        <f t="shared" si="6"/>
        <v>0</v>
      </c>
      <c r="AE23" s="4">
        <f t="shared" si="7"/>
        <v>0</v>
      </c>
      <c r="AF23" s="4">
        <f t="shared" si="7"/>
        <v>0</v>
      </c>
      <c r="AG23" s="4">
        <f t="shared" si="7"/>
        <v>0</v>
      </c>
      <c r="AH23" s="4">
        <f t="shared" si="8"/>
        <v>0</v>
      </c>
      <c r="AI23" s="4">
        <f t="shared" si="8"/>
        <v>0</v>
      </c>
      <c r="AJ23" s="4">
        <f t="shared" si="8"/>
        <v>0</v>
      </c>
      <c r="AK23" s="4">
        <f t="shared" si="9"/>
        <v>0</v>
      </c>
      <c r="AL23" s="4">
        <f t="shared" si="9"/>
        <v>0</v>
      </c>
      <c r="AM23" s="4">
        <f t="shared" si="9"/>
        <v>0</v>
      </c>
      <c r="AN23" s="4">
        <f t="shared" si="10"/>
        <v>0</v>
      </c>
      <c r="AO23" s="4">
        <f t="shared" si="10"/>
        <v>0</v>
      </c>
      <c r="AP23" s="4">
        <f t="shared" si="10"/>
        <v>0</v>
      </c>
      <c r="AQ23" s="4">
        <f t="shared" si="11"/>
        <v>0</v>
      </c>
      <c r="AR23" s="4">
        <f t="shared" si="11"/>
        <v>0</v>
      </c>
      <c r="AT23" s="28">
        <v>10</v>
      </c>
      <c r="AU23" s="29" t="str">
        <f>IF($P$23="3L",$Q$23,IF($S$23="3L",$T$23,IF($V$23="3L",$W$23,IF($Y$23="3L",$Z$23,IF($AB$23="3L",$AC$23,IF($AE$23="3L",$AF$23,IF($AH$23="3L",$AI$23,IF($AK$23="3L",$AL$23,IF($AN$23="3L",$AO$23,IF($AQ$23="3L",$AR$23,""))))))))))</f>
        <v/>
      </c>
      <c r="AV23" s="29" t="str">
        <f>IF($P$23="4L",$Q$23,IF($S$23="4L",$T$23,IF($V$23="4L",$W$23,IF($Y$23="4L",$Z$23,IF($AB$23="4L",$AC$23,IF($AE$23="4L",$AF$23,IF($AH$23="4L",$AI$23,IF($AK$23="4L",$AL$23,IF($AN$23="4L",$AO$23,IF($AQ$23="4L",$AR$23,""))))))))))</f>
        <v/>
      </c>
      <c r="AW23" s="29" t="str">
        <f>IF($P$23="5L",$Q$23,IF($S$23="5L",$T$23,IF($V$23="5L",$W$23,IF($Y$23="5L",$Z$23,IF($AB$23="5L",$AC$23,IF($AE$23="5L",$AF$23,IF($AH$23="5L",$AI$23,IF($AK$23="5L",$AL$23,IF($AN$23="5L",$AO$23,IF($AQ$23="5L",$AR$23,""))))))))))</f>
        <v/>
      </c>
      <c r="AX23" s="29" t="str">
        <f>IF($P$23="6L",$Q$23,IF($S$23="6L",$T$23,IF($V$23="6L",$W$23,IF($Y$23="6L",$Z$23,IF($AB$23="6L",$AC$23,IF($AE$23="6L",$AF$23,IF($AH$23="6L",$AI$23,IF($AK$23="6L",$AL$23,IF($AN$23="6L",$AO$23,IF($AQ$23="6L",$AR$23,""))))))))))</f>
        <v/>
      </c>
      <c r="AY23" s="29" t="str">
        <f>IF($P$23="7L",$Q$23,IF($S$23="7L",$T$23,IF($V$23="7L",$W$23,IF($Y$23="7L",$Z$23,IF($AB$23="7L",$AC$23,IF($AE$23="7L",$AF$23,IF($AH$23="7L",$AI$23,IF($AK$23="7L",$AL$23,IF($AN$23="7L",$AO$23,IF($AQ$23="7L",$AR$23,""))))))))))</f>
        <v/>
      </c>
      <c r="AZ23" s="29" t="str">
        <f t="shared" si="12"/>
        <v/>
      </c>
      <c r="BA23" s="29" t="str">
        <f t="shared" si="13"/>
        <v/>
      </c>
      <c r="BB23" s="29" t="str">
        <f t="shared" si="14"/>
        <v/>
      </c>
      <c r="BC23" s="29" t="str">
        <f t="shared" si="15"/>
        <v/>
      </c>
      <c r="BD23" s="29" t="str">
        <f>IF($P$23="FUM",$Q$23,IF($S$23="FUM",$T$23,IF($V$23="FUM",$W$23,IF($Y$23="FUM",$Z$23,IF($AB$23="FUM",$AC$23,IF($AE$23="FUM",$AF$23,IF($AH$23="FUM",$AI$23,IF($AK$23="FUM",$AL$23,IF($AN$23="FUM",$AO$23,IF($AQ$23="FUM",$AR$23,""))))))))))</f>
        <v/>
      </c>
    </row>
    <row r="24" spans="8:56" hidden="1" x14ac:dyDescent="0.25">
      <c r="H24" s="4" t="str">
        <f t="shared" ref="H24:L33" si="17">P2</f>
        <v>AG</v>
      </c>
      <c r="I24" s="4">
        <f t="shared" si="17"/>
        <v>1000</v>
      </c>
      <c r="J24" s="4">
        <f t="shared" si="17"/>
        <v>10</v>
      </c>
      <c r="K24" s="4" t="str">
        <f t="shared" si="17"/>
        <v>Y</v>
      </c>
      <c r="L24" s="4" t="str">
        <f t="shared" si="17"/>
        <v>3L</v>
      </c>
    </row>
    <row r="25" spans="8:56" hidden="1" x14ac:dyDescent="0.25">
      <c r="H25" s="4">
        <f t="shared" si="17"/>
        <v>0</v>
      </c>
      <c r="I25" s="4">
        <f t="shared" si="17"/>
        <v>0</v>
      </c>
      <c r="J25" s="4">
        <f t="shared" si="17"/>
        <v>0</v>
      </c>
      <c r="K25" s="4">
        <f t="shared" si="17"/>
        <v>0</v>
      </c>
      <c r="L25" s="4">
        <f t="shared" si="17"/>
        <v>0</v>
      </c>
    </row>
    <row r="26" spans="8:56" hidden="1" x14ac:dyDescent="0.25">
      <c r="H26" s="4">
        <f t="shared" si="17"/>
        <v>0</v>
      </c>
      <c r="I26" s="4">
        <f t="shared" si="17"/>
        <v>0</v>
      </c>
      <c r="J26" s="4">
        <f t="shared" si="17"/>
        <v>0</v>
      </c>
      <c r="K26" s="4">
        <f t="shared" si="17"/>
        <v>0</v>
      </c>
      <c r="L26" s="4">
        <f t="shared" si="17"/>
        <v>0</v>
      </c>
    </row>
    <row r="27" spans="8:56" hidden="1" x14ac:dyDescent="0.25">
      <c r="H27" s="4">
        <f t="shared" si="17"/>
        <v>0</v>
      </c>
      <c r="I27" s="4">
        <f t="shared" si="17"/>
        <v>0</v>
      </c>
      <c r="J27" s="4">
        <f t="shared" si="17"/>
        <v>0</v>
      </c>
      <c r="K27" s="4">
        <f t="shared" si="17"/>
        <v>0</v>
      </c>
      <c r="L27" s="4">
        <f t="shared" si="17"/>
        <v>0</v>
      </c>
    </row>
    <row r="28" spans="8:56" hidden="1" x14ac:dyDescent="0.25">
      <c r="H28" s="4">
        <f t="shared" si="17"/>
        <v>0</v>
      </c>
      <c r="I28" s="4">
        <f t="shared" si="17"/>
        <v>0</v>
      </c>
      <c r="J28" s="4">
        <f t="shared" si="17"/>
        <v>0</v>
      </c>
      <c r="K28" s="4">
        <f t="shared" si="17"/>
        <v>0</v>
      </c>
      <c r="L28" s="4">
        <f t="shared" si="17"/>
        <v>0</v>
      </c>
    </row>
    <row r="29" spans="8:56" hidden="1" x14ac:dyDescent="0.25"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</row>
    <row r="30" spans="8:56" hidden="1" x14ac:dyDescent="0.25">
      <c r="H30" s="4">
        <f t="shared" si="17"/>
        <v>0</v>
      </c>
      <c r="I30" s="4">
        <f t="shared" si="17"/>
        <v>0</v>
      </c>
      <c r="J30" s="4">
        <f t="shared" si="17"/>
        <v>0</v>
      </c>
      <c r="K30" s="4">
        <f t="shared" si="17"/>
        <v>0</v>
      </c>
      <c r="L30" s="4">
        <f t="shared" si="17"/>
        <v>0</v>
      </c>
    </row>
    <row r="31" spans="8:56" hidden="1" x14ac:dyDescent="0.25">
      <c r="H31" s="4">
        <f t="shared" si="17"/>
        <v>0</v>
      </c>
      <c r="I31" s="4">
        <f t="shared" si="17"/>
        <v>0</v>
      </c>
      <c r="J31" s="4">
        <f t="shared" si="17"/>
        <v>0</v>
      </c>
      <c r="K31" s="4">
        <f t="shared" si="17"/>
        <v>0</v>
      </c>
      <c r="L31" s="4">
        <f t="shared" si="17"/>
        <v>0</v>
      </c>
    </row>
    <row r="32" spans="8:56" hidden="1" x14ac:dyDescent="0.25">
      <c r="H32" s="4">
        <f t="shared" si="17"/>
        <v>0</v>
      </c>
      <c r="I32" s="4">
        <f t="shared" si="17"/>
        <v>0</v>
      </c>
      <c r="J32" s="4">
        <f t="shared" si="17"/>
        <v>0</v>
      </c>
      <c r="K32" s="4">
        <f t="shared" si="17"/>
        <v>0</v>
      </c>
      <c r="L32" s="4">
        <f t="shared" si="17"/>
        <v>0</v>
      </c>
    </row>
    <row r="33" spans="8:12" hidden="1" x14ac:dyDescent="0.25">
      <c r="H33" s="4">
        <f t="shared" si="17"/>
        <v>0</v>
      </c>
      <c r="I33" s="4">
        <f t="shared" si="17"/>
        <v>0</v>
      </c>
      <c r="J33" s="4">
        <f t="shared" si="17"/>
        <v>0</v>
      </c>
      <c r="K33" s="4">
        <f t="shared" si="17"/>
        <v>0</v>
      </c>
      <c r="L33" s="4">
        <f t="shared" si="17"/>
        <v>0</v>
      </c>
    </row>
    <row r="34" spans="8:12" hidden="1" x14ac:dyDescent="0.25">
      <c r="H34" s="4" t="str">
        <f t="shared" ref="H34:L43" si="18">V2</f>
        <v>AG</v>
      </c>
      <c r="I34" s="4">
        <f t="shared" si="18"/>
        <v>750</v>
      </c>
      <c r="J34" s="4">
        <f t="shared" si="18"/>
        <v>10</v>
      </c>
      <c r="K34" s="4" t="str">
        <f t="shared" si="18"/>
        <v>Y</v>
      </c>
      <c r="L34" s="4" t="str">
        <f t="shared" si="18"/>
        <v>3L</v>
      </c>
    </row>
    <row r="35" spans="8:12" hidden="1" x14ac:dyDescent="0.25">
      <c r="H35" s="4">
        <f t="shared" si="18"/>
        <v>0</v>
      </c>
      <c r="I35" s="4">
        <f t="shared" si="18"/>
        <v>0</v>
      </c>
      <c r="J35" s="4">
        <f t="shared" si="18"/>
        <v>0</v>
      </c>
      <c r="K35" s="4">
        <f t="shared" si="18"/>
        <v>0</v>
      </c>
      <c r="L35" s="4">
        <f t="shared" si="18"/>
        <v>0</v>
      </c>
    </row>
    <row r="36" spans="8:12" hidden="1" x14ac:dyDescent="0.25">
      <c r="H36" s="4">
        <f t="shared" si="18"/>
        <v>0</v>
      </c>
      <c r="I36" s="4">
        <f t="shared" si="18"/>
        <v>0</v>
      </c>
      <c r="J36" s="4">
        <f t="shared" si="18"/>
        <v>0</v>
      </c>
      <c r="K36" s="4">
        <f t="shared" si="18"/>
        <v>0</v>
      </c>
      <c r="L36" s="4">
        <f t="shared" si="18"/>
        <v>0</v>
      </c>
    </row>
    <row r="37" spans="8:12" hidden="1" x14ac:dyDescent="0.25">
      <c r="H37" s="4">
        <f t="shared" si="18"/>
        <v>0</v>
      </c>
      <c r="I37" s="4">
        <f t="shared" si="18"/>
        <v>0</v>
      </c>
      <c r="J37" s="4">
        <f t="shared" si="18"/>
        <v>0</v>
      </c>
      <c r="K37" s="4">
        <f t="shared" si="18"/>
        <v>0</v>
      </c>
      <c r="L37" s="4">
        <f t="shared" si="18"/>
        <v>0</v>
      </c>
    </row>
    <row r="38" spans="8:12" hidden="1" x14ac:dyDescent="0.25">
      <c r="H38" s="4">
        <f t="shared" si="18"/>
        <v>0</v>
      </c>
      <c r="I38" s="4">
        <f t="shared" si="18"/>
        <v>0</v>
      </c>
      <c r="J38" s="4">
        <f t="shared" si="18"/>
        <v>0</v>
      </c>
      <c r="K38" s="4">
        <f t="shared" si="18"/>
        <v>0</v>
      </c>
      <c r="L38" s="4">
        <f t="shared" si="18"/>
        <v>0</v>
      </c>
    </row>
    <row r="39" spans="8:12" hidden="1" x14ac:dyDescent="0.25">
      <c r="H39" s="4">
        <f t="shared" si="18"/>
        <v>0</v>
      </c>
      <c r="I39" s="4">
        <f t="shared" si="18"/>
        <v>0</v>
      </c>
      <c r="J39" s="4">
        <f t="shared" si="18"/>
        <v>0</v>
      </c>
      <c r="K39" s="4">
        <f t="shared" si="18"/>
        <v>0</v>
      </c>
      <c r="L39" s="4">
        <f t="shared" si="18"/>
        <v>0</v>
      </c>
    </row>
    <row r="40" spans="8:12" hidden="1" x14ac:dyDescent="0.25">
      <c r="H40" s="4">
        <f t="shared" si="18"/>
        <v>0</v>
      </c>
      <c r="I40" s="4">
        <f t="shared" si="18"/>
        <v>0</v>
      </c>
      <c r="J40" s="4">
        <f t="shared" si="18"/>
        <v>0</v>
      </c>
      <c r="K40" s="4">
        <f t="shared" si="18"/>
        <v>0</v>
      </c>
      <c r="L40" s="4">
        <f t="shared" si="18"/>
        <v>0</v>
      </c>
    </row>
    <row r="41" spans="8:12" hidden="1" x14ac:dyDescent="0.25">
      <c r="H41" s="4">
        <f t="shared" si="18"/>
        <v>0</v>
      </c>
      <c r="I41" s="4">
        <f t="shared" si="18"/>
        <v>0</v>
      </c>
      <c r="J41" s="4">
        <f t="shared" si="18"/>
        <v>0</v>
      </c>
      <c r="K41" s="4">
        <f t="shared" si="18"/>
        <v>0</v>
      </c>
      <c r="L41" s="4">
        <f t="shared" si="18"/>
        <v>0</v>
      </c>
    </row>
    <row r="42" spans="8:12" hidden="1" x14ac:dyDescent="0.25">
      <c r="H42" s="4">
        <f t="shared" si="18"/>
        <v>0</v>
      </c>
      <c r="I42" s="4">
        <f t="shared" si="18"/>
        <v>0</v>
      </c>
      <c r="J42" s="4">
        <f t="shared" si="18"/>
        <v>0</v>
      </c>
      <c r="K42" s="4">
        <f t="shared" si="18"/>
        <v>0</v>
      </c>
      <c r="L42" s="4">
        <f t="shared" si="18"/>
        <v>0</v>
      </c>
    </row>
    <row r="43" spans="8:12" hidden="1" x14ac:dyDescent="0.25">
      <c r="H43" s="4">
        <f t="shared" si="18"/>
        <v>0</v>
      </c>
      <c r="I43" s="4">
        <f t="shared" si="18"/>
        <v>0</v>
      </c>
      <c r="J43" s="4">
        <f t="shared" si="18"/>
        <v>0</v>
      </c>
      <c r="K43" s="4">
        <f t="shared" si="18"/>
        <v>0</v>
      </c>
      <c r="L43" s="4">
        <f t="shared" si="18"/>
        <v>0</v>
      </c>
    </row>
    <row r="44" spans="8:12" hidden="1" x14ac:dyDescent="0.25">
      <c r="H44" s="4" t="str">
        <f t="shared" ref="H44:L53" si="19">AB2</f>
        <v>AG</v>
      </c>
      <c r="I44" s="4">
        <f t="shared" si="19"/>
        <v>500</v>
      </c>
      <c r="J44" s="4">
        <f t="shared" si="19"/>
        <v>20</v>
      </c>
      <c r="K44" s="4" t="str">
        <f t="shared" si="19"/>
        <v>Y</v>
      </c>
      <c r="L44" s="4" t="str">
        <f t="shared" si="19"/>
        <v>3L</v>
      </c>
    </row>
    <row r="45" spans="8:12" hidden="1" x14ac:dyDescent="0.25">
      <c r="H45" s="4">
        <f t="shared" si="19"/>
        <v>0</v>
      </c>
      <c r="I45" s="4">
        <f t="shared" si="19"/>
        <v>0</v>
      </c>
      <c r="J45" s="4">
        <f t="shared" si="19"/>
        <v>0</v>
      </c>
      <c r="K45" s="4">
        <f t="shared" si="19"/>
        <v>0</v>
      </c>
      <c r="L45" s="4">
        <f t="shared" si="19"/>
        <v>0</v>
      </c>
    </row>
    <row r="46" spans="8:12" hidden="1" x14ac:dyDescent="0.25">
      <c r="H46" s="4">
        <f t="shared" si="19"/>
        <v>0</v>
      </c>
      <c r="I46" s="4">
        <f t="shared" si="19"/>
        <v>0</v>
      </c>
      <c r="J46" s="4">
        <f t="shared" si="19"/>
        <v>0</v>
      </c>
      <c r="K46" s="4">
        <f t="shared" si="19"/>
        <v>0</v>
      </c>
      <c r="L46" s="4">
        <f t="shared" si="19"/>
        <v>0</v>
      </c>
    </row>
    <row r="47" spans="8:12" hidden="1" x14ac:dyDescent="0.25">
      <c r="H47" s="4">
        <f t="shared" si="19"/>
        <v>0</v>
      </c>
      <c r="I47" s="4">
        <f t="shared" si="19"/>
        <v>0</v>
      </c>
      <c r="J47" s="4">
        <f t="shared" si="19"/>
        <v>0</v>
      </c>
      <c r="K47" s="4">
        <f t="shared" si="19"/>
        <v>0</v>
      </c>
      <c r="L47" s="4">
        <f t="shared" si="19"/>
        <v>0</v>
      </c>
    </row>
    <row r="48" spans="8:12" hidden="1" x14ac:dyDescent="0.25">
      <c r="H48" s="4">
        <f t="shared" si="19"/>
        <v>0</v>
      </c>
      <c r="I48" s="4">
        <f t="shared" si="19"/>
        <v>0</v>
      </c>
      <c r="J48" s="4">
        <f t="shared" si="19"/>
        <v>0</v>
      </c>
      <c r="K48" s="4">
        <f t="shared" si="19"/>
        <v>0</v>
      </c>
      <c r="L48" s="4">
        <f t="shared" si="19"/>
        <v>0</v>
      </c>
    </row>
    <row r="49" spans="8:12" hidden="1" x14ac:dyDescent="0.25">
      <c r="H49" s="4">
        <f t="shared" si="19"/>
        <v>0</v>
      </c>
      <c r="I49" s="4">
        <f t="shared" si="19"/>
        <v>0</v>
      </c>
      <c r="J49" s="4">
        <f t="shared" si="19"/>
        <v>0</v>
      </c>
      <c r="K49" s="4">
        <f t="shared" si="19"/>
        <v>0</v>
      </c>
      <c r="L49" s="4">
        <f t="shared" si="19"/>
        <v>0</v>
      </c>
    </row>
    <row r="50" spans="8:12" hidden="1" x14ac:dyDescent="0.25">
      <c r="H50" s="4">
        <f t="shared" si="19"/>
        <v>0</v>
      </c>
      <c r="I50" s="4">
        <f t="shared" si="19"/>
        <v>0</v>
      </c>
      <c r="J50" s="4">
        <f t="shared" si="19"/>
        <v>0</v>
      </c>
      <c r="K50" s="4">
        <f t="shared" si="19"/>
        <v>0</v>
      </c>
      <c r="L50" s="4">
        <f t="shared" si="19"/>
        <v>0</v>
      </c>
    </row>
    <row r="51" spans="8:12" hidden="1" x14ac:dyDescent="0.25">
      <c r="H51" s="4">
        <f t="shared" si="19"/>
        <v>0</v>
      </c>
      <c r="I51" s="4">
        <f t="shared" si="19"/>
        <v>0</v>
      </c>
      <c r="J51" s="4">
        <f t="shared" si="19"/>
        <v>0</v>
      </c>
      <c r="K51" s="4">
        <f t="shared" si="19"/>
        <v>0</v>
      </c>
      <c r="L51" s="4">
        <f t="shared" si="19"/>
        <v>0</v>
      </c>
    </row>
    <row r="52" spans="8:12" hidden="1" x14ac:dyDescent="0.25">
      <c r="H52" s="4">
        <f t="shared" si="19"/>
        <v>0</v>
      </c>
      <c r="I52" s="4">
        <f t="shared" si="19"/>
        <v>0</v>
      </c>
      <c r="J52" s="4">
        <f t="shared" si="19"/>
        <v>0</v>
      </c>
      <c r="K52" s="4">
        <f t="shared" si="19"/>
        <v>0</v>
      </c>
      <c r="L52" s="4">
        <f t="shared" si="19"/>
        <v>0</v>
      </c>
    </row>
    <row r="53" spans="8:12" hidden="1" x14ac:dyDescent="0.25">
      <c r="H53" s="4">
        <f t="shared" si="19"/>
        <v>0</v>
      </c>
      <c r="I53" s="4">
        <f t="shared" si="19"/>
        <v>0</v>
      </c>
      <c r="J53" s="4">
        <f t="shared" si="19"/>
        <v>0</v>
      </c>
      <c r="K53" s="4">
        <f t="shared" si="19"/>
        <v>0</v>
      </c>
      <c r="L53" s="4">
        <f t="shared" si="19"/>
        <v>0</v>
      </c>
    </row>
    <row r="54" spans="8:12" hidden="1" x14ac:dyDescent="0.25">
      <c r="H54" s="4">
        <f t="shared" ref="H54:L63" si="20">AH2</f>
        <v>0</v>
      </c>
      <c r="I54" s="4">
        <f t="shared" si="20"/>
        <v>0</v>
      </c>
      <c r="J54" s="4">
        <f t="shared" si="20"/>
        <v>0</v>
      </c>
      <c r="K54" s="4">
        <f t="shared" si="20"/>
        <v>0</v>
      </c>
      <c r="L54" s="4">
        <f t="shared" si="20"/>
        <v>0</v>
      </c>
    </row>
    <row r="55" spans="8:12" hidden="1" x14ac:dyDescent="0.25">
      <c r="H55" s="4">
        <f t="shared" si="20"/>
        <v>0</v>
      </c>
      <c r="I55" s="4">
        <f t="shared" si="20"/>
        <v>0</v>
      </c>
      <c r="J55" s="4">
        <f t="shared" si="20"/>
        <v>0</v>
      </c>
      <c r="K55" s="4">
        <f t="shared" si="20"/>
        <v>0</v>
      </c>
      <c r="L55" s="4">
        <f t="shared" si="20"/>
        <v>0</v>
      </c>
    </row>
    <row r="56" spans="8:12" hidden="1" x14ac:dyDescent="0.25">
      <c r="H56" s="4">
        <f t="shared" si="20"/>
        <v>0</v>
      </c>
      <c r="I56" s="4">
        <f t="shared" si="20"/>
        <v>0</v>
      </c>
      <c r="J56" s="4">
        <f t="shared" si="20"/>
        <v>0</v>
      </c>
      <c r="K56" s="4">
        <f t="shared" si="20"/>
        <v>0</v>
      </c>
      <c r="L56" s="4">
        <f t="shared" si="20"/>
        <v>0</v>
      </c>
    </row>
    <row r="57" spans="8:12" hidden="1" x14ac:dyDescent="0.25">
      <c r="H57" s="4">
        <f t="shared" si="20"/>
        <v>0</v>
      </c>
      <c r="I57" s="4">
        <f t="shared" si="20"/>
        <v>0</v>
      </c>
      <c r="J57" s="4">
        <f t="shared" si="20"/>
        <v>0</v>
      </c>
      <c r="K57" s="4">
        <f t="shared" si="20"/>
        <v>0</v>
      </c>
      <c r="L57" s="4">
        <f t="shared" si="20"/>
        <v>0</v>
      </c>
    </row>
    <row r="58" spans="8:12" hidden="1" x14ac:dyDescent="0.25">
      <c r="H58" s="4">
        <f t="shared" si="20"/>
        <v>0</v>
      </c>
      <c r="I58" s="4">
        <f t="shared" si="20"/>
        <v>0</v>
      </c>
      <c r="J58" s="4">
        <f t="shared" si="20"/>
        <v>0</v>
      </c>
      <c r="K58" s="4">
        <f t="shared" si="20"/>
        <v>0</v>
      </c>
      <c r="L58" s="4">
        <f t="shared" si="20"/>
        <v>0</v>
      </c>
    </row>
    <row r="59" spans="8:12" hidden="1" x14ac:dyDescent="0.25">
      <c r="H59" s="4">
        <f t="shared" si="20"/>
        <v>0</v>
      </c>
      <c r="I59" s="4">
        <f t="shared" si="20"/>
        <v>0</v>
      </c>
      <c r="J59" s="4">
        <f t="shared" si="20"/>
        <v>0</v>
      </c>
      <c r="K59" s="4">
        <f t="shared" si="20"/>
        <v>0</v>
      </c>
      <c r="L59" s="4">
        <f t="shared" si="20"/>
        <v>0</v>
      </c>
    </row>
    <row r="60" spans="8:12" hidden="1" x14ac:dyDescent="0.25">
      <c r="H60" s="4">
        <f t="shared" si="20"/>
        <v>0</v>
      </c>
      <c r="I60" s="4">
        <f t="shared" si="20"/>
        <v>0</v>
      </c>
      <c r="J60" s="4">
        <f t="shared" si="20"/>
        <v>0</v>
      </c>
      <c r="K60" s="4">
        <f t="shared" si="20"/>
        <v>0</v>
      </c>
      <c r="L60" s="4">
        <f t="shared" si="20"/>
        <v>0</v>
      </c>
    </row>
    <row r="61" spans="8:12" hidden="1" x14ac:dyDescent="0.25">
      <c r="H61" s="4">
        <f t="shared" si="20"/>
        <v>0</v>
      </c>
      <c r="I61" s="4">
        <f t="shared" si="20"/>
        <v>0</v>
      </c>
      <c r="J61" s="4">
        <f t="shared" si="20"/>
        <v>0</v>
      </c>
      <c r="K61" s="4">
        <f t="shared" si="20"/>
        <v>0</v>
      </c>
      <c r="L61" s="4">
        <f t="shared" si="20"/>
        <v>0</v>
      </c>
    </row>
    <row r="62" spans="8:12" hidden="1" x14ac:dyDescent="0.25">
      <c r="H62" s="4">
        <f t="shared" si="20"/>
        <v>0</v>
      </c>
      <c r="I62" s="4">
        <f t="shared" si="20"/>
        <v>0</v>
      </c>
      <c r="J62" s="4">
        <f t="shared" si="20"/>
        <v>0</v>
      </c>
      <c r="K62" s="4">
        <f t="shared" si="20"/>
        <v>0</v>
      </c>
      <c r="L62" s="4">
        <f t="shared" si="20"/>
        <v>0</v>
      </c>
    </row>
    <row r="63" spans="8:12" hidden="1" x14ac:dyDescent="0.25">
      <c r="H63" s="4">
        <f t="shared" si="20"/>
        <v>0</v>
      </c>
      <c r="I63" s="4">
        <f t="shared" si="20"/>
        <v>0</v>
      </c>
      <c r="J63" s="4">
        <f t="shared" si="20"/>
        <v>0</v>
      </c>
      <c r="K63" s="4">
        <f t="shared" si="20"/>
        <v>0</v>
      </c>
      <c r="L63" s="4">
        <f t="shared" si="20"/>
        <v>0</v>
      </c>
    </row>
    <row r="64" spans="8:12" hidden="1" x14ac:dyDescent="0.25">
      <c r="H64" s="4">
        <f t="shared" ref="H64:L73" si="21">AN2</f>
        <v>0</v>
      </c>
      <c r="I64" s="4">
        <f t="shared" si="21"/>
        <v>0</v>
      </c>
      <c r="J64" s="4">
        <f t="shared" si="21"/>
        <v>0</v>
      </c>
      <c r="K64" s="4">
        <f t="shared" si="21"/>
        <v>0</v>
      </c>
      <c r="L64" s="4">
        <f t="shared" si="21"/>
        <v>0</v>
      </c>
    </row>
    <row r="65" spans="8:12" hidden="1" x14ac:dyDescent="0.25">
      <c r="H65" s="4">
        <f t="shared" si="21"/>
        <v>0</v>
      </c>
      <c r="I65" s="4">
        <f t="shared" si="21"/>
        <v>0</v>
      </c>
      <c r="J65" s="4">
        <f t="shared" si="21"/>
        <v>0</v>
      </c>
      <c r="K65" s="4">
        <f t="shared" si="21"/>
        <v>0</v>
      </c>
      <c r="L65" s="4">
        <f t="shared" si="21"/>
        <v>0</v>
      </c>
    </row>
    <row r="66" spans="8:12" hidden="1" x14ac:dyDescent="0.25">
      <c r="H66" s="4">
        <f t="shared" si="21"/>
        <v>0</v>
      </c>
      <c r="I66" s="4">
        <f t="shared" si="21"/>
        <v>0</v>
      </c>
      <c r="J66" s="4">
        <f t="shared" si="21"/>
        <v>0</v>
      </c>
      <c r="K66" s="4">
        <f t="shared" si="21"/>
        <v>0</v>
      </c>
      <c r="L66" s="4">
        <f t="shared" si="21"/>
        <v>0</v>
      </c>
    </row>
    <row r="67" spans="8:12" hidden="1" x14ac:dyDescent="0.25">
      <c r="H67" s="4">
        <f t="shared" si="21"/>
        <v>0</v>
      </c>
      <c r="I67" s="4">
        <f t="shared" si="21"/>
        <v>0</v>
      </c>
      <c r="J67" s="4">
        <f t="shared" si="21"/>
        <v>0</v>
      </c>
      <c r="K67" s="4">
        <f t="shared" si="21"/>
        <v>0</v>
      </c>
      <c r="L67" s="4">
        <f t="shared" si="21"/>
        <v>0</v>
      </c>
    </row>
    <row r="68" spans="8:12" hidden="1" x14ac:dyDescent="0.25">
      <c r="H68" s="4">
        <f t="shared" si="21"/>
        <v>0</v>
      </c>
      <c r="I68" s="4">
        <f t="shared" si="21"/>
        <v>0</v>
      </c>
      <c r="J68" s="4">
        <f t="shared" si="21"/>
        <v>0</v>
      </c>
      <c r="K68" s="4">
        <f t="shared" si="21"/>
        <v>0</v>
      </c>
      <c r="L68" s="4">
        <f t="shared" si="21"/>
        <v>0</v>
      </c>
    </row>
    <row r="69" spans="8:12" hidden="1" x14ac:dyDescent="0.25">
      <c r="H69" s="4">
        <f t="shared" si="21"/>
        <v>0</v>
      </c>
      <c r="I69" s="4">
        <f t="shared" si="21"/>
        <v>0</v>
      </c>
      <c r="J69" s="4">
        <f t="shared" si="21"/>
        <v>0</v>
      </c>
      <c r="K69" s="4">
        <f t="shared" si="21"/>
        <v>0</v>
      </c>
      <c r="L69" s="4">
        <f t="shared" si="21"/>
        <v>0</v>
      </c>
    </row>
    <row r="70" spans="8:12" hidden="1" x14ac:dyDescent="0.25">
      <c r="H70" s="4">
        <f t="shared" si="21"/>
        <v>0</v>
      </c>
      <c r="I70" s="4">
        <f t="shared" si="21"/>
        <v>0</v>
      </c>
      <c r="J70" s="4">
        <f t="shared" si="21"/>
        <v>0</v>
      </c>
      <c r="K70" s="4">
        <f t="shared" si="21"/>
        <v>0</v>
      </c>
      <c r="L70" s="4">
        <f t="shared" si="21"/>
        <v>0</v>
      </c>
    </row>
    <row r="71" spans="8:12" hidden="1" x14ac:dyDescent="0.25">
      <c r="H71" s="4">
        <f t="shared" si="21"/>
        <v>0</v>
      </c>
      <c r="I71" s="4">
        <f t="shared" si="21"/>
        <v>0</v>
      </c>
      <c r="J71" s="4">
        <f t="shared" si="21"/>
        <v>0</v>
      </c>
      <c r="K71" s="4">
        <f t="shared" si="21"/>
        <v>0</v>
      </c>
      <c r="L71" s="4">
        <f t="shared" si="21"/>
        <v>0</v>
      </c>
    </row>
    <row r="72" spans="8:12" hidden="1" x14ac:dyDescent="0.25">
      <c r="H72" s="4">
        <f t="shared" si="21"/>
        <v>0</v>
      </c>
      <c r="I72" s="4">
        <f t="shared" si="21"/>
        <v>0</v>
      </c>
      <c r="J72" s="4">
        <f t="shared" si="21"/>
        <v>0</v>
      </c>
      <c r="K72" s="4">
        <f t="shared" si="21"/>
        <v>0</v>
      </c>
      <c r="L72" s="4">
        <f t="shared" si="21"/>
        <v>0</v>
      </c>
    </row>
    <row r="73" spans="8:12" hidden="1" x14ac:dyDescent="0.25">
      <c r="H73" s="4">
        <f t="shared" si="21"/>
        <v>0</v>
      </c>
      <c r="I73" s="4">
        <f t="shared" si="21"/>
        <v>0</v>
      </c>
      <c r="J73" s="4">
        <f t="shared" si="21"/>
        <v>0</v>
      </c>
      <c r="K73" s="4">
        <f t="shared" si="21"/>
        <v>0</v>
      </c>
      <c r="L73" s="4">
        <f t="shared" si="21"/>
        <v>0</v>
      </c>
    </row>
    <row r="74" spans="8:12" hidden="1" x14ac:dyDescent="0.25">
      <c r="H74" s="4">
        <f t="shared" ref="H74:L83" si="22">AT2</f>
        <v>0</v>
      </c>
      <c r="I74" s="4">
        <f t="shared" si="22"/>
        <v>0</v>
      </c>
      <c r="J74" s="4">
        <f t="shared" si="22"/>
        <v>0</v>
      </c>
      <c r="K74" s="4">
        <f t="shared" si="22"/>
        <v>0</v>
      </c>
      <c r="L74" s="4">
        <f t="shared" si="22"/>
        <v>0</v>
      </c>
    </row>
    <row r="75" spans="8:12" hidden="1" x14ac:dyDescent="0.25">
      <c r="H75" s="4">
        <f t="shared" si="22"/>
        <v>0</v>
      </c>
      <c r="I75" s="4">
        <f t="shared" si="22"/>
        <v>0</v>
      </c>
      <c r="J75" s="4">
        <f t="shared" si="22"/>
        <v>0</v>
      </c>
      <c r="K75" s="4">
        <f t="shared" si="22"/>
        <v>0</v>
      </c>
      <c r="L75" s="4">
        <f t="shared" si="22"/>
        <v>0</v>
      </c>
    </row>
    <row r="76" spans="8:12" hidden="1" x14ac:dyDescent="0.25"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0</v>
      </c>
    </row>
    <row r="77" spans="8:12" hidden="1" x14ac:dyDescent="0.25">
      <c r="H77" s="4">
        <f t="shared" si="22"/>
        <v>0</v>
      </c>
      <c r="I77" s="4">
        <f t="shared" si="22"/>
        <v>0</v>
      </c>
      <c r="J77" s="4">
        <f t="shared" si="22"/>
        <v>0</v>
      </c>
      <c r="K77" s="4">
        <f t="shared" si="22"/>
        <v>0</v>
      </c>
      <c r="L77" s="4">
        <f t="shared" si="22"/>
        <v>0</v>
      </c>
    </row>
    <row r="78" spans="8:12" hidden="1" x14ac:dyDescent="0.25">
      <c r="H78" s="4">
        <f t="shared" si="22"/>
        <v>0</v>
      </c>
      <c r="I78" s="4">
        <f t="shared" si="22"/>
        <v>0</v>
      </c>
      <c r="J78" s="4">
        <f t="shared" si="22"/>
        <v>0</v>
      </c>
      <c r="K78" s="4">
        <f t="shared" si="22"/>
        <v>0</v>
      </c>
      <c r="L78" s="4">
        <f t="shared" si="22"/>
        <v>0</v>
      </c>
    </row>
    <row r="79" spans="8:12" hidden="1" x14ac:dyDescent="0.25">
      <c r="H79" s="4">
        <f t="shared" si="22"/>
        <v>0</v>
      </c>
      <c r="I79" s="4">
        <f t="shared" si="22"/>
        <v>0</v>
      </c>
      <c r="J79" s="4">
        <f t="shared" si="22"/>
        <v>0</v>
      </c>
      <c r="K79" s="4">
        <f t="shared" si="22"/>
        <v>0</v>
      </c>
      <c r="L79" s="4">
        <f t="shared" si="22"/>
        <v>0</v>
      </c>
    </row>
    <row r="80" spans="8:12" hidden="1" x14ac:dyDescent="0.25">
      <c r="H80" s="4">
        <f t="shared" si="22"/>
        <v>0</v>
      </c>
      <c r="I80" s="4">
        <f t="shared" si="22"/>
        <v>0</v>
      </c>
      <c r="J80" s="4">
        <f t="shared" si="22"/>
        <v>0</v>
      </c>
      <c r="K80" s="4">
        <f t="shared" si="22"/>
        <v>0</v>
      </c>
      <c r="L80" s="4">
        <f t="shared" si="22"/>
        <v>0</v>
      </c>
    </row>
    <row r="81" spans="8:12" hidden="1" x14ac:dyDescent="0.25">
      <c r="H81" s="4">
        <f t="shared" si="22"/>
        <v>0</v>
      </c>
      <c r="I81" s="4">
        <f t="shared" si="22"/>
        <v>0</v>
      </c>
      <c r="J81" s="4">
        <f t="shared" si="22"/>
        <v>0</v>
      </c>
      <c r="K81" s="4">
        <f t="shared" si="22"/>
        <v>0</v>
      </c>
      <c r="L81" s="4">
        <f t="shared" si="22"/>
        <v>0</v>
      </c>
    </row>
    <row r="82" spans="8:12" hidden="1" x14ac:dyDescent="0.25"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</row>
    <row r="83" spans="8:12" hidden="1" x14ac:dyDescent="0.25">
      <c r="H83" s="4">
        <f t="shared" si="22"/>
        <v>0</v>
      </c>
      <c r="I83" s="4">
        <f t="shared" si="22"/>
        <v>0</v>
      </c>
      <c r="J83" s="4">
        <f t="shared" si="22"/>
        <v>0</v>
      </c>
      <c r="K83" s="4">
        <f t="shared" si="22"/>
        <v>0</v>
      </c>
      <c r="L83" s="4">
        <f t="shared" si="22"/>
        <v>0</v>
      </c>
    </row>
    <row r="84" spans="8:12" hidden="1" x14ac:dyDescent="0.25">
      <c r="H84" s="4">
        <f t="shared" ref="H84:L93" si="23">AZ2</f>
        <v>0</v>
      </c>
      <c r="I84" s="4">
        <f t="shared" si="23"/>
        <v>0</v>
      </c>
      <c r="J84" s="4">
        <f t="shared" si="23"/>
        <v>0</v>
      </c>
      <c r="K84" s="4">
        <f t="shared" si="23"/>
        <v>0</v>
      </c>
      <c r="L84" s="4">
        <f t="shared" si="23"/>
        <v>0</v>
      </c>
    </row>
    <row r="85" spans="8:12" hidden="1" x14ac:dyDescent="0.25">
      <c r="H85" s="4">
        <f t="shared" si="23"/>
        <v>0</v>
      </c>
      <c r="I85" s="4">
        <f t="shared" si="23"/>
        <v>0</v>
      </c>
      <c r="J85" s="4">
        <f t="shared" si="23"/>
        <v>0</v>
      </c>
      <c r="K85" s="4">
        <f t="shared" si="23"/>
        <v>0</v>
      </c>
      <c r="L85" s="4">
        <f t="shared" si="23"/>
        <v>0</v>
      </c>
    </row>
    <row r="86" spans="8:12" hidden="1" x14ac:dyDescent="0.25">
      <c r="H86" s="4">
        <f t="shared" si="23"/>
        <v>0</v>
      </c>
      <c r="I86" s="4">
        <f t="shared" si="23"/>
        <v>0</v>
      </c>
      <c r="J86" s="4">
        <f t="shared" si="23"/>
        <v>0</v>
      </c>
      <c r="K86" s="4">
        <f t="shared" si="23"/>
        <v>0</v>
      </c>
      <c r="L86" s="4">
        <f t="shared" si="23"/>
        <v>0</v>
      </c>
    </row>
    <row r="87" spans="8:12" hidden="1" x14ac:dyDescent="0.25">
      <c r="H87" s="4">
        <f t="shared" si="23"/>
        <v>0</v>
      </c>
      <c r="I87" s="4">
        <f t="shared" si="23"/>
        <v>0</v>
      </c>
      <c r="J87" s="4">
        <f t="shared" si="23"/>
        <v>0</v>
      </c>
      <c r="K87" s="4">
        <f t="shared" si="23"/>
        <v>0</v>
      </c>
      <c r="L87" s="4">
        <f t="shared" si="23"/>
        <v>0</v>
      </c>
    </row>
    <row r="88" spans="8:12" hidden="1" x14ac:dyDescent="0.25">
      <c r="H88" s="4">
        <f t="shared" si="23"/>
        <v>0</v>
      </c>
      <c r="I88" s="4">
        <f t="shared" si="23"/>
        <v>0</v>
      </c>
      <c r="J88" s="4">
        <f t="shared" si="23"/>
        <v>0</v>
      </c>
      <c r="K88" s="4">
        <f t="shared" si="23"/>
        <v>0</v>
      </c>
      <c r="L88" s="4">
        <f t="shared" si="23"/>
        <v>0</v>
      </c>
    </row>
    <row r="89" spans="8:12" hidden="1" x14ac:dyDescent="0.25">
      <c r="H89" s="4">
        <f t="shared" si="23"/>
        <v>0</v>
      </c>
      <c r="I89" s="4">
        <f t="shared" si="23"/>
        <v>0</v>
      </c>
      <c r="J89" s="4">
        <f t="shared" si="23"/>
        <v>0</v>
      </c>
      <c r="K89" s="4">
        <f t="shared" si="23"/>
        <v>0</v>
      </c>
      <c r="L89" s="4">
        <f t="shared" si="23"/>
        <v>0</v>
      </c>
    </row>
    <row r="90" spans="8:12" hidden="1" x14ac:dyDescent="0.25">
      <c r="H90" s="4">
        <f t="shared" si="23"/>
        <v>0</v>
      </c>
      <c r="I90" s="4">
        <f t="shared" si="23"/>
        <v>0</v>
      </c>
      <c r="J90" s="4">
        <f t="shared" si="23"/>
        <v>0</v>
      </c>
      <c r="K90" s="4">
        <f t="shared" si="23"/>
        <v>0</v>
      </c>
      <c r="L90" s="4">
        <f t="shared" si="23"/>
        <v>0</v>
      </c>
    </row>
    <row r="91" spans="8:12" hidden="1" x14ac:dyDescent="0.25">
      <c r="H91" s="4">
        <f t="shared" si="23"/>
        <v>0</v>
      </c>
      <c r="I91" s="4">
        <f t="shared" si="23"/>
        <v>0</v>
      </c>
      <c r="J91" s="4">
        <f t="shared" si="23"/>
        <v>0</v>
      </c>
      <c r="K91" s="4">
        <f t="shared" si="23"/>
        <v>0</v>
      </c>
      <c r="L91" s="4">
        <f t="shared" si="23"/>
        <v>0</v>
      </c>
    </row>
    <row r="92" spans="8:12" hidden="1" x14ac:dyDescent="0.25">
      <c r="H92" s="4">
        <f t="shared" si="23"/>
        <v>0</v>
      </c>
      <c r="I92" s="4">
        <f t="shared" si="23"/>
        <v>0</v>
      </c>
      <c r="J92" s="4">
        <f t="shared" si="23"/>
        <v>0</v>
      </c>
      <c r="K92" s="4">
        <f t="shared" si="23"/>
        <v>0</v>
      </c>
      <c r="L92" s="4">
        <f t="shared" si="23"/>
        <v>0</v>
      </c>
    </row>
    <row r="93" spans="8:12" hidden="1" x14ac:dyDescent="0.25">
      <c r="H93" s="4">
        <f t="shared" si="23"/>
        <v>0</v>
      </c>
      <c r="I93" s="4">
        <f t="shared" si="23"/>
        <v>0</v>
      </c>
      <c r="J93" s="4">
        <f t="shared" si="23"/>
        <v>0</v>
      </c>
      <c r="K93" s="4">
        <f t="shared" si="23"/>
        <v>0</v>
      </c>
      <c r="L93" s="4">
        <f t="shared" si="23"/>
        <v>0</v>
      </c>
    </row>
    <row r="94" spans="8:12" hidden="1" x14ac:dyDescent="0.25">
      <c r="H94" s="4">
        <f t="shared" ref="H94:L103" si="24">BF2</f>
        <v>0</v>
      </c>
      <c r="I94" s="4">
        <f t="shared" si="24"/>
        <v>0</v>
      </c>
      <c r="J94" s="4">
        <f t="shared" si="24"/>
        <v>0</v>
      </c>
      <c r="K94" s="4">
        <f t="shared" si="24"/>
        <v>0</v>
      </c>
      <c r="L94" s="4">
        <f t="shared" si="24"/>
        <v>0</v>
      </c>
    </row>
    <row r="95" spans="8:12" hidden="1" x14ac:dyDescent="0.25">
      <c r="H95" s="4">
        <f t="shared" si="24"/>
        <v>0</v>
      </c>
      <c r="I95" s="4">
        <f t="shared" si="24"/>
        <v>0</v>
      </c>
      <c r="J95" s="4">
        <f t="shared" si="24"/>
        <v>0</v>
      </c>
      <c r="K95" s="4">
        <f t="shared" si="24"/>
        <v>0</v>
      </c>
      <c r="L95" s="4">
        <f t="shared" si="24"/>
        <v>0</v>
      </c>
    </row>
    <row r="96" spans="8:12" hidden="1" x14ac:dyDescent="0.25">
      <c r="H96" s="4">
        <f t="shared" si="24"/>
        <v>0</v>
      </c>
      <c r="I96" s="4">
        <f t="shared" si="24"/>
        <v>0</v>
      </c>
      <c r="J96" s="4">
        <f t="shared" si="24"/>
        <v>0</v>
      </c>
      <c r="K96" s="4">
        <f t="shared" si="24"/>
        <v>0</v>
      </c>
      <c r="L96" s="4">
        <f t="shared" si="24"/>
        <v>0</v>
      </c>
    </row>
    <row r="97" spans="8:12" hidden="1" x14ac:dyDescent="0.25">
      <c r="H97" s="4">
        <f t="shared" si="24"/>
        <v>0</v>
      </c>
      <c r="I97" s="4">
        <f t="shared" si="24"/>
        <v>0</v>
      </c>
      <c r="J97" s="4">
        <f t="shared" si="24"/>
        <v>0</v>
      </c>
      <c r="K97" s="4">
        <f t="shared" si="24"/>
        <v>0</v>
      </c>
      <c r="L97" s="4">
        <f t="shared" si="24"/>
        <v>0</v>
      </c>
    </row>
    <row r="98" spans="8:12" hidden="1" x14ac:dyDescent="0.25">
      <c r="H98" s="4">
        <f t="shared" si="24"/>
        <v>0</v>
      </c>
      <c r="I98" s="4">
        <f t="shared" si="24"/>
        <v>0</v>
      </c>
      <c r="J98" s="4">
        <f t="shared" si="24"/>
        <v>0</v>
      </c>
      <c r="K98" s="4">
        <f t="shared" si="24"/>
        <v>0</v>
      </c>
      <c r="L98" s="4">
        <f t="shared" si="24"/>
        <v>0</v>
      </c>
    </row>
    <row r="99" spans="8:12" hidden="1" x14ac:dyDescent="0.25">
      <c r="H99" s="4">
        <f t="shared" si="24"/>
        <v>0</v>
      </c>
      <c r="I99" s="4">
        <f t="shared" si="24"/>
        <v>0</v>
      </c>
      <c r="J99" s="4">
        <f t="shared" si="24"/>
        <v>0</v>
      </c>
      <c r="K99" s="4">
        <f t="shared" si="24"/>
        <v>0</v>
      </c>
      <c r="L99" s="4">
        <f t="shared" si="24"/>
        <v>0</v>
      </c>
    </row>
    <row r="100" spans="8:12" hidden="1" x14ac:dyDescent="0.25">
      <c r="H100" s="4">
        <f t="shared" si="24"/>
        <v>0</v>
      </c>
      <c r="I100" s="4">
        <f t="shared" si="24"/>
        <v>0</v>
      </c>
      <c r="J100" s="4">
        <f t="shared" si="24"/>
        <v>0</v>
      </c>
      <c r="K100" s="4">
        <f t="shared" si="24"/>
        <v>0</v>
      </c>
      <c r="L100" s="4">
        <f t="shared" si="24"/>
        <v>0</v>
      </c>
    </row>
    <row r="101" spans="8:12" hidden="1" x14ac:dyDescent="0.25">
      <c r="H101" s="4">
        <f t="shared" si="24"/>
        <v>0</v>
      </c>
      <c r="I101" s="4">
        <f t="shared" si="24"/>
        <v>0</v>
      </c>
      <c r="J101" s="4">
        <f t="shared" si="24"/>
        <v>0</v>
      </c>
      <c r="K101" s="4">
        <f t="shared" si="24"/>
        <v>0</v>
      </c>
      <c r="L101" s="4">
        <f t="shared" si="24"/>
        <v>0</v>
      </c>
    </row>
    <row r="102" spans="8:12" hidden="1" x14ac:dyDescent="0.25">
      <c r="H102" s="4">
        <f t="shared" si="24"/>
        <v>0</v>
      </c>
      <c r="I102" s="4">
        <f t="shared" si="24"/>
        <v>0</v>
      </c>
      <c r="J102" s="4">
        <f t="shared" si="24"/>
        <v>0</v>
      </c>
      <c r="K102" s="4">
        <f t="shared" si="24"/>
        <v>0</v>
      </c>
      <c r="L102" s="4">
        <f t="shared" si="24"/>
        <v>0</v>
      </c>
    </row>
    <row r="103" spans="8:12" hidden="1" x14ac:dyDescent="0.25">
      <c r="H103" s="4">
        <f t="shared" si="24"/>
        <v>0</v>
      </c>
      <c r="I103" s="4">
        <f t="shared" si="24"/>
        <v>0</v>
      </c>
      <c r="J103" s="4">
        <f t="shared" si="24"/>
        <v>0</v>
      </c>
      <c r="K103" s="4">
        <f t="shared" si="24"/>
        <v>0</v>
      </c>
      <c r="L103" s="4">
        <f t="shared" si="24"/>
        <v>0</v>
      </c>
    </row>
    <row r="104" spans="8:12" hidden="1" x14ac:dyDescent="0.25">
      <c r="H104" s="4">
        <f t="shared" ref="H104:L113" si="25">BL2</f>
        <v>0</v>
      </c>
      <c r="I104" s="4">
        <f t="shared" si="25"/>
        <v>0</v>
      </c>
      <c r="J104" s="4">
        <f t="shared" si="25"/>
        <v>0</v>
      </c>
      <c r="K104" s="4">
        <f t="shared" si="25"/>
        <v>0</v>
      </c>
      <c r="L104" s="4">
        <f t="shared" si="25"/>
        <v>0</v>
      </c>
    </row>
    <row r="105" spans="8:12" hidden="1" x14ac:dyDescent="0.25">
      <c r="H105" s="4">
        <f t="shared" si="25"/>
        <v>0</v>
      </c>
      <c r="I105" s="4">
        <f t="shared" si="25"/>
        <v>0</v>
      </c>
      <c r="J105" s="4">
        <f t="shared" si="25"/>
        <v>0</v>
      </c>
      <c r="K105" s="4">
        <f t="shared" si="25"/>
        <v>0</v>
      </c>
      <c r="L105" s="4">
        <f t="shared" si="25"/>
        <v>0</v>
      </c>
    </row>
    <row r="106" spans="8:12" hidden="1" x14ac:dyDescent="0.25">
      <c r="H106" s="4">
        <f t="shared" si="25"/>
        <v>0</v>
      </c>
      <c r="I106" s="4">
        <f t="shared" si="25"/>
        <v>0</v>
      </c>
      <c r="J106" s="4">
        <f t="shared" si="25"/>
        <v>0</v>
      </c>
      <c r="K106" s="4">
        <f t="shared" si="25"/>
        <v>0</v>
      </c>
      <c r="L106" s="4">
        <f t="shared" si="25"/>
        <v>0</v>
      </c>
    </row>
    <row r="107" spans="8:12" hidden="1" x14ac:dyDescent="0.25">
      <c r="H107" s="4">
        <f t="shared" si="25"/>
        <v>0</v>
      </c>
      <c r="I107" s="4">
        <f t="shared" si="25"/>
        <v>0</v>
      </c>
      <c r="J107" s="4">
        <f t="shared" si="25"/>
        <v>0</v>
      </c>
      <c r="K107" s="4">
        <f t="shared" si="25"/>
        <v>0</v>
      </c>
      <c r="L107" s="4">
        <f t="shared" si="25"/>
        <v>0</v>
      </c>
    </row>
    <row r="108" spans="8:12" hidden="1" x14ac:dyDescent="0.25">
      <c r="H108" s="4">
        <f t="shared" si="25"/>
        <v>0</v>
      </c>
      <c r="I108" s="4">
        <f t="shared" si="25"/>
        <v>0</v>
      </c>
      <c r="J108" s="4">
        <f t="shared" si="25"/>
        <v>0</v>
      </c>
      <c r="K108" s="4">
        <f t="shared" si="25"/>
        <v>0</v>
      </c>
      <c r="L108" s="4">
        <f t="shared" si="25"/>
        <v>0</v>
      </c>
    </row>
    <row r="109" spans="8:12" hidden="1" x14ac:dyDescent="0.25">
      <c r="H109" s="4">
        <f t="shared" si="25"/>
        <v>0</v>
      </c>
      <c r="I109" s="4">
        <f t="shared" si="25"/>
        <v>0</v>
      </c>
      <c r="J109" s="4">
        <f t="shared" si="25"/>
        <v>0</v>
      </c>
      <c r="K109" s="4">
        <f t="shared" si="25"/>
        <v>0</v>
      </c>
      <c r="L109" s="4">
        <f t="shared" si="25"/>
        <v>0</v>
      </c>
    </row>
    <row r="110" spans="8:12" hidden="1" x14ac:dyDescent="0.25">
      <c r="H110" s="4">
        <f t="shared" si="25"/>
        <v>0</v>
      </c>
      <c r="I110" s="4">
        <f t="shared" si="25"/>
        <v>0</v>
      </c>
      <c r="J110" s="4">
        <f t="shared" si="25"/>
        <v>0</v>
      </c>
      <c r="K110" s="4">
        <f t="shared" si="25"/>
        <v>0</v>
      </c>
      <c r="L110" s="4">
        <f t="shared" si="25"/>
        <v>0</v>
      </c>
    </row>
    <row r="111" spans="8:12" hidden="1" x14ac:dyDescent="0.25">
      <c r="H111" s="4">
        <f t="shared" si="25"/>
        <v>0</v>
      </c>
      <c r="I111" s="4">
        <f t="shared" si="25"/>
        <v>0</v>
      </c>
      <c r="J111" s="4">
        <f t="shared" si="25"/>
        <v>0</v>
      </c>
      <c r="K111" s="4">
        <f t="shared" si="25"/>
        <v>0</v>
      </c>
      <c r="L111" s="4">
        <f t="shared" si="25"/>
        <v>0</v>
      </c>
    </row>
    <row r="112" spans="8:12" hidden="1" x14ac:dyDescent="0.25">
      <c r="H112" s="4">
        <f t="shared" si="25"/>
        <v>0</v>
      </c>
      <c r="I112" s="4">
        <f t="shared" si="25"/>
        <v>0</v>
      </c>
      <c r="J112" s="4">
        <f t="shared" si="25"/>
        <v>0</v>
      </c>
      <c r="K112" s="4">
        <f t="shared" si="25"/>
        <v>0</v>
      </c>
      <c r="L112" s="4">
        <f t="shared" si="25"/>
        <v>0</v>
      </c>
    </row>
    <row r="113" spans="1:62" hidden="1" x14ac:dyDescent="0.25">
      <c r="H113" s="45">
        <f t="shared" si="25"/>
        <v>0</v>
      </c>
      <c r="I113" s="45">
        <f t="shared" si="25"/>
        <v>0</v>
      </c>
      <c r="J113" s="4">
        <f t="shared" si="25"/>
        <v>0</v>
      </c>
      <c r="K113" s="4">
        <f t="shared" si="25"/>
        <v>0</v>
      </c>
      <c r="L113" s="4">
        <f t="shared" si="25"/>
        <v>0</v>
      </c>
    </row>
    <row r="114" spans="1:62" x14ac:dyDescent="0.25">
      <c r="A114" s="168" t="s">
        <v>85</v>
      </c>
      <c r="B114" s="169"/>
      <c r="C114" s="170"/>
      <c r="D114" s="171">
        <v>46008</v>
      </c>
      <c r="E114" s="172"/>
      <c r="F114" s="172"/>
      <c r="G114" s="172"/>
      <c r="H114" s="46"/>
      <c r="I114" s="54"/>
    </row>
    <row r="115" spans="1:62" ht="15.75" thickBot="1" x14ac:dyDescent="0.3">
      <c r="A115" s="110"/>
      <c r="B115" s="110"/>
      <c r="C115" s="110"/>
      <c r="D115" s="110"/>
      <c r="E115" s="110"/>
      <c r="F115" s="110"/>
      <c r="G115" s="110"/>
      <c r="H115" s="54"/>
      <c r="I115" s="54"/>
    </row>
    <row r="116" spans="1:62" ht="16.5" thickBot="1" x14ac:dyDescent="0.3">
      <c r="A116" s="173" t="s">
        <v>248</v>
      </c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5"/>
      <c r="AH116" s="118" t="s">
        <v>35</v>
      </c>
      <c r="AI116" s="118"/>
      <c r="AJ116" s="118" t="str">
        <f>F2</f>
        <v>AP08</v>
      </c>
      <c r="AK116" s="118"/>
      <c r="AL116" s="118"/>
      <c r="AN116" s="118" t="s">
        <v>35</v>
      </c>
      <c r="AO116" s="118"/>
      <c r="AP116" s="118">
        <f>F3</f>
        <v>0</v>
      </c>
      <c r="AQ116" s="118"/>
      <c r="AR116" s="118"/>
      <c r="AT116" s="118" t="s">
        <v>35</v>
      </c>
      <c r="AU116" s="118"/>
      <c r="AV116" s="118">
        <f>F4</f>
        <v>0</v>
      </c>
      <c r="AW116" s="118"/>
      <c r="AX116" s="118"/>
      <c r="AZ116" s="118" t="s">
        <v>35</v>
      </c>
      <c r="BA116" s="118"/>
      <c r="BB116" s="118">
        <f>F5</f>
        <v>0</v>
      </c>
      <c r="BC116" s="118"/>
      <c r="BD116" s="118"/>
      <c r="BF116" s="118" t="s">
        <v>35</v>
      </c>
      <c r="BG116" s="118"/>
      <c r="BH116" s="118">
        <f>F6</f>
        <v>0</v>
      </c>
      <c r="BI116" s="118"/>
      <c r="BJ116" s="118"/>
    </row>
    <row r="117" spans="1:62" x14ac:dyDescent="0.25">
      <c r="A117" s="123" t="s">
        <v>31</v>
      </c>
      <c r="B117" s="113" t="s">
        <v>22</v>
      </c>
      <c r="C117" s="114"/>
      <c r="D117" s="114"/>
      <c r="E117" s="114"/>
      <c r="F117" s="115"/>
      <c r="G117" s="113" t="s">
        <v>20</v>
      </c>
      <c r="H117" s="114"/>
      <c r="I117" s="114"/>
      <c r="J117" s="114"/>
      <c r="K117" s="115"/>
      <c r="L117" s="113" t="s">
        <v>34</v>
      </c>
      <c r="M117" s="114"/>
      <c r="N117" s="114"/>
      <c r="O117" s="114"/>
      <c r="P117" s="115"/>
      <c r="Q117" s="113" t="s">
        <v>127</v>
      </c>
      <c r="R117" s="114"/>
      <c r="S117" s="114"/>
      <c r="T117" s="114"/>
      <c r="U117" s="115"/>
      <c r="V117" s="113" t="s">
        <v>129</v>
      </c>
      <c r="W117" s="114"/>
      <c r="X117" s="114"/>
      <c r="Y117" s="114"/>
      <c r="Z117" s="115"/>
      <c r="AA117" s="113" t="s">
        <v>26</v>
      </c>
      <c r="AB117" s="114"/>
      <c r="AC117" s="114"/>
      <c r="AD117" s="114"/>
      <c r="AE117" s="115"/>
      <c r="AF117" s="116" t="s">
        <v>24</v>
      </c>
      <c r="AG117" s="116" t="s">
        <v>86</v>
      </c>
      <c r="AH117" s="118" t="str">
        <f>G2</f>
        <v>PAWAN PUTRA AGENCY</v>
      </c>
      <c r="AI117" s="118"/>
      <c r="AJ117" s="118"/>
      <c r="AK117" s="118"/>
      <c r="AL117" s="118"/>
      <c r="AN117" s="118">
        <f>G3</f>
        <v>0</v>
      </c>
      <c r="AO117" s="118"/>
      <c r="AP117" s="118"/>
      <c r="AQ117" s="118"/>
      <c r="AR117" s="118"/>
      <c r="AT117" s="118">
        <f>G4</f>
        <v>0</v>
      </c>
      <c r="AU117" s="118"/>
      <c r="AV117" s="118"/>
      <c r="AW117" s="118"/>
      <c r="AX117" s="118"/>
      <c r="AZ117" s="118">
        <f>G5</f>
        <v>0</v>
      </c>
      <c r="BA117" s="118"/>
      <c r="BB117" s="118"/>
      <c r="BC117" s="118"/>
      <c r="BD117" s="118"/>
      <c r="BF117" s="118">
        <f>G6</f>
        <v>0</v>
      </c>
      <c r="BG117" s="118"/>
      <c r="BH117" s="118"/>
      <c r="BI117" s="118"/>
      <c r="BJ117" s="118"/>
    </row>
    <row r="118" spans="1:62" ht="15.75" thickBot="1" x14ac:dyDescent="0.3">
      <c r="A118" s="124"/>
      <c r="B118" s="9" t="s">
        <v>32</v>
      </c>
      <c r="C118" s="12" t="s">
        <v>17</v>
      </c>
      <c r="D118" s="12" t="s">
        <v>19</v>
      </c>
      <c r="E118" s="12" t="s">
        <v>33</v>
      </c>
      <c r="F118" s="14" t="s">
        <v>80</v>
      </c>
      <c r="G118" s="9" t="s">
        <v>32</v>
      </c>
      <c r="H118" s="12" t="s">
        <v>17</v>
      </c>
      <c r="I118" s="12" t="s">
        <v>19</v>
      </c>
      <c r="J118" s="12" t="s">
        <v>33</v>
      </c>
      <c r="K118" s="14" t="s">
        <v>80</v>
      </c>
      <c r="L118" s="9" t="s">
        <v>32</v>
      </c>
      <c r="M118" s="12" t="s">
        <v>17</v>
      </c>
      <c r="N118" s="12" t="s">
        <v>19</v>
      </c>
      <c r="O118" s="12" t="s">
        <v>33</v>
      </c>
      <c r="P118" s="14" t="s">
        <v>80</v>
      </c>
      <c r="Q118" s="9" t="s">
        <v>32</v>
      </c>
      <c r="R118" s="12" t="s">
        <v>17</v>
      </c>
      <c r="S118" s="12" t="s">
        <v>19</v>
      </c>
      <c r="T118" s="12" t="s">
        <v>33</v>
      </c>
      <c r="U118" s="14" t="s">
        <v>80</v>
      </c>
      <c r="V118" s="9" t="s">
        <v>32</v>
      </c>
      <c r="W118" s="12" t="s">
        <v>17</v>
      </c>
      <c r="X118" s="12" t="s">
        <v>19</v>
      </c>
      <c r="Y118" s="12" t="s">
        <v>33</v>
      </c>
      <c r="Z118" s="14" t="s">
        <v>80</v>
      </c>
      <c r="AA118" s="9" t="s">
        <v>32</v>
      </c>
      <c r="AB118" s="12" t="s">
        <v>17</v>
      </c>
      <c r="AC118" s="12" t="s">
        <v>19</v>
      </c>
      <c r="AD118" s="12" t="s">
        <v>33</v>
      </c>
      <c r="AE118" s="14" t="s">
        <v>80</v>
      </c>
      <c r="AF118" s="117"/>
      <c r="AG118" s="117"/>
      <c r="AH118" s="118" t="str">
        <f>H2</f>
        <v>TIRUPATHI</v>
      </c>
      <c r="AI118" s="118"/>
      <c r="AJ118" s="118"/>
      <c r="AK118" s="118"/>
      <c r="AL118" s="118"/>
      <c r="AN118" s="118">
        <f>H3</f>
        <v>0</v>
      </c>
      <c r="AO118" s="118"/>
      <c r="AP118" s="118"/>
      <c r="AQ118" s="118"/>
      <c r="AR118" s="118"/>
      <c r="AT118" s="118">
        <f>H4</f>
        <v>0</v>
      </c>
      <c r="AU118" s="118"/>
      <c r="AV118" s="118"/>
      <c r="AW118" s="118"/>
      <c r="AX118" s="118"/>
      <c r="AZ118" s="118">
        <f>H5</f>
        <v>0</v>
      </c>
      <c r="BA118" s="118"/>
      <c r="BB118" s="118"/>
      <c r="BC118" s="118"/>
      <c r="BD118" s="118"/>
      <c r="BF118" s="118">
        <f>H6</f>
        <v>0</v>
      </c>
      <c r="BG118" s="118"/>
      <c r="BH118" s="118"/>
      <c r="BI118" s="118"/>
      <c r="BJ118" s="118"/>
    </row>
    <row r="119" spans="1:62" ht="15.75" thickBot="1" x14ac:dyDescent="0.3">
      <c r="A119" s="16">
        <v>300</v>
      </c>
      <c r="B119" s="10">
        <f t="shared" ref="B119:F127" si="26">SUMIFS($J$14:$J$113,$I$14:$I$113,$A119,$K$14:$K$113,B$118,$L$14:$L$113,$B$117,$H$14:$H$113,"AG")</f>
        <v>0</v>
      </c>
      <c r="C119" s="11">
        <f t="shared" si="26"/>
        <v>0</v>
      </c>
      <c r="D119" s="11">
        <f t="shared" si="26"/>
        <v>0</v>
      </c>
      <c r="E119" s="11">
        <f t="shared" si="26"/>
        <v>0</v>
      </c>
      <c r="F119" s="17">
        <f t="shared" si="26"/>
        <v>0</v>
      </c>
      <c r="G119" s="10">
        <f t="shared" ref="G119:K127" si="27">SUMIFS($J$14:$J$113,$I$14:$I$113,$A119,$K$14:$K$113,G$118,$L$14:$L$113,$G$117,$H$14:$H$113,"AG")</f>
        <v>0</v>
      </c>
      <c r="H119" s="11">
        <f t="shared" si="27"/>
        <v>0</v>
      </c>
      <c r="I119" s="11">
        <f t="shared" si="27"/>
        <v>0</v>
      </c>
      <c r="J119" s="11">
        <f t="shared" si="27"/>
        <v>0</v>
      </c>
      <c r="K119" s="17">
        <f t="shared" si="27"/>
        <v>0</v>
      </c>
      <c r="L119" s="10">
        <f t="shared" ref="L119:P127" si="28">SUMIFS($J$14:$J$113,$I$14:$I$113,$A119,$K$14:$K$113,L$118,$L$14:$L$113,$L$117,$H$14:$H$113,"AG")</f>
        <v>0</v>
      </c>
      <c r="M119" s="11">
        <f t="shared" si="28"/>
        <v>0</v>
      </c>
      <c r="N119" s="11">
        <f t="shared" si="28"/>
        <v>0</v>
      </c>
      <c r="O119" s="11">
        <f t="shared" si="28"/>
        <v>0</v>
      </c>
      <c r="P119" s="17">
        <f t="shared" si="28"/>
        <v>0</v>
      </c>
      <c r="Q119" s="10">
        <f t="shared" ref="Q119:U127" si="29">SUMIFS($J$14:$J$113,$I$14:$I$113,$A119,$K$14:$K$113,Q$118,$L$14:$L$113,$Q$117,$H$14:$H$113,"AG")</f>
        <v>0</v>
      </c>
      <c r="R119" s="11">
        <f t="shared" si="29"/>
        <v>0</v>
      </c>
      <c r="S119" s="11">
        <f t="shared" si="29"/>
        <v>0</v>
      </c>
      <c r="T119" s="11">
        <f t="shared" si="29"/>
        <v>0</v>
      </c>
      <c r="U119" s="17">
        <f t="shared" si="29"/>
        <v>0</v>
      </c>
      <c r="V119" s="10">
        <f t="shared" ref="V119:AE127" si="30">SUMIFS($J$14:$J$113,$I$14:$I$113,$A119,$K$14:$K$113,V$118,$L$14:$L$113,$L$117,$H$14:$H$113,"AG")</f>
        <v>0</v>
      </c>
      <c r="W119" s="11">
        <f t="shared" si="30"/>
        <v>0</v>
      </c>
      <c r="X119" s="11">
        <f t="shared" si="30"/>
        <v>0</v>
      </c>
      <c r="Y119" s="11">
        <f t="shared" si="30"/>
        <v>0</v>
      </c>
      <c r="Z119" s="17">
        <f t="shared" si="30"/>
        <v>0</v>
      </c>
      <c r="AA119" s="10">
        <f t="shared" si="30"/>
        <v>0</v>
      </c>
      <c r="AB119" s="11">
        <f t="shared" si="30"/>
        <v>0</v>
      </c>
      <c r="AC119" s="11">
        <f t="shared" si="30"/>
        <v>0</v>
      </c>
      <c r="AD119" s="11">
        <f t="shared" si="30"/>
        <v>0</v>
      </c>
      <c r="AE119" s="17">
        <f t="shared" si="30"/>
        <v>0</v>
      </c>
      <c r="AF119" s="16">
        <f>SUM(B119:AE119)*A119</f>
        <v>0</v>
      </c>
      <c r="AG119" s="16">
        <f>SUM(B119:AE119)</f>
        <v>0</v>
      </c>
      <c r="AH119" s="30" t="s">
        <v>136</v>
      </c>
      <c r="AI119" s="30" t="s">
        <v>27</v>
      </c>
      <c r="AJ119" s="30" t="s">
        <v>28</v>
      </c>
      <c r="AK119" s="30" t="s">
        <v>29</v>
      </c>
      <c r="AL119" s="30" t="s">
        <v>30</v>
      </c>
      <c r="AN119" s="30" t="s">
        <v>136</v>
      </c>
      <c r="AO119" s="30" t="s">
        <v>27</v>
      </c>
      <c r="AP119" s="30" t="s">
        <v>28</v>
      </c>
      <c r="AQ119" s="30" t="s">
        <v>29</v>
      </c>
      <c r="AR119" s="30" t="s">
        <v>30</v>
      </c>
      <c r="AT119" s="30" t="s">
        <v>136</v>
      </c>
      <c r="AU119" s="30" t="s">
        <v>27</v>
      </c>
      <c r="AV119" s="30" t="s">
        <v>28</v>
      </c>
      <c r="AW119" s="30" t="s">
        <v>29</v>
      </c>
      <c r="AX119" s="30" t="s">
        <v>30</v>
      </c>
      <c r="AZ119" s="30" t="s">
        <v>136</v>
      </c>
      <c r="BA119" s="30" t="s">
        <v>27</v>
      </c>
      <c r="BB119" s="30" t="s">
        <v>28</v>
      </c>
      <c r="BC119" s="30" t="s">
        <v>29</v>
      </c>
      <c r="BD119" s="30" t="s">
        <v>30</v>
      </c>
      <c r="BF119" s="30" t="s">
        <v>136</v>
      </c>
      <c r="BG119" s="30" t="s">
        <v>27</v>
      </c>
      <c r="BH119" s="30" t="s">
        <v>28</v>
      </c>
      <c r="BI119" s="30" t="s">
        <v>29</v>
      </c>
      <c r="BJ119" s="30" t="s">
        <v>30</v>
      </c>
    </row>
    <row r="120" spans="1:62" x14ac:dyDescent="0.25">
      <c r="A120" s="16">
        <v>500</v>
      </c>
      <c r="B120" s="10">
        <f t="shared" si="26"/>
        <v>0</v>
      </c>
      <c r="C120" s="11">
        <f t="shared" si="26"/>
        <v>20</v>
      </c>
      <c r="D120" s="11">
        <f t="shared" si="26"/>
        <v>0</v>
      </c>
      <c r="E120" s="11">
        <f t="shared" si="26"/>
        <v>0</v>
      </c>
      <c r="F120" s="17">
        <f t="shared" si="26"/>
        <v>0</v>
      </c>
      <c r="G120" s="10">
        <f t="shared" si="27"/>
        <v>0</v>
      </c>
      <c r="H120" s="11">
        <f t="shared" si="27"/>
        <v>0</v>
      </c>
      <c r="I120" s="11">
        <f t="shared" si="27"/>
        <v>0</v>
      </c>
      <c r="J120" s="11">
        <f t="shared" si="27"/>
        <v>0</v>
      </c>
      <c r="K120" s="17">
        <f t="shared" si="27"/>
        <v>0</v>
      </c>
      <c r="L120" s="10">
        <f t="shared" si="28"/>
        <v>0</v>
      </c>
      <c r="M120" s="11">
        <f t="shared" si="28"/>
        <v>0</v>
      </c>
      <c r="N120" s="11">
        <f t="shared" si="28"/>
        <v>0</v>
      </c>
      <c r="O120" s="11">
        <f t="shared" si="28"/>
        <v>0</v>
      </c>
      <c r="P120" s="17">
        <f t="shared" si="28"/>
        <v>0</v>
      </c>
      <c r="Q120" s="10">
        <f t="shared" si="29"/>
        <v>0</v>
      </c>
      <c r="R120" s="11">
        <f t="shared" si="29"/>
        <v>0</v>
      </c>
      <c r="S120" s="11">
        <f t="shared" si="29"/>
        <v>0</v>
      </c>
      <c r="T120" s="11">
        <f t="shared" si="29"/>
        <v>0</v>
      </c>
      <c r="U120" s="17">
        <f t="shared" si="29"/>
        <v>0</v>
      </c>
      <c r="V120" s="10">
        <f t="shared" si="30"/>
        <v>0</v>
      </c>
      <c r="W120" s="11">
        <f t="shared" si="30"/>
        <v>0</v>
      </c>
      <c r="X120" s="11">
        <f t="shared" si="30"/>
        <v>0</v>
      </c>
      <c r="Y120" s="11">
        <f t="shared" si="30"/>
        <v>0</v>
      </c>
      <c r="Z120" s="17">
        <f t="shared" si="30"/>
        <v>0</v>
      </c>
      <c r="AA120" s="10">
        <f t="shared" si="30"/>
        <v>0</v>
      </c>
      <c r="AB120" s="11">
        <f t="shared" si="30"/>
        <v>0</v>
      </c>
      <c r="AC120" s="11">
        <f t="shared" si="30"/>
        <v>0</v>
      </c>
      <c r="AD120" s="11">
        <f t="shared" si="30"/>
        <v>0</v>
      </c>
      <c r="AE120" s="17">
        <f t="shared" si="30"/>
        <v>0</v>
      </c>
      <c r="AF120" s="16">
        <f t="shared" ref="AF120:AF127" si="31">SUM(B120:AE120)*A120</f>
        <v>10000</v>
      </c>
      <c r="AG120" s="16">
        <f t="shared" ref="AG120:AG128" si="32">SUM(B120:AE120)</f>
        <v>20</v>
      </c>
      <c r="AH120" s="16" t="str">
        <f>J2</f>
        <v>AG</v>
      </c>
      <c r="AI120" s="10">
        <f>K2</f>
        <v>1500</v>
      </c>
      <c r="AJ120" s="11">
        <f>L2</f>
        <v>8</v>
      </c>
      <c r="AK120" s="11" t="str">
        <f>M2</f>
        <v>Y</v>
      </c>
      <c r="AL120" s="17" t="str">
        <f>N2</f>
        <v>3L</v>
      </c>
      <c r="AN120" s="16">
        <f>J3</f>
        <v>0</v>
      </c>
      <c r="AO120" s="10">
        <f>K3</f>
        <v>0</v>
      </c>
      <c r="AP120" s="11">
        <f>L3</f>
        <v>0</v>
      </c>
      <c r="AQ120" s="11">
        <f>M3</f>
        <v>0</v>
      </c>
      <c r="AR120" s="17">
        <f>N3</f>
        <v>0</v>
      </c>
      <c r="AT120" s="16">
        <f>J4</f>
        <v>0</v>
      </c>
      <c r="AU120" s="10">
        <f>K4</f>
        <v>0</v>
      </c>
      <c r="AV120" s="11">
        <f>L4</f>
        <v>0</v>
      </c>
      <c r="AW120" s="11">
        <f>M4</f>
        <v>0</v>
      </c>
      <c r="AX120" s="17">
        <f>N4</f>
        <v>0</v>
      </c>
      <c r="AZ120" s="16">
        <f>J5</f>
        <v>0</v>
      </c>
      <c r="BA120" s="10">
        <f>K5</f>
        <v>0</v>
      </c>
      <c r="BB120" s="11">
        <f>L5</f>
        <v>0</v>
      </c>
      <c r="BC120" s="11">
        <f>M5</f>
        <v>0</v>
      </c>
      <c r="BD120" s="17">
        <f>N5</f>
        <v>0</v>
      </c>
      <c r="BF120" s="16">
        <f>J6</f>
        <v>0</v>
      </c>
      <c r="BG120" s="10">
        <f>K6</f>
        <v>0</v>
      </c>
      <c r="BH120" s="11">
        <f>L6</f>
        <v>0</v>
      </c>
      <c r="BI120" s="11">
        <f>M6</f>
        <v>0</v>
      </c>
      <c r="BJ120" s="17">
        <f>N6</f>
        <v>0</v>
      </c>
    </row>
    <row r="121" spans="1:62" x14ac:dyDescent="0.25">
      <c r="A121" s="15">
        <v>750</v>
      </c>
      <c r="B121" s="8">
        <f t="shared" si="26"/>
        <v>0</v>
      </c>
      <c r="C121" s="6">
        <f t="shared" si="26"/>
        <v>10</v>
      </c>
      <c r="D121" s="6">
        <f t="shared" si="26"/>
        <v>0</v>
      </c>
      <c r="E121" s="6">
        <f t="shared" si="26"/>
        <v>0</v>
      </c>
      <c r="F121" s="13">
        <f t="shared" si="26"/>
        <v>0</v>
      </c>
      <c r="G121" s="8">
        <f t="shared" si="27"/>
        <v>0</v>
      </c>
      <c r="H121" s="6">
        <f t="shared" si="27"/>
        <v>0</v>
      </c>
      <c r="I121" s="6">
        <f t="shared" si="27"/>
        <v>0</v>
      </c>
      <c r="J121" s="6">
        <f t="shared" si="27"/>
        <v>0</v>
      </c>
      <c r="K121" s="13">
        <f t="shared" si="27"/>
        <v>0</v>
      </c>
      <c r="L121" s="8">
        <f t="shared" si="28"/>
        <v>0</v>
      </c>
      <c r="M121" s="6">
        <f t="shared" si="28"/>
        <v>0</v>
      </c>
      <c r="N121" s="6">
        <f t="shared" si="28"/>
        <v>0</v>
      </c>
      <c r="O121" s="6">
        <f t="shared" si="28"/>
        <v>0</v>
      </c>
      <c r="P121" s="13">
        <f t="shared" si="28"/>
        <v>0</v>
      </c>
      <c r="Q121" s="8">
        <f t="shared" si="29"/>
        <v>0</v>
      </c>
      <c r="R121" s="6">
        <f t="shared" si="29"/>
        <v>0</v>
      </c>
      <c r="S121" s="6">
        <f t="shared" si="29"/>
        <v>0</v>
      </c>
      <c r="T121" s="6">
        <f t="shared" si="29"/>
        <v>0</v>
      </c>
      <c r="U121" s="13">
        <f t="shared" si="29"/>
        <v>0</v>
      </c>
      <c r="V121" s="8">
        <f t="shared" si="30"/>
        <v>0</v>
      </c>
      <c r="W121" s="6">
        <f t="shared" si="30"/>
        <v>0</v>
      </c>
      <c r="X121" s="6">
        <f t="shared" si="30"/>
        <v>0</v>
      </c>
      <c r="Y121" s="6">
        <f t="shared" si="30"/>
        <v>0</v>
      </c>
      <c r="Z121" s="13">
        <f t="shared" si="30"/>
        <v>0</v>
      </c>
      <c r="AA121" s="8">
        <f t="shared" si="30"/>
        <v>0</v>
      </c>
      <c r="AB121" s="6">
        <f t="shared" si="30"/>
        <v>0</v>
      </c>
      <c r="AC121" s="6">
        <f t="shared" si="30"/>
        <v>0</v>
      </c>
      <c r="AD121" s="6">
        <f t="shared" si="30"/>
        <v>0</v>
      </c>
      <c r="AE121" s="13">
        <f t="shared" si="30"/>
        <v>0</v>
      </c>
      <c r="AF121" s="16">
        <f t="shared" si="31"/>
        <v>7500</v>
      </c>
      <c r="AG121" s="16">
        <f t="shared" si="32"/>
        <v>10</v>
      </c>
      <c r="AH121" s="15" t="str">
        <f>P2</f>
        <v>AG</v>
      </c>
      <c r="AI121" s="8">
        <f>Q2</f>
        <v>1000</v>
      </c>
      <c r="AJ121" s="6">
        <f>R2</f>
        <v>10</v>
      </c>
      <c r="AK121" s="6" t="str">
        <f>S2</f>
        <v>Y</v>
      </c>
      <c r="AL121" s="13" t="str">
        <f>T2</f>
        <v>3L</v>
      </c>
      <c r="AN121" s="15">
        <f>P3</f>
        <v>0</v>
      </c>
      <c r="AO121" s="8">
        <f>Q3</f>
        <v>0</v>
      </c>
      <c r="AP121" s="6">
        <f>R3</f>
        <v>0</v>
      </c>
      <c r="AQ121" s="6">
        <f>S3</f>
        <v>0</v>
      </c>
      <c r="AR121" s="13">
        <f>T3</f>
        <v>0</v>
      </c>
      <c r="AT121" s="15">
        <f>P4</f>
        <v>0</v>
      </c>
      <c r="AU121" s="8">
        <f>Q4</f>
        <v>0</v>
      </c>
      <c r="AV121" s="6">
        <f>R4</f>
        <v>0</v>
      </c>
      <c r="AW121" s="6">
        <f>S4</f>
        <v>0</v>
      </c>
      <c r="AX121" s="13">
        <f>T4</f>
        <v>0</v>
      </c>
      <c r="AZ121" s="15">
        <f>P5</f>
        <v>0</v>
      </c>
      <c r="BA121" s="8">
        <f>Q5</f>
        <v>0</v>
      </c>
      <c r="BB121" s="6">
        <f>R5</f>
        <v>0</v>
      </c>
      <c r="BC121" s="6">
        <f>S5</f>
        <v>0</v>
      </c>
      <c r="BD121" s="13">
        <f>T5</f>
        <v>0</v>
      </c>
      <c r="BF121" s="15">
        <f>P6</f>
        <v>0</v>
      </c>
      <c r="BG121" s="8">
        <f>Q6</f>
        <v>0</v>
      </c>
      <c r="BH121" s="6">
        <f>R6</f>
        <v>0</v>
      </c>
      <c r="BI121" s="6">
        <f>S6</f>
        <v>0</v>
      </c>
      <c r="BJ121" s="13">
        <f>T6</f>
        <v>0</v>
      </c>
    </row>
    <row r="122" spans="1:62" x14ac:dyDescent="0.25">
      <c r="A122" s="15">
        <v>1000</v>
      </c>
      <c r="B122" s="8">
        <f t="shared" si="26"/>
        <v>0</v>
      </c>
      <c r="C122" s="6">
        <f t="shared" si="26"/>
        <v>10</v>
      </c>
      <c r="D122" s="6">
        <f t="shared" si="26"/>
        <v>0</v>
      </c>
      <c r="E122" s="6">
        <f t="shared" si="26"/>
        <v>0</v>
      </c>
      <c r="F122" s="13">
        <f t="shared" si="26"/>
        <v>0</v>
      </c>
      <c r="G122" s="8">
        <f t="shared" si="27"/>
        <v>0</v>
      </c>
      <c r="H122" s="6">
        <f t="shared" si="27"/>
        <v>0</v>
      </c>
      <c r="I122" s="6">
        <f t="shared" si="27"/>
        <v>0</v>
      </c>
      <c r="J122" s="6">
        <f t="shared" si="27"/>
        <v>0</v>
      </c>
      <c r="K122" s="13">
        <f t="shared" si="27"/>
        <v>0</v>
      </c>
      <c r="L122" s="8">
        <f t="shared" si="28"/>
        <v>0</v>
      </c>
      <c r="M122" s="6">
        <f t="shared" si="28"/>
        <v>0</v>
      </c>
      <c r="N122" s="6">
        <f t="shared" si="28"/>
        <v>0</v>
      </c>
      <c r="O122" s="6">
        <f t="shared" si="28"/>
        <v>0</v>
      </c>
      <c r="P122" s="13">
        <f t="shared" si="28"/>
        <v>0</v>
      </c>
      <c r="Q122" s="8">
        <f t="shared" si="29"/>
        <v>0</v>
      </c>
      <c r="R122" s="6">
        <f t="shared" si="29"/>
        <v>0</v>
      </c>
      <c r="S122" s="6">
        <f t="shared" si="29"/>
        <v>0</v>
      </c>
      <c r="T122" s="6">
        <f t="shared" si="29"/>
        <v>0</v>
      </c>
      <c r="U122" s="13">
        <f t="shared" si="29"/>
        <v>0</v>
      </c>
      <c r="V122" s="8">
        <f t="shared" si="30"/>
        <v>0</v>
      </c>
      <c r="W122" s="6">
        <f t="shared" si="30"/>
        <v>0</v>
      </c>
      <c r="X122" s="6">
        <f t="shared" si="30"/>
        <v>0</v>
      </c>
      <c r="Y122" s="6">
        <f t="shared" si="30"/>
        <v>0</v>
      </c>
      <c r="Z122" s="13">
        <f t="shared" si="30"/>
        <v>0</v>
      </c>
      <c r="AA122" s="8">
        <f t="shared" si="30"/>
        <v>0</v>
      </c>
      <c r="AB122" s="6">
        <f t="shared" si="30"/>
        <v>0</v>
      </c>
      <c r="AC122" s="6">
        <f t="shared" si="30"/>
        <v>0</v>
      </c>
      <c r="AD122" s="6">
        <f t="shared" si="30"/>
        <v>0</v>
      </c>
      <c r="AE122" s="13">
        <f t="shared" si="30"/>
        <v>0</v>
      </c>
      <c r="AF122" s="16">
        <f t="shared" si="31"/>
        <v>10000</v>
      </c>
      <c r="AG122" s="16">
        <f t="shared" si="32"/>
        <v>10</v>
      </c>
      <c r="AH122" s="15" t="str">
        <f>V2</f>
        <v>AG</v>
      </c>
      <c r="AI122" s="8">
        <f>W2</f>
        <v>750</v>
      </c>
      <c r="AJ122" s="6">
        <f>X2</f>
        <v>10</v>
      </c>
      <c r="AK122" s="6" t="str">
        <f>Y2</f>
        <v>Y</v>
      </c>
      <c r="AL122" s="13" t="str">
        <f>Z2</f>
        <v>3L</v>
      </c>
      <c r="AN122" s="15">
        <f>V3</f>
        <v>0</v>
      </c>
      <c r="AO122" s="8">
        <f>W3</f>
        <v>0</v>
      </c>
      <c r="AP122" s="6">
        <f>X3</f>
        <v>0</v>
      </c>
      <c r="AQ122" s="6">
        <f>Y3</f>
        <v>0</v>
      </c>
      <c r="AR122" s="13">
        <f>Z3</f>
        <v>0</v>
      </c>
      <c r="AT122" s="15">
        <f>V4</f>
        <v>0</v>
      </c>
      <c r="AU122" s="8">
        <f>W4</f>
        <v>0</v>
      </c>
      <c r="AV122" s="6">
        <f>X4</f>
        <v>0</v>
      </c>
      <c r="AW122" s="6">
        <f>Y4</f>
        <v>0</v>
      </c>
      <c r="AX122" s="13">
        <f>Z4</f>
        <v>0</v>
      </c>
      <c r="AZ122" s="15">
        <f>V5</f>
        <v>0</v>
      </c>
      <c r="BA122" s="8">
        <f>W5</f>
        <v>0</v>
      </c>
      <c r="BB122" s="6">
        <f>X5</f>
        <v>0</v>
      </c>
      <c r="BC122" s="6">
        <f>Y5</f>
        <v>0</v>
      </c>
      <c r="BD122" s="13">
        <f>Z5</f>
        <v>0</v>
      </c>
      <c r="BF122" s="15">
        <f>V6</f>
        <v>0</v>
      </c>
      <c r="BG122" s="8">
        <f>W6</f>
        <v>0</v>
      </c>
      <c r="BH122" s="6">
        <f>X6</f>
        <v>0</v>
      </c>
      <c r="BI122" s="6">
        <f>Y6</f>
        <v>0</v>
      </c>
      <c r="BJ122" s="13">
        <f>Z6</f>
        <v>0</v>
      </c>
    </row>
    <row r="123" spans="1:62" x14ac:dyDescent="0.25">
      <c r="A123" s="15">
        <v>1500</v>
      </c>
      <c r="B123" s="8">
        <f t="shared" si="26"/>
        <v>0</v>
      </c>
      <c r="C123" s="6">
        <f t="shared" si="26"/>
        <v>8</v>
      </c>
      <c r="D123" s="6">
        <f t="shared" si="26"/>
        <v>0</v>
      </c>
      <c r="E123" s="6">
        <f t="shared" si="26"/>
        <v>0</v>
      </c>
      <c r="F123" s="13">
        <f t="shared" si="26"/>
        <v>0</v>
      </c>
      <c r="G123" s="8">
        <f t="shared" si="27"/>
        <v>0</v>
      </c>
      <c r="H123" s="6">
        <f t="shared" si="27"/>
        <v>0</v>
      </c>
      <c r="I123" s="6">
        <f t="shared" si="27"/>
        <v>0</v>
      </c>
      <c r="J123" s="6">
        <f t="shared" si="27"/>
        <v>0</v>
      </c>
      <c r="K123" s="13">
        <f t="shared" si="27"/>
        <v>0</v>
      </c>
      <c r="L123" s="8">
        <f t="shared" si="28"/>
        <v>0</v>
      </c>
      <c r="M123" s="6">
        <f t="shared" si="28"/>
        <v>0</v>
      </c>
      <c r="N123" s="6">
        <f t="shared" si="28"/>
        <v>0</v>
      </c>
      <c r="O123" s="6">
        <f t="shared" si="28"/>
        <v>0</v>
      </c>
      <c r="P123" s="13">
        <f t="shared" si="28"/>
        <v>0</v>
      </c>
      <c r="Q123" s="8">
        <f t="shared" si="29"/>
        <v>0</v>
      </c>
      <c r="R123" s="6">
        <f t="shared" si="29"/>
        <v>0</v>
      </c>
      <c r="S123" s="6">
        <f t="shared" si="29"/>
        <v>0</v>
      </c>
      <c r="T123" s="6">
        <f t="shared" si="29"/>
        <v>0</v>
      </c>
      <c r="U123" s="13">
        <f t="shared" si="29"/>
        <v>0</v>
      </c>
      <c r="V123" s="8">
        <f t="shared" si="30"/>
        <v>0</v>
      </c>
      <c r="W123" s="6">
        <f t="shared" si="30"/>
        <v>0</v>
      </c>
      <c r="X123" s="6">
        <f t="shared" si="30"/>
        <v>0</v>
      </c>
      <c r="Y123" s="6">
        <f t="shared" si="30"/>
        <v>0</v>
      </c>
      <c r="Z123" s="13">
        <f t="shared" si="30"/>
        <v>0</v>
      </c>
      <c r="AA123" s="8">
        <f t="shared" si="30"/>
        <v>0</v>
      </c>
      <c r="AB123" s="6">
        <f t="shared" si="30"/>
        <v>0</v>
      </c>
      <c r="AC123" s="6">
        <f t="shared" si="30"/>
        <v>0</v>
      </c>
      <c r="AD123" s="6">
        <f t="shared" si="30"/>
        <v>0</v>
      </c>
      <c r="AE123" s="13">
        <f t="shared" si="30"/>
        <v>0</v>
      </c>
      <c r="AF123" s="16">
        <f t="shared" si="31"/>
        <v>12000</v>
      </c>
      <c r="AG123" s="16">
        <f t="shared" si="32"/>
        <v>8</v>
      </c>
      <c r="AH123" s="15" t="str">
        <f>AB2</f>
        <v>AG</v>
      </c>
      <c r="AI123" s="8">
        <f>AC2</f>
        <v>500</v>
      </c>
      <c r="AJ123" s="6">
        <f>AD2</f>
        <v>20</v>
      </c>
      <c r="AK123" s="6" t="str">
        <f>AE2</f>
        <v>Y</v>
      </c>
      <c r="AL123" s="13" t="str">
        <f>AF2</f>
        <v>3L</v>
      </c>
      <c r="AN123" s="15">
        <f>AB3</f>
        <v>0</v>
      </c>
      <c r="AO123" s="8">
        <f>AC3</f>
        <v>0</v>
      </c>
      <c r="AP123" s="6">
        <f>AD3</f>
        <v>0</v>
      </c>
      <c r="AQ123" s="6">
        <f>AE3</f>
        <v>0</v>
      </c>
      <c r="AR123" s="13">
        <f>AF3</f>
        <v>0</v>
      </c>
      <c r="AT123" s="15">
        <f>AB4</f>
        <v>0</v>
      </c>
      <c r="AU123" s="8">
        <f>AC4</f>
        <v>0</v>
      </c>
      <c r="AV123" s="6">
        <f>AD4</f>
        <v>0</v>
      </c>
      <c r="AW123" s="6">
        <f>AE4</f>
        <v>0</v>
      </c>
      <c r="AX123" s="13">
        <f>AF4</f>
        <v>0</v>
      </c>
      <c r="AZ123" s="15">
        <f>AB5</f>
        <v>0</v>
      </c>
      <c r="BA123" s="8">
        <f>AC5</f>
        <v>0</v>
      </c>
      <c r="BB123" s="6">
        <f>AD5</f>
        <v>0</v>
      </c>
      <c r="BC123" s="6">
        <f>AE5</f>
        <v>0</v>
      </c>
      <c r="BD123" s="13">
        <f>AF5</f>
        <v>0</v>
      </c>
      <c r="BF123" s="15">
        <f>AB6</f>
        <v>0</v>
      </c>
      <c r="BG123" s="8">
        <f>AC6</f>
        <v>0</v>
      </c>
      <c r="BH123" s="6">
        <f>AD6</f>
        <v>0</v>
      </c>
      <c r="BI123" s="6">
        <f>AE6</f>
        <v>0</v>
      </c>
      <c r="BJ123" s="13">
        <f>AF6</f>
        <v>0</v>
      </c>
    </row>
    <row r="124" spans="1:62" x14ac:dyDescent="0.25">
      <c r="A124" s="15">
        <v>2000</v>
      </c>
      <c r="B124" s="8">
        <f t="shared" si="26"/>
        <v>0</v>
      </c>
      <c r="C124" s="6">
        <f t="shared" si="26"/>
        <v>0</v>
      </c>
      <c r="D124" s="6">
        <f t="shared" si="26"/>
        <v>0</v>
      </c>
      <c r="E124" s="6">
        <f t="shared" si="26"/>
        <v>0</v>
      </c>
      <c r="F124" s="13">
        <f t="shared" si="26"/>
        <v>0</v>
      </c>
      <c r="G124" s="8">
        <f t="shared" si="27"/>
        <v>0</v>
      </c>
      <c r="H124" s="6">
        <f t="shared" si="27"/>
        <v>0</v>
      </c>
      <c r="I124" s="6">
        <f t="shared" si="27"/>
        <v>0</v>
      </c>
      <c r="J124" s="6">
        <f t="shared" si="27"/>
        <v>0</v>
      </c>
      <c r="K124" s="13">
        <f t="shared" si="27"/>
        <v>0</v>
      </c>
      <c r="L124" s="8">
        <f t="shared" si="28"/>
        <v>0</v>
      </c>
      <c r="M124" s="6">
        <f t="shared" si="28"/>
        <v>0</v>
      </c>
      <c r="N124" s="6">
        <f t="shared" si="28"/>
        <v>0</v>
      </c>
      <c r="O124" s="6">
        <f t="shared" si="28"/>
        <v>0</v>
      </c>
      <c r="P124" s="13">
        <f t="shared" si="28"/>
        <v>0</v>
      </c>
      <c r="Q124" s="8">
        <f t="shared" si="29"/>
        <v>0</v>
      </c>
      <c r="R124" s="6">
        <f t="shared" si="29"/>
        <v>0</v>
      </c>
      <c r="S124" s="6">
        <f t="shared" si="29"/>
        <v>0</v>
      </c>
      <c r="T124" s="6">
        <f t="shared" si="29"/>
        <v>0</v>
      </c>
      <c r="U124" s="13">
        <f t="shared" si="29"/>
        <v>0</v>
      </c>
      <c r="V124" s="8">
        <f t="shared" si="30"/>
        <v>0</v>
      </c>
      <c r="W124" s="6">
        <f t="shared" si="30"/>
        <v>0</v>
      </c>
      <c r="X124" s="6">
        <f t="shared" si="30"/>
        <v>0</v>
      </c>
      <c r="Y124" s="6">
        <f t="shared" si="30"/>
        <v>0</v>
      </c>
      <c r="Z124" s="13">
        <f t="shared" si="30"/>
        <v>0</v>
      </c>
      <c r="AA124" s="8">
        <f t="shared" si="30"/>
        <v>0</v>
      </c>
      <c r="AB124" s="6">
        <f t="shared" si="30"/>
        <v>0</v>
      </c>
      <c r="AC124" s="6">
        <f t="shared" si="30"/>
        <v>0</v>
      </c>
      <c r="AD124" s="6">
        <f t="shared" si="30"/>
        <v>0</v>
      </c>
      <c r="AE124" s="13">
        <f t="shared" si="30"/>
        <v>0</v>
      </c>
      <c r="AF124" s="16">
        <f t="shared" si="31"/>
        <v>0</v>
      </c>
      <c r="AG124" s="16">
        <f t="shared" si="32"/>
        <v>0</v>
      </c>
      <c r="AH124" s="15">
        <f>AH2</f>
        <v>0</v>
      </c>
      <c r="AI124" s="8">
        <f>AI2</f>
        <v>0</v>
      </c>
      <c r="AJ124" s="6">
        <f>AJ2</f>
        <v>0</v>
      </c>
      <c r="AK124" s="6">
        <f>AK2</f>
        <v>0</v>
      </c>
      <c r="AL124" s="13">
        <f>AL2</f>
        <v>0</v>
      </c>
      <c r="AN124" s="15">
        <f>AH3</f>
        <v>0</v>
      </c>
      <c r="AO124" s="8">
        <f>AI3</f>
        <v>0</v>
      </c>
      <c r="AP124" s="6">
        <f>AJ3</f>
        <v>0</v>
      </c>
      <c r="AQ124" s="6">
        <f>AK3</f>
        <v>0</v>
      </c>
      <c r="AR124" s="13">
        <f>AL3</f>
        <v>0</v>
      </c>
      <c r="AT124" s="15">
        <f>AH4</f>
        <v>0</v>
      </c>
      <c r="AU124" s="8">
        <f>AI4</f>
        <v>0</v>
      </c>
      <c r="AV124" s="6">
        <f>AJ4</f>
        <v>0</v>
      </c>
      <c r="AW124" s="6">
        <f>AK4</f>
        <v>0</v>
      </c>
      <c r="AX124" s="13">
        <f>AL4</f>
        <v>0</v>
      </c>
      <c r="AZ124" s="15">
        <f>AH5</f>
        <v>0</v>
      </c>
      <c r="BA124" s="8">
        <f>AI5</f>
        <v>0</v>
      </c>
      <c r="BB124" s="6">
        <f>AJ5</f>
        <v>0</v>
      </c>
      <c r="BC124" s="6">
        <f>AK5</f>
        <v>0</v>
      </c>
      <c r="BD124" s="13">
        <f>AL5</f>
        <v>0</v>
      </c>
      <c r="BF124" s="15">
        <f>AH6</f>
        <v>0</v>
      </c>
      <c r="BG124" s="8">
        <f>AI6</f>
        <v>0</v>
      </c>
      <c r="BH124" s="6">
        <f>AJ6</f>
        <v>0</v>
      </c>
      <c r="BI124" s="6">
        <f>AK6</f>
        <v>0</v>
      </c>
      <c r="BJ124" s="13">
        <f>AL6</f>
        <v>0</v>
      </c>
    </row>
    <row r="125" spans="1:62" x14ac:dyDescent="0.25">
      <c r="A125" s="15">
        <v>3000</v>
      </c>
      <c r="B125" s="8">
        <f t="shared" si="26"/>
        <v>0</v>
      </c>
      <c r="C125" s="6">
        <f t="shared" si="26"/>
        <v>0</v>
      </c>
      <c r="D125" s="6">
        <f t="shared" si="26"/>
        <v>0</v>
      </c>
      <c r="E125" s="6">
        <f t="shared" si="26"/>
        <v>0</v>
      </c>
      <c r="F125" s="13">
        <f t="shared" si="26"/>
        <v>0</v>
      </c>
      <c r="G125" s="8">
        <f t="shared" si="27"/>
        <v>0</v>
      </c>
      <c r="H125" s="6">
        <f t="shared" si="27"/>
        <v>0</v>
      </c>
      <c r="I125" s="6">
        <f t="shared" si="27"/>
        <v>0</v>
      </c>
      <c r="J125" s="6">
        <f t="shared" si="27"/>
        <v>0</v>
      </c>
      <c r="K125" s="13">
        <f t="shared" si="27"/>
        <v>0</v>
      </c>
      <c r="L125" s="8">
        <f t="shared" si="28"/>
        <v>0</v>
      </c>
      <c r="M125" s="6">
        <f t="shared" si="28"/>
        <v>0</v>
      </c>
      <c r="N125" s="6">
        <f t="shared" si="28"/>
        <v>0</v>
      </c>
      <c r="O125" s="6">
        <f t="shared" si="28"/>
        <v>0</v>
      </c>
      <c r="P125" s="13">
        <f t="shared" si="28"/>
        <v>0</v>
      </c>
      <c r="Q125" s="8">
        <f t="shared" si="29"/>
        <v>0</v>
      </c>
      <c r="R125" s="6">
        <f t="shared" si="29"/>
        <v>0</v>
      </c>
      <c r="S125" s="6">
        <f t="shared" si="29"/>
        <v>0</v>
      </c>
      <c r="T125" s="6">
        <f t="shared" si="29"/>
        <v>0</v>
      </c>
      <c r="U125" s="13">
        <f t="shared" si="29"/>
        <v>0</v>
      </c>
      <c r="V125" s="8">
        <f t="shared" si="30"/>
        <v>0</v>
      </c>
      <c r="W125" s="6">
        <f t="shared" si="30"/>
        <v>0</v>
      </c>
      <c r="X125" s="6">
        <f t="shared" si="30"/>
        <v>0</v>
      </c>
      <c r="Y125" s="6">
        <f t="shared" si="30"/>
        <v>0</v>
      </c>
      <c r="Z125" s="13">
        <f t="shared" si="30"/>
        <v>0</v>
      </c>
      <c r="AA125" s="8">
        <f t="shared" si="30"/>
        <v>0</v>
      </c>
      <c r="AB125" s="6">
        <f t="shared" si="30"/>
        <v>0</v>
      </c>
      <c r="AC125" s="6">
        <f t="shared" si="30"/>
        <v>0</v>
      </c>
      <c r="AD125" s="6">
        <f t="shared" si="30"/>
        <v>0</v>
      </c>
      <c r="AE125" s="13">
        <f t="shared" si="30"/>
        <v>0</v>
      </c>
      <c r="AF125" s="16">
        <f t="shared" si="31"/>
        <v>0</v>
      </c>
      <c r="AG125" s="16">
        <f t="shared" si="32"/>
        <v>0</v>
      </c>
      <c r="AH125" s="15">
        <f>AN2</f>
        <v>0</v>
      </c>
      <c r="AI125" s="8">
        <f>AO2</f>
        <v>0</v>
      </c>
      <c r="AJ125" s="6">
        <f>AP2</f>
        <v>0</v>
      </c>
      <c r="AK125" s="6">
        <f>AQ2</f>
        <v>0</v>
      </c>
      <c r="AL125" s="13">
        <f>AR2</f>
        <v>0</v>
      </c>
      <c r="AN125" s="15">
        <f>AN3</f>
        <v>0</v>
      </c>
      <c r="AO125" s="8">
        <f>AO3</f>
        <v>0</v>
      </c>
      <c r="AP125" s="6">
        <f>AP3</f>
        <v>0</v>
      </c>
      <c r="AQ125" s="6">
        <f>AQ3</f>
        <v>0</v>
      </c>
      <c r="AR125" s="13">
        <f>AR3</f>
        <v>0</v>
      </c>
      <c r="AT125" s="15">
        <f>AN4</f>
        <v>0</v>
      </c>
      <c r="AU125" s="8">
        <f>AO4</f>
        <v>0</v>
      </c>
      <c r="AV125" s="6">
        <f>AP4</f>
        <v>0</v>
      </c>
      <c r="AW125" s="6">
        <f>AQ4</f>
        <v>0</v>
      </c>
      <c r="AX125" s="13">
        <f>AR4</f>
        <v>0</v>
      </c>
      <c r="AZ125" s="15">
        <f>AN5</f>
        <v>0</v>
      </c>
      <c r="BA125" s="8">
        <f>AO5</f>
        <v>0</v>
      </c>
      <c r="BB125" s="6">
        <f>AP5</f>
        <v>0</v>
      </c>
      <c r="BC125" s="6">
        <f>AQ5</f>
        <v>0</v>
      </c>
      <c r="BD125" s="13">
        <f>AR5</f>
        <v>0</v>
      </c>
      <c r="BF125" s="15">
        <f>AN6</f>
        <v>0</v>
      </c>
      <c r="BG125" s="8">
        <f>AO6</f>
        <v>0</v>
      </c>
      <c r="BH125" s="6">
        <f>AP6</f>
        <v>0</v>
      </c>
      <c r="BI125" s="6">
        <f>AQ6</f>
        <v>0</v>
      </c>
      <c r="BJ125" s="13">
        <f>AR6</f>
        <v>0</v>
      </c>
    </row>
    <row r="126" spans="1:62" x14ac:dyDescent="0.25">
      <c r="A126" s="15">
        <v>5000</v>
      </c>
      <c r="B126" s="8">
        <f t="shared" si="26"/>
        <v>0</v>
      </c>
      <c r="C126" s="6">
        <f t="shared" si="26"/>
        <v>0</v>
      </c>
      <c r="D126" s="6">
        <f t="shared" si="26"/>
        <v>0</v>
      </c>
      <c r="E126" s="6">
        <f t="shared" si="26"/>
        <v>0</v>
      </c>
      <c r="F126" s="13">
        <f t="shared" si="26"/>
        <v>0</v>
      </c>
      <c r="G126" s="8">
        <f t="shared" si="27"/>
        <v>0</v>
      </c>
      <c r="H126" s="6">
        <f t="shared" si="27"/>
        <v>0</v>
      </c>
      <c r="I126" s="6">
        <f t="shared" si="27"/>
        <v>0</v>
      </c>
      <c r="J126" s="6">
        <f t="shared" si="27"/>
        <v>0</v>
      </c>
      <c r="K126" s="13">
        <f t="shared" si="27"/>
        <v>0</v>
      </c>
      <c r="L126" s="8">
        <f t="shared" si="28"/>
        <v>0</v>
      </c>
      <c r="M126" s="6">
        <f t="shared" si="28"/>
        <v>0</v>
      </c>
      <c r="N126" s="6">
        <f t="shared" si="28"/>
        <v>0</v>
      </c>
      <c r="O126" s="6">
        <f t="shared" si="28"/>
        <v>0</v>
      </c>
      <c r="P126" s="13">
        <f t="shared" si="28"/>
        <v>0</v>
      </c>
      <c r="Q126" s="8">
        <f t="shared" si="29"/>
        <v>0</v>
      </c>
      <c r="R126" s="6">
        <f t="shared" si="29"/>
        <v>0</v>
      </c>
      <c r="S126" s="6">
        <f t="shared" si="29"/>
        <v>0</v>
      </c>
      <c r="T126" s="6">
        <f t="shared" si="29"/>
        <v>0</v>
      </c>
      <c r="U126" s="13">
        <f t="shared" si="29"/>
        <v>0</v>
      </c>
      <c r="V126" s="8">
        <f t="shared" si="30"/>
        <v>0</v>
      </c>
      <c r="W126" s="6">
        <f t="shared" si="30"/>
        <v>0</v>
      </c>
      <c r="X126" s="6">
        <f t="shared" si="30"/>
        <v>0</v>
      </c>
      <c r="Y126" s="6">
        <f t="shared" si="30"/>
        <v>0</v>
      </c>
      <c r="Z126" s="13">
        <f t="shared" si="30"/>
        <v>0</v>
      </c>
      <c r="AA126" s="8">
        <f t="shared" si="30"/>
        <v>0</v>
      </c>
      <c r="AB126" s="6">
        <f t="shared" si="30"/>
        <v>0</v>
      </c>
      <c r="AC126" s="6">
        <f t="shared" si="30"/>
        <v>0</v>
      </c>
      <c r="AD126" s="6">
        <f t="shared" si="30"/>
        <v>0</v>
      </c>
      <c r="AE126" s="13">
        <f t="shared" si="30"/>
        <v>0</v>
      </c>
      <c r="AF126" s="16">
        <f t="shared" si="31"/>
        <v>0</v>
      </c>
      <c r="AG126" s="16">
        <f t="shared" si="32"/>
        <v>0</v>
      </c>
      <c r="AH126" s="15">
        <f>AT2</f>
        <v>0</v>
      </c>
      <c r="AI126" s="8">
        <f>AU2</f>
        <v>0</v>
      </c>
      <c r="AJ126" s="6">
        <f>AV2</f>
        <v>0</v>
      </c>
      <c r="AK126" s="6">
        <f>AW2</f>
        <v>0</v>
      </c>
      <c r="AL126" s="13">
        <f>AX2</f>
        <v>0</v>
      </c>
      <c r="AN126" s="15">
        <f>AT3</f>
        <v>0</v>
      </c>
      <c r="AO126" s="8">
        <f>AU3</f>
        <v>0</v>
      </c>
      <c r="AP126" s="6">
        <f>AV3</f>
        <v>0</v>
      </c>
      <c r="AQ126" s="6">
        <f>AW3</f>
        <v>0</v>
      </c>
      <c r="AR126" s="13">
        <f>AX3</f>
        <v>0</v>
      </c>
      <c r="AT126" s="15">
        <f>AT4</f>
        <v>0</v>
      </c>
      <c r="AU126" s="8">
        <f>AU4</f>
        <v>0</v>
      </c>
      <c r="AV126" s="6">
        <f>AV4</f>
        <v>0</v>
      </c>
      <c r="AW126" s="6">
        <f>AW4</f>
        <v>0</v>
      </c>
      <c r="AX126" s="13">
        <f>AX4</f>
        <v>0</v>
      </c>
      <c r="AZ126" s="15">
        <f>AT5</f>
        <v>0</v>
      </c>
      <c r="BA126" s="8">
        <f>AU5</f>
        <v>0</v>
      </c>
      <c r="BB126" s="6">
        <f>AV5</f>
        <v>0</v>
      </c>
      <c r="BC126" s="6">
        <f>AW5</f>
        <v>0</v>
      </c>
      <c r="BD126" s="13">
        <f>AX5</f>
        <v>0</v>
      </c>
      <c r="BF126" s="15">
        <f>AT6</f>
        <v>0</v>
      </c>
      <c r="BG126" s="8">
        <f>AU6</f>
        <v>0</v>
      </c>
      <c r="BH126" s="6">
        <f>AV6</f>
        <v>0</v>
      </c>
      <c r="BI126" s="6">
        <f>AW6</f>
        <v>0</v>
      </c>
      <c r="BJ126" s="13">
        <f>AX6</f>
        <v>0</v>
      </c>
    </row>
    <row r="127" spans="1:62" ht="15.75" thickBot="1" x14ac:dyDescent="0.3">
      <c r="A127" s="59">
        <v>10000</v>
      </c>
      <c r="B127" s="31">
        <f t="shared" si="26"/>
        <v>0</v>
      </c>
      <c r="C127" s="32">
        <f t="shared" si="26"/>
        <v>0</v>
      </c>
      <c r="D127" s="32">
        <f t="shared" si="26"/>
        <v>0</v>
      </c>
      <c r="E127" s="32">
        <f t="shared" si="26"/>
        <v>0</v>
      </c>
      <c r="F127" s="33">
        <f t="shared" si="26"/>
        <v>0</v>
      </c>
      <c r="G127" s="31">
        <f t="shared" si="27"/>
        <v>0</v>
      </c>
      <c r="H127" s="32">
        <f t="shared" si="27"/>
        <v>0</v>
      </c>
      <c r="I127" s="32">
        <f t="shared" si="27"/>
        <v>0</v>
      </c>
      <c r="J127" s="32">
        <f t="shared" si="27"/>
        <v>0</v>
      </c>
      <c r="K127" s="33">
        <f t="shared" si="27"/>
        <v>0</v>
      </c>
      <c r="L127" s="31">
        <f t="shared" si="28"/>
        <v>0</v>
      </c>
      <c r="M127" s="32">
        <f t="shared" si="28"/>
        <v>0</v>
      </c>
      <c r="N127" s="32">
        <f t="shared" si="28"/>
        <v>0</v>
      </c>
      <c r="O127" s="32">
        <f t="shared" si="28"/>
        <v>0</v>
      </c>
      <c r="P127" s="33">
        <f t="shared" si="28"/>
        <v>0</v>
      </c>
      <c r="Q127" s="31">
        <f t="shared" si="29"/>
        <v>0</v>
      </c>
      <c r="R127" s="32">
        <f t="shared" si="29"/>
        <v>0</v>
      </c>
      <c r="S127" s="32">
        <f t="shared" si="29"/>
        <v>0</v>
      </c>
      <c r="T127" s="32">
        <f t="shared" si="29"/>
        <v>0</v>
      </c>
      <c r="U127" s="33">
        <f t="shared" si="29"/>
        <v>0</v>
      </c>
      <c r="V127" s="31">
        <f t="shared" si="30"/>
        <v>0</v>
      </c>
      <c r="W127" s="32">
        <f t="shared" si="30"/>
        <v>0</v>
      </c>
      <c r="X127" s="32">
        <f t="shared" si="30"/>
        <v>0</v>
      </c>
      <c r="Y127" s="32">
        <f t="shared" si="30"/>
        <v>0</v>
      </c>
      <c r="Z127" s="33">
        <f t="shared" si="30"/>
        <v>0</v>
      </c>
      <c r="AA127" s="31">
        <f t="shared" si="30"/>
        <v>0</v>
      </c>
      <c r="AB127" s="32">
        <f t="shared" si="30"/>
        <v>0</v>
      </c>
      <c r="AC127" s="32">
        <f t="shared" si="30"/>
        <v>0</v>
      </c>
      <c r="AD127" s="32">
        <f t="shared" si="30"/>
        <v>0</v>
      </c>
      <c r="AE127" s="33">
        <f t="shared" si="30"/>
        <v>0</v>
      </c>
      <c r="AF127" s="16">
        <f t="shared" si="31"/>
        <v>0</v>
      </c>
      <c r="AG127" s="43">
        <f t="shared" si="32"/>
        <v>0</v>
      </c>
      <c r="AH127" s="15">
        <f>AZ2</f>
        <v>0</v>
      </c>
      <c r="AI127" s="8">
        <f>BA2</f>
        <v>0</v>
      </c>
      <c r="AJ127" s="6">
        <f>BB2</f>
        <v>0</v>
      </c>
      <c r="AK127" s="6">
        <f>BC2</f>
        <v>0</v>
      </c>
      <c r="AL127" s="13">
        <f>BD2</f>
        <v>0</v>
      </c>
      <c r="AN127" s="15">
        <f>AZ3</f>
        <v>0</v>
      </c>
      <c r="AO127" s="8">
        <f>BA3</f>
        <v>0</v>
      </c>
      <c r="AP127" s="6">
        <f>BB3</f>
        <v>0</v>
      </c>
      <c r="AQ127" s="6">
        <f>BC3</f>
        <v>0</v>
      </c>
      <c r="AR127" s="13">
        <f>BD3</f>
        <v>0</v>
      </c>
      <c r="AT127" s="15">
        <f>AZ4</f>
        <v>0</v>
      </c>
      <c r="AU127" s="8">
        <f>BA4</f>
        <v>0</v>
      </c>
      <c r="AV127" s="6">
        <f>BB4</f>
        <v>0</v>
      </c>
      <c r="AW127" s="6">
        <f>BC4</f>
        <v>0</v>
      </c>
      <c r="AX127" s="13">
        <f>BD4</f>
        <v>0</v>
      </c>
      <c r="AZ127" s="15">
        <f>AZ5</f>
        <v>0</v>
      </c>
      <c r="BA127" s="8">
        <f>BA5</f>
        <v>0</v>
      </c>
      <c r="BB127" s="6">
        <f>BB5</f>
        <v>0</v>
      </c>
      <c r="BC127" s="6">
        <f>BC5</f>
        <v>0</v>
      </c>
      <c r="BD127" s="13">
        <f>BD5</f>
        <v>0</v>
      </c>
      <c r="BF127" s="15">
        <f>AZ6</f>
        <v>0</v>
      </c>
      <c r="BG127" s="8">
        <f>BA6</f>
        <v>0</v>
      </c>
      <c r="BH127" s="6">
        <f>BB6</f>
        <v>0</v>
      </c>
      <c r="BI127" s="6">
        <f>BC6</f>
        <v>0</v>
      </c>
      <c r="BJ127" s="13">
        <f>BD6</f>
        <v>0</v>
      </c>
    </row>
    <row r="128" spans="1:62" ht="15.75" thickBot="1" x14ac:dyDescent="0.3">
      <c r="A128" s="35"/>
      <c r="B128" s="60">
        <f t="shared" ref="B128:AG128" si="33">SUM(B119:B127)</f>
        <v>0</v>
      </c>
      <c r="C128" s="61">
        <f t="shared" si="33"/>
        <v>48</v>
      </c>
      <c r="D128" s="61">
        <f t="shared" si="33"/>
        <v>0</v>
      </c>
      <c r="E128" s="61">
        <f t="shared" si="33"/>
        <v>0</v>
      </c>
      <c r="F128" s="62">
        <f t="shared" si="33"/>
        <v>0</v>
      </c>
      <c r="G128" s="60">
        <f t="shared" si="33"/>
        <v>0</v>
      </c>
      <c r="H128" s="61">
        <f t="shared" si="33"/>
        <v>0</v>
      </c>
      <c r="I128" s="61">
        <f t="shared" si="33"/>
        <v>0</v>
      </c>
      <c r="J128" s="61">
        <f t="shared" si="33"/>
        <v>0</v>
      </c>
      <c r="K128" s="62">
        <f t="shared" si="33"/>
        <v>0</v>
      </c>
      <c r="L128" s="60">
        <f t="shared" si="33"/>
        <v>0</v>
      </c>
      <c r="M128" s="61">
        <f t="shared" si="33"/>
        <v>0</v>
      </c>
      <c r="N128" s="61">
        <f t="shared" si="33"/>
        <v>0</v>
      </c>
      <c r="O128" s="61">
        <f t="shared" si="33"/>
        <v>0</v>
      </c>
      <c r="P128" s="62">
        <f t="shared" si="33"/>
        <v>0</v>
      </c>
      <c r="Q128" s="60">
        <f t="shared" si="33"/>
        <v>0</v>
      </c>
      <c r="R128" s="61">
        <f t="shared" si="33"/>
        <v>0</v>
      </c>
      <c r="S128" s="61">
        <f t="shared" si="33"/>
        <v>0</v>
      </c>
      <c r="T128" s="61">
        <f t="shared" si="33"/>
        <v>0</v>
      </c>
      <c r="U128" s="62">
        <f t="shared" si="33"/>
        <v>0</v>
      </c>
      <c r="V128" s="60">
        <f t="shared" si="33"/>
        <v>0</v>
      </c>
      <c r="W128" s="61">
        <f t="shared" si="33"/>
        <v>0</v>
      </c>
      <c r="X128" s="61">
        <f t="shared" si="33"/>
        <v>0</v>
      </c>
      <c r="Y128" s="61">
        <f t="shared" si="33"/>
        <v>0</v>
      </c>
      <c r="Z128" s="62">
        <f t="shared" si="33"/>
        <v>0</v>
      </c>
      <c r="AA128" s="60">
        <f t="shared" si="33"/>
        <v>0</v>
      </c>
      <c r="AB128" s="61">
        <f t="shared" si="33"/>
        <v>0</v>
      </c>
      <c r="AC128" s="61">
        <f t="shared" si="33"/>
        <v>0</v>
      </c>
      <c r="AD128" s="61">
        <f t="shared" si="33"/>
        <v>0</v>
      </c>
      <c r="AE128" s="62">
        <f t="shared" si="33"/>
        <v>0</v>
      </c>
      <c r="AF128" s="35">
        <f>SUM(AF119:AF127)</f>
        <v>39500</v>
      </c>
      <c r="AG128" s="35">
        <f t="shared" si="32"/>
        <v>48</v>
      </c>
      <c r="AH128" s="15">
        <f>BF2</f>
        <v>0</v>
      </c>
      <c r="AI128" s="8">
        <f>BG2</f>
        <v>0</v>
      </c>
      <c r="AJ128" s="6">
        <f>BH2</f>
        <v>0</v>
      </c>
      <c r="AK128" s="6">
        <f>BI2</f>
        <v>0</v>
      </c>
      <c r="AL128" s="13">
        <f>BJ2</f>
        <v>0</v>
      </c>
      <c r="AN128" s="15">
        <f>BF3</f>
        <v>0</v>
      </c>
      <c r="AO128" s="8">
        <f>BG3</f>
        <v>0</v>
      </c>
      <c r="AP128" s="6">
        <f>BH3</f>
        <v>0</v>
      </c>
      <c r="AQ128" s="6">
        <f>BI3</f>
        <v>0</v>
      </c>
      <c r="AR128" s="13">
        <f>BJ3</f>
        <v>0</v>
      </c>
      <c r="AT128" s="15">
        <f>BF4</f>
        <v>0</v>
      </c>
      <c r="AU128" s="8">
        <f>BG4</f>
        <v>0</v>
      </c>
      <c r="AV128" s="6">
        <f>BH4</f>
        <v>0</v>
      </c>
      <c r="AW128" s="6">
        <f>BI4</f>
        <v>0</v>
      </c>
      <c r="AX128" s="13">
        <f>BJ4</f>
        <v>0</v>
      </c>
      <c r="AZ128" s="15">
        <f>BF5</f>
        <v>0</v>
      </c>
      <c r="BA128" s="8">
        <f>BG5</f>
        <v>0</v>
      </c>
      <c r="BB128" s="6">
        <f>BH5</f>
        <v>0</v>
      </c>
      <c r="BC128" s="6">
        <f>BI5</f>
        <v>0</v>
      </c>
      <c r="BD128" s="13">
        <f>BJ5</f>
        <v>0</v>
      </c>
      <c r="BF128" s="15">
        <f>BF6</f>
        <v>0</v>
      </c>
      <c r="BG128" s="8">
        <f>BG6</f>
        <v>0</v>
      </c>
      <c r="BH128" s="6">
        <f>BH6</f>
        <v>0</v>
      </c>
      <c r="BI128" s="6">
        <f>BI6</f>
        <v>0</v>
      </c>
      <c r="BJ128" s="13">
        <f>BJ6</f>
        <v>0</v>
      </c>
    </row>
    <row r="129" spans="1:62" ht="15.75" thickBo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9">
        <f>BL2</f>
        <v>0</v>
      </c>
      <c r="AI129" s="31">
        <f>BM2</f>
        <v>0</v>
      </c>
      <c r="AJ129" s="32">
        <f>BN2</f>
        <v>0</v>
      </c>
      <c r="AK129" s="32">
        <f>BO2</f>
        <v>0</v>
      </c>
      <c r="AL129" s="33">
        <f>BP2</f>
        <v>0</v>
      </c>
      <c r="AN129" s="59">
        <f>BL3</f>
        <v>0</v>
      </c>
      <c r="AO129" s="31">
        <f>BM3</f>
        <v>0</v>
      </c>
      <c r="AP129" s="32">
        <f>BN3</f>
        <v>0</v>
      </c>
      <c r="AQ129" s="32">
        <f>BO3</f>
        <v>0</v>
      </c>
      <c r="AR129" s="33">
        <f>BP3</f>
        <v>0</v>
      </c>
      <c r="AT129" s="59">
        <f>BL4</f>
        <v>0</v>
      </c>
      <c r="AU129" s="31">
        <f>BM4</f>
        <v>0</v>
      </c>
      <c r="AV129" s="32">
        <f>BN4</f>
        <v>0</v>
      </c>
      <c r="AW129" s="32">
        <f>BO4</f>
        <v>0</v>
      </c>
      <c r="AX129" s="33">
        <f>BP4</f>
        <v>0</v>
      </c>
      <c r="AZ129" s="59">
        <f>BL5</f>
        <v>0</v>
      </c>
      <c r="BA129" s="31">
        <f>BM5</f>
        <v>0</v>
      </c>
      <c r="BB129" s="32">
        <f>BN5</f>
        <v>0</v>
      </c>
      <c r="BC129" s="32">
        <f>BO5</f>
        <v>0</v>
      </c>
      <c r="BD129" s="33">
        <f>BP5</f>
        <v>0</v>
      </c>
      <c r="BF129" s="59">
        <f>BL6</f>
        <v>0</v>
      </c>
      <c r="BG129" s="31">
        <f>BM6</f>
        <v>0</v>
      </c>
      <c r="BH129" s="32">
        <f>BN6</f>
        <v>0</v>
      </c>
      <c r="BI129" s="32">
        <f>BO6</f>
        <v>0</v>
      </c>
      <c r="BJ129" s="33">
        <f>BP6</f>
        <v>0</v>
      </c>
    </row>
    <row r="130" spans="1:62" ht="16.5" thickBot="1" x14ac:dyDescent="0.3">
      <c r="A130" s="173" t="s">
        <v>249</v>
      </c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5"/>
      <c r="AH130" s="35" t="str">
        <f>C2</f>
        <v>A/C</v>
      </c>
      <c r="AI130" s="158">
        <f>SUM(AJ120:AJ129)</f>
        <v>48</v>
      </c>
      <c r="AJ130" s="159"/>
      <c r="AK130" s="158">
        <f>BT2</f>
        <v>39500</v>
      </c>
      <c r="AL130" s="159"/>
      <c r="AN130" s="35">
        <f>C3</f>
        <v>0</v>
      </c>
      <c r="AO130" s="158">
        <f>SUM(AP120:AP129)</f>
        <v>0</v>
      </c>
      <c r="AP130" s="159"/>
      <c r="AQ130" s="158">
        <f>BT3</f>
        <v>0</v>
      </c>
      <c r="AR130" s="159"/>
      <c r="AT130" s="35">
        <f>C4</f>
        <v>0</v>
      </c>
      <c r="AU130" s="158">
        <f>SUM(AV120:AV129)</f>
        <v>0</v>
      </c>
      <c r="AV130" s="159"/>
      <c r="AW130" s="158">
        <f>BT4</f>
        <v>0</v>
      </c>
      <c r="AX130" s="159"/>
      <c r="AZ130" s="35">
        <f>C5</f>
        <v>0</v>
      </c>
      <c r="BA130" s="158">
        <f>SUM(BB120:BB129)</f>
        <v>0</v>
      </c>
      <c r="BB130" s="159"/>
      <c r="BC130" s="158">
        <f>BT5</f>
        <v>0</v>
      </c>
      <c r="BD130" s="159"/>
      <c r="BF130" s="35">
        <f>C6</f>
        <v>0</v>
      </c>
      <c r="BG130" s="158">
        <f>SUM(BG120:BG129)</f>
        <v>0</v>
      </c>
      <c r="BH130" s="159"/>
      <c r="BI130" s="158">
        <f>BT6</f>
        <v>0</v>
      </c>
      <c r="BJ130" s="159"/>
    </row>
    <row r="131" spans="1:62" ht="15.75" thickBot="1" x14ac:dyDescent="0.3">
      <c r="A131" s="123" t="s">
        <v>31</v>
      </c>
      <c r="B131" s="113" t="s">
        <v>22</v>
      </c>
      <c r="C131" s="114"/>
      <c r="D131" s="114"/>
      <c r="E131" s="114"/>
      <c r="F131" s="115"/>
      <c r="G131" s="113" t="s">
        <v>20</v>
      </c>
      <c r="H131" s="114"/>
      <c r="I131" s="114"/>
      <c r="J131" s="114"/>
      <c r="K131" s="115"/>
      <c r="L131" s="113" t="s">
        <v>34</v>
      </c>
      <c r="M131" s="114"/>
      <c r="N131" s="114"/>
      <c r="O131" s="114"/>
      <c r="P131" s="115"/>
      <c r="Q131" s="113" t="s">
        <v>127</v>
      </c>
      <c r="R131" s="114"/>
      <c r="S131" s="114"/>
      <c r="T131" s="114"/>
      <c r="U131" s="115"/>
      <c r="V131" s="113" t="s">
        <v>129</v>
      </c>
      <c r="W131" s="114"/>
      <c r="X131" s="114"/>
      <c r="Y131" s="114"/>
      <c r="Z131" s="115"/>
      <c r="AA131" s="113" t="s">
        <v>26</v>
      </c>
      <c r="AB131" s="114"/>
      <c r="AC131" s="114"/>
      <c r="AD131" s="114"/>
      <c r="AE131" s="115"/>
      <c r="AF131" s="116" t="s">
        <v>24</v>
      </c>
      <c r="AG131" s="116" t="s">
        <v>86</v>
      </c>
      <c r="AH131" s="35" t="s">
        <v>25</v>
      </c>
      <c r="AI131" s="158">
        <f>A2</f>
        <v>21420</v>
      </c>
      <c r="AJ131" s="160"/>
      <c r="AK131" s="158" t="str">
        <f>BR2</f>
        <v>COD</v>
      </c>
      <c r="AL131" s="159"/>
      <c r="AN131" s="35" t="s">
        <v>25</v>
      </c>
      <c r="AO131" s="158">
        <f>A3</f>
        <v>0</v>
      </c>
      <c r="AP131" s="160"/>
      <c r="AQ131" s="158">
        <f>BR3</f>
        <v>0</v>
      </c>
      <c r="AR131" s="159"/>
      <c r="AT131" s="35" t="s">
        <v>25</v>
      </c>
      <c r="AU131" s="158">
        <f>A4</f>
        <v>0</v>
      </c>
      <c r="AV131" s="160"/>
      <c r="AW131" s="158">
        <f>BR4</f>
        <v>0</v>
      </c>
      <c r="AX131" s="159"/>
      <c r="AZ131" s="35" t="s">
        <v>25</v>
      </c>
      <c r="BA131" s="158">
        <f>A5</f>
        <v>0</v>
      </c>
      <c r="BB131" s="160"/>
      <c r="BC131" s="158">
        <f>BR5</f>
        <v>0</v>
      </c>
      <c r="BD131" s="159"/>
      <c r="BF131" s="35" t="s">
        <v>25</v>
      </c>
      <c r="BG131" s="158">
        <f>A6</f>
        <v>0</v>
      </c>
      <c r="BH131" s="160"/>
      <c r="BI131" s="158">
        <f>BR6</f>
        <v>0</v>
      </c>
      <c r="BJ131" s="159"/>
    </row>
    <row r="132" spans="1:62" ht="15.75" thickBot="1" x14ac:dyDescent="0.3">
      <c r="A132" s="124"/>
      <c r="B132" s="9" t="s">
        <v>32</v>
      </c>
      <c r="C132" s="12" t="s">
        <v>17</v>
      </c>
      <c r="D132" s="12" t="s">
        <v>19</v>
      </c>
      <c r="E132" s="12" t="s">
        <v>33</v>
      </c>
      <c r="F132" s="14" t="s">
        <v>80</v>
      </c>
      <c r="G132" s="9" t="s">
        <v>32</v>
      </c>
      <c r="H132" s="12" t="s">
        <v>17</v>
      </c>
      <c r="I132" s="12" t="s">
        <v>19</v>
      </c>
      <c r="J132" s="12" t="s">
        <v>33</v>
      </c>
      <c r="K132" s="14" t="s">
        <v>80</v>
      </c>
      <c r="L132" s="9" t="s">
        <v>32</v>
      </c>
      <c r="M132" s="12" t="s">
        <v>17</v>
      </c>
      <c r="N132" s="12" t="s">
        <v>19</v>
      </c>
      <c r="O132" s="12" t="s">
        <v>33</v>
      </c>
      <c r="P132" s="14" t="s">
        <v>80</v>
      </c>
      <c r="Q132" s="9" t="s">
        <v>32</v>
      </c>
      <c r="R132" s="12" t="s">
        <v>17</v>
      </c>
      <c r="S132" s="12" t="s">
        <v>19</v>
      </c>
      <c r="T132" s="12" t="s">
        <v>33</v>
      </c>
      <c r="U132" s="14" t="s">
        <v>80</v>
      </c>
      <c r="V132" s="9" t="s">
        <v>32</v>
      </c>
      <c r="W132" s="12" t="s">
        <v>17</v>
      </c>
      <c r="X132" s="12" t="s">
        <v>19</v>
      </c>
      <c r="Y132" s="12" t="s">
        <v>33</v>
      </c>
      <c r="Z132" s="14" t="s">
        <v>80</v>
      </c>
      <c r="AA132" s="9" t="s">
        <v>32</v>
      </c>
      <c r="AB132" s="12" t="s">
        <v>17</v>
      </c>
      <c r="AC132" s="12" t="s">
        <v>19</v>
      </c>
      <c r="AD132" s="12" t="s">
        <v>33</v>
      </c>
      <c r="AE132" s="14" t="s">
        <v>80</v>
      </c>
      <c r="AF132" s="117"/>
      <c r="AG132" s="117"/>
      <c r="AH132" s="58" t="s">
        <v>130</v>
      </c>
      <c r="AI132" s="58" t="s">
        <v>131</v>
      </c>
      <c r="AJ132" s="58" t="s">
        <v>132</v>
      </c>
      <c r="AK132" s="58" t="s">
        <v>166</v>
      </c>
      <c r="AL132" s="58" t="s">
        <v>33</v>
      </c>
      <c r="AN132" s="58" t="s">
        <v>130</v>
      </c>
      <c r="AO132" s="58" t="s">
        <v>131</v>
      </c>
      <c r="AP132" s="58" t="s">
        <v>132</v>
      </c>
      <c r="AQ132" s="58" t="s">
        <v>166</v>
      </c>
      <c r="AR132" s="58" t="s">
        <v>33</v>
      </c>
      <c r="AT132" s="58" t="s">
        <v>130</v>
      </c>
      <c r="AU132" s="58" t="s">
        <v>131</v>
      </c>
      <c r="AV132" s="58" t="s">
        <v>132</v>
      </c>
      <c r="AW132" s="58" t="s">
        <v>166</v>
      </c>
      <c r="AX132" s="58" t="s">
        <v>33</v>
      </c>
      <c r="AZ132" s="58" t="s">
        <v>130</v>
      </c>
      <c r="BA132" s="58" t="s">
        <v>131</v>
      </c>
      <c r="BB132" s="58" t="s">
        <v>132</v>
      </c>
      <c r="BC132" s="58" t="s">
        <v>166</v>
      </c>
      <c r="BD132" s="58" t="s">
        <v>33</v>
      </c>
      <c r="BF132" s="58" t="s">
        <v>130</v>
      </c>
      <c r="BG132" s="58" t="s">
        <v>131</v>
      </c>
      <c r="BH132" s="58" t="s">
        <v>132</v>
      </c>
      <c r="BI132" s="58" t="s">
        <v>166</v>
      </c>
      <c r="BJ132" s="58" t="s">
        <v>33</v>
      </c>
    </row>
    <row r="133" spans="1:62" ht="15.75" thickBot="1" x14ac:dyDescent="0.3">
      <c r="A133" s="16">
        <v>300</v>
      </c>
      <c r="B133" s="10">
        <f t="shared" ref="B133:F141" si="34">SUMIFS($J$14:$J$113,$I$14:$I$113,$A133,$K$14:$K$113,B$118,$L$14:$L$113,$B$117,$H$14:$H$113,"NG")</f>
        <v>0</v>
      </c>
      <c r="C133" s="11">
        <f t="shared" si="34"/>
        <v>0</v>
      </c>
      <c r="D133" s="11">
        <f t="shared" si="34"/>
        <v>0</v>
      </c>
      <c r="E133" s="11">
        <f t="shared" si="34"/>
        <v>0</v>
      </c>
      <c r="F133" s="17">
        <f t="shared" si="34"/>
        <v>0</v>
      </c>
      <c r="G133" s="10">
        <f t="shared" ref="G133:K141" si="35">SUMIFS($J$14:$J$113,$I$14:$I$113,$A133,$K$14:$K$113,G$118,$L$14:$L$113,$G$117,$H$14:$H$113,"NG")</f>
        <v>0</v>
      </c>
      <c r="H133" s="11">
        <f t="shared" si="35"/>
        <v>0</v>
      </c>
      <c r="I133" s="11">
        <f t="shared" si="35"/>
        <v>0</v>
      </c>
      <c r="J133" s="11">
        <f t="shared" si="35"/>
        <v>0</v>
      </c>
      <c r="K133" s="17">
        <f t="shared" si="35"/>
        <v>0</v>
      </c>
      <c r="L133" s="10">
        <f t="shared" ref="L133:P141" si="36">SUMIFS($J$14:$J$113,$I$14:$I$113,$A133,$K$14:$K$113,L$118,$L$14:$L$113,$L$117,$H$14:$H$113,"NG")</f>
        <v>0</v>
      </c>
      <c r="M133" s="11">
        <f t="shared" si="36"/>
        <v>0</v>
      </c>
      <c r="N133" s="11">
        <f t="shared" si="36"/>
        <v>0</v>
      </c>
      <c r="O133" s="11">
        <f t="shared" si="36"/>
        <v>0</v>
      </c>
      <c r="P133" s="17">
        <f t="shared" si="36"/>
        <v>0</v>
      </c>
      <c r="Q133" s="10">
        <f t="shared" ref="Q133:U141" si="37">SUMIFS($J$14:$J$113,$I$14:$I$113,$A133,$K$14:$K$113,Q$118,$L$14:$L$113,$Q$117,$H$14:$H$113,"NG")</f>
        <v>0</v>
      </c>
      <c r="R133" s="11">
        <f t="shared" si="37"/>
        <v>0</v>
      </c>
      <c r="S133" s="11">
        <f t="shared" si="37"/>
        <v>0</v>
      </c>
      <c r="T133" s="11">
        <f t="shared" si="37"/>
        <v>0</v>
      </c>
      <c r="U133" s="17">
        <f t="shared" si="37"/>
        <v>0</v>
      </c>
      <c r="V133" s="10">
        <f t="shared" ref="V133:AE141" si="38">SUMIFS($J$14:$J$113,$I$14:$I$113,$A133,$K$14:$K$113,V$118,$L$14:$L$113,$L$117,$H$14:$H$113,"NG")</f>
        <v>0</v>
      </c>
      <c r="W133" s="11">
        <f t="shared" si="38"/>
        <v>0</v>
      </c>
      <c r="X133" s="11">
        <f t="shared" si="38"/>
        <v>0</v>
      </c>
      <c r="Y133" s="11">
        <f t="shared" si="38"/>
        <v>0</v>
      </c>
      <c r="Z133" s="17">
        <f t="shared" si="38"/>
        <v>0</v>
      </c>
      <c r="AA133" s="10">
        <f t="shared" si="38"/>
        <v>0</v>
      </c>
      <c r="AB133" s="11">
        <f t="shared" si="38"/>
        <v>0</v>
      </c>
      <c r="AC133" s="11">
        <f t="shared" si="38"/>
        <v>0</v>
      </c>
      <c r="AD133" s="11">
        <f t="shared" si="38"/>
        <v>0</v>
      </c>
      <c r="AE133" s="17">
        <f t="shared" si="38"/>
        <v>0</v>
      </c>
      <c r="AF133" s="16">
        <f>SUM(B133:AE133)*A133</f>
        <v>0</v>
      </c>
      <c r="AG133" s="16">
        <f>SUM(B133:AE133)</f>
        <v>0</v>
      </c>
      <c r="AH133" s="34" t="str">
        <f>AZ14</f>
        <v/>
      </c>
      <c r="AI133" s="34" t="str">
        <f>BA14</f>
        <v/>
      </c>
      <c r="AJ133" s="34" t="str">
        <f>BB14</f>
        <v/>
      </c>
      <c r="AK133" s="35" t="str">
        <f>BC14</f>
        <v/>
      </c>
      <c r="AL133" s="35" t="str">
        <f>BD14</f>
        <v/>
      </c>
      <c r="AN133" s="34" t="str">
        <f>AZ15</f>
        <v/>
      </c>
      <c r="AO133" s="34" t="str">
        <f>BA15</f>
        <v/>
      </c>
      <c r="AP133" s="34" t="str">
        <f>BB15</f>
        <v/>
      </c>
      <c r="AQ133" s="35" t="str">
        <f>BC15</f>
        <v/>
      </c>
      <c r="AR133" s="35" t="str">
        <f>BD15</f>
        <v/>
      </c>
      <c r="AT133" s="34" t="str">
        <f>AZ16</f>
        <v/>
      </c>
      <c r="AU133" s="34" t="str">
        <f>BA16</f>
        <v/>
      </c>
      <c r="AV133" s="34" t="str">
        <f>BB16</f>
        <v/>
      </c>
      <c r="AW133" s="35" t="str">
        <f>BC16</f>
        <v/>
      </c>
      <c r="AX133" s="35" t="str">
        <f>BD16</f>
        <v/>
      </c>
      <c r="AZ133" s="34" t="str">
        <f>AZ17</f>
        <v/>
      </c>
      <c r="BA133" s="34" t="str">
        <f>BA17</f>
        <v/>
      </c>
      <c r="BB133" s="34" t="str">
        <f>BB17</f>
        <v/>
      </c>
      <c r="BC133" s="35" t="str">
        <f>BC17</f>
        <v/>
      </c>
      <c r="BD133" s="35" t="str">
        <f>BD17</f>
        <v/>
      </c>
      <c r="BF133" s="34" t="str">
        <f>AZ18</f>
        <v/>
      </c>
      <c r="BG133" s="34" t="str">
        <f>BA18</f>
        <v/>
      </c>
      <c r="BH133" s="34" t="str">
        <f>BB18</f>
        <v/>
      </c>
      <c r="BI133" s="35" t="str">
        <f>BC18</f>
        <v/>
      </c>
      <c r="BJ133" s="35" t="str">
        <f>BD18</f>
        <v/>
      </c>
    </row>
    <row r="134" spans="1:62" ht="15.75" thickBot="1" x14ac:dyDescent="0.3">
      <c r="A134" s="16">
        <v>500</v>
      </c>
      <c r="B134" s="10">
        <f t="shared" si="34"/>
        <v>0</v>
      </c>
      <c r="C134" s="11">
        <f t="shared" si="34"/>
        <v>0</v>
      </c>
      <c r="D134" s="11">
        <f t="shared" si="34"/>
        <v>0</v>
      </c>
      <c r="E134" s="11">
        <f t="shared" si="34"/>
        <v>0</v>
      </c>
      <c r="F134" s="17">
        <f t="shared" si="34"/>
        <v>0</v>
      </c>
      <c r="G134" s="10">
        <f t="shared" si="35"/>
        <v>0</v>
      </c>
      <c r="H134" s="11">
        <f t="shared" si="35"/>
        <v>0</v>
      </c>
      <c r="I134" s="11">
        <f t="shared" si="35"/>
        <v>0</v>
      </c>
      <c r="J134" s="11">
        <f t="shared" si="35"/>
        <v>0</v>
      </c>
      <c r="K134" s="17">
        <f t="shared" si="35"/>
        <v>0</v>
      </c>
      <c r="L134" s="10">
        <f t="shared" si="36"/>
        <v>0</v>
      </c>
      <c r="M134" s="11">
        <f t="shared" si="36"/>
        <v>0</v>
      </c>
      <c r="N134" s="11">
        <f t="shared" si="36"/>
        <v>0</v>
      </c>
      <c r="O134" s="11">
        <f t="shared" si="36"/>
        <v>0</v>
      </c>
      <c r="P134" s="17">
        <f t="shared" si="36"/>
        <v>0</v>
      </c>
      <c r="Q134" s="10">
        <f t="shared" si="37"/>
        <v>0</v>
      </c>
      <c r="R134" s="11">
        <f t="shared" si="37"/>
        <v>0</v>
      </c>
      <c r="S134" s="11">
        <f t="shared" si="37"/>
        <v>0</v>
      </c>
      <c r="T134" s="11">
        <f t="shared" si="37"/>
        <v>0</v>
      </c>
      <c r="U134" s="17">
        <f t="shared" si="37"/>
        <v>0</v>
      </c>
      <c r="V134" s="10">
        <f t="shared" si="38"/>
        <v>0</v>
      </c>
      <c r="W134" s="11">
        <f t="shared" si="38"/>
        <v>0</v>
      </c>
      <c r="X134" s="11">
        <f t="shared" si="38"/>
        <v>0</v>
      </c>
      <c r="Y134" s="11">
        <f t="shared" si="38"/>
        <v>0</v>
      </c>
      <c r="Z134" s="17">
        <f t="shared" si="38"/>
        <v>0</v>
      </c>
      <c r="AA134" s="10">
        <f t="shared" si="38"/>
        <v>0</v>
      </c>
      <c r="AB134" s="11">
        <f t="shared" si="38"/>
        <v>0</v>
      </c>
      <c r="AC134" s="11">
        <f t="shared" si="38"/>
        <v>0</v>
      </c>
      <c r="AD134" s="11">
        <f t="shared" si="38"/>
        <v>0</v>
      </c>
      <c r="AE134" s="17">
        <f t="shared" si="38"/>
        <v>0</v>
      </c>
      <c r="AF134" s="16">
        <f t="shared" ref="AF134:AF141" si="39">SUM(B134:AE134)*A134</f>
        <v>0</v>
      </c>
      <c r="AG134" s="16">
        <f t="shared" ref="AG134:AG142" si="40">SUM(B134:AE134)</f>
        <v>0</v>
      </c>
      <c r="AH134" s="58" t="s">
        <v>22</v>
      </c>
      <c r="AI134" s="58" t="s">
        <v>20</v>
      </c>
      <c r="AJ134" s="58" t="s">
        <v>34</v>
      </c>
      <c r="AK134" s="58" t="s">
        <v>127</v>
      </c>
      <c r="AL134" s="58" t="s">
        <v>129</v>
      </c>
      <c r="AN134" s="58" t="s">
        <v>22</v>
      </c>
      <c r="AO134" s="58" t="s">
        <v>20</v>
      </c>
      <c r="AP134" s="58" t="s">
        <v>34</v>
      </c>
      <c r="AQ134" s="58" t="s">
        <v>127</v>
      </c>
      <c r="AR134" s="58" t="s">
        <v>129</v>
      </c>
      <c r="AT134" s="58" t="s">
        <v>22</v>
      </c>
      <c r="AU134" s="58" t="s">
        <v>20</v>
      </c>
      <c r="AV134" s="58" t="s">
        <v>34</v>
      </c>
      <c r="AW134" s="58" t="s">
        <v>127</v>
      </c>
      <c r="AX134" s="58" t="s">
        <v>129</v>
      </c>
      <c r="AZ134" s="58" t="s">
        <v>22</v>
      </c>
      <c r="BA134" s="58" t="s">
        <v>20</v>
      </c>
      <c r="BB134" s="58" t="s">
        <v>34</v>
      </c>
      <c r="BC134" s="58" t="s">
        <v>127</v>
      </c>
      <c r="BD134" s="58" t="s">
        <v>129</v>
      </c>
      <c r="BF134" s="58" t="s">
        <v>22</v>
      </c>
      <c r="BG134" s="58" t="s">
        <v>20</v>
      </c>
      <c r="BH134" s="58" t="s">
        <v>34</v>
      </c>
      <c r="BI134" s="58" t="s">
        <v>127</v>
      </c>
      <c r="BJ134" s="58" t="s">
        <v>129</v>
      </c>
    </row>
    <row r="135" spans="1:62" ht="15.75" thickBot="1" x14ac:dyDescent="0.3">
      <c r="A135" s="15">
        <v>750</v>
      </c>
      <c r="B135" s="8">
        <f t="shared" si="34"/>
        <v>0</v>
      </c>
      <c r="C135" s="6">
        <f t="shared" si="34"/>
        <v>0</v>
      </c>
      <c r="D135" s="6">
        <f t="shared" si="34"/>
        <v>0</v>
      </c>
      <c r="E135" s="6">
        <f t="shared" si="34"/>
        <v>0</v>
      </c>
      <c r="F135" s="13">
        <f t="shared" si="34"/>
        <v>0</v>
      </c>
      <c r="G135" s="8">
        <f t="shared" si="35"/>
        <v>0</v>
      </c>
      <c r="H135" s="6">
        <f t="shared" si="35"/>
        <v>0</v>
      </c>
      <c r="I135" s="6">
        <f t="shared" si="35"/>
        <v>0</v>
      </c>
      <c r="J135" s="6">
        <f t="shared" si="35"/>
        <v>0</v>
      </c>
      <c r="K135" s="13">
        <f t="shared" si="35"/>
        <v>0</v>
      </c>
      <c r="L135" s="8">
        <f t="shared" si="36"/>
        <v>0</v>
      </c>
      <c r="M135" s="6">
        <f t="shared" si="36"/>
        <v>0</v>
      </c>
      <c r="N135" s="6">
        <f t="shared" si="36"/>
        <v>0</v>
      </c>
      <c r="O135" s="6">
        <f t="shared" si="36"/>
        <v>0</v>
      </c>
      <c r="P135" s="13">
        <f t="shared" si="36"/>
        <v>0</v>
      </c>
      <c r="Q135" s="8">
        <f t="shared" si="37"/>
        <v>0</v>
      </c>
      <c r="R135" s="6">
        <f t="shared" si="37"/>
        <v>0</v>
      </c>
      <c r="S135" s="6">
        <f t="shared" si="37"/>
        <v>0</v>
      </c>
      <c r="T135" s="6">
        <f t="shared" si="37"/>
        <v>0</v>
      </c>
      <c r="U135" s="13">
        <f t="shared" si="37"/>
        <v>0</v>
      </c>
      <c r="V135" s="8">
        <f t="shared" si="38"/>
        <v>0</v>
      </c>
      <c r="W135" s="6">
        <f t="shared" si="38"/>
        <v>0</v>
      </c>
      <c r="X135" s="6">
        <f t="shared" si="38"/>
        <v>0</v>
      </c>
      <c r="Y135" s="6">
        <f t="shared" si="38"/>
        <v>0</v>
      </c>
      <c r="Z135" s="13">
        <f t="shared" si="38"/>
        <v>0</v>
      </c>
      <c r="AA135" s="8">
        <f t="shared" si="38"/>
        <v>0</v>
      </c>
      <c r="AB135" s="6">
        <f t="shared" si="38"/>
        <v>0</v>
      </c>
      <c r="AC135" s="6">
        <f t="shared" si="38"/>
        <v>0</v>
      </c>
      <c r="AD135" s="6">
        <f t="shared" si="38"/>
        <v>0</v>
      </c>
      <c r="AE135" s="13">
        <f t="shared" si="38"/>
        <v>0</v>
      </c>
      <c r="AF135" s="16">
        <f t="shared" si="39"/>
        <v>0</v>
      </c>
      <c r="AG135" s="16">
        <f t="shared" si="40"/>
        <v>0</v>
      </c>
      <c r="AH135" s="34">
        <f>AU14</f>
        <v>3.5</v>
      </c>
      <c r="AI135" s="34" t="str">
        <f>AV14</f>
        <v/>
      </c>
      <c r="AJ135" s="34" t="str">
        <f>AW14</f>
        <v/>
      </c>
      <c r="AK135" s="35" t="str">
        <f>AX14</f>
        <v/>
      </c>
      <c r="AL135" s="35" t="str">
        <f>AY14</f>
        <v/>
      </c>
      <c r="AN135" s="34" t="str">
        <f>AU15</f>
        <v/>
      </c>
      <c r="AO135" s="34" t="str">
        <f>AV15</f>
        <v/>
      </c>
      <c r="AP135" s="34" t="str">
        <f>AW15</f>
        <v/>
      </c>
      <c r="AQ135" s="35" t="str">
        <f>AX15</f>
        <v/>
      </c>
      <c r="AR135" s="35" t="str">
        <f>AY15</f>
        <v/>
      </c>
      <c r="AT135" s="34" t="str">
        <f>AU16</f>
        <v/>
      </c>
      <c r="AU135" s="34" t="str">
        <f>AV16</f>
        <v/>
      </c>
      <c r="AV135" s="34" t="str">
        <f>AW16</f>
        <v/>
      </c>
      <c r="AW135" s="35" t="str">
        <f>AX16</f>
        <v/>
      </c>
      <c r="AX135" s="35" t="str">
        <f>AY16</f>
        <v/>
      </c>
      <c r="AZ135" s="34" t="str">
        <f>AU17</f>
        <v/>
      </c>
      <c r="BA135" s="34" t="str">
        <f>AV17</f>
        <v/>
      </c>
      <c r="BB135" s="34" t="str">
        <f>AW17</f>
        <v/>
      </c>
      <c r="BC135" s="35" t="str">
        <f>AX17</f>
        <v/>
      </c>
      <c r="BD135" s="35" t="str">
        <f>AY17</f>
        <v/>
      </c>
      <c r="BF135" s="34" t="str">
        <f>AU18</f>
        <v/>
      </c>
      <c r="BG135" s="34" t="str">
        <f>AV18</f>
        <v/>
      </c>
      <c r="BH135" s="34" t="str">
        <f>AW18</f>
        <v/>
      </c>
      <c r="BI135" s="35" t="str">
        <f>AX18</f>
        <v/>
      </c>
      <c r="BJ135" s="35" t="str">
        <f>AY18</f>
        <v/>
      </c>
    </row>
    <row r="136" spans="1:62" x14ac:dyDescent="0.25">
      <c r="A136" s="15">
        <v>1000</v>
      </c>
      <c r="B136" s="8">
        <f t="shared" si="34"/>
        <v>0</v>
      </c>
      <c r="C136" s="6">
        <f t="shared" si="34"/>
        <v>0</v>
      </c>
      <c r="D136" s="6">
        <f t="shared" si="34"/>
        <v>0</v>
      </c>
      <c r="E136" s="6">
        <f t="shared" si="34"/>
        <v>0</v>
      </c>
      <c r="F136" s="13">
        <f t="shared" si="34"/>
        <v>0</v>
      </c>
      <c r="G136" s="8">
        <f t="shared" si="35"/>
        <v>0</v>
      </c>
      <c r="H136" s="6">
        <f t="shared" si="35"/>
        <v>0</v>
      </c>
      <c r="I136" s="6">
        <f t="shared" si="35"/>
        <v>0</v>
      </c>
      <c r="J136" s="6">
        <f t="shared" si="35"/>
        <v>0</v>
      </c>
      <c r="K136" s="13">
        <f t="shared" si="35"/>
        <v>0</v>
      </c>
      <c r="L136" s="8">
        <f t="shared" si="36"/>
        <v>0</v>
      </c>
      <c r="M136" s="6">
        <f t="shared" si="36"/>
        <v>0</v>
      </c>
      <c r="N136" s="6">
        <f t="shared" si="36"/>
        <v>0</v>
      </c>
      <c r="O136" s="6">
        <f t="shared" si="36"/>
        <v>0</v>
      </c>
      <c r="P136" s="13">
        <f t="shared" si="36"/>
        <v>0</v>
      </c>
      <c r="Q136" s="8">
        <f t="shared" si="37"/>
        <v>0</v>
      </c>
      <c r="R136" s="6">
        <f t="shared" si="37"/>
        <v>0</v>
      </c>
      <c r="S136" s="6">
        <f t="shared" si="37"/>
        <v>0</v>
      </c>
      <c r="T136" s="6">
        <f t="shared" si="37"/>
        <v>0</v>
      </c>
      <c r="U136" s="13">
        <f t="shared" si="37"/>
        <v>0</v>
      </c>
      <c r="V136" s="8">
        <f t="shared" si="38"/>
        <v>0</v>
      </c>
      <c r="W136" s="6">
        <f t="shared" si="38"/>
        <v>0</v>
      </c>
      <c r="X136" s="6">
        <f t="shared" si="38"/>
        <v>0</v>
      </c>
      <c r="Y136" s="6">
        <f t="shared" si="38"/>
        <v>0</v>
      </c>
      <c r="Z136" s="13">
        <f t="shared" si="38"/>
        <v>0</v>
      </c>
      <c r="AA136" s="8">
        <f t="shared" si="38"/>
        <v>0</v>
      </c>
      <c r="AB136" s="6">
        <f t="shared" si="38"/>
        <v>0</v>
      </c>
      <c r="AC136" s="6">
        <f t="shared" si="38"/>
        <v>0</v>
      </c>
      <c r="AD136" s="6">
        <f t="shared" si="38"/>
        <v>0</v>
      </c>
      <c r="AE136" s="13">
        <f t="shared" si="38"/>
        <v>0</v>
      </c>
      <c r="AF136" s="16">
        <f t="shared" si="39"/>
        <v>0</v>
      </c>
      <c r="AG136" s="16">
        <f t="shared" si="40"/>
        <v>0</v>
      </c>
    </row>
    <row r="137" spans="1:62" x14ac:dyDescent="0.25">
      <c r="A137" s="15">
        <v>1500</v>
      </c>
      <c r="B137" s="8">
        <f t="shared" si="34"/>
        <v>0</v>
      </c>
      <c r="C137" s="6">
        <f t="shared" si="34"/>
        <v>0</v>
      </c>
      <c r="D137" s="6">
        <f t="shared" si="34"/>
        <v>0</v>
      </c>
      <c r="E137" s="6">
        <f t="shared" si="34"/>
        <v>0</v>
      </c>
      <c r="F137" s="13">
        <f t="shared" si="34"/>
        <v>0</v>
      </c>
      <c r="G137" s="8">
        <f t="shared" si="35"/>
        <v>0</v>
      </c>
      <c r="H137" s="6">
        <f t="shared" si="35"/>
        <v>0</v>
      </c>
      <c r="I137" s="6">
        <f t="shared" si="35"/>
        <v>0</v>
      </c>
      <c r="J137" s="6">
        <f t="shared" si="35"/>
        <v>0</v>
      </c>
      <c r="K137" s="13">
        <f t="shared" si="35"/>
        <v>0</v>
      </c>
      <c r="L137" s="8">
        <f t="shared" si="36"/>
        <v>0</v>
      </c>
      <c r="M137" s="6">
        <f t="shared" si="36"/>
        <v>0</v>
      </c>
      <c r="N137" s="6">
        <f t="shared" si="36"/>
        <v>0</v>
      </c>
      <c r="O137" s="6">
        <f t="shared" si="36"/>
        <v>0</v>
      </c>
      <c r="P137" s="13">
        <f t="shared" si="36"/>
        <v>0</v>
      </c>
      <c r="Q137" s="8">
        <f t="shared" si="37"/>
        <v>0</v>
      </c>
      <c r="R137" s="6">
        <f t="shared" si="37"/>
        <v>0</v>
      </c>
      <c r="S137" s="6">
        <f t="shared" si="37"/>
        <v>0</v>
      </c>
      <c r="T137" s="6">
        <f t="shared" si="37"/>
        <v>0</v>
      </c>
      <c r="U137" s="13">
        <f t="shared" si="37"/>
        <v>0</v>
      </c>
      <c r="V137" s="8">
        <f t="shared" si="38"/>
        <v>0</v>
      </c>
      <c r="W137" s="6">
        <f t="shared" si="38"/>
        <v>0</v>
      </c>
      <c r="X137" s="6">
        <f t="shared" si="38"/>
        <v>0</v>
      </c>
      <c r="Y137" s="6">
        <f t="shared" si="38"/>
        <v>0</v>
      </c>
      <c r="Z137" s="13">
        <f t="shared" si="38"/>
        <v>0</v>
      </c>
      <c r="AA137" s="8">
        <f t="shared" si="38"/>
        <v>0</v>
      </c>
      <c r="AB137" s="6">
        <f t="shared" si="38"/>
        <v>0</v>
      </c>
      <c r="AC137" s="6">
        <f t="shared" si="38"/>
        <v>0</v>
      </c>
      <c r="AD137" s="6">
        <f t="shared" si="38"/>
        <v>0</v>
      </c>
      <c r="AE137" s="13">
        <f t="shared" si="38"/>
        <v>0</v>
      </c>
      <c r="AF137" s="16">
        <f t="shared" si="39"/>
        <v>0</v>
      </c>
      <c r="AG137" s="16">
        <f t="shared" si="40"/>
        <v>0</v>
      </c>
      <c r="AH137" s="118" t="s">
        <v>35</v>
      </c>
      <c r="AI137" s="118"/>
      <c r="AJ137" s="118">
        <f>F7</f>
        <v>0</v>
      </c>
      <c r="AK137" s="118"/>
      <c r="AL137" s="118"/>
      <c r="AN137" s="118" t="s">
        <v>35</v>
      </c>
      <c r="AO137" s="118"/>
      <c r="AP137" s="118">
        <f>F8</f>
        <v>0</v>
      </c>
      <c r="AQ137" s="118"/>
      <c r="AR137" s="118"/>
      <c r="AT137" s="118" t="s">
        <v>35</v>
      </c>
      <c r="AU137" s="118"/>
      <c r="AV137" s="118">
        <f>F9</f>
        <v>0</v>
      </c>
      <c r="AW137" s="118"/>
      <c r="AX137" s="118"/>
      <c r="AZ137" s="118" t="s">
        <v>35</v>
      </c>
      <c r="BA137" s="118"/>
      <c r="BB137" s="118">
        <f>F10</f>
        <v>0</v>
      </c>
      <c r="BC137" s="118"/>
      <c r="BD137" s="118"/>
      <c r="BF137" s="118" t="s">
        <v>35</v>
      </c>
      <c r="BG137" s="118"/>
      <c r="BH137" s="118">
        <f>F11</f>
        <v>0</v>
      </c>
      <c r="BI137" s="118"/>
      <c r="BJ137" s="118"/>
    </row>
    <row r="138" spans="1:62" x14ac:dyDescent="0.25">
      <c r="A138" s="15">
        <v>2000</v>
      </c>
      <c r="B138" s="8">
        <f t="shared" si="34"/>
        <v>0</v>
      </c>
      <c r="C138" s="6">
        <f t="shared" si="34"/>
        <v>0</v>
      </c>
      <c r="D138" s="6">
        <f t="shared" si="34"/>
        <v>0</v>
      </c>
      <c r="E138" s="6">
        <f t="shared" si="34"/>
        <v>0</v>
      </c>
      <c r="F138" s="13">
        <f t="shared" si="34"/>
        <v>0</v>
      </c>
      <c r="G138" s="8">
        <f t="shared" si="35"/>
        <v>0</v>
      </c>
      <c r="H138" s="6">
        <f t="shared" si="35"/>
        <v>0</v>
      </c>
      <c r="I138" s="6">
        <f t="shared" si="35"/>
        <v>0</v>
      </c>
      <c r="J138" s="6">
        <f t="shared" si="35"/>
        <v>0</v>
      </c>
      <c r="K138" s="13">
        <f t="shared" si="35"/>
        <v>0</v>
      </c>
      <c r="L138" s="8">
        <f t="shared" si="36"/>
        <v>0</v>
      </c>
      <c r="M138" s="6">
        <f t="shared" si="36"/>
        <v>0</v>
      </c>
      <c r="N138" s="6">
        <f t="shared" si="36"/>
        <v>0</v>
      </c>
      <c r="O138" s="6">
        <f t="shared" si="36"/>
        <v>0</v>
      </c>
      <c r="P138" s="13">
        <f t="shared" si="36"/>
        <v>0</v>
      </c>
      <c r="Q138" s="8">
        <f t="shared" si="37"/>
        <v>0</v>
      </c>
      <c r="R138" s="6">
        <f t="shared" si="37"/>
        <v>0</v>
      </c>
      <c r="S138" s="6">
        <f t="shared" si="37"/>
        <v>0</v>
      </c>
      <c r="T138" s="6">
        <f t="shared" si="37"/>
        <v>0</v>
      </c>
      <c r="U138" s="13">
        <f t="shared" si="37"/>
        <v>0</v>
      </c>
      <c r="V138" s="8">
        <f t="shared" si="38"/>
        <v>0</v>
      </c>
      <c r="W138" s="6">
        <f t="shared" si="38"/>
        <v>0</v>
      </c>
      <c r="X138" s="6">
        <f t="shared" si="38"/>
        <v>0</v>
      </c>
      <c r="Y138" s="6">
        <f t="shared" si="38"/>
        <v>0</v>
      </c>
      <c r="Z138" s="13">
        <f t="shared" si="38"/>
        <v>0</v>
      </c>
      <c r="AA138" s="8">
        <f t="shared" si="38"/>
        <v>0</v>
      </c>
      <c r="AB138" s="6">
        <f t="shared" si="38"/>
        <v>0</v>
      </c>
      <c r="AC138" s="6">
        <f t="shared" si="38"/>
        <v>0</v>
      </c>
      <c r="AD138" s="6">
        <f t="shared" si="38"/>
        <v>0</v>
      </c>
      <c r="AE138" s="13">
        <f t="shared" si="38"/>
        <v>0</v>
      </c>
      <c r="AF138" s="16">
        <f t="shared" si="39"/>
        <v>0</v>
      </c>
      <c r="AG138" s="16">
        <f t="shared" si="40"/>
        <v>0</v>
      </c>
      <c r="AH138" s="118">
        <f>G7</f>
        <v>0</v>
      </c>
      <c r="AI138" s="118"/>
      <c r="AJ138" s="118"/>
      <c r="AK138" s="118"/>
      <c r="AL138" s="118"/>
      <c r="AN138" s="118">
        <f>G8</f>
        <v>0</v>
      </c>
      <c r="AO138" s="118">
        <f>G8</f>
        <v>0</v>
      </c>
      <c r="AP138" s="118"/>
      <c r="AQ138" s="118"/>
      <c r="AR138" s="118"/>
      <c r="AT138" s="118">
        <f>G9</f>
        <v>0</v>
      </c>
      <c r="AU138" s="118"/>
      <c r="AV138" s="118"/>
      <c r="AW138" s="118"/>
      <c r="AX138" s="118"/>
      <c r="AZ138" s="118">
        <f>G10</f>
        <v>0</v>
      </c>
      <c r="BA138" s="118"/>
      <c r="BB138" s="118"/>
      <c r="BC138" s="118"/>
      <c r="BD138" s="118"/>
      <c r="BF138" s="118">
        <f>G11</f>
        <v>0</v>
      </c>
      <c r="BG138" s="118"/>
      <c r="BH138" s="118"/>
      <c r="BI138" s="118"/>
      <c r="BJ138" s="118"/>
    </row>
    <row r="139" spans="1:62" ht="15.75" thickBot="1" x14ac:dyDescent="0.3">
      <c r="A139" s="15">
        <v>3000</v>
      </c>
      <c r="B139" s="8">
        <f t="shared" si="34"/>
        <v>0</v>
      </c>
      <c r="C139" s="6">
        <f t="shared" si="34"/>
        <v>0</v>
      </c>
      <c r="D139" s="6">
        <f t="shared" si="34"/>
        <v>0</v>
      </c>
      <c r="E139" s="6">
        <f t="shared" si="34"/>
        <v>0</v>
      </c>
      <c r="F139" s="13">
        <f t="shared" si="34"/>
        <v>0</v>
      </c>
      <c r="G139" s="8">
        <f t="shared" si="35"/>
        <v>0</v>
      </c>
      <c r="H139" s="6">
        <f t="shared" si="35"/>
        <v>0</v>
      </c>
      <c r="I139" s="6">
        <f t="shared" si="35"/>
        <v>0</v>
      </c>
      <c r="J139" s="6">
        <f t="shared" si="35"/>
        <v>0</v>
      </c>
      <c r="K139" s="13">
        <f t="shared" si="35"/>
        <v>0</v>
      </c>
      <c r="L139" s="8">
        <f t="shared" si="36"/>
        <v>0</v>
      </c>
      <c r="M139" s="6">
        <f t="shared" si="36"/>
        <v>0</v>
      </c>
      <c r="N139" s="6">
        <f t="shared" si="36"/>
        <v>0</v>
      </c>
      <c r="O139" s="6">
        <f t="shared" si="36"/>
        <v>0</v>
      </c>
      <c r="P139" s="13">
        <f t="shared" si="36"/>
        <v>0</v>
      </c>
      <c r="Q139" s="8">
        <f t="shared" si="37"/>
        <v>0</v>
      </c>
      <c r="R139" s="6">
        <f t="shared" si="37"/>
        <v>0</v>
      </c>
      <c r="S139" s="6">
        <f t="shared" si="37"/>
        <v>0</v>
      </c>
      <c r="T139" s="6">
        <f t="shared" si="37"/>
        <v>0</v>
      </c>
      <c r="U139" s="13">
        <f t="shared" si="37"/>
        <v>0</v>
      </c>
      <c r="V139" s="8">
        <f t="shared" si="38"/>
        <v>0</v>
      </c>
      <c r="W139" s="6">
        <f t="shared" si="38"/>
        <v>0</v>
      </c>
      <c r="X139" s="6">
        <f t="shared" si="38"/>
        <v>0</v>
      </c>
      <c r="Y139" s="6">
        <f t="shared" si="38"/>
        <v>0</v>
      </c>
      <c r="Z139" s="13">
        <f t="shared" si="38"/>
        <v>0</v>
      </c>
      <c r="AA139" s="8">
        <f t="shared" si="38"/>
        <v>0</v>
      </c>
      <c r="AB139" s="6">
        <f t="shared" si="38"/>
        <v>0</v>
      </c>
      <c r="AC139" s="6">
        <f t="shared" si="38"/>
        <v>0</v>
      </c>
      <c r="AD139" s="6">
        <f t="shared" si="38"/>
        <v>0</v>
      </c>
      <c r="AE139" s="13">
        <f t="shared" si="38"/>
        <v>0</v>
      </c>
      <c r="AF139" s="16">
        <f t="shared" si="39"/>
        <v>0</v>
      </c>
      <c r="AG139" s="16">
        <f t="shared" si="40"/>
        <v>0</v>
      </c>
      <c r="AH139" s="118">
        <f>H7</f>
        <v>0</v>
      </c>
      <c r="AI139" s="118"/>
      <c r="AJ139" s="118"/>
      <c r="AK139" s="118"/>
      <c r="AL139" s="118"/>
      <c r="AN139" s="118">
        <f>H8</f>
        <v>0</v>
      </c>
      <c r="AO139" s="118">
        <f>H8</f>
        <v>0</v>
      </c>
      <c r="AP139" s="118"/>
      <c r="AQ139" s="118"/>
      <c r="AR139" s="118"/>
      <c r="AT139" s="118">
        <f>H9</f>
        <v>0</v>
      </c>
      <c r="AU139" s="118"/>
      <c r="AV139" s="118"/>
      <c r="AW139" s="118"/>
      <c r="AX139" s="118"/>
      <c r="AZ139" s="118">
        <f>H10</f>
        <v>0</v>
      </c>
      <c r="BA139" s="118"/>
      <c r="BB139" s="118"/>
      <c r="BC139" s="118"/>
      <c r="BD139" s="118"/>
      <c r="BF139" s="118">
        <f>H11</f>
        <v>0</v>
      </c>
      <c r="BG139" s="118"/>
      <c r="BH139" s="118"/>
      <c r="BI139" s="118"/>
      <c r="BJ139" s="118"/>
    </row>
    <row r="140" spans="1:62" ht="15.75" thickBot="1" x14ac:dyDescent="0.3">
      <c r="A140" s="15">
        <v>5000</v>
      </c>
      <c r="B140" s="8">
        <f t="shared" si="34"/>
        <v>0</v>
      </c>
      <c r="C140" s="6">
        <f t="shared" si="34"/>
        <v>0</v>
      </c>
      <c r="D140" s="6">
        <f t="shared" si="34"/>
        <v>0</v>
      </c>
      <c r="E140" s="6">
        <f t="shared" si="34"/>
        <v>0</v>
      </c>
      <c r="F140" s="13">
        <f t="shared" si="34"/>
        <v>0</v>
      </c>
      <c r="G140" s="8">
        <f t="shared" si="35"/>
        <v>0</v>
      </c>
      <c r="H140" s="6">
        <f t="shared" si="35"/>
        <v>0</v>
      </c>
      <c r="I140" s="6">
        <f t="shared" si="35"/>
        <v>0</v>
      </c>
      <c r="J140" s="6">
        <f t="shared" si="35"/>
        <v>0</v>
      </c>
      <c r="K140" s="13">
        <f t="shared" si="35"/>
        <v>0</v>
      </c>
      <c r="L140" s="8">
        <f t="shared" si="36"/>
        <v>0</v>
      </c>
      <c r="M140" s="6">
        <f t="shared" si="36"/>
        <v>0</v>
      </c>
      <c r="N140" s="6">
        <f t="shared" si="36"/>
        <v>0</v>
      </c>
      <c r="O140" s="6">
        <f t="shared" si="36"/>
        <v>0</v>
      </c>
      <c r="P140" s="13">
        <f t="shared" si="36"/>
        <v>0</v>
      </c>
      <c r="Q140" s="8">
        <f t="shared" si="37"/>
        <v>0</v>
      </c>
      <c r="R140" s="6">
        <f t="shared" si="37"/>
        <v>0</v>
      </c>
      <c r="S140" s="6">
        <f t="shared" si="37"/>
        <v>0</v>
      </c>
      <c r="T140" s="6">
        <f t="shared" si="37"/>
        <v>0</v>
      </c>
      <c r="U140" s="13">
        <f t="shared" si="37"/>
        <v>0</v>
      </c>
      <c r="V140" s="8">
        <f t="shared" si="38"/>
        <v>0</v>
      </c>
      <c r="W140" s="6">
        <f t="shared" si="38"/>
        <v>0</v>
      </c>
      <c r="X140" s="6">
        <f t="shared" si="38"/>
        <v>0</v>
      </c>
      <c r="Y140" s="6">
        <f t="shared" si="38"/>
        <v>0</v>
      </c>
      <c r="Z140" s="13">
        <f t="shared" si="38"/>
        <v>0</v>
      </c>
      <c r="AA140" s="8">
        <f t="shared" si="38"/>
        <v>0</v>
      </c>
      <c r="AB140" s="6">
        <f t="shared" si="38"/>
        <v>0</v>
      </c>
      <c r="AC140" s="6">
        <f t="shared" si="38"/>
        <v>0</v>
      </c>
      <c r="AD140" s="6">
        <f t="shared" si="38"/>
        <v>0</v>
      </c>
      <c r="AE140" s="13">
        <f t="shared" si="38"/>
        <v>0</v>
      </c>
      <c r="AF140" s="16">
        <f t="shared" si="39"/>
        <v>0</v>
      </c>
      <c r="AG140" s="16">
        <f t="shared" si="40"/>
        <v>0</v>
      </c>
      <c r="AH140" s="30" t="s">
        <v>136</v>
      </c>
      <c r="AI140" s="30" t="s">
        <v>27</v>
      </c>
      <c r="AJ140" s="30" t="s">
        <v>28</v>
      </c>
      <c r="AK140" s="30" t="s">
        <v>29</v>
      </c>
      <c r="AL140" s="30" t="s">
        <v>30</v>
      </c>
      <c r="AN140" s="30" t="s">
        <v>136</v>
      </c>
      <c r="AO140" s="30" t="s">
        <v>27</v>
      </c>
      <c r="AP140" s="30" t="s">
        <v>28</v>
      </c>
      <c r="AQ140" s="30" t="s">
        <v>29</v>
      </c>
      <c r="AR140" s="30" t="s">
        <v>30</v>
      </c>
      <c r="AT140" s="30" t="s">
        <v>136</v>
      </c>
      <c r="AU140" s="30" t="s">
        <v>27</v>
      </c>
      <c r="AV140" s="30" t="s">
        <v>28</v>
      </c>
      <c r="AW140" s="30" t="s">
        <v>29</v>
      </c>
      <c r="AX140" s="30" t="s">
        <v>30</v>
      </c>
      <c r="AZ140" s="30" t="s">
        <v>136</v>
      </c>
      <c r="BA140" s="30" t="s">
        <v>27</v>
      </c>
      <c r="BB140" s="30" t="s">
        <v>28</v>
      </c>
      <c r="BC140" s="30" t="s">
        <v>29</v>
      </c>
      <c r="BD140" s="30" t="s">
        <v>30</v>
      </c>
      <c r="BF140" s="30" t="s">
        <v>136</v>
      </c>
      <c r="BG140" s="30" t="s">
        <v>27</v>
      </c>
      <c r="BH140" s="30" t="s">
        <v>28</v>
      </c>
      <c r="BI140" s="30" t="s">
        <v>29</v>
      </c>
      <c r="BJ140" s="30" t="s">
        <v>30</v>
      </c>
    </row>
    <row r="141" spans="1:62" ht="15.75" thickBot="1" x14ac:dyDescent="0.3">
      <c r="A141" s="59">
        <v>10000</v>
      </c>
      <c r="B141" s="31">
        <f t="shared" si="34"/>
        <v>0</v>
      </c>
      <c r="C141" s="32">
        <f t="shared" si="34"/>
        <v>0</v>
      </c>
      <c r="D141" s="32">
        <f t="shared" si="34"/>
        <v>0</v>
      </c>
      <c r="E141" s="32">
        <f t="shared" si="34"/>
        <v>0</v>
      </c>
      <c r="F141" s="33">
        <f t="shared" si="34"/>
        <v>0</v>
      </c>
      <c r="G141" s="31">
        <f t="shared" si="35"/>
        <v>0</v>
      </c>
      <c r="H141" s="32">
        <f t="shared" si="35"/>
        <v>0</v>
      </c>
      <c r="I141" s="32">
        <f t="shared" si="35"/>
        <v>0</v>
      </c>
      <c r="J141" s="32">
        <f t="shared" si="35"/>
        <v>0</v>
      </c>
      <c r="K141" s="33">
        <f t="shared" si="35"/>
        <v>0</v>
      </c>
      <c r="L141" s="31">
        <f t="shared" si="36"/>
        <v>0</v>
      </c>
      <c r="M141" s="32">
        <f t="shared" si="36"/>
        <v>0</v>
      </c>
      <c r="N141" s="32">
        <f t="shared" si="36"/>
        <v>0</v>
      </c>
      <c r="O141" s="32">
        <f t="shared" si="36"/>
        <v>0</v>
      </c>
      <c r="P141" s="33">
        <f t="shared" si="36"/>
        <v>0</v>
      </c>
      <c r="Q141" s="31">
        <f t="shared" si="37"/>
        <v>0</v>
      </c>
      <c r="R141" s="32">
        <f t="shared" si="37"/>
        <v>0</v>
      </c>
      <c r="S141" s="32">
        <f t="shared" si="37"/>
        <v>0</v>
      </c>
      <c r="T141" s="32">
        <f t="shared" si="37"/>
        <v>0</v>
      </c>
      <c r="U141" s="33">
        <f t="shared" si="37"/>
        <v>0</v>
      </c>
      <c r="V141" s="31">
        <f t="shared" si="38"/>
        <v>0</v>
      </c>
      <c r="W141" s="32">
        <f t="shared" si="38"/>
        <v>0</v>
      </c>
      <c r="X141" s="32">
        <f t="shared" si="38"/>
        <v>0</v>
      </c>
      <c r="Y141" s="32">
        <f t="shared" si="38"/>
        <v>0</v>
      </c>
      <c r="Z141" s="33">
        <f t="shared" si="38"/>
        <v>0</v>
      </c>
      <c r="AA141" s="31">
        <f t="shared" si="38"/>
        <v>0</v>
      </c>
      <c r="AB141" s="32">
        <f t="shared" si="38"/>
        <v>0</v>
      </c>
      <c r="AC141" s="32">
        <f t="shared" si="38"/>
        <v>0</v>
      </c>
      <c r="AD141" s="32">
        <f t="shared" si="38"/>
        <v>0</v>
      </c>
      <c r="AE141" s="33">
        <f t="shared" si="38"/>
        <v>0</v>
      </c>
      <c r="AF141" s="16">
        <f t="shared" si="39"/>
        <v>0</v>
      </c>
      <c r="AG141" s="43">
        <f t="shared" si="40"/>
        <v>0</v>
      </c>
      <c r="AH141" s="16">
        <f>J7</f>
        <v>0</v>
      </c>
      <c r="AI141" s="10">
        <f>K7</f>
        <v>0</v>
      </c>
      <c r="AJ141" s="11">
        <f>L7</f>
        <v>0</v>
      </c>
      <c r="AK141" s="11">
        <f>M7</f>
        <v>0</v>
      </c>
      <c r="AL141" s="17">
        <f>N7</f>
        <v>0</v>
      </c>
      <c r="AN141" s="16">
        <f>J8</f>
        <v>0</v>
      </c>
      <c r="AO141" s="10">
        <f>K8</f>
        <v>0</v>
      </c>
      <c r="AP141" s="11">
        <f>L8</f>
        <v>0</v>
      </c>
      <c r="AQ141" s="11">
        <f>M8</f>
        <v>0</v>
      </c>
      <c r="AR141" s="17">
        <f>N8</f>
        <v>0</v>
      </c>
      <c r="AT141" s="16">
        <f>J9</f>
        <v>0</v>
      </c>
      <c r="AU141" s="10">
        <f>K9</f>
        <v>0</v>
      </c>
      <c r="AV141" s="11">
        <f>L9</f>
        <v>0</v>
      </c>
      <c r="AW141" s="11">
        <f>M9</f>
        <v>0</v>
      </c>
      <c r="AX141" s="17">
        <f>N9</f>
        <v>0</v>
      </c>
      <c r="AZ141" s="16">
        <f>J10</f>
        <v>0</v>
      </c>
      <c r="BA141" s="10">
        <f>K10</f>
        <v>0</v>
      </c>
      <c r="BB141" s="11">
        <f>L10</f>
        <v>0</v>
      </c>
      <c r="BC141" s="11">
        <f>M10</f>
        <v>0</v>
      </c>
      <c r="BD141" s="17">
        <f>N10</f>
        <v>0</v>
      </c>
      <c r="BF141" s="16">
        <f>J11</f>
        <v>0</v>
      </c>
      <c r="BG141" s="10">
        <f>K11</f>
        <v>0</v>
      </c>
      <c r="BH141" s="11">
        <f>L11</f>
        <v>0</v>
      </c>
      <c r="BI141" s="11">
        <f>M11</f>
        <v>0</v>
      </c>
      <c r="BJ141" s="17">
        <f>N11</f>
        <v>0</v>
      </c>
    </row>
    <row r="142" spans="1:62" ht="15.75" thickBot="1" x14ac:dyDescent="0.3">
      <c r="A142" s="35"/>
      <c r="B142" s="60">
        <f t="shared" ref="B142:AG142" si="41">SUM(B133:B141)</f>
        <v>0</v>
      </c>
      <c r="C142" s="61">
        <f t="shared" si="41"/>
        <v>0</v>
      </c>
      <c r="D142" s="61">
        <f t="shared" si="41"/>
        <v>0</v>
      </c>
      <c r="E142" s="61">
        <f t="shared" si="41"/>
        <v>0</v>
      </c>
      <c r="F142" s="62">
        <f t="shared" si="41"/>
        <v>0</v>
      </c>
      <c r="G142" s="60">
        <f t="shared" si="41"/>
        <v>0</v>
      </c>
      <c r="H142" s="61">
        <f t="shared" si="41"/>
        <v>0</v>
      </c>
      <c r="I142" s="61">
        <f t="shared" si="41"/>
        <v>0</v>
      </c>
      <c r="J142" s="61">
        <f t="shared" si="41"/>
        <v>0</v>
      </c>
      <c r="K142" s="62">
        <f t="shared" si="41"/>
        <v>0</v>
      </c>
      <c r="L142" s="60">
        <f t="shared" si="41"/>
        <v>0</v>
      </c>
      <c r="M142" s="61">
        <f t="shared" si="41"/>
        <v>0</v>
      </c>
      <c r="N142" s="61">
        <f t="shared" si="41"/>
        <v>0</v>
      </c>
      <c r="O142" s="61">
        <f t="shared" si="41"/>
        <v>0</v>
      </c>
      <c r="P142" s="62">
        <f t="shared" si="41"/>
        <v>0</v>
      </c>
      <c r="Q142" s="60">
        <f t="shared" si="41"/>
        <v>0</v>
      </c>
      <c r="R142" s="61">
        <f t="shared" si="41"/>
        <v>0</v>
      </c>
      <c r="S142" s="61">
        <f t="shared" si="41"/>
        <v>0</v>
      </c>
      <c r="T142" s="61">
        <f t="shared" si="41"/>
        <v>0</v>
      </c>
      <c r="U142" s="62">
        <f t="shared" si="41"/>
        <v>0</v>
      </c>
      <c r="V142" s="60">
        <f t="shared" si="41"/>
        <v>0</v>
      </c>
      <c r="W142" s="61">
        <f t="shared" si="41"/>
        <v>0</v>
      </c>
      <c r="X142" s="61">
        <f t="shared" si="41"/>
        <v>0</v>
      </c>
      <c r="Y142" s="61">
        <f t="shared" si="41"/>
        <v>0</v>
      </c>
      <c r="Z142" s="62">
        <f t="shared" si="41"/>
        <v>0</v>
      </c>
      <c r="AA142" s="60">
        <f t="shared" si="41"/>
        <v>0</v>
      </c>
      <c r="AB142" s="61">
        <f t="shared" si="41"/>
        <v>0</v>
      </c>
      <c r="AC142" s="61">
        <f t="shared" si="41"/>
        <v>0</v>
      </c>
      <c r="AD142" s="61">
        <f t="shared" si="41"/>
        <v>0</v>
      </c>
      <c r="AE142" s="62">
        <f t="shared" si="41"/>
        <v>0</v>
      </c>
      <c r="AF142" s="35">
        <f t="shared" si="41"/>
        <v>0</v>
      </c>
      <c r="AG142" s="35">
        <f t="shared" si="40"/>
        <v>0</v>
      </c>
      <c r="AH142" s="15">
        <f>P7</f>
        <v>0</v>
      </c>
      <c r="AI142" s="8">
        <f>Q7</f>
        <v>0</v>
      </c>
      <c r="AJ142" s="6">
        <f>R7</f>
        <v>0</v>
      </c>
      <c r="AK142" s="6">
        <f>S7</f>
        <v>0</v>
      </c>
      <c r="AL142" s="13">
        <f>T7</f>
        <v>0</v>
      </c>
      <c r="AN142" s="15">
        <f>P8</f>
        <v>0</v>
      </c>
      <c r="AO142" s="8">
        <f>Q8</f>
        <v>0</v>
      </c>
      <c r="AP142" s="6">
        <f>R8</f>
        <v>0</v>
      </c>
      <c r="AQ142" s="6">
        <f>S8</f>
        <v>0</v>
      </c>
      <c r="AR142" s="13">
        <f>T8</f>
        <v>0</v>
      </c>
      <c r="AT142" s="15">
        <f>P9</f>
        <v>0</v>
      </c>
      <c r="AU142" s="8">
        <f>Q9</f>
        <v>0</v>
      </c>
      <c r="AV142" s="6">
        <f>R9</f>
        <v>0</v>
      </c>
      <c r="AW142" s="6">
        <f>S9</f>
        <v>0</v>
      </c>
      <c r="AX142" s="13">
        <f>T9</f>
        <v>0</v>
      </c>
      <c r="AZ142" s="15">
        <f>P10</f>
        <v>0</v>
      </c>
      <c r="BA142" s="8">
        <f>Q10</f>
        <v>0</v>
      </c>
      <c r="BB142" s="6">
        <f>R10</f>
        <v>0</v>
      </c>
      <c r="BC142" s="6">
        <f>S10</f>
        <v>0</v>
      </c>
      <c r="BD142" s="13">
        <f>T10</f>
        <v>0</v>
      </c>
      <c r="BF142" s="15">
        <f>P11</f>
        <v>0</v>
      </c>
      <c r="BG142" s="8">
        <f>Q11</f>
        <v>0</v>
      </c>
      <c r="BH142" s="6">
        <f>R11</f>
        <v>0</v>
      </c>
      <c r="BI142" s="6">
        <f>S11</f>
        <v>0</v>
      </c>
      <c r="BJ142" s="13">
        <f>T11</f>
        <v>0</v>
      </c>
    </row>
    <row r="143" spans="1:62" ht="15.75" thickBot="1" x14ac:dyDescent="0.3">
      <c r="AH143" s="15">
        <f>V7</f>
        <v>0</v>
      </c>
      <c r="AI143" s="8">
        <f>W7</f>
        <v>0</v>
      </c>
      <c r="AJ143" s="6">
        <f>X7</f>
        <v>0</v>
      </c>
      <c r="AK143" s="6">
        <f>Y7</f>
        <v>0</v>
      </c>
      <c r="AL143" s="13">
        <f>Z7</f>
        <v>0</v>
      </c>
      <c r="AN143" s="15">
        <f>V8</f>
        <v>0</v>
      </c>
      <c r="AO143" s="8">
        <f>W8</f>
        <v>0</v>
      </c>
      <c r="AP143" s="6">
        <f>X8</f>
        <v>0</v>
      </c>
      <c r="AQ143" s="6">
        <f>Y8</f>
        <v>0</v>
      </c>
      <c r="AR143" s="13">
        <f>Z8</f>
        <v>0</v>
      </c>
      <c r="AT143" s="15">
        <f>V9</f>
        <v>0</v>
      </c>
      <c r="AU143" s="8">
        <f>W9</f>
        <v>0</v>
      </c>
      <c r="AV143" s="6">
        <f>X9</f>
        <v>0</v>
      </c>
      <c r="AW143" s="6">
        <f>Y9</f>
        <v>0</v>
      </c>
      <c r="AX143" s="13">
        <f>Z9</f>
        <v>0</v>
      </c>
      <c r="AZ143" s="15">
        <f>V10</f>
        <v>0</v>
      </c>
      <c r="BA143" s="8">
        <f>W10</f>
        <v>0</v>
      </c>
      <c r="BB143" s="6">
        <f>X10</f>
        <v>0</v>
      </c>
      <c r="BC143" s="6">
        <f>Y10</f>
        <v>0</v>
      </c>
      <c r="BD143" s="13">
        <f>Z10</f>
        <v>0</v>
      </c>
      <c r="BF143" s="15">
        <f>V11</f>
        <v>0</v>
      </c>
      <c r="BG143" s="8">
        <f>W11</f>
        <v>0</v>
      </c>
      <c r="BH143" s="6">
        <f>X11</f>
        <v>0</v>
      </c>
      <c r="BI143" s="6">
        <f>Y11</f>
        <v>0</v>
      </c>
      <c r="BJ143" s="13">
        <f>Z11</f>
        <v>0</v>
      </c>
    </row>
    <row r="144" spans="1:62" ht="15.75" customHeight="1" thickBot="1" x14ac:dyDescent="0.3">
      <c r="A144" s="111" t="s">
        <v>130</v>
      </c>
      <c r="B144" s="112"/>
      <c r="D144" s="111" t="s">
        <v>131</v>
      </c>
      <c r="E144" s="112"/>
      <c r="G144" s="111" t="s">
        <v>132</v>
      </c>
      <c r="H144" s="112"/>
      <c r="J144" s="161" t="s">
        <v>250</v>
      </c>
      <c r="K144" s="162"/>
      <c r="M144" s="161" t="s">
        <v>251</v>
      </c>
      <c r="N144" s="162"/>
      <c r="P144" s="161" t="s">
        <v>252</v>
      </c>
      <c r="Q144" s="162"/>
      <c r="S144" s="123" t="s">
        <v>31</v>
      </c>
      <c r="T144" s="113" t="s">
        <v>84</v>
      </c>
      <c r="U144" s="115"/>
      <c r="V144" s="116" t="s">
        <v>24</v>
      </c>
      <c r="W144" s="116" t="s">
        <v>86</v>
      </c>
      <c r="AH144" s="15">
        <f>AB7</f>
        <v>0</v>
      </c>
      <c r="AI144" s="8">
        <f>AC7</f>
        <v>0</v>
      </c>
      <c r="AJ144" s="6">
        <f>AD7</f>
        <v>0</v>
      </c>
      <c r="AK144" s="6">
        <f>AE7</f>
        <v>0</v>
      </c>
      <c r="AL144" s="13">
        <f>AF7</f>
        <v>0</v>
      </c>
      <c r="AN144" s="15">
        <f>AB8</f>
        <v>0</v>
      </c>
      <c r="AO144" s="8">
        <f>AC8</f>
        <v>0</v>
      </c>
      <c r="AP144" s="6">
        <f>AD8</f>
        <v>0</v>
      </c>
      <c r="AQ144" s="6">
        <f>AE8</f>
        <v>0</v>
      </c>
      <c r="AR144" s="13">
        <f>AF8</f>
        <v>0</v>
      </c>
      <c r="AT144" s="15">
        <f>AB9</f>
        <v>0</v>
      </c>
      <c r="AU144" s="8">
        <f>AC9</f>
        <v>0</v>
      </c>
      <c r="AV144" s="6">
        <f>AD9</f>
        <v>0</v>
      </c>
      <c r="AW144" s="6">
        <f>AE9</f>
        <v>0</v>
      </c>
      <c r="AX144" s="13">
        <f>AF9</f>
        <v>0</v>
      </c>
      <c r="AZ144" s="15">
        <f>AB10</f>
        <v>0</v>
      </c>
      <c r="BA144" s="8">
        <f>AC10</f>
        <v>0</v>
      </c>
      <c r="BB144" s="6">
        <f>AD10</f>
        <v>0</v>
      </c>
      <c r="BC144" s="6">
        <f>AE10</f>
        <v>0</v>
      </c>
      <c r="BD144" s="13">
        <f>AF10</f>
        <v>0</v>
      </c>
      <c r="BF144" s="15">
        <f>AB11</f>
        <v>0</v>
      </c>
      <c r="BG144" s="8">
        <f>AC11</f>
        <v>0</v>
      </c>
      <c r="BH144" s="6">
        <f>AD11</f>
        <v>0</v>
      </c>
      <c r="BI144" s="6">
        <f>AE11</f>
        <v>0</v>
      </c>
      <c r="BJ144" s="13">
        <f>AF11</f>
        <v>0</v>
      </c>
    </row>
    <row r="145" spans="1:62" ht="15.75" thickBot="1" x14ac:dyDescent="0.3">
      <c r="A145" s="60" t="s">
        <v>27</v>
      </c>
      <c r="B145" s="62" t="s">
        <v>102</v>
      </c>
      <c r="D145" s="34" t="s">
        <v>27</v>
      </c>
      <c r="E145" s="79" t="s">
        <v>102</v>
      </c>
      <c r="G145" s="34" t="s">
        <v>27</v>
      </c>
      <c r="H145" s="79" t="s">
        <v>102</v>
      </c>
      <c r="J145" s="163"/>
      <c r="K145" s="164"/>
      <c r="M145" s="163"/>
      <c r="N145" s="164"/>
      <c r="P145" s="163"/>
      <c r="Q145" s="164"/>
      <c r="S145" s="124"/>
      <c r="T145" s="12" t="s">
        <v>17</v>
      </c>
      <c r="U145" s="12" t="s">
        <v>19</v>
      </c>
      <c r="V145" s="117"/>
      <c r="W145" s="117"/>
      <c r="AH145" s="15">
        <f>AH7</f>
        <v>0</v>
      </c>
      <c r="AI145" s="8">
        <f>AI7</f>
        <v>0</v>
      </c>
      <c r="AJ145" s="6">
        <f>AJ7</f>
        <v>0</v>
      </c>
      <c r="AK145" s="6">
        <f>AK7</f>
        <v>0</v>
      </c>
      <c r="AL145" s="13">
        <f>AL7</f>
        <v>0</v>
      </c>
      <c r="AN145" s="15">
        <f>AH8</f>
        <v>0</v>
      </c>
      <c r="AO145" s="8">
        <f>AI8</f>
        <v>0</v>
      </c>
      <c r="AP145" s="6">
        <f>AJ8</f>
        <v>0</v>
      </c>
      <c r="AQ145" s="6">
        <f>AK8</f>
        <v>0</v>
      </c>
      <c r="AR145" s="13">
        <f>AL8</f>
        <v>0</v>
      </c>
      <c r="AT145" s="15">
        <f>AH9</f>
        <v>0</v>
      </c>
      <c r="AU145" s="8">
        <f>AI9</f>
        <v>0</v>
      </c>
      <c r="AV145" s="6">
        <f>AJ9</f>
        <v>0</v>
      </c>
      <c r="AW145" s="6">
        <f>AK9</f>
        <v>0</v>
      </c>
      <c r="AX145" s="13">
        <f>AL9</f>
        <v>0</v>
      </c>
      <c r="AZ145" s="15">
        <f>AH10</f>
        <v>0</v>
      </c>
      <c r="BA145" s="8">
        <f>AI10</f>
        <v>0</v>
      </c>
      <c r="BB145" s="6">
        <f>AJ10</f>
        <v>0</v>
      </c>
      <c r="BC145" s="6">
        <f>AK10</f>
        <v>0</v>
      </c>
      <c r="BD145" s="13">
        <f>AL10</f>
        <v>0</v>
      </c>
      <c r="BF145" s="15">
        <f>AH11</f>
        <v>0</v>
      </c>
      <c r="BG145" s="8">
        <f>AI11</f>
        <v>0</v>
      </c>
      <c r="BH145" s="6">
        <f>AJ11</f>
        <v>0</v>
      </c>
      <c r="BI145" s="6">
        <f>AK11</f>
        <v>0</v>
      </c>
      <c r="BJ145" s="13">
        <f>AL11</f>
        <v>0</v>
      </c>
    </row>
    <row r="146" spans="1:62" x14ac:dyDescent="0.25">
      <c r="A146" s="10">
        <v>225</v>
      </c>
      <c r="B146" s="17">
        <f t="shared" ref="B146:B151" si="42">SUMIFS($J$14:$J$113,$H$14:$H$113,$A$144,$I$14:$I$113,A146)</f>
        <v>0</v>
      </c>
      <c r="D146" s="10">
        <v>1000</v>
      </c>
      <c r="E146" s="17">
        <f>SUMIFS($J$14:$J$113,$H$14:$H$113,$D$144,$I$14:$I$113,D146)</f>
        <v>0</v>
      </c>
      <c r="G146" s="10">
        <v>1000</v>
      </c>
      <c r="H146" s="17">
        <f>SUMIFS($J$14:$J$113,$H$14:$H$113,$G$144,$I$14:$I$113,G146)</f>
        <v>0</v>
      </c>
      <c r="J146" s="163"/>
      <c r="K146" s="164"/>
      <c r="M146" s="163"/>
      <c r="N146" s="164"/>
      <c r="P146" s="163"/>
      <c r="Q146" s="164"/>
      <c r="S146" s="16">
        <v>300</v>
      </c>
      <c r="T146" s="11">
        <f>SUMIFS($J$14:$J$113,$I$14:$I$113,$S146,$K$14:$K$113,T$145,$H$14:$H$113,$T$144)</f>
        <v>0</v>
      </c>
      <c r="U146" s="11">
        <f>SUMIFS($J$14:$J$113,$I$14:$I$113,$S146,$K$14:$K$113,U$145,$H$14:$H$113,$T$144)</f>
        <v>0</v>
      </c>
      <c r="V146" s="16">
        <f>SUM(T146:U146)*S146</f>
        <v>0</v>
      </c>
      <c r="W146" s="16">
        <f>T146+U146</f>
        <v>0</v>
      </c>
      <c r="AH146" s="15">
        <f>AN7</f>
        <v>0</v>
      </c>
      <c r="AI146" s="8">
        <f>AO7</f>
        <v>0</v>
      </c>
      <c r="AJ146" s="6">
        <f>AP7</f>
        <v>0</v>
      </c>
      <c r="AK146" s="6">
        <f>AQ7</f>
        <v>0</v>
      </c>
      <c r="AL146" s="13">
        <f>AR7</f>
        <v>0</v>
      </c>
      <c r="AN146" s="15">
        <f>AN8</f>
        <v>0</v>
      </c>
      <c r="AO146" s="8">
        <f>AO8</f>
        <v>0</v>
      </c>
      <c r="AP146" s="6">
        <f>AP8</f>
        <v>0</v>
      </c>
      <c r="AQ146" s="6">
        <f>AQ8</f>
        <v>0</v>
      </c>
      <c r="AR146" s="13">
        <f>AR8</f>
        <v>0</v>
      </c>
      <c r="AT146" s="15">
        <f>AN9</f>
        <v>0</v>
      </c>
      <c r="AU146" s="8">
        <f>AO9</f>
        <v>0</v>
      </c>
      <c r="AV146" s="6">
        <f>AP9</f>
        <v>0</v>
      </c>
      <c r="AW146" s="6">
        <f>AQ9</f>
        <v>0</v>
      </c>
      <c r="AX146" s="13">
        <f>AR9</f>
        <v>0</v>
      </c>
      <c r="AZ146" s="15">
        <f>AN10</f>
        <v>0</v>
      </c>
      <c r="BA146" s="8">
        <f>AO10</f>
        <v>0</v>
      </c>
      <c r="BB146" s="6">
        <f>AP10</f>
        <v>0</v>
      </c>
      <c r="BC146" s="6">
        <f>AQ10</f>
        <v>0</v>
      </c>
      <c r="BD146" s="13">
        <f>AR10</f>
        <v>0</v>
      </c>
      <c r="BF146" s="15">
        <f>AN11</f>
        <v>0</v>
      </c>
      <c r="BG146" s="8">
        <f>AO11</f>
        <v>0</v>
      </c>
      <c r="BH146" s="6">
        <f>AP11</f>
        <v>0</v>
      </c>
      <c r="BI146" s="6">
        <f>AQ11</f>
        <v>0</v>
      </c>
      <c r="BJ146" s="13">
        <f>AR11</f>
        <v>0</v>
      </c>
    </row>
    <row r="147" spans="1:62" ht="15.75" thickBot="1" x14ac:dyDescent="0.3">
      <c r="A147" s="8">
        <v>325</v>
      </c>
      <c r="B147" s="17">
        <f t="shared" si="42"/>
        <v>0</v>
      </c>
      <c r="D147" s="9">
        <v>3000</v>
      </c>
      <c r="E147" s="17">
        <f>SUMIFS($J$14:$J$113,$H$14:$H$113,$D$144,$I$14:$I$113,D147)</f>
        <v>0</v>
      </c>
      <c r="G147" s="31">
        <v>2000</v>
      </c>
      <c r="H147" s="17">
        <f>SUMIFS($J$14:$J$113,$H$14:$H$113,$G$144,$I$14:$I$113,G147)</f>
        <v>0</v>
      </c>
      <c r="J147" s="165"/>
      <c r="K147" s="166"/>
      <c r="M147" s="165"/>
      <c r="N147" s="166"/>
      <c r="P147" s="165"/>
      <c r="Q147" s="166"/>
      <c r="S147" s="16">
        <v>500</v>
      </c>
      <c r="T147" s="11">
        <f t="shared" ref="T147:U154" si="43">SUMIFS($J$14:$J$113,$I$14:$I$113,$S147,$K$14:$K$113,T$145,$H$14:$H$113,$T$144)</f>
        <v>0</v>
      </c>
      <c r="U147" s="11">
        <f t="shared" si="43"/>
        <v>0</v>
      </c>
      <c r="V147" s="16">
        <f t="shared" ref="V147:V154" si="44">SUM(T147:U147)*S147</f>
        <v>0</v>
      </c>
      <c r="W147" s="16">
        <f t="shared" ref="W147:W154" si="45">T147+U147</f>
        <v>0</v>
      </c>
      <c r="AA147" s="167" t="s">
        <v>37</v>
      </c>
      <c r="AB147" s="167"/>
      <c r="AC147" s="167"/>
      <c r="AD147" s="167" t="s">
        <v>113</v>
      </c>
      <c r="AE147" s="167"/>
      <c r="AF147" s="167"/>
      <c r="AH147" s="15">
        <f>AT7</f>
        <v>0</v>
      </c>
      <c r="AI147" s="8">
        <f>AU7</f>
        <v>0</v>
      </c>
      <c r="AJ147" s="6">
        <f>AV7</f>
        <v>0</v>
      </c>
      <c r="AK147" s="6">
        <f>AW7</f>
        <v>0</v>
      </c>
      <c r="AL147" s="13">
        <f>AX7</f>
        <v>0</v>
      </c>
      <c r="AN147" s="15">
        <f>AT8</f>
        <v>0</v>
      </c>
      <c r="AO147" s="8">
        <f>AU8</f>
        <v>0</v>
      </c>
      <c r="AP147" s="6">
        <f>AV8</f>
        <v>0</v>
      </c>
      <c r="AQ147" s="6">
        <f>AW8</f>
        <v>0</v>
      </c>
      <c r="AR147" s="13">
        <f>AX8</f>
        <v>0</v>
      </c>
      <c r="AT147" s="15">
        <f>AT9</f>
        <v>0</v>
      </c>
      <c r="AU147" s="8">
        <f>AU9</f>
        <v>0</v>
      </c>
      <c r="AV147" s="6">
        <f>AV9</f>
        <v>0</v>
      </c>
      <c r="AW147" s="6">
        <f>AW9</f>
        <v>0</v>
      </c>
      <c r="AX147" s="13">
        <f>AX9</f>
        <v>0</v>
      </c>
      <c r="AZ147" s="15">
        <f>AT10</f>
        <v>0</v>
      </c>
      <c r="BA147" s="8">
        <f>AU10</f>
        <v>0</v>
      </c>
      <c r="BB147" s="6">
        <f>AV10</f>
        <v>0</v>
      </c>
      <c r="BC147" s="6">
        <f>AW10</f>
        <v>0</v>
      </c>
      <c r="BD147" s="13">
        <f>AX10</f>
        <v>0</v>
      </c>
      <c r="BF147" s="15">
        <f>AT11</f>
        <v>0</v>
      </c>
      <c r="BG147" s="8">
        <f>AU11</f>
        <v>0</v>
      </c>
      <c r="BH147" s="6">
        <f>AV11</f>
        <v>0</v>
      </c>
      <c r="BI147" s="6">
        <f>AW11</f>
        <v>0</v>
      </c>
      <c r="BJ147" s="13">
        <f>AX11</f>
        <v>0</v>
      </c>
    </row>
    <row r="148" spans="1:62" ht="15.75" thickBot="1" x14ac:dyDescent="0.3">
      <c r="A148" s="8">
        <v>400</v>
      </c>
      <c r="B148" s="17">
        <f t="shared" si="42"/>
        <v>0</v>
      </c>
      <c r="D148" s="60" t="s">
        <v>24</v>
      </c>
      <c r="E148" s="62">
        <f>SUMPRODUCT(D146:D147,E146:E147)</f>
        <v>0</v>
      </c>
      <c r="G148" s="60" t="s">
        <v>24</v>
      </c>
      <c r="H148" s="62">
        <f>SUMPRODUCT(G146:G147,H146:H147)</f>
        <v>0</v>
      </c>
      <c r="J148" s="60" t="s">
        <v>29</v>
      </c>
      <c r="K148" s="62" t="s">
        <v>102</v>
      </c>
      <c r="M148" s="60" t="s">
        <v>29</v>
      </c>
      <c r="N148" s="62" t="s">
        <v>102</v>
      </c>
      <c r="P148" s="60" t="s">
        <v>29</v>
      </c>
      <c r="Q148" s="62" t="s">
        <v>102</v>
      </c>
      <c r="S148" s="15">
        <v>750</v>
      </c>
      <c r="T148" s="11">
        <f t="shared" si="43"/>
        <v>0</v>
      </c>
      <c r="U148" s="11">
        <f t="shared" si="43"/>
        <v>0</v>
      </c>
      <c r="V148" s="16">
        <f t="shared" si="44"/>
        <v>0</v>
      </c>
      <c r="W148" s="16">
        <f t="shared" si="45"/>
        <v>0</v>
      </c>
      <c r="AA148" s="167" t="str">
        <f>"TANKS: " &amp; SUM(B128:AE128,B146:B151,E146:E147,H146:H147,B142:AE142,W155)</f>
        <v>TANKS: 48</v>
      </c>
      <c r="AB148" s="167"/>
      <c r="AC148" s="167"/>
      <c r="AD148" s="167" t="str">
        <f>"LTRS: " &amp;SUM(AF128,B152,E148,H148,AF142,V155)</f>
        <v>LTRS: 39500</v>
      </c>
      <c r="AE148" s="167"/>
      <c r="AF148" s="167"/>
      <c r="AH148" s="15">
        <f>AZ7</f>
        <v>0</v>
      </c>
      <c r="AI148" s="8">
        <f>BA7</f>
        <v>0</v>
      </c>
      <c r="AJ148" s="6">
        <f>BB7</f>
        <v>0</v>
      </c>
      <c r="AK148" s="6">
        <f>BC7</f>
        <v>0</v>
      </c>
      <c r="AL148" s="13">
        <f>BD7</f>
        <v>0</v>
      </c>
      <c r="AN148" s="15">
        <f>AZ8</f>
        <v>0</v>
      </c>
      <c r="AO148" s="8">
        <f>BA8</f>
        <v>0</v>
      </c>
      <c r="AP148" s="6">
        <f>BB8</f>
        <v>0</v>
      </c>
      <c r="AQ148" s="6">
        <f>BC8</f>
        <v>0</v>
      </c>
      <c r="AR148" s="13">
        <f>BD8</f>
        <v>0</v>
      </c>
      <c r="AT148" s="15">
        <f>AZ9</f>
        <v>0</v>
      </c>
      <c r="AU148" s="8">
        <f>BA9</f>
        <v>0</v>
      </c>
      <c r="AV148" s="6">
        <f>BB9</f>
        <v>0</v>
      </c>
      <c r="AW148" s="6">
        <f>BC9</f>
        <v>0</v>
      </c>
      <c r="AX148" s="13">
        <f>BD9</f>
        <v>0</v>
      </c>
      <c r="AZ148" s="15">
        <f>AZ10</f>
        <v>0</v>
      </c>
      <c r="BA148" s="8">
        <f>BA10</f>
        <v>0</v>
      </c>
      <c r="BB148" s="6">
        <f>BB10</f>
        <v>0</v>
      </c>
      <c r="BC148" s="6">
        <f>BC10</f>
        <v>0</v>
      </c>
      <c r="BD148" s="13">
        <f>BD10</f>
        <v>0</v>
      </c>
      <c r="BF148" s="15">
        <f>AZ11</f>
        <v>0</v>
      </c>
      <c r="BG148" s="8">
        <f>BA11</f>
        <v>0</v>
      </c>
      <c r="BH148" s="6">
        <f>BB11</f>
        <v>0</v>
      </c>
      <c r="BI148" s="6">
        <f>BC11</f>
        <v>0</v>
      </c>
      <c r="BJ148" s="13">
        <f>BD11</f>
        <v>0</v>
      </c>
    </row>
    <row r="149" spans="1:62" x14ac:dyDescent="0.25">
      <c r="A149" s="8">
        <v>500</v>
      </c>
      <c r="B149" s="17">
        <f t="shared" si="42"/>
        <v>0</v>
      </c>
      <c r="J149" s="10" t="s">
        <v>17</v>
      </c>
      <c r="K149" s="17">
        <f>SUMIFS($J$14:$J$113,$H$14:$H$113,"CAP16_1",$K$14:$K$113,J149)</f>
        <v>0</v>
      </c>
      <c r="M149" s="10" t="s">
        <v>17</v>
      </c>
      <c r="N149" s="17">
        <f>SUMIFS($J$14:$J$113,$H$14:$H$113,"CAP16_2",$K$14:$K$113,M149)</f>
        <v>0</v>
      </c>
      <c r="P149" s="10" t="s">
        <v>17</v>
      </c>
      <c r="Q149" s="17">
        <f>SUMIFS($J$14:$J$113,$H$14:$H$113,"CAP19",$K$14:$K$113,P149)</f>
        <v>0</v>
      </c>
      <c r="S149" s="15">
        <v>1000</v>
      </c>
      <c r="T149" s="11">
        <f t="shared" si="43"/>
        <v>0</v>
      </c>
      <c r="U149" s="11">
        <f t="shared" si="43"/>
        <v>0</v>
      </c>
      <c r="V149" s="16">
        <f t="shared" si="44"/>
        <v>0</v>
      </c>
      <c r="W149" s="16">
        <f t="shared" si="45"/>
        <v>0</v>
      </c>
      <c r="AA149" s="167" t="s">
        <v>76</v>
      </c>
      <c r="AB149" s="167"/>
      <c r="AC149" s="167"/>
      <c r="AD149" s="176">
        <f>D114</f>
        <v>46008</v>
      </c>
      <c r="AE149" s="176"/>
      <c r="AF149" s="176"/>
      <c r="AH149" s="15">
        <f>BF7</f>
        <v>0</v>
      </c>
      <c r="AI149" s="8">
        <f>BG7</f>
        <v>0</v>
      </c>
      <c r="AJ149" s="6">
        <f>BH7</f>
        <v>0</v>
      </c>
      <c r="AK149" s="6">
        <f>BI7</f>
        <v>0</v>
      </c>
      <c r="AL149" s="13">
        <f>BJ7</f>
        <v>0</v>
      </c>
      <c r="AN149" s="15">
        <f>BF8</f>
        <v>0</v>
      </c>
      <c r="AO149" s="8">
        <f>BG8</f>
        <v>0</v>
      </c>
      <c r="AP149" s="6">
        <f>BH8</f>
        <v>0</v>
      </c>
      <c r="AQ149" s="6">
        <f>BI8</f>
        <v>0</v>
      </c>
      <c r="AR149" s="13">
        <f>BJ8</f>
        <v>0</v>
      </c>
      <c r="AT149" s="15">
        <f>BF9</f>
        <v>0</v>
      </c>
      <c r="AU149" s="8">
        <f>BG9</f>
        <v>0</v>
      </c>
      <c r="AV149" s="6">
        <f>BH9</f>
        <v>0</v>
      </c>
      <c r="AW149" s="6">
        <f>BI9</f>
        <v>0</v>
      </c>
      <c r="AX149" s="13">
        <f>BJ9</f>
        <v>0</v>
      </c>
      <c r="AZ149" s="15">
        <f>BF10</f>
        <v>0</v>
      </c>
      <c r="BA149" s="8">
        <f>BG10</f>
        <v>0</v>
      </c>
      <c r="BB149" s="6">
        <f>BH10</f>
        <v>0</v>
      </c>
      <c r="BC149" s="6">
        <f>BI10</f>
        <v>0</v>
      </c>
      <c r="BD149" s="13">
        <f>BJ10</f>
        <v>0</v>
      </c>
      <c r="BF149" s="15">
        <f>BF11</f>
        <v>0</v>
      </c>
      <c r="BG149" s="8">
        <f>BG11</f>
        <v>0</v>
      </c>
      <c r="BH149" s="6">
        <f>BH11</f>
        <v>0</v>
      </c>
      <c r="BI149" s="6">
        <f>BI11</f>
        <v>0</v>
      </c>
      <c r="BJ149" s="13">
        <f>BJ11</f>
        <v>0</v>
      </c>
    </row>
    <row r="150" spans="1:62" ht="15.75" thickBot="1" x14ac:dyDescent="0.3">
      <c r="A150" s="8">
        <v>750</v>
      </c>
      <c r="B150" s="17">
        <f t="shared" si="42"/>
        <v>0</v>
      </c>
      <c r="J150" s="8" t="s">
        <v>19</v>
      </c>
      <c r="K150" s="17">
        <f t="shared" ref="K150:K153" si="46">SUMIFS($J$14:$J$113,$H$14:$H$113,"CAP16_1",$K$14:$K$113,J150)</f>
        <v>0</v>
      </c>
      <c r="M150" s="8" t="s">
        <v>19</v>
      </c>
      <c r="N150" s="17">
        <f t="shared" ref="N150:N153" si="47">SUMIFS($J$14:$J$113,$H$14:$H$113,"CAP16_2",$K$14:$K$113,M150)</f>
        <v>0</v>
      </c>
      <c r="P150" s="8" t="s">
        <v>19</v>
      </c>
      <c r="Q150" s="17">
        <f t="shared" ref="Q150:Q153" si="48">SUMIFS($J$14:$J$113,$H$14:$H$113,"CAP19",$K$14:$K$113,P150)</f>
        <v>0</v>
      </c>
      <c r="S150" s="15">
        <v>1500</v>
      </c>
      <c r="T150" s="11">
        <f t="shared" si="43"/>
        <v>0</v>
      </c>
      <c r="U150" s="11">
        <f t="shared" si="43"/>
        <v>0</v>
      </c>
      <c r="V150" s="16">
        <f t="shared" si="44"/>
        <v>0</v>
      </c>
      <c r="W150" s="16">
        <f t="shared" si="45"/>
        <v>0</v>
      </c>
      <c r="AH150" s="59">
        <f>BL7</f>
        <v>0</v>
      </c>
      <c r="AI150" s="31">
        <f>BM7</f>
        <v>0</v>
      </c>
      <c r="AJ150" s="32">
        <f>BN7</f>
        <v>0</v>
      </c>
      <c r="AK150" s="32">
        <f>BO7</f>
        <v>0</v>
      </c>
      <c r="AL150" s="33">
        <f>BP7</f>
        <v>0</v>
      </c>
      <c r="AN150" s="59">
        <f>BL8</f>
        <v>0</v>
      </c>
      <c r="AO150" s="31">
        <f>BM8</f>
        <v>0</v>
      </c>
      <c r="AP150" s="32">
        <f>BN8</f>
        <v>0</v>
      </c>
      <c r="AQ150" s="32">
        <f>BO8</f>
        <v>0</v>
      </c>
      <c r="AR150" s="33">
        <f>BP8</f>
        <v>0</v>
      </c>
      <c r="AT150" s="59">
        <f>BL9</f>
        <v>0</v>
      </c>
      <c r="AU150" s="31">
        <f>BM9</f>
        <v>0</v>
      </c>
      <c r="AV150" s="32">
        <f>BN9</f>
        <v>0</v>
      </c>
      <c r="AW150" s="32">
        <f>BO9</f>
        <v>0</v>
      </c>
      <c r="AX150" s="33">
        <f>BP9</f>
        <v>0</v>
      </c>
      <c r="AZ150" s="59">
        <f>BL10</f>
        <v>0</v>
      </c>
      <c r="BA150" s="31">
        <f>BM10</f>
        <v>0</v>
      </c>
      <c r="BB150" s="32">
        <f>BN10</f>
        <v>0</v>
      </c>
      <c r="BC150" s="32">
        <f>BO10</f>
        <v>0</v>
      </c>
      <c r="BD150" s="33">
        <f>BP10</f>
        <v>0</v>
      </c>
      <c r="BF150" s="59">
        <f>BL11</f>
        <v>0</v>
      </c>
      <c r="BG150" s="31">
        <f>BM11</f>
        <v>0</v>
      </c>
      <c r="BH150" s="32">
        <f>BN11</f>
        <v>0</v>
      </c>
      <c r="BI150" s="32">
        <f>BO11</f>
        <v>0</v>
      </c>
      <c r="BJ150" s="33">
        <f>BP11</f>
        <v>0</v>
      </c>
    </row>
    <row r="151" spans="1:62" ht="15.75" thickBot="1" x14ac:dyDescent="0.3">
      <c r="A151" s="9">
        <v>1000</v>
      </c>
      <c r="B151" s="17">
        <f t="shared" si="42"/>
        <v>0</v>
      </c>
      <c r="J151" s="8" t="s">
        <v>32</v>
      </c>
      <c r="K151" s="17">
        <f t="shared" si="46"/>
        <v>0</v>
      </c>
      <c r="M151" s="8" t="s">
        <v>32</v>
      </c>
      <c r="N151" s="17">
        <f t="shared" si="47"/>
        <v>0</v>
      </c>
      <c r="P151" s="8" t="s">
        <v>32</v>
      </c>
      <c r="Q151" s="17">
        <f t="shared" si="48"/>
        <v>0</v>
      </c>
      <c r="S151" s="15">
        <v>2000</v>
      </c>
      <c r="T151" s="11">
        <f t="shared" si="43"/>
        <v>0</v>
      </c>
      <c r="U151" s="11">
        <f t="shared" si="43"/>
        <v>0</v>
      </c>
      <c r="V151" s="16">
        <f t="shared" si="44"/>
        <v>0</v>
      </c>
      <c r="W151" s="16">
        <f t="shared" si="45"/>
        <v>0</v>
      </c>
      <c r="AH151" s="35">
        <f>C7</f>
        <v>0</v>
      </c>
      <c r="AI151" s="158">
        <f>SUM(AI141:AI150)</f>
        <v>0</v>
      </c>
      <c r="AJ151" s="159"/>
      <c r="AK151" s="158">
        <f>BT7</f>
        <v>0</v>
      </c>
      <c r="AL151" s="159"/>
      <c r="AN151" s="35">
        <f>C8</f>
        <v>0</v>
      </c>
      <c r="AO151" s="158">
        <f>SUM(AO141:AO150)</f>
        <v>0</v>
      </c>
      <c r="AP151" s="159"/>
      <c r="AQ151" s="158">
        <f>BT8</f>
        <v>0</v>
      </c>
      <c r="AR151" s="159"/>
      <c r="AT151" s="35">
        <f>C9</f>
        <v>0</v>
      </c>
      <c r="AU151" s="158">
        <f>SUM(AU141:AU150)</f>
        <v>0</v>
      </c>
      <c r="AV151" s="159"/>
      <c r="AW151" s="158">
        <f>BT9</f>
        <v>0</v>
      </c>
      <c r="AX151" s="159"/>
      <c r="AZ151" s="35">
        <f>C10</f>
        <v>0</v>
      </c>
      <c r="BA151" s="158">
        <f>SUM(BA141:BA150)</f>
        <v>0</v>
      </c>
      <c r="BB151" s="159"/>
      <c r="BC151" s="158">
        <f>BT10</f>
        <v>0</v>
      </c>
      <c r="BD151" s="159"/>
      <c r="BF151" s="35">
        <f>C11</f>
        <v>0</v>
      </c>
      <c r="BG151" s="158">
        <f>SUM(BG141:BG150)</f>
        <v>0</v>
      </c>
      <c r="BH151" s="159"/>
      <c r="BI151" s="158">
        <f>BT11</f>
        <v>0</v>
      </c>
      <c r="BJ151" s="159"/>
    </row>
    <row r="152" spans="1:62" ht="15.75" thickBot="1" x14ac:dyDescent="0.3">
      <c r="A152" s="60" t="s">
        <v>24</v>
      </c>
      <c r="B152" s="62">
        <f>SUMPRODUCT(A146:A151,B146:B151)</f>
        <v>0</v>
      </c>
      <c r="J152" s="8" t="s">
        <v>33</v>
      </c>
      <c r="K152" s="17">
        <f t="shared" si="46"/>
        <v>0</v>
      </c>
      <c r="M152" s="8" t="s">
        <v>33</v>
      </c>
      <c r="N152" s="17">
        <f t="shared" si="47"/>
        <v>0</v>
      </c>
      <c r="P152" s="8" t="s">
        <v>33</v>
      </c>
      <c r="Q152" s="17">
        <f t="shared" si="48"/>
        <v>0</v>
      </c>
      <c r="S152" s="15">
        <v>3000</v>
      </c>
      <c r="T152" s="11">
        <f t="shared" si="43"/>
        <v>0</v>
      </c>
      <c r="U152" s="11">
        <f t="shared" si="43"/>
        <v>0</v>
      </c>
      <c r="V152" s="16">
        <f t="shared" si="44"/>
        <v>0</v>
      </c>
      <c r="W152" s="16">
        <f t="shared" si="45"/>
        <v>0</v>
      </c>
      <c r="AH152" s="35" t="s">
        <v>25</v>
      </c>
      <c r="AI152" s="158">
        <f>A7</f>
        <v>0</v>
      </c>
      <c r="AJ152" s="160"/>
      <c r="AK152" s="158">
        <f>BR7</f>
        <v>0</v>
      </c>
      <c r="AL152" s="159"/>
      <c r="AN152" s="35" t="s">
        <v>25</v>
      </c>
      <c r="AO152" s="158">
        <f>A8</f>
        <v>0</v>
      </c>
      <c r="AP152" s="160"/>
      <c r="AQ152" s="158">
        <f>BR8</f>
        <v>0</v>
      </c>
      <c r="AR152" s="159"/>
      <c r="AT152" s="35" t="s">
        <v>25</v>
      </c>
      <c r="AU152" s="158">
        <f>A9</f>
        <v>0</v>
      </c>
      <c r="AV152" s="160"/>
      <c r="AW152" s="158">
        <f>BR9</f>
        <v>0</v>
      </c>
      <c r="AX152" s="159"/>
      <c r="AZ152" s="35" t="s">
        <v>25</v>
      </c>
      <c r="BA152" s="158">
        <f>A10</f>
        <v>0</v>
      </c>
      <c r="BB152" s="160"/>
      <c r="BC152" s="158">
        <f>BR10</f>
        <v>0</v>
      </c>
      <c r="BD152" s="159"/>
      <c r="BF152" s="35" t="s">
        <v>25</v>
      </c>
      <c r="BG152" s="158">
        <f>A11</f>
        <v>0</v>
      </c>
      <c r="BH152" s="160"/>
      <c r="BI152" s="158">
        <f>BR11</f>
        <v>0</v>
      </c>
      <c r="BJ152" s="159"/>
    </row>
    <row r="153" spans="1:62" ht="15.75" thickBot="1" x14ac:dyDescent="0.3">
      <c r="J153" s="9" t="s">
        <v>80</v>
      </c>
      <c r="K153" s="17">
        <f t="shared" si="46"/>
        <v>0</v>
      </c>
      <c r="M153" s="9" t="s">
        <v>80</v>
      </c>
      <c r="N153" s="17">
        <f t="shared" si="47"/>
        <v>0</v>
      </c>
      <c r="P153" s="9" t="s">
        <v>80</v>
      </c>
      <c r="Q153" s="17">
        <f t="shared" si="48"/>
        <v>0</v>
      </c>
      <c r="S153" s="15">
        <v>5000</v>
      </c>
      <c r="T153" s="11">
        <f t="shared" si="43"/>
        <v>0</v>
      </c>
      <c r="U153" s="11">
        <f t="shared" si="43"/>
        <v>0</v>
      </c>
      <c r="V153" s="16">
        <f t="shared" si="44"/>
        <v>0</v>
      </c>
      <c r="W153" s="16">
        <f t="shared" si="45"/>
        <v>0</v>
      </c>
      <c r="AH153" s="58" t="s">
        <v>130</v>
      </c>
      <c r="AI153" s="58" t="s">
        <v>131</v>
      </c>
      <c r="AJ153" s="58" t="s">
        <v>132</v>
      </c>
      <c r="AK153" s="58" t="s">
        <v>166</v>
      </c>
      <c r="AL153" s="58" t="s">
        <v>33</v>
      </c>
      <c r="AN153" s="58" t="s">
        <v>130</v>
      </c>
      <c r="AO153" s="58" t="s">
        <v>131</v>
      </c>
      <c r="AP153" s="58" t="s">
        <v>132</v>
      </c>
      <c r="AQ153" s="58" t="s">
        <v>166</v>
      </c>
      <c r="AR153" s="58" t="s">
        <v>33</v>
      </c>
      <c r="AT153" s="58" t="s">
        <v>130</v>
      </c>
      <c r="AU153" s="58" t="s">
        <v>131</v>
      </c>
      <c r="AV153" s="58" t="s">
        <v>132</v>
      </c>
      <c r="AW153" s="58" t="s">
        <v>166</v>
      </c>
      <c r="AX153" s="58" t="s">
        <v>33</v>
      </c>
      <c r="AZ153" s="58" t="s">
        <v>130</v>
      </c>
      <c r="BA153" s="58" t="s">
        <v>131</v>
      </c>
      <c r="BB153" s="58" t="s">
        <v>132</v>
      </c>
      <c r="BC153" s="58" t="s">
        <v>166</v>
      </c>
      <c r="BD153" s="58" t="s">
        <v>33</v>
      </c>
      <c r="BF153" s="58" t="s">
        <v>130</v>
      </c>
      <c r="BG153" s="58" t="s">
        <v>131</v>
      </c>
      <c r="BH153" s="58" t="s">
        <v>132</v>
      </c>
      <c r="BI153" s="58" t="s">
        <v>166</v>
      </c>
      <c r="BJ153" s="58" t="s">
        <v>33</v>
      </c>
    </row>
    <row r="154" spans="1:62" ht="15.75" thickBot="1" x14ac:dyDescent="0.3">
      <c r="J154" s="60" t="s">
        <v>24</v>
      </c>
      <c r="K154" s="62">
        <f>SUM(K149:K153)</f>
        <v>0</v>
      </c>
      <c r="M154" s="60" t="s">
        <v>24</v>
      </c>
      <c r="N154" s="62">
        <f>SUM(N149:N153)</f>
        <v>0</v>
      </c>
      <c r="P154" s="60" t="s">
        <v>24</v>
      </c>
      <c r="Q154" s="62">
        <f>SUM(Q149:Q153)</f>
        <v>0</v>
      </c>
      <c r="S154" s="59">
        <v>10000</v>
      </c>
      <c r="T154" s="11">
        <f t="shared" si="43"/>
        <v>0</v>
      </c>
      <c r="U154" s="11">
        <f t="shared" si="43"/>
        <v>0</v>
      </c>
      <c r="V154" s="16">
        <f t="shared" si="44"/>
        <v>0</v>
      </c>
      <c r="W154" s="16">
        <f t="shared" si="45"/>
        <v>0</v>
      </c>
      <c r="AH154" s="34" t="str">
        <f>AZ19</f>
        <v/>
      </c>
      <c r="AI154" s="34" t="str">
        <f>BA19</f>
        <v/>
      </c>
      <c r="AJ154" s="34" t="str">
        <f>BB19</f>
        <v/>
      </c>
      <c r="AK154" s="35" t="str">
        <f>BC19</f>
        <v/>
      </c>
      <c r="AL154" s="35" t="str">
        <f>BD19</f>
        <v/>
      </c>
      <c r="AN154" s="34" t="str">
        <f>AZ20</f>
        <v/>
      </c>
      <c r="AO154" s="34" t="str">
        <f>BA20</f>
        <v/>
      </c>
      <c r="AP154" s="34" t="str">
        <f>BB20</f>
        <v/>
      </c>
      <c r="AQ154" s="35" t="str">
        <f>BC20</f>
        <v/>
      </c>
      <c r="AR154" s="35" t="str">
        <f>BD20</f>
        <v/>
      </c>
      <c r="AT154" s="34" t="str">
        <f>AZ21</f>
        <v/>
      </c>
      <c r="AU154" s="34" t="str">
        <f>BA21</f>
        <v/>
      </c>
      <c r="AV154" s="34" t="str">
        <f>BB21</f>
        <v/>
      </c>
      <c r="AW154" s="35" t="str">
        <f>BC21</f>
        <v/>
      </c>
      <c r="AX154" s="35" t="str">
        <f>BD21</f>
        <v/>
      </c>
      <c r="AZ154" s="34" t="str">
        <f>AZ22</f>
        <v/>
      </c>
      <c r="BA154" s="34" t="str">
        <f>BA22</f>
        <v/>
      </c>
      <c r="BB154" s="34" t="str">
        <f>BB22</f>
        <v/>
      </c>
      <c r="BC154" s="35" t="str">
        <f>BC22</f>
        <v/>
      </c>
      <c r="BD154" s="35" t="str">
        <f>BD22</f>
        <v/>
      </c>
      <c r="BF154" s="34" t="str">
        <f>AZ23</f>
        <v/>
      </c>
      <c r="BG154" s="34" t="str">
        <f>BA23</f>
        <v/>
      </c>
      <c r="BH154" s="34" t="str">
        <f>BB23</f>
        <v/>
      </c>
      <c r="BI154" s="35" t="str">
        <f>BC23</f>
        <v/>
      </c>
      <c r="BJ154" s="35" t="str">
        <f>BD23</f>
        <v/>
      </c>
    </row>
    <row r="155" spans="1:62" ht="15.75" thickBot="1" x14ac:dyDescent="0.3">
      <c r="S155" s="35"/>
      <c r="T155" s="61">
        <f>SUM(T146:T154)</f>
        <v>0</v>
      </c>
      <c r="U155" s="61">
        <f t="shared" ref="U155:W155" si="49">SUM(U146:U154)</f>
        <v>0</v>
      </c>
      <c r="V155" s="35">
        <f t="shared" si="49"/>
        <v>0</v>
      </c>
      <c r="W155" s="35">
        <f t="shared" si="49"/>
        <v>0</v>
      </c>
      <c r="AH155" s="58" t="s">
        <v>22</v>
      </c>
      <c r="AI155" s="58" t="s">
        <v>20</v>
      </c>
      <c r="AJ155" s="58" t="s">
        <v>34</v>
      </c>
      <c r="AK155" s="58" t="s">
        <v>127</v>
      </c>
      <c r="AL155" s="58" t="s">
        <v>129</v>
      </c>
      <c r="AN155" s="58" t="s">
        <v>22</v>
      </c>
      <c r="AO155" s="58" t="s">
        <v>20</v>
      </c>
      <c r="AP155" s="58" t="s">
        <v>34</v>
      </c>
      <c r="AQ155" s="58" t="s">
        <v>127</v>
      </c>
      <c r="AR155" s="58" t="s">
        <v>129</v>
      </c>
      <c r="AT155" s="58" t="s">
        <v>22</v>
      </c>
      <c r="AU155" s="58" t="s">
        <v>20</v>
      </c>
      <c r="AV155" s="58" t="s">
        <v>34</v>
      </c>
      <c r="AW155" s="58" t="s">
        <v>127</v>
      </c>
      <c r="AX155" s="58" t="s">
        <v>129</v>
      </c>
      <c r="AZ155" s="58" t="s">
        <v>22</v>
      </c>
      <c r="BA155" s="58" t="s">
        <v>20</v>
      </c>
      <c r="BB155" s="58" t="s">
        <v>34</v>
      </c>
      <c r="BC155" s="58" t="s">
        <v>127</v>
      </c>
      <c r="BD155" s="58" t="s">
        <v>129</v>
      </c>
      <c r="BF155" s="58" t="s">
        <v>22</v>
      </c>
      <c r="BG155" s="58" t="s">
        <v>20</v>
      </c>
      <c r="BH155" s="58" t="s">
        <v>34</v>
      </c>
      <c r="BI155" s="58" t="s">
        <v>127</v>
      </c>
      <c r="BJ155" s="58" t="s">
        <v>129</v>
      </c>
    </row>
    <row r="156" spans="1:62" ht="15.75" thickBot="1" x14ac:dyDescent="0.3">
      <c r="AH156" s="34" t="str">
        <f>AU19</f>
        <v/>
      </c>
      <c r="AI156" s="34" t="str">
        <f>AV19</f>
        <v/>
      </c>
      <c r="AJ156" s="34" t="str">
        <f>AW19</f>
        <v/>
      </c>
      <c r="AK156" s="35" t="str">
        <f>AX19</f>
        <v/>
      </c>
      <c r="AL156" s="35" t="str">
        <f>AY19</f>
        <v/>
      </c>
      <c r="AN156" s="34" t="str">
        <f>AU20</f>
        <v/>
      </c>
      <c r="AO156" s="34" t="str">
        <f>AV20</f>
        <v/>
      </c>
      <c r="AP156" s="34" t="str">
        <f>AW20</f>
        <v/>
      </c>
      <c r="AQ156" s="35" t="str">
        <f>AX20</f>
        <v/>
      </c>
      <c r="AR156" s="35" t="str">
        <f>AY20</f>
        <v/>
      </c>
      <c r="AT156" s="34" t="str">
        <f>AU21</f>
        <v/>
      </c>
      <c r="AU156" s="34" t="str">
        <f>AV21</f>
        <v/>
      </c>
      <c r="AV156" s="34" t="str">
        <f>AW21</f>
        <v/>
      </c>
      <c r="AW156" s="35" t="str">
        <f>AX21</f>
        <v/>
      </c>
      <c r="AX156" s="35" t="str">
        <f>AY21</f>
        <v/>
      </c>
      <c r="AZ156" s="34" t="str">
        <f>AU22</f>
        <v/>
      </c>
      <c r="BA156" s="34" t="str">
        <f>AV22</f>
        <v/>
      </c>
      <c r="BB156" s="34" t="str">
        <f>AW22</f>
        <v/>
      </c>
      <c r="BC156" s="35" t="str">
        <f>AX22</f>
        <v/>
      </c>
      <c r="BD156" s="35" t="str">
        <f>AY22</f>
        <v/>
      </c>
      <c r="BF156" s="34" t="str">
        <f>AU23</f>
        <v/>
      </c>
      <c r="BG156" s="34" t="str">
        <f>AV23</f>
        <v/>
      </c>
      <c r="BH156" s="34" t="str">
        <f>AW23</f>
        <v/>
      </c>
      <c r="BI156" s="35" t="str">
        <f>AX23</f>
        <v/>
      </c>
      <c r="BJ156" s="35" t="str">
        <f>AY23</f>
        <v/>
      </c>
    </row>
    <row r="157" spans="1:62" ht="13.7" customHeight="1" thickBot="1" x14ac:dyDescent="0.3"/>
    <row r="158" spans="1:62" ht="15.75" thickBot="1" x14ac:dyDescent="0.3">
      <c r="AH158" s="149" t="s">
        <v>37</v>
      </c>
      <c r="AI158" s="150"/>
      <c r="AJ158" s="150"/>
      <c r="AK158" s="151" t="str">
        <f>AD147</f>
        <v>KA41C4059</v>
      </c>
      <c r="AL158" s="151"/>
      <c r="AM158" s="152"/>
      <c r="AN158" s="157" t="str">
        <f>AA148</f>
        <v>TANKS: 48</v>
      </c>
      <c r="AO158" s="153"/>
      <c r="AP158" s="153" t="str">
        <f>AD148</f>
        <v>LTRS: 39500</v>
      </c>
      <c r="AQ158" s="153"/>
      <c r="AR158" s="154"/>
      <c r="AS158" s="150" t="s">
        <v>76</v>
      </c>
      <c r="AT158" s="150"/>
      <c r="AU158" s="155">
        <f>AD149</f>
        <v>46008</v>
      </c>
      <c r="AV158" s="155"/>
      <c r="AW158" s="156"/>
    </row>
    <row r="159" spans="1:62" ht="13.7" customHeight="1" x14ac:dyDescent="0.25"/>
    <row r="160" spans="1:62" ht="13.7" customHeight="1" thickBot="1" x14ac:dyDescent="0.3"/>
    <row r="161" spans="1:52" ht="13.7" customHeight="1" x14ac:dyDescent="0.25">
      <c r="A161" s="123" t="s">
        <v>31</v>
      </c>
      <c r="B161" s="113" t="s">
        <v>84</v>
      </c>
      <c r="C161" s="115"/>
      <c r="D161" s="113" t="s">
        <v>22</v>
      </c>
      <c r="E161" s="114"/>
      <c r="F161" s="114"/>
      <c r="G161" s="114"/>
      <c r="H161" s="115"/>
      <c r="I161" s="113" t="s">
        <v>20</v>
      </c>
      <c r="J161" s="114"/>
      <c r="K161" s="114"/>
      <c r="L161" s="114"/>
      <c r="M161" s="115"/>
      <c r="N161" s="113" t="s">
        <v>34</v>
      </c>
      <c r="O161" s="114"/>
      <c r="P161" s="114"/>
      <c r="Q161" s="114"/>
      <c r="R161" s="115"/>
      <c r="S161" s="113" t="s">
        <v>127</v>
      </c>
      <c r="T161" s="114"/>
      <c r="U161" s="114"/>
      <c r="V161" s="114"/>
      <c r="W161" s="115"/>
      <c r="X161" s="113" t="s">
        <v>129</v>
      </c>
      <c r="Y161" s="114"/>
      <c r="Z161" s="114"/>
      <c r="AA161" s="114"/>
      <c r="AB161" s="115"/>
      <c r="AC161" s="113" t="s">
        <v>26</v>
      </c>
      <c r="AD161" s="114"/>
      <c r="AE161" s="114"/>
      <c r="AF161" s="114"/>
      <c r="AG161" s="115"/>
      <c r="AH161" s="116" t="s">
        <v>24</v>
      </c>
      <c r="AI161" s="116" t="s">
        <v>86</v>
      </c>
      <c r="AJ161" s="81"/>
    </row>
    <row r="162" spans="1:52" ht="13.7" customHeight="1" thickBot="1" x14ac:dyDescent="0.3">
      <c r="A162" s="124"/>
      <c r="B162" s="12" t="s">
        <v>17</v>
      </c>
      <c r="C162" s="12" t="s">
        <v>19</v>
      </c>
      <c r="D162" s="9" t="s">
        <v>32</v>
      </c>
      <c r="E162" s="12" t="s">
        <v>17</v>
      </c>
      <c r="F162" s="12" t="s">
        <v>19</v>
      </c>
      <c r="G162" s="12" t="s">
        <v>33</v>
      </c>
      <c r="H162" s="14" t="s">
        <v>80</v>
      </c>
      <c r="I162" s="9" t="s">
        <v>32</v>
      </c>
      <c r="J162" s="12" t="s">
        <v>17</v>
      </c>
      <c r="K162" s="12" t="s">
        <v>19</v>
      </c>
      <c r="L162" s="12" t="s">
        <v>33</v>
      </c>
      <c r="M162" s="14" t="s">
        <v>80</v>
      </c>
      <c r="N162" s="9" t="s">
        <v>32</v>
      </c>
      <c r="O162" s="12" t="s">
        <v>17</v>
      </c>
      <c r="P162" s="12" t="s">
        <v>19</v>
      </c>
      <c r="Q162" s="12" t="s">
        <v>33</v>
      </c>
      <c r="R162" s="14" t="s">
        <v>80</v>
      </c>
      <c r="S162" s="9" t="s">
        <v>32</v>
      </c>
      <c r="T162" s="12" t="s">
        <v>17</v>
      </c>
      <c r="U162" s="12" t="s">
        <v>19</v>
      </c>
      <c r="V162" s="12" t="s">
        <v>33</v>
      </c>
      <c r="W162" s="14" t="s">
        <v>80</v>
      </c>
      <c r="X162" s="9" t="s">
        <v>32</v>
      </c>
      <c r="Y162" s="12" t="s">
        <v>17</v>
      </c>
      <c r="Z162" s="12" t="s">
        <v>19</v>
      </c>
      <c r="AA162" s="12" t="s">
        <v>33</v>
      </c>
      <c r="AB162" s="14" t="s">
        <v>80</v>
      </c>
      <c r="AC162" s="9" t="s">
        <v>32</v>
      </c>
      <c r="AD162" s="12" t="s">
        <v>17</v>
      </c>
      <c r="AE162" s="12" t="s">
        <v>19</v>
      </c>
      <c r="AF162" s="12" t="s">
        <v>33</v>
      </c>
      <c r="AG162" s="14" t="s">
        <v>80</v>
      </c>
      <c r="AH162" s="117"/>
      <c r="AI162" s="117"/>
      <c r="AJ162" s="81"/>
    </row>
    <row r="163" spans="1:52" ht="13.7" customHeight="1" x14ac:dyDescent="0.25">
      <c r="A163" s="16">
        <v>300</v>
      </c>
      <c r="B163" s="11">
        <f>T146</f>
        <v>0</v>
      </c>
      <c r="C163" s="11">
        <f>U146</f>
        <v>0</v>
      </c>
      <c r="D163" s="10">
        <f>B119+B133</f>
        <v>0</v>
      </c>
      <c r="E163" s="11">
        <f t="shared" ref="E163:AG171" si="50">C119+C133</f>
        <v>0</v>
      </c>
      <c r="F163" s="11">
        <f t="shared" si="50"/>
        <v>0</v>
      </c>
      <c r="G163" s="11">
        <f t="shared" si="50"/>
        <v>0</v>
      </c>
      <c r="H163" s="17">
        <f t="shared" si="50"/>
        <v>0</v>
      </c>
      <c r="I163" s="10">
        <f t="shared" si="50"/>
        <v>0</v>
      </c>
      <c r="J163" s="11">
        <f t="shared" si="50"/>
        <v>0</v>
      </c>
      <c r="K163" s="11">
        <f t="shared" si="50"/>
        <v>0</v>
      </c>
      <c r="L163" s="11">
        <f t="shared" si="50"/>
        <v>0</v>
      </c>
      <c r="M163" s="17">
        <f t="shared" si="50"/>
        <v>0</v>
      </c>
      <c r="N163" s="10">
        <f t="shared" si="50"/>
        <v>0</v>
      </c>
      <c r="O163" s="11">
        <f t="shared" si="50"/>
        <v>0</v>
      </c>
      <c r="P163" s="11">
        <f t="shared" si="50"/>
        <v>0</v>
      </c>
      <c r="Q163" s="11">
        <f t="shared" si="50"/>
        <v>0</v>
      </c>
      <c r="R163" s="17">
        <f t="shared" si="50"/>
        <v>0</v>
      </c>
      <c r="S163" s="10">
        <f t="shared" si="50"/>
        <v>0</v>
      </c>
      <c r="T163" s="11">
        <f t="shared" si="50"/>
        <v>0</v>
      </c>
      <c r="U163" s="11">
        <f t="shared" si="50"/>
        <v>0</v>
      </c>
      <c r="V163" s="11">
        <f t="shared" si="50"/>
        <v>0</v>
      </c>
      <c r="W163" s="17">
        <f t="shared" si="50"/>
        <v>0</v>
      </c>
      <c r="X163" s="10">
        <f t="shared" si="50"/>
        <v>0</v>
      </c>
      <c r="Y163" s="11">
        <f t="shared" si="50"/>
        <v>0</v>
      </c>
      <c r="Z163" s="11">
        <f t="shared" si="50"/>
        <v>0</v>
      </c>
      <c r="AA163" s="11">
        <f t="shared" si="50"/>
        <v>0</v>
      </c>
      <c r="AB163" s="17">
        <f t="shared" si="50"/>
        <v>0</v>
      </c>
      <c r="AC163" s="10">
        <f t="shared" si="50"/>
        <v>0</v>
      </c>
      <c r="AD163" s="11">
        <f t="shared" si="50"/>
        <v>0</v>
      </c>
      <c r="AE163" s="11">
        <f t="shared" si="50"/>
        <v>0</v>
      </c>
      <c r="AF163" s="11">
        <f t="shared" si="50"/>
        <v>0</v>
      </c>
      <c r="AG163" s="17">
        <f t="shared" si="50"/>
        <v>0</v>
      </c>
      <c r="AH163" s="16">
        <f>SUM(D163:AG163)*A163</f>
        <v>0</v>
      </c>
      <c r="AI163" s="16">
        <f>SUM(D163:AG163)</f>
        <v>0</v>
      </c>
      <c r="AJ163" s="82"/>
    </row>
    <row r="164" spans="1:52" ht="13.7" customHeight="1" x14ac:dyDescent="0.25">
      <c r="A164" s="16">
        <v>500</v>
      </c>
      <c r="B164" s="11">
        <f t="shared" ref="B164:C171" si="51">T147</f>
        <v>0</v>
      </c>
      <c r="C164" s="11">
        <f t="shared" si="51"/>
        <v>0</v>
      </c>
      <c r="D164" s="10">
        <f t="shared" ref="D164:D171" si="52">B120+B134</f>
        <v>0</v>
      </c>
      <c r="E164" s="11">
        <f t="shared" si="50"/>
        <v>20</v>
      </c>
      <c r="F164" s="11">
        <f t="shared" si="50"/>
        <v>0</v>
      </c>
      <c r="G164" s="11">
        <f t="shared" si="50"/>
        <v>0</v>
      </c>
      <c r="H164" s="17">
        <f t="shared" si="50"/>
        <v>0</v>
      </c>
      <c r="I164" s="10">
        <f t="shared" si="50"/>
        <v>0</v>
      </c>
      <c r="J164" s="11">
        <f t="shared" si="50"/>
        <v>0</v>
      </c>
      <c r="K164" s="11">
        <f t="shared" si="50"/>
        <v>0</v>
      </c>
      <c r="L164" s="11">
        <f t="shared" si="50"/>
        <v>0</v>
      </c>
      <c r="M164" s="17">
        <f t="shared" si="50"/>
        <v>0</v>
      </c>
      <c r="N164" s="10">
        <f t="shared" si="50"/>
        <v>0</v>
      </c>
      <c r="O164" s="11">
        <f t="shared" si="50"/>
        <v>0</v>
      </c>
      <c r="P164" s="11">
        <f t="shared" si="50"/>
        <v>0</v>
      </c>
      <c r="Q164" s="11">
        <f t="shared" si="50"/>
        <v>0</v>
      </c>
      <c r="R164" s="17">
        <f t="shared" si="50"/>
        <v>0</v>
      </c>
      <c r="S164" s="10">
        <f t="shared" si="50"/>
        <v>0</v>
      </c>
      <c r="T164" s="11">
        <f t="shared" si="50"/>
        <v>0</v>
      </c>
      <c r="U164" s="11">
        <f t="shared" si="50"/>
        <v>0</v>
      </c>
      <c r="V164" s="11">
        <f t="shared" si="50"/>
        <v>0</v>
      </c>
      <c r="W164" s="17">
        <f t="shared" si="50"/>
        <v>0</v>
      </c>
      <c r="X164" s="10">
        <f t="shared" si="50"/>
        <v>0</v>
      </c>
      <c r="Y164" s="11">
        <f t="shared" si="50"/>
        <v>0</v>
      </c>
      <c r="Z164" s="11">
        <f t="shared" si="50"/>
        <v>0</v>
      </c>
      <c r="AA164" s="11">
        <f t="shared" si="50"/>
        <v>0</v>
      </c>
      <c r="AB164" s="17">
        <f t="shared" si="50"/>
        <v>0</v>
      </c>
      <c r="AC164" s="10">
        <f t="shared" si="50"/>
        <v>0</v>
      </c>
      <c r="AD164" s="11">
        <f t="shared" si="50"/>
        <v>0</v>
      </c>
      <c r="AE164" s="11">
        <f t="shared" si="50"/>
        <v>0</v>
      </c>
      <c r="AF164" s="11">
        <f t="shared" si="50"/>
        <v>0</v>
      </c>
      <c r="AG164" s="17">
        <f t="shared" si="50"/>
        <v>0</v>
      </c>
      <c r="AH164" s="16">
        <f>SUM(D164:AG164)*A164</f>
        <v>10000</v>
      </c>
      <c r="AI164" s="16">
        <f t="shared" ref="AI164:AI172" si="53">SUM(D164:AG164)</f>
        <v>20</v>
      </c>
    </row>
    <row r="165" spans="1:52" ht="13.7" customHeight="1" x14ac:dyDescent="0.25">
      <c r="A165" s="15">
        <v>750</v>
      </c>
      <c r="B165" s="11">
        <f t="shared" si="51"/>
        <v>0</v>
      </c>
      <c r="C165" s="11">
        <f t="shared" si="51"/>
        <v>0</v>
      </c>
      <c r="D165" s="8">
        <f t="shared" si="52"/>
        <v>0</v>
      </c>
      <c r="E165" s="6">
        <f t="shared" si="50"/>
        <v>10</v>
      </c>
      <c r="F165" s="6">
        <f t="shared" si="50"/>
        <v>0</v>
      </c>
      <c r="G165" s="6">
        <f t="shared" si="50"/>
        <v>0</v>
      </c>
      <c r="H165" s="13">
        <f t="shared" si="50"/>
        <v>0</v>
      </c>
      <c r="I165" s="8">
        <f t="shared" si="50"/>
        <v>0</v>
      </c>
      <c r="J165" s="6">
        <f t="shared" si="50"/>
        <v>0</v>
      </c>
      <c r="K165" s="6">
        <f t="shared" si="50"/>
        <v>0</v>
      </c>
      <c r="L165" s="6">
        <f t="shared" si="50"/>
        <v>0</v>
      </c>
      <c r="M165" s="13">
        <f t="shared" si="50"/>
        <v>0</v>
      </c>
      <c r="N165" s="8">
        <f t="shared" si="50"/>
        <v>0</v>
      </c>
      <c r="O165" s="6">
        <f t="shared" si="50"/>
        <v>0</v>
      </c>
      <c r="P165" s="6">
        <f t="shared" si="50"/>
        <v>0</v>
      </c>
      <c r="Q165" s="6">
        <f t="shared" si="50"/>
        <v>0</v>
      </c>
      <c r="R165" s="13">
        <f t="shared" si="50"/>
        <v>0</v>
      </c>
      <c r="S165" s="8">
        <f t="shared" si="50"/>
        <v>0</v>
      </c>
      <c r="T165" s="6">
        <f t="shared" si="50"/>
        <v>0</v>
      </c>
      <c r="U165" s="6">
        <f t="shared" si="50"/>
        <v>0</v>
      </c>
      <c r="V165" s="6">
        <f t="shared" si="50"/>
        <v>0</v>
      </c>
      <c r="W165" s="13">
        <f t="shared" si="50"/>
        <v>0</v>
      </c>
      <c r="X165" s="8">
        <f t="shared" si="50"/>
        <v>0</v>
      </c>
      <c r="Y165" s="6">
        <f t="shared" si="50"/>
        <v>0</v>
      </c>
      <c r="Z165" s="6">
        <f t="shared" si="50"/>
        <v>0</v>
      </c>
      <c r="AA165" s="6">
        <f t="shared" si="50"/>
        <v>0</v>
      </c>
      <c r="AB165" s="13">
        <f t="shared" si="50"/>
        <v>0</v>
      </c>
      <c r="AC165" s="8">
        <f t="shared" si="50"/>
        <v>0</v>
      </c>
      <c r="AD165" s="6">
        <f t="shared" si="50"/>
        <v>0</v>
      </c>
      <c r="AE165" s="6">
        <f t="shared" si="50"/>
        <v>0</v>
      </c>
      <c r="AF165" s="6">
        <f t="shared" si="50"/>
        <v>0</v>
      </c>
      <c r="AG165" s="13">
        <f t="shared" si="50"/>
        <v>0</v>
      </c>
      <c r="AH165" s="16">
        <f>SUM(D165:AG165)*A165</f>
        <v>7500</v>
      </c>
      <c r="AI165" s="16">
        <f t="shared" si="53"/>
        <v>10</v>
      </c>
    </row>
    <row r="166" spans="1:52" ht="13.7" customHeight="1" x14ac:dyDescent="0.25">
      <c r="A166" s="15">
        <v>1000</v>
      </c>
      <c r="B166" s="11">
        <f t="shared" si="51"/>
        <v>0</v>
      </c>
      <c r="C166" s="11">
        <f t="shared" si="51"/>
        <v>0</v>
      </c>
      <c r="D166" s="8">
        <f t="shared" si="52"/>
        <v>0</v>
      </c>
      <c r="E166" s="6">
        <f t="shared" si="50"/>
        <v>10</v>
      </c>
      <c r="F166" s="6">
        <f t="shared" si="50"/>
        <v>0</v>
      </c>
      <c r="G166" s="6">
        <f t="shared" si="50"/>
        <v>0</v>
      </c>
      <c r="H166" s="13">
        <f t="shared" si="50"/>
        <v>0</v>
      </c>
      <c r="I166" s="8">
        <f t="shared" si="50"/>
        <v>0</v>
      </c>
      <c r="J166" s="6">
        <f t="shared" si="50"/>
        <v>0</v>
      </c>
      <c r="K166" s="6">
        <f t="shared" si="50"/>
        <v>0</v>
      </c>
      <c r="L166" s="6">
        <f t="shared" si="50"/>
        <v>0</v>
      </c>
      <c r="M166" s="13">
        <f t="shared" si="50"/>
        <v>0</v>
      </c>
      <c r="N166" s="8">
        <f t="shared" si="50"/>
        <v>0</v>
      </c>
      <c r="O166" s="6">
        <f t="shared" si="50"/>
        <v>0</v>
      </c>
      <c r="P166" s="6">
        <f t="shared" si="50"/>
        <v>0</v>
      </c>
      <c r="Q166" s="6">
        <f t="shared" si="50"/>
        <v>0</v>
      </c>
      <c r="R166" s="13">
        <f t="shared" si="50"/>
        <v>0</v>
      </c>
      <c r="S166" s="8">
        <f t="shared" si="50"/>
        <v>0</v>
      </c>
      <c r="T166" s="6">
        <f t="shared" si="50"/>
        <v>0</v>
      </c>
      <c r="U166" s="6">
        <f t="shared" si="50"/>
        <v>0</v>
      </c>
      <c r="V166" s="6">
        <f t="shared" si="50"/>
        <v>0</v>
      </c>
      <c r="W166" s="13">
        <f t="shared" si="50"/>
        <v>0</v>
      </c>
      <c r="X166" s="8">
        <f t="shared" si="50"/>
        <v>0</v>
      </c>
      <c r="Y166" s="6">
        <f t="shared" si="50"/>
        <v>0</v>
      </c>
      <c r="Z166" s="6">
        <f t="shared" si="50"/>
        <v>0</v>
      </c>
      <c r="AA166" s="6">
        <f t="shared" si="50"/>
        <v>0</v>
      </c>
      <c r="AB166" s="13">
        <f t="shared" si="50"/>
        <v>0</v>
      </c>
      <c r="AC166" s="8">
        <f t="shared" si="50"/>
        <v>0</v>
      </c>
      <c r="AD166" s="6">
        <f t="shared" si="50"/>
        <v>0</v>
      </c>
      <c r="AE166" s="6">
        <f t="shared" si="50"/>
        <v>0</v>
      </c>
      <c r="AF166" s="6">
        <f t="shared" si="50"/>
        <v>0</v>
      </c>
      <c r="AG166" s="13">
        <f t="shared" si="50"/>
        <v>0</v>
      </c>
      <c r="AH166" s="16">
        <f>SUM(D166:AG166)*A166</f>
        <v>10000</v>
      </c>
      <c r="AI166" s="16">
        <f t="shared" si="53"/>
        <v>10</v>
      </c>
    </row>
    <row r="167" spans="1:52" ht="13.7" customHeight="1" x14ac:dyDescent="0.25">
      <c r="A167" s="15">
        <v>1500</v>
      </c>
      <c r="B167" s="11">
        <f t="shared" si="51"/>
        <v>0</v>
      </c>
      <c r="C167" s="11">
        <f t="shared" si="51"/>
        <v>0</v>
      </c>
      <c r="D167" s="8">
        <f t="shared" si="52"/>
        <v>0</v>
      </c>
      <c r="E167" s="6">
        <f t="shared" si="50"/>
        <v>8</v>
      </c>
      <c r="F167" s="6">
        <f t="shared" si="50"/>
        <v>0</v>
      </c>
      <c r="G167" s="6">
        <f t="shared" si="50"/>
        <v>0</v>
      </c>
      <c r="H167" s="13">
        <f t="shared" si="50"/>
        <v>0</v>
      </c>
      <c r="I167" s="8">
        <f t="shared" si="50"/>
        <v>0</v>
      </c>
      <c r="J167" s="6">
        <f t="shared" si="50"/>
        <v>0</v>
      </c>
      <c r="K167" s="6">
        <f t="shared" si="50"/>
        <v>0</v>
      </c>
      <c r="L167" s="6">
        <f t="shared" si="50"/>
        <v>0</v>
      </c>
      <c r="M167" s="13">
        <f t="shared" si="50"/>
        <v>0</v>
      </c>
      <c r="N167" s="8">
        <f t="shared" si="50"/>
        <v>0</v>
      </c>
      <c r="O167" s="6">
        <f t="shared" si="50"/>
        <v>0</v>
      </c>
      <c r="P167" s="6">
        <f t="shared" si="50"/>
        <v>0</v>
      </c>
      <c r="Q167" s="6">
        <f t="shared" si="50"/>
        <v>0</v>
      </c>
      <c r="R167" s="13">
        <f t="shared" si="50"/>
        <v>0</v>
      </c>
      <c r="S167" s="8">
        <f t="shared" si="50"/>
        <v>0</v>
      </c>
      <c r="T167" s="6">
        <f t="shared" si="50"/>
        <v>0</v>
      </c>
      <c r="U167" s="6">
        <f t="shared" si="50"/>
        <v>0</v>
      </c>
      <c r="V167" s="6">
        <f t="shared" si="50"/>
        <v>0</v>
      </c>
      <c r="W167" s="13">
        <f t="shared" si="50"/>
        <v>0</v>
      </c>
      <c r="X167" s="8">
        <f t="shared" si="50"/>
        <v>0</v>
      </c>
      <c r="Y167" s="6">
        <f t="shared" si="50"/>
        <v>0</v>
      </c>
      <c r="Z167" s="6">
        <f t="shared" si="50"/>
        <v>0</v>
      </c>
      <c r="AA167" s="6">
        <f t="shared" si="50"/>
        <v>0</v>
      </c>
      <c r="AB167" s="13">
        <f t="shared" si="50"/>
        <v>0</v>
      </c>
      <c r="AC167" s="8">
        <f t="shared" si="50"/>
        <v>0</v>
      </c>
      <c r="AD167" s="6">
        <f t="shared" si="50"/>
        <v>0</v>
      </c>
      <c r="AE167" s="6">
        <f t="shared" si="50"/>
        <v>0</v>
      </c>
      <c r="AF167" s="6">
        <f t="shared" si="50"/>
        <v>0</v>
      </c>
      <c r="AG167" s="13">
        <f t="shared" si="50"/>
        <v>0</v>
      </c>
      <c r="AH167" s="16">
        <f>SUM(D167:AG167)*A167</f>
        <v>12000</v>
      </c>
      <c r="AI167" s="16">
        <f t="shared" si="53"/>
        <v>8</v>
      </c>
    </row>
    <row r="168" spans="1:52" ht="13.7" customHeight="1" x14ac:dyDescent="0.25">
      <c r="A168" s="15">
        <v>2000</v>
      </c>
      <c r="B168" s="11">
        <f t="shared" si="51"/>
        <v>0</v>
      </c>
      <c r="C168" s="11">
        <f t="shared" si="51"/>
        <v>0</v>
      </c>
      <c r="D168" s="8">
        <f t="shared" si="52"/>
        <v>0</v>
      </c>
      <c r="E168" s="6">
        <f t="shared" si="50"/>
        <v>0</v>
      </c>
      <c r="F168" s="6">
        <f t="shared" si="50"/>
        <v>0</v>
      </c>
      <c r="G168" s="6">
        <f t="shared" si="50"/>
        <v>0</v>
      </c>
      <c r="H168" s="13">
        <f t="shared" si="50"/>
        <v>0</v>
      </c>
      <c r="I168" s="8">
        <f t="shared" si="50"/>
        <v>0</v>
      </c>
      <c r="J168" s="6">
        <f t="shared" si="50"/>
        <v>0</v>
      </c>
      <c r="K168" s="6">
        <f t="shared" si="50"/>
        <v>0</v>
      </c>
      <c r="L168" s="6">
        <f t="shared" si="50"/>
        <v>0</v>
      </c>
      <c r="M168" s="13">
        <f t="shared" si="50"/>
        <v>0</v>
      </c>
      <c r="N168" s="8">
        <f t="shared" si="50"/>
        <v>0</v>
      </c>
      <c r="O168" s="6">
        <f t="shared" si="50"/>
        <v>0</v>
      </c>
      <c r="P168" s="6">
        <f t="shared" si="50"/>
        <v>0</v>
      </c>
      <c r="Q168" s="6">
        <f t="shared" si="50"/>
        <v>0</v>
      </c>
      <c r="R168" s="13">
        <f t="shared" si="50"/>
        <v>0</v>
      </c>
      <c r="S168" s="8">
        <f t="shared" si="50"/>
        <v>0</v>
      </c>
      <c r="T168" s="6">
        <f t="shared" si="50"/>
        <v>0</v>
      </c>
      <c r="U168" s="6">
        <f t="shared" si="50"/>
        <v>0</v>
      </c>
      <c r="V168" s="6">
        <f t="shared" si="50"/>
        <v>0</v>
      </c>
      <c r="W168" s="13">
        <f t="shared" si="50"/>
        <v>0</v>
      </c>
      <c r="X168" s="8">
        <f t="shared" si="50"/>
        <v>0</v>
      </c>
      <c r="Y168" s="6">
        <f t="shared" si="50"/>
        <v>0</v>
      </c>
      <c r="Z168" s="6">
        <f t="shared" si="50"/>
        <v>0</v>
      </c>
      <c r="AA168" s="6">
        <f t="shared" si="50"/>
        <v>0</v>
      </c>
      <c r="AB168" s="13">
        <f t="shared" si="50"/>
        <v>0</v>
      </c>
      <c r="AC168" s="8">
        <f t="shared" si="50"/>
        <v>0</v>
      </c>
      <c r="AD168" s="6">
        <f t="shared" si="50"/>
        <v>0</v>
      </c>
      <c r="AE168" s="6">
        <f t="shared" si="50"/>
        <v>0</v>
      </c>
      <c r="AF168" s="6">
        <f t="shared" si="50"/>
        <v>0</v>
      </c>
      <c r="AG168" s="13">
        <f t="shared" si="50"/>
        <v>0</v>
      </c>
      <c r="AH168" s="16">
        <f>SUM(D168:AG168)*A168</f>
        <v>0</v>
      </c>
      <c r="AI168" s="16">
        <f t="shared" si="53"/>
        <v>0</v>
      </c>
    </row>
    <row r="169" spans="1:52" ht="13.7" customHeight="1" x14ac:dyDescent="0.25">
      <c r="A169" s="15">
        <v>3000</v>
      </c>
      <c r="B169" s="11">
        <f t="shared" si="51"/>
        <v>0</v>
      </c>
      <c r="C169" s="11">
        <f t="shared" si="51"/>
        <v>0</v>
      </c>
      <c r="D169" s="8">
        <f t="shared" si="52"/>
        <v>0</v>
      </c>
      <c r="E169" s="6">
        <f t="shared" si="50"/>
        <v>0</v>
      </c>
      <c r="F169" s="6">
        <f t="shared" si="50"/>
        <v>0</v>
      </c>
      <c r="G169" s="6">
        <f t="shared" si="50"/>
        <v>0</v>
      </c>
      <c r="H169" s="13">
        <f t="shared" si="50"/>
        <v>0</v>
      </c>
      <c r="I169" s="8">
        <f t="shared" si="50"/>
        <v>0</v>
      </c>
      <c r="J169" s="6">
        <f t="shared" si="50"/>
        <v>0</v>
      </c>
      <c r="K169" s="6">
        <f t="shared" si="50"/>
        <v>0</v>
      </c>
      <c r="L169" s="6">
        <f t="shared" si="50"/>
        <v>0</v>
      </c>
      <c r="M169" s="13">
        <f t="shared" si="50"/>
        <v>0</v>
      </c>
      <c r="N169" s="8">
        <f t="shared" si="50"/>
        <v>0</v>
      </c>
      <c r="O169" s="6">
        <f t="shared" si="50"/>
        <v>0</v>
      </c>
      <c r="P169" s="6">
        <f t="shared" si="50"/>
        <v>0</v>
      </c>
      <c r="Q169" s="6">
        <f t="shared" si="50"/>
        <v>0</v>
      </c>
      <c r="R169" s="13">
        <f t="shared" si="50"/>
        <v>0</v>
      </c>
      <c r="S169" s="8">
        <f t="shared" si="50"/>
        <v>0</v>
      </c>
      <c r="T169" s="6">
        <f t="shared" si="50"/>
        <v>0</v>
      </c>
      <c r="U169" s="6">
        <f t="shared" si="50"/>
        <v>0</v>
      </c>
      <c r="V169" s="6">
        <f t="shared" si="50"/>
        <v>0</v>
      </c>
      <c r="W169" s="13">
        <f t="shared" si="50"/>
        <v>0</v>
      </c>
      <c r="X169" s="8">
        <f t="shared" si="50"/>
        <v>0</v>
      </c>
      <c r="Y169" s="6">
        <f t="shared" si="50"/>
        <v>0</v>
      </c>
      <c r="Z169" s="6">
        <f t="shared" si="50"/>
        <v>0</v>
      </c>
      <c r="AA169" s="6">
        <f t="shared" si="50"/>
        <v>0</v>
      </c>
      <c r="AB169" s="13">
        <f t="shared" si="50"/>
        <v>0</v>
      </c>
      <c r="AC169" s="8">
        <f t="shared" si="50"/>
        <v>0</v>
      </c>
      <c r="AD169" s="6">
        <f t="shared" si="50"/>
        <v>0</v>
      </c>
      <c r="AE169" s="6">
        <f t="shared" si="50"/>
        <v>0</v>
      </c>
      <c r="AF169" s="6">
        <f t="shared" si="50"/>
        <v>0</v>
      </c>
      <c r="AG169" s="13">
        <f t="shared" si="50"/>
        <v>0</v>
      </c>
      <c r="AH169" s="16">
        <f>SUM(D169:AG169)*A169</f>
        <v>0</v>
      </c>
      <c r="AI169" s="16">
        <f t="shared" si="53"/>
        <v>0</v>
      </c>
    </row>
    <row r="170" spans="1:52" ht="13.7" customHeight="1" x14ac:dyDescent="0.25">
      <c r="A170" s="15">
        <v>5000</v>
      </c>
      <c r="B170" s="11">
        <f t="shared" si="51"/>
        <v>0</v>
      </c>
      <c r="C170" s="11">
        <f t="shared" si="51"/>
        <v>0</v>
      </c>
      <c r="D170" s="8">
        <f t="shared" si="52"/>
        <v>0</v>
      </c>
      <c r="E170" s="6">
        <f t="shared" si="50"/>
        <v>0</v>
      </c>
      <c r="F170" s="6">
        <f t="shared" si="50"/>
        <v>0</v>
      </c>
      <c r="G170" s="6">
        <f t="shared" si="50"/>
        <v>0</v>
      </c>
      <c r="H170" s="13">
        <f t="shared" si="50"/>
        <v>0</v>
      </c>
      <c r="I170" s="8">
        <f t="shared" si="50"/>
        <v>0</v>
      </c>
      <c r="J170" s="6">
        <f t="shared" si="50"/>
        <v>0</v>
      </c>
      <c r="K170" s="6">
        <f t="shared" si="50"/>
        <v>0</v>
      </c>
      <c r="L170" s="6">
        <f t="shared" si="50"/>
        <v>0</v>
      </c>
      <c r="M170" s="13">
        <f t="shared" si="50"/>
        <v>0</v>
      </c>
      <c r="N170" s="8">
        <f t="shared" si="50"/>
        <v>0</v>
      </c>
      <c r="O170" s="6">
        <f t="shared" si="50"/>
        <v>0</v>
      </c>
      <c r="P170" s="6">
        <f t="shared" si="50"/>
        <v>0</v>
      </c>
      <c r="Q170" s="6">
        <f t="shared" si="50"/>
        <v>0</v>
      </c>
      <c r="R170" s="13">
        <f t="shared" si="50"/>
        <v>0</v>
      </c>
      <c r="S170" s="8">
        <f t="shared" si="50"/>
        <v>0</v>
      </c>
      <c r="T170" s="6">
        <f t="shared" si="50"/>
        <v>0</v>
      </c>
      <c r="U170" s="6">
        <f t="shared" si="50"/>
        <v>0</v>
      </c>
      <c r="V170" s="6">
        <f t="shared" si="50"/>
        <v>0</v>
      </c>
      <c r="W170" s="13">
        <f t="shared" si="50"/>
        <v>0</v>
      </c>
      <c r="X170" s="8">
        <f t="shared" si="50"/>
        <v>0</v>
      </c>
      <c r="Y170" s="6">
        <f t="shared" si="50"/>
        <v>0</v>
      </c>
      <c r="Z170" s="6">
        <f t="shared" si="50"/>
        <v>0</v>
      </c>
      <c r="AA170" s="6">
        <f t="shared" si="50"/>
        <v>0</v>
      </c>
      <c r="AB170" s="13">
        <f t="shared" si="50"/>
        <v>0</v>
      </c>
      <c r="AC170" s="8">
        <f t="shared" si="50"/>
        <v>0</v>
      </c>
      <c r="AD170" s="6">
        <f t="shared" si="50"/>
        <v>0</v>
      </c>
      <c r="AE170" s="6">
        <f t="shared" si="50"/>
        <v>0</v>
      </c>
      <c r="AF170" s="6">
        <f t="shared" si="50"/>
        <v>0</v>
      </c>
      <c r="AG170" s="13">
        <f t="shared" si="50"/>
        <v>0</v>
      </c>
      <c r="AH170" s="16">
        <f>SUM(D170:AG170)*A170</f>
        <v>0</v>
      </c>
      <c r="AI170" s="16">
        <f t="shared" si="53"/>
        <v>0</v>
      </c>
    </row>
    <row r="171" spans="1:52" ht="15" customHeight="1" thickBot="1" x14ac:dyDescent="0.3">
      <c r="A171" s="59">
        <v>10000</v>
      </c>
      <c r="B171" s="11">
        <f t="shared" si="51"/>
        <v>0</v>
      </c>
      <c r="C171" s="11">
        <f t="shared" si="51"/>
        <v>0</v>
      </c>
      <c r="D171" s="31">
        <f t="shared" si="52"/>
        <v>0</v>
      </c>
      <c r="E171" s="32">
        <f t="shared" si="50"/>
        <v>0</v>
      </c>
      <c r="F171" s="32">
        <f t="shared" si="50"/>
        <v>0</v>
      </c>
      <c r="G171" s="32">
        <f t="shared" si="50"/>
        <v>0</v>
      </c>
      <c r="H171" s="33">
        <f t="shared" si="50"/>
        <v>0</v>
      </c>
      <c r="I171" s="31">
        <f t="shared" si="50"/>
        <v>0</v>
      </c>
      <c r="J171" s="32">
        <f t="shared" si="50"/>
        <v>0</v>
      </c>
      <c r="K171" s="32">
        <f t="shared" si="50"/>
        <v>0</v>
      </c>
      <c r="L171" s="32">
        <f t="shared" si="50"/>
        <v>0</v>
      </c>
      <c r="M171" s="33">
        <f t="shared" si="50"/>
        <v>0</v>
      </c>
      <c r="N171" s="31">
        <f t="shared" si="50"/>
        <v>0</v>
      </c>
      <c r="O171" s="32">
        <f t="shared" si="50"/>
        <v>0</v>
      </c>
      <c r="P171" s="32">
        <f t="shared" si="50"/>
        <v>0</v>
      </c>
      <c r="Q171" s="32">
        <f t="shared" si="50"/>
        <v>0</v>
      </c>
      <c r="R171" s="33">
        <f t="shared" si="50"/>
        <v>0</v>
      </c>
      <c r="S171" s="31">
        <f t="shared" si="50"/>
        <v>0</v>
      </c>
      <c r="T171" s="32">
        <f t="shared" si="50"/>
        <v>0</v>
      </c>
      <c r="U171" s="32">
        <f t="shared" si="50"/>
        <v>0</v>
      </c>
      <c r="V171" s="32">
        <f t="shared" si="50"/>
        <v>0</v>
      </c>
      <c r="W171" s="33">
        <f t="shared" si="50"/>
        <v>0</v>
      </c>
      <c r="X171" s="31">
        <f t="shared" si="50"/>
        <v>0</v>
      </c>
      <c r="Y171" s="32">
        <f t="shared" si="50"/>
        <v>0</v>
      </c>
      <c r="Z171" s="32">
        <f t="shared" si="50"/>
        <v>0</v>
      </c>
      <c r="AA171" s="32">
        <f t="shared" si="50"/>
        <v>0</v>
      </c>
      <c r="AB171" s="33">
        <f t="shared" ref="AB171:AG171" si="54">Z127+Z141</f>
        <v>0</v>
      </c>
      <c r="AC171" s="31">
        <f t="shared" si="54"/>
        <v>0</v>
      </c>
      <c r="AD171" s="32">
        <f t="shared" si="54"/>
        <v>0</v>
      </c>
      <c r="AE171" s="32">
        <f t="shared" si="54"/>
        <v>0</v>
      </c>
      <c r="AF171" s="32">
        <f t="shared" si="54"/>
        <v>0</v>
      </c>
      <c r="AG171" s="33">
        <f t="shared" si="54"/>
        <v>0</v>
      </c>
      <c r="AH171" s="16">
        <f>SUM(D171:AG171)*A171</f>
        <v>0</v>
      </c>
      <c r="AI171" s="43">
        <f t="shared" si="53"/>
        <v>0</v>
      </c>
    </row>
    <row r="172" spans="1:52" ht="15" customHeight="1" thickBot="1" x14ac:dyDescent="0.3">
      <c r="A172" s="35"/>
      <c r="B172" s="61">
        <f>SUM(B163:B171)</f>
        <v>0</v>
      </c>
      <c r="C172" s="61">
        <f t="shared" ref="C172" si="55">SUM(C163:C171)</f>
        <v>0</v>
      </c>
      <c r="D172" s="60">
        <f t="shared" ref="D172:AI172" si="56">SUM(D163:D171)</f>
        <v>0</v>
      </c>
      <c r="E172" s="61">
        <f t="shared" si="56"/>
        <v>48</v>
      </c>
      <c r="F172" s="61">
        <f t="shared" si="56"/>
        <v>0</v>
      </c>
      <c r="G172" s="61">
        <f t="shared" si="56"/>
        <v>0</v>
      </c>
      <c r="H172" s="62">
        <f t="shared" si="56"/>
        <v>0</v>
      </c>
      <c r="I172" s="60">
        <f t="shared" si="56"/>
        <v>0</v>
      </c>
      <c r="J172" s="61">
        <f t="shared" si="56"/>
        <v>0</v>
      </c>
      <c r="K172" s="61">
        <f t="shared" si="56"/>
        <v>0</v>
      </c>
      <c r="L172" s="61">
        <f t="shared" si="56"/>
        <v>0</v>
      </c>
      <c r="M172" s="62">
        <f t="shared" si="56"/>
        <v>0</v>
      </c>
      <c r="N172" s="60">
        <f t="shared" si="56"/>
        <v>0</v>
      </c>
      <c r="O172" s="61">
        <f t="shared" si="56"/>
        <v>0</v>
      </c>
      <c r="P172" s="61">
        <f t="shared" si="56"/>
        <v>0</v>
      </c>
      <c r="Q172" s="61">
        <f t="shared" si="56"/>
        <v>0</v>
      </c>
      <c r="R172" s="62">
        <f t="shared" si="56"/>
        <v>0</v>
      </c>
      <c r="S172" s="60">
        <f t="shared" si="56"/>
        <v>0</v>
      </c>
      <c r="T172" s="61">
        <f t="shared" si="56"/>
        <v>0</v>
      </c>
      <c r="U172" s="61">
        <f t="shared" si="56"/>
        <v>0</v>
      </c>
      <c r="V172" s="61">
        <f t="shared" si="56"/>
        <v>0</v>
      </c>
      <c r="W172" s="62">
        <f t="shared" si="56"/>
        <v>0</v>
      </c>
      <c r="X172" s="60">
        <f t="shared" si="56"/>
        <v>0</v>
      </c>
      <c r="Y172" s="61">
        <f t="shared" si="56"/>
        <v>0</v>
      </c>
      <c r="Z172" s="61">
        <f t="shared" si="56"/>
        <v>0</v>
      </c>
      <c r="AA172" s="61">
        <f t="shared" si="56"/>
        <v>0</v>
      </c>
      <c r="AB172" s="62">
        <f t="shared" si="56"/>
        <v>0</v>
      </c>
      <c r="AC172" s="60">
        <f t="shared" si="56"/>
        <v>0</v>
      </c>
      <c r="AD172" s="61">
        <f t="shared" si="56"/>
        <v>0</v>
      </c>
      <c r="AE172" s="61">
        <f t="shared" si="56"/>
        <v>0</v>
      </c>
      <c r="AF172" s="61">
        <f t="shared" si="56"/>
        <v>0</v>
      </c>
      <c r="AG172" s="62">
        <f t="shared" si="56"/>
        <v>0</v>
      </c>
      <c r="AH172" s="35">
        <f>SUM(AH163:AH171)</f>
        <v>39500</v>
      </c>
      <c r="AI172" s="35">
        <f t="shared" si="53"/>
        <v>48</v>
      </c>
    </row>
    <row r="173" spans="1:52" ht="15.75" customHeight="1" x14ac:dyDescent="0.25"/>
    <row r="174" spans="1:52" ht="15.75" customHeight="1" x14ac:dyDescent="0.25"/>
    <row r="175" spans="1:52" ht="15" customHeight="1" x14ac:dyDescent="0.25">
      <c r="AX175" s="44"/>
      <c r="AY175" s="44"/>
      <c r="AZ175" s="44"/>
    </row>
    <row r="176" spans="1:52" ht="15" customHeight="1" x14ac:dyDescent="0.25">
      <c r="AX176" s="44"/>
      <c r="AY176" s="44"/>
      <c r="AZ176" s="44"/>
    </row>
    <row r="177" spans="50:54" ht="15" customHeight="1" x14ac:dyDescent="0.25">
      <c r="AX177" s="44"/>
      <c r="AY177" s="44"/>
      <c r="AZ177" s="44"/>
    </row>
    <row r="178" spans="50:54" ht="15" customHeight="1" x14ac:dyDescent="0.25">
      <c r="AX178" s="44"/>
      <c r="AY178" s="44"/>
      <c r="AZ178" s="44"/>
    </row>
    <row r="179" spans="50:54" ht="15" customHeight="1" x14ac:dyDescent="0.25">
      <c r="AX179" s="44"/>
      <c r="AY179" s="44"/>
      <c r="AZ179" s="44"/>
    </row>
    <row r="180" spans="50:54" ht="15" customHeight="1" x14ac:dyDescent="0.25">
      <c r="AX180" s="44"/>
      <c r="AY180" s="44"/>
      <c r="AZ180" s="44"/>
    </row>
    <row r="181" spans="50:54" ht="15" customHeight="1" x14ac:dyDescent="0.25">
      <c r="AX181" s="44"/>
    </row>
    <row r="182" spans="50:54" ht="15" customHeight="1" x14ac:dyDescent="0.25">
      <c r="AX182" s="44"/>
    </row>
    <row r="183" spans="50:54" ht="15" customHeight="1" x14ac:dyDescent="0.25">
      <c r="AX183" s="44"/>
    </row>
    <row r="184" spans="50:54" ht="15.75" customHeight="1" x14ac:dyDescent="0.25"/>
    <row r="186" spans="50:54" x14ac:dyDescent="0.25">
      <c r="BB186" s="44"/>
    </row>
    <row r="187" spans="50:54" ht="15" customHeight="1" x14ac:dyDescent="0.25"/>
    <row r="188" spans="50:54" ht="15" customHeight="1" x14ac:dyDescent="0.25"/>
    <row r="189" spans="50:54" ht="15" customHeight="1" x14ac:dyDescent="0.25"/>
  </sheetData>
  <mergeCells count="134">
    <mergeCell ref="AH158:AJ158"/>
    <mergeCell ref="AK158:AM158"/>
    <mergeCell ref="AN158:AO158"/>
    <mergeCell ref="AP158:AR158"/>
    <mergeCell ref="AS158:AT158"/>
    <mergeCell ref="AU158:AW158"/>
    <mergeCell ref="A161:A162"/>
    <mergeCell ref="B161:C161"/>
    <mergeCell ref="D161:H161"/>
    <mergeCell ref="I161:M161"/>
    <mergeCell ref="N161:R161"/>
    <mergeCell ref="S161:W161"/>
    <mergeCell ref="X161:AB161"/>
    <mergeCell ref="AC161:AG161"/>
    <mergeCell ref="AH161:AH162"/>
    <mergeCell ref="AI161:AI162"/>
    <mergeCell ref="AK152:AL152"/>
    <mergeCell ref="AO152:AP152"/>
    <mergeCell ref="AQ152:AR152"/>
    <mergeCell ref="AU152:AV152"/>
    <mergeCell ref="AW152:AX152"/>
    <mergeCell ref="BA152:BB152"/>
    <mergeCell ref="BC152:BD152"/>
    <mergeCell ref="BG152:BH152"/>
    <mergeCell ref="BI152:BJ152"/>
    <mergeCell ref="AK151:AL151"/>
    <mergeCell ref="AO151:AP151"/>
    <mergeCell ref="AQ151:AR151"/>
    <mergeCell ref="AU151:AV151"/>
    <mergeCell ref="AW151:AX151"/>
    <mergeCell ref="BA151:BB151"/>
    <mergeCell ref="BC151:BD151"/>
    <mergeCell ref="BG151:BH151"/>
    <mergeCell ref="BI151:BJ151"/>
    <mergeCell ref="BH137:BJ137"/>
    <mergeCell ref="AH138:AL138"/>
    <mergeCell ref="AN138:AR138"/>
    <mergeCell ref="AT138:AX138"/>
    <mergeCell ref="AZ138:BD138"/>
    <mergeCell ref="BF138:BJ138"/>
    <mergeCell ref="AH139:AL139"/>
    <mergeCell ref="AN139:AR139"/>
    <mergeCell ref="AT139:AX139"/>
    <mergeCell ref="AZ139:BD139"/>
    <mergeCell ref="BF139:BJ139"/>
    <mergeCell ref="AH137:AI137"/>
    <mergeCell ref="AJ137:AL137"/>
    <mergeCell ref="AN137:AO137"/>
    <mergeCell ref="AP137:AR137"/>
    <mergeCell ref="AT137:AU137"/>
    <mergeCell ref="AV137:AX137"/>
    <mergeCell ref="AZ137:BA137"/>
    <mergeCell ref="BB137:BD137"/>
    <mergeCell ref="BF137:BG137"/>
    <mergeCell ref="BG130:BH130"/>
    <mergeCell ref="BI130:BJ130"/>
    <mergeCell ref="A131:A132"/>
    <mergeCell ref="B131:F131"/>
    <mergeCell ref="L131:P131"/>
    <mergeCell ref="Q131:U131"/>
    <mergeCell ref="V131:Z131"/>
    <mergeCell ref="AA131:AE131"/>
    <mergeCell ref="AF131:AF132"/>
    <mergeCell ref="AG131:AG132"/>
    <mergeCell ref="AI131:AJ131"/>
    <mergeCell ref="AK131:AL131"/>
    <mergeCell ref="AO131:AP131"/>
    <mergeCell ref="AQ131:AR131"/>
    <mergeCell ref="AU131:AV131"/>
    <mergeCell ref="AW131:AX131"/>
    <mergeCell ref="BA131:BB131"/>
    <mergeCell ref="BC131:BD131"/>
    <mergeCell ref="BG131:BH131"/>
    <mergeCell ref="BI131:BJ131"/>
    <mergeCell ref="A130:AG130"/>
    <mergeCell ref="AI130:AJ130"/>
    <mergeCell ref="AK130:AL130"/>
    <mergeCell ref="AO130:AP130"/>
    <mergeCell ref="AQ130:AR130"/>
    <mergeCell ref="AU130:AV130"/>
    <mergeCell ref="AW130:AX130"/>
    <mergeCell ref="BA130:BB130"/>
    <mergeCell ref="BC130:BD130"/>
    <mergeCell ref="AN117:AR117"/>
    <mergeCell ref="AT117:AX117"/>
    <mergeCell ref="AZ117:BD117"/>
    <mergeCell ref="BF117:BJ117"/>
    <mergeCell ref="AH118:AL118"/>
    <mergeCell ref="AN118:AR118"/>
    <mergeCell ref="AT118:AX118"/>
    <mergeCell ref="AZ118:BD118"/>
    <mergeCell ref="BF118:BJ118"/>
    <mergeCell ref="AJ116:AL116"/>
    <mergeCell ref="AN116:AO116"/>
    <mergeCell ref="AP116:AR116"/>
    <mergeCell ref="AT116:AU116"/>
    <mergeCell ref="AV116:AX116"/>
    <mergeCell ref="AZ116:BA116"/>
    <mergeCell ref="BB116:BD116"/>
    <mergeCell ref="BF116:BG116"/>
    <mergeCell ref="BH116:BJ116"/>
    <mergeCell ref="AI151:AJ151"/>
    <mergeCell ref="AI152:AJ152"/>
    <mergeCell ref="D144:E144"/>
    <mergeCell ref="T144:U144"/>
    <mergeCell ref="A144:B144"/>
    <mergeCell ref="G144:H144"/>
    <mergeCell ref="J144:K147"/>
    <mergeCell ref="M144:N147"/>
    <mergeCell ref="G131:K131"/>
    <mergeCell ref="A114:C114"/>
    <mergeCell ref="D114:G114"/>
    <mergeCell ref="A116:AG116"/>
    <mergeCell ref="AH116:AI116"/>
    <mergeCell ref="A117:A118"/>
    <mergeCell ref="B117:F117"/>
    <mergeCell ref="G117:K117"/>
    <mergeCell ref="L117:P117"/>
    <mergeCell ref="Q117:U117"/>
    <mergeCell ref="V117:Z117"/>
    <mergeCell ref="AA117:AE117"/>
    <mergeCell ref="AF117:AF118"/>
    <mergeCell ref="AG117:AG118"/>
    <mergeCell ref="AH117:AL117"/>
    <mergeCell ref="P144:Q147"/>
    <mergeCell ref="S144:S145"/>
    <mergeCell ref="V144:V145"/>
    <mergeCell ref="W144:W145"/>
    <mergeCell ref="AA147:AC147"/>
    <mergeCell ref="AD147:AF147"/>
    <mergeCell ref="AA148:AC148"/>
    <mergeCell ref="AD148:AF148"/>
    <mergeCell ref="AA149:AC149"/>
    <mergeCell ref="AD149:AF149"/>
  </mergeCells>
  <pageMargins left="0" right="0" top="0" bottom="0" header="0.31496062992125984" footer="0.31496062992125984"/>
  <pageSetup paperSize="9" scale="85" orientation="landscape" verticalDpi="300" r:id="rId1"/>
  <headerFooter>
    <oddFooter>&amp;LPRINTED ON &amp;D AT &amp;T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/>
  <dimension ref="A1:BY189"/>
  <sheetViews>
    <sheetView showZeros="0" zoomScaleNormal="100" workbookViewId="0">
      <selection sqref="A1:XFD1048576"/>
    </sheetView>
  </sheetViews>
  <sheetFormatPr defaultColWidth="9.140625" defaultRowHeight="15" x14ac:dyDescent="0.25"/>
  <cols>
    <col min="1" max="1" width="6.28515625" style="28" customWidth="1"/>
    <col min="2" max="2" width="5.85546875" style="28" customWidth="1"/>
    <col min="3" max="3" width="4.42578125" style="28" customWidth="1"/>
    <col min="4" max="4" width="6.28515625" style="28" customWidth="1"/>
    <col min="5" max="5" width="5.85546875" style="28" customWidth="1"/>
    <col min="6" max="6" width="4.42578125" style="28" customWidth="1"/>
    <col min="7" max="7" width="6.28515625" style="28" customWidth="1"/>
    <col min="8" max="8" width="5.85546875" style="28" customWidth="1"/>
    <col min="9" max="9" width="4.42578125" style="28" customWidth="1"/>
    <col min="10" max="10" width="6.28515625" style="28" customWidth="1"/>
    <col min="11" max="12" width="4.42578125" style="28" customWidth="1"/>
    <col min="13" max="13" width="6.28515625" style="28" customWidth="1"/>
    <col min="14" max="15" width="4.42578125" style="28" customWidth="1"/>
    <col min="16" max="16" width="6.28515625" style="28" customWidth="1"/>
    <col min="17" max="18" width="4.42578125" style="28" customWidth="1"/>
    <col min="19" max="19" width="6.28515625" style="28" customWidth="1"/>
    <col min="20" max="21" width="4.7109375" style="28" customWidth="1"/>
    <col min="22" max="22" width="6.28515625" style="28" customWidth="1"/>
    <col min="23" max="23" width="5.42578125" style="28" customWidth="1"/>
    <col min="24" max="31" width="4.42578125" style="28" customWidth="1"/>
    <col min="32" max="33" width="6.28515625" style="28" customWidth="1"/>
    <col min="34" max="62" width="5.85546875" style="28" customWidth="1"/>
    <col min="63" max="63" width="5.140625" style="28" bestFit="1" customWidth="1"/>
    <col min="64" max="64" width="5.7109375" style="28" bestFit="1" customWidth="1"/>
    <col min="65" max="65" width="5" style="28" bestFit="1" customWidth="1"/>
    <col min="66" max="67" width="4.140625" style="28" bestFit="1" customWidth="1"/>
    <col min="68" max="68" width="4.28515625" style="28" bestFit="1" customWidth="1"/>
    <col min="69" max="69" width="5.140625" style="28" bestFit="1" customWidth="1"/>
    <col min="70" max="70" width="7.42578125" style="28" bestFit="1" customWidth="1"/>
    <col min="71" max="71" width="12.5703125" style="28" bestFit="1" customWidth="1"/>
    <col min="72" max="72" width="6.140625" style="28" bestFit="1" customWidth="1"/>
    <col min="73" max="16384" width="9.140625" style="28"/>
  </cols>
  <sheetData>
    <row r="1" spans="1:77" ht="16.5" customHeight="1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15</v>
      </c>
      <c r="J1" s="24" t="s">
        <v>133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133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133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12</v>
      </c>
      <c r="AB1" s="24" t="s">
        <v>133</v>
      </c>
      <c r="AC1" s="24" t="s">
        <v>8</v>
      </c>
      <c r="AD1" s="24" t="s">
        <v>9</v>
      </c>
      <c r="AE1" s="24" t="s">
        <v>10</v>
      </c>
      <c r="AF1" s="24" t="s">
        <v>11</v>
      </c>
      <c r="AG1" s="24" t="s">
        <v>12</v>
      </c>
      <c r="AH1" s="24" t="s">
        <v>133</v>
      </c>
      <c r="AI1" s="24" t="s">
        <v>8</v>
      </c>
      <c r="AJ1" s="24" t="s">
        <v>9</v>
      </c>
      <c r="AK1" s="24" t="s">
        <v>10</v>
      </c>
      <c r="AL1" s="24" t="s">
        <v>11</v>
      </c>
      <c r="AM1" s="24" t="s">
        <v>12</v>
      </c>
      <c r="AN1" s="24" t="s">
        <v>133</v>
      </c>
      <c r="AO1" s="24" t="s">
        <v>8</v>
      </c>
      <c r="AP1" s="24" t="s">
        <v>9</v>
      </c>
      <c r="AQ1" s="24" t="s">
        <v>10</v>
      </c>
      <c r="AR1" s="24" t="s">
        <v>11</v>
      </c>
      <c r="AS1" s="24" t="s">
        <v>12</v>
      </c>
      <c r="AT1" s="24" t="s">
        <v>133</v>
      </c>
      <c r="AU1" s="24" t="s">
        <v>8</v>
      </c>
      <c r="AV1" s="24" t="s">
        <v>9</v>
      </c>
      <c r="AW1" s="24" t="s">
        <v>10</v>
      </c>
      <c r="AX1" s="24" t="s">
        <v>11</v>
      </c>
      <c r="AY1" s="24" t="s">
        <v>12</v>
      </c>
      <c r="AZ1" s="24" t="s">
        <v>133</v>
      </c>
      <c r="BA1" s="24" t="s">
        <v>8</v>
      </c>
      <c r="BB1" s="24" t="s">
        <v>9</v>
      </c>
      <c r="BC1" s="24" t="s">
        <v>10</v>
      </c>
      <c r="BD1" s="24" t="s">
        <v>11</v>
      </c>
      <c r="BE1" s="24" t="s">
        <v>12</v>
      </c>
      <c r="BF1" s="24" t="s">
        <v>133</v>
      </c>
      <c r="BG1" s="24" t="s">
        <v>8</v>
      </c>
      <c r="BH1" s="24" t="s">
        <v>9</v>
      </c>
      <c r="BI1" s="24" t="s">
        <v>10</v>
      </c>
      <c r="BJ1" s="24" t="s">
        <v>11</v>
      </c>
      <c r="BK1" s="24" t="s">
        <v>12</v>
      </c>
      <c r="BL1" s="24" t="s">
        <v>133</v>
      </c>
      <c r="BM1" s="24" t="s">
        <v>8</v>
      </c>
      <c r="BN1" s="24" t="s">
        <v>9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36</v>
      </c>
      <c r="BU1" s="26"/>
      <c r="BV1" s="27"/>
      <c r="BW1" s="27"/>
      <c r="BX1" s="27"/>
      <c r="BY1" s="27"/>
    </row>
    <row r="2" spans="1:77" s="56" customFormat="1" ht="78" thickBot="1" x14ac:dyDescent="0.3">
      <c r="A2" s="188">
        <v>21420</v>
      </c>
      <c r="B2" s="189">
        <v>46031</v>
      </c>
      <c r="C2" s="41" t="s">
        <v>239</v>
      </c>
      <c r="D2" s="41" t="s">
        <v>90</v>
      </c>
      <c r="E2" s="41" t="s">
        <v>42</v>
      </c>
      <c r="F2" s="41" t="s">
        <v>121</v>
      </c>
      <c r="G2" s="41" t="s">
        <v>122</v>
      </c>
      <c r="H2" s="41" t="s">
        <v>123</v>
      </c>
      <c r="I2" s="41"/>
      <c r="J2" s="41" t="s">
        <v>134</v>
      </c>
      <c r="K2" s="188">
        <v>1500</v>
      </c>
      <c r="L2" s="188">
        <v>8</v>
      </c>
      <c r="M2" s="41" t="s">
        <v>17</v>
      </c>
      <c r="N2" s="41" t="s">
        <v>22</v>
      </c>
      <c r="O2" s="188">
        <v>3.5</v>
      </c>
      <c r="P2" s="41" t="s">
        <v>134</v>
      </c>
      <c r="Q2" s="188">
        <v>1000</v>
      </c>
      <c r="R2" s="188">
        <v>10</v>
      </c>
      <c r="S2" s="41" t="s">
        <v>17</v>
      </c>
      <c r="T2" s="41" t="s">
        <v>22</v>
      </c>
      <c r="U2" s="188">
        <v>3.5</v>
      </c>
      <c r="V2" s="41" t="s">
        <v>134</v>
      </c>
      <c r="W2" s="188">
        <v>750</v>
      </c>
      <c r="X2" s="188">
        <v>10</v>
      </c>
      <c r="Y2" s="41" t="s">
        <v>17</v>
      </c>
      <c r="Z2" s="41" t="s">
        <v>22</v>
      </c>
      <c r="AA2" s="188">
        <v>3.5</v>
      </c>
      <c r="AB2" s="41" t="s">
        <v>134</v>
      </c>
      <c r="AC2" s="188">
        <v>500</v>
      </c>
      <c r="AD2" s="188">
        <v>20</v>
      </c>
      <c r="AE2" s="41" t="s">
        <v>17</v>
      </c>
      <c r="AF2" s="41" t="s">
        <v>22</v>
      </c>
      <c r="AG2" s="188">
        <v>3.5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 t="s">
        <v>91</v>
      </c>
      <c r="BS2" s="41" t="s">
        <v>253</v>
      </c>
      <c r="BT2" s="108">
        <f t="shared" ref="BT2" si="0">K2*L2+Q2*R2+W2*X2+AC2*AD2+AI2*AJ2+AO2*AP2+AU2*AV2+BA2*BB2+BG2*BH2+BM2*BN2</f>
        <v>39500</v>
      </c>
    </row>
    <row r="3" spans="1:77" s="56" customFormat="1" ht="15.75" thickBot="1" x14ac:dyDescent="0.3">
      <c r="A3" s="80"/>
      <c r="B3" s="49"/>
      <c r="C3" s="20"/>
      <c r="D3" s="20"/>
      <c r="E3" s="20"/>
      <c r="F3" s="20"/>
      <c r="G3" s="20"/>
      <c r="H3" s="20"/>
      <c r="I3" s="20"/>
      <c r="J3" s="48"/>
      <c r="K3" s="48"/>
      <c r="L3" s="48"/>
      <c r="M3" s="20"/>
      <c r="N3" s="20"/>
      <c r="O3" s="48"/>
      <c r="P3" s="48"/>
      <c r="Q3" s="48"/>
      <c r="R3" s="48"/>
      <c r="S3" s="20"/>
      <c r="T3" s="20"/>
      <c r="U3" s="48"/>
      <c r="V3" s="48"/>
      <c r="W3" s="48"/>
      <c r="X3" s="48"/>
      <c r="Y3" s="48"/>
      <c r="Z3" s="20"/>
      <c r="AA3" s="48"/>
      <c r="AB3" s="48"/>
      <c r="AC3" s="48"/>
      <c r="AD3" s="48"/>
      <c r="AE3" s="20"/>
      <c r="AF3" s="20"/>
      <c r="AG3" s="48"/>
      <c r="AH3" s="48"/>
      <c r="AI3" s="48"/>
      <c r="AJ3" s="48"/>
      <c r="AK3" s="20"/>
      <c r="AL3" s="20"/>
      <c r="AM3" s="48"/>
      <c r="AN3" s="48"/>
      <c r="AO3" s="48"/>
      <c r="AP3" s="48"/>
      <c r="AQ3" s="20"/>
      <c r="AR3" s="20"/>
      <c r="AS3" s="48"/>
      <c r="AT3" s="48"/>
      <c r="AU3" s="48"/>
      <c r="AV3" s="48"/>
      <c r="AW3" s="20"/>
      <c r="AX3" s="20"/>
      <c r="AY3" s="48"/>
      <c r="AZ3" s="48"/>
      <c r="BA3" s="48"/>
      <c r="BB3" s="48"/>
      <c r="BC3" s="20"/>
      <c r="BD3" s="20"/>
      <c r="BE3" s="48"/>
      <c r="BF3" s="48"/>
      <c r="BG3" s="48"/>
      <c r="BH3" s="48"/>
      <c r="BI3" s="20"/>
      <c r="BJ3" s="20"/>
      <c r="BK3" s="48"/>
      <c r="BL3" s="48"/>
      <c r="BM3" s="48"/>
      <c r="BN3" s="48"/>
      <c r="BO3" s="20"/>
      <c r="BP3" s="20"/>
      <c r="BQ3" s="48"/>
      <c r="BR3" s="20"/>
      <c r="BS3" s="20"/>
      <c r="BT3" s="55"/>
      <c r="BU3" s="20"/>
      <c r="BV3" s="20"/>
      <c r="BW3" s="20"/>
      <c r="BX3" s="20"/>
      <c r="BY3" s="20"/>
    </row>
    <row r="4" spans="1:77" s="56" customFormat="1" ht="15.75" thickBot="1" x14ac:dyDescent="0.3">
      <c r="A4" s="80"/>
      <c r="B4" s="49"/>
      <c r="C4" s="20"/>
      <c r="D4" s="20"/>
      <c r="E4" s="20"/>
      <c r="F4" s="20"/>
      <c r="G4" s="20"/>
      <c r="H4" s="20"/>
      <c r="I4" s="20"/>
      <c r="J4" s="48"/>
      <c r="K4" s="48"/>
      <c r="L4" s="48"/>
      <c r="M4" s="20"/>
      <c r="N4" s="20"/>
      <c r="O4" s="48"/>
      <c r="P4" s="48"/>
      <c r="Q4" s="48"/>
      <c r="R4" s="48"/>
      <c r="S4" s="20"/>
      <c r="T4" s="20"/>
      <c r="U4" s="48"/>
      <c r="V4" s="48"/>
      <c r="W4" s="48"/>
      <c r="X4" s="48"/>
      <c r="Y4" s="48"/>
      <c r="Z4" s="20"/>
      <c r="AA4" s="48"/>
      <c r="AB4" s="48"/>
      <c r="AC4" s="48"/>
      <c r="AD4" s="48"/>
      <c r="AE4" s="20"/>
      <c r="AF4" s="20"/>
      <c r="AG4" s="48"/>
      <c r="AH4" s="48"/>
      <c r="AI4" s="48"/>
      <c r="AJ4" s="48"/>
      <c r="AK4" s="20"/>
      <c r="AL4" s="20"/>
      <c r="AM4" s="48"/>
      <c r="AN4" s="48"/>
      <c r="AO4" s="48"/>
      <c r="AP4" s="48"/>
      <c r="AQ4" s="20"/>
      <c r="AR4" s="20"/>
      <c r="AS4" s="48"/>
      <c r="AT4" s="48"/>
      <c r="AU4" s="48"/>
      <c r="AV4" s="48"/>
      <c r="AW4" s="20"/>
      <c r="AX4" s="20"/>
      <c r="AY4" s="48"/>
      <c r="AZ4" s="48"/>
      <c r="BA4" s="48"/>
      <c r="BB4" s="48"/>
      <c r="BC4" s="20"/>
      <c r="BD4" s="20"/>
      <c r="BE4" s="48"/>
      <c r="BF4" s="48"/>
      <c r="BG4" s="48"/>
      <c r="BH4" s="48"/>
      <c r="BI4" s="20"/>
      <c r="BJ4" s="20"/>
      <c r="BK4" s="48"/>
      <c r="BL4" s="48"/>
      <c r="BM4" s="48"/>
      <c r="BN4" s="48"/>
      <c r="BO4" s="20"/>
      <c r="BP4" s="20"/>
      <c r="BQ4" s="48"/>
      <c r="BR4" s="20"/>
      <c r="BS4" s="20"/>
      <c r="BT4" s="55"/>
      <c r="BU4" s="20"/>
      <c r="BV4" s="20"/>
      <c r="BW4" s="20"/>
      <c r="BX4" s="20"/>
      <c r="BY4" s="20"/>
    </row>
    <row r="5" spans="1:77" s="56" customFormat="1" ht="15.75" thickBot="1" x14ac:dyDescent="0.3">
      <c r="A5" s="80"/>
      <c r="B5" s="49"/>
      <c r="C5" s="20"/>
      <c r="D5" s="20"/>
      <c r="E5" s="20"/>
      <c r="F5" s="20"/>
      <c r="G5" s="20"/>
      <c r="H5" s="20"/>
      <c r="I5" s="20"/>
      <c r="J5" s="48"/>
      <c r="K5" s="48"/>
      <c r="L5" s="48"/>
      <c r="M5" s="20"/>
      <c r="N5" s="20"/>
      <c r="O5" s="48"/>
      <c r="P5" s="48"/>
      <c r="Q5" s="48"/>
      <c r="R5" s="48"/>
      <c r="S5" s="20"/>
      <c r="T5" s="20"/>
      <c r="U5" s="48"/>
      <c r="V5" s="48"/>
      <c r="W5" s="48"/>
      <c r="X5" s="48"/>
      <c r="Y5" s="48"/>
      <c r="Z5" s="20"/>
      <c r="AA5" s="48"/>
      <c r="AB5" s="48"/>
      <c r="AC5" s="48"/>
      <c r="AD5" s="48"/>
      <c r="AE5" s="20"/>
      <c r="AF5" s="20"/>
      <c r="AG5" s="48"/>
      <c r="AH5" s="48"/>
      <c r="AI5" s="48"/>
      <c r="AJ5" s="48"/>
      <c r="AK5" s="20"/>
      <c r="AL5" s="20"/>
      <c r="AM5" s="48"/>
      <c r="AN5" s="48"/>
      <c r="AO5" s="48"/>
      <c r="AP5" s="48"/>
      <c r="AQ5" s="20"/>
      <c r="AR5" s="20"/>
      <c r="AS5" s="48"/>
      <c r="AT5" s="48"/>
      <c r="AU5" s="48"/>
      <c r="AV5" s="48"/>
      <c r="AW5" s="20"/>
      <c r="AX5" s="20"/>
      <c r="AY5" s="48"/>
      <c r="AZ5" s="48"/>
      <c r="BA5" s="48"/>
      <c r="BB5" s="48"/>
      <c r="BC5" s="20"/>
      <c r="BD5" s="20"/>
      <c r="BE5" s="48"/>
      <c r="BF5" s="48"/>
      <c r="BG5" s="48"/>
      <c r="BH5" s="48"/>
      <c r="BI5" s="20"/>
      <c r="BJ5" s="20"/>
      <c r="BK5" s="48"/>
      <c r="BL5" s="48"/>
      <c r="BM5" s="48"/>
      <c r="BN5" s="48"/>
      <c r="BO5" s="20"/>
      <c r="BP5" s="20"/>
      <c r="BQ5" s="48"/>
      <c r="BR5" s="20"/>
      <c r="BS5" s="20"/>
      <c r="BT5" s="55"/>
      <c r="BU5" s="20"/>
      <c r="BV5" s="20"/>
      <c r="BW5" s="20"/>
      <c r="BX5" s="20"/>
      <c r="BY5" s="20"/>
    </row>
    <row r="6" spans="1:77" s="56" customFormat="1" ht="15.75" thickBot="1" x14ac:dyDescent="0.3">
      <c r="A6" s="80"/>
      <c r="B6" s="49"/>
      <c r="C6" s="20"/>
      <c r="D6" s="20"/>
      <c r="E6" s="20"/>
      <c r="F6" s="20"/>
      <c r="G6" s="20"/>
      <c r="H6" s="20"/>
      <c r="I6" s="20"/>
      <c r="J6" s="48"/>
      <c r="K6" s="48"/>
      <c r="L6" s="48"/>
      <c r="M6" s="20"/>
      <c r="N6" s="20"/>
      <c r="O6" s="48"/>
      <c r="P6" s="48"/>
      <c r="Q6" s="48"/>
      <c r="R6" s="48"/>
      <c r="S6" s="20"/>
      <c r="T6" s="20"/>
      <c r="U6" s="48"/>
      <c r="V6" s="48"/>
      <c r="W6" s="48"/>
      <c r="X6" s="48"/>
      <c r="Y6" s="48"/>
      <c r="Z6" s="20"/>
      <c r="AA6" s="48"/>
      <c r="AB6" s="48"/>
      <c r="AC6" s="48"/>
      <c r="AD6" s="48"/>
      <c r="AE6" s="20"/>
      <c r="AF6" s="20"/>
      <c r="AG6" s="48"/>
      <c r="AH6" s="48"/>
      <c r="AI6" s="48"/>
      <c r="AJ6" s="48"/>
      <c r="AK6" s="20"/>
      <c r="AL6" s="20"/>
      <c r="AM6" s="48"/>
      <c r="AN6" s="48"/>
      <c r="AO6" s="48"/>
      <c r="AP6" s="48"/>
      <c r="AQ6" s="20"/>
      <c r="AR6" s="20"/>
      <c r="AS6" s="48"/>
      <c r="AT6" s="48"/>
      <c r="AU6" s="48"/>
      <c r="AV6" s="48"/>
      <c r="AW6" s="20"/>
      <c r="AX6" s="20"/>
      <c r="AY6" s="48"/>
      <c r="AZ6" s="48"/>
      <c r="BA6" s="48"/>
      <c r="BB6" s="48"/>
      <c r="BC6" s="20"/>
      <c r="BD6" s="20"/>
      <c r="BE6" s="48"/>
      <c r="BF6" s="48"/>
      <c r="BG6" s="48"/>
      <c r="BH6" s="48"/>
      <c r="BI6" s="20"/>
      <c r="BJ6" s="20"/>
      <c r="BK6" s="48"/>
      <c r="BL6" s="48"/>
      <c r="BM6" s="48"/>
      <c r="BN6" s="48"/>
      <c r="BO6" s="20"/>
      <c r="BP6" s="20"/>
      <c r="BQ6" s="48"/>
      <c r="BR6" s="20"/>
      <c r="BS6" s="20"/>
      <c r="BT6" s="55"/>
      <c r="BU6" s="20"/>
      <c r="BV6" s="20"/>
      <c r="BW6" s="20"/>
      <c r="BX6" s="20"/>
      <c r="BY6" s="20"/>
    </row>
    <row r="7" spans="1:77" s="56" customFormat="1" ht="15.75" thickBot="1" x14ac:dyDescent="0.3">
      <c r="A7" s="80"/>
      <c r="B7" s="49"/>
      <c r="C7" s="20"/>
      <c r="D7" s="20"/>
      <c r="E7" s="20"/>
      <c r="F7" s="20"/>
      <c r="G7" s="20"/>
      <c r="H7" s="20"/>
      <c r="I7" s="20"/>
      <c r="J7" s="48"/>
      <c r="K7" s="48"/>
      <c r="L7" s="48"/>
      <c r="M7" s="20"/>
      <c r="N7" s="20"/>
      <c r="O7" s="48"/>
      <c r="P7" s="48"/>
      <c r="Q7" s="48"/>
      <c r="R7" s="48"/>
      <c r="S7" s="20"/>
      <c r="T7" s="20"/>
      <c r="U7" s="48"/>
      <c r="V7" s="48"/>
      <c r="W7" s="48"/>
      <c r="X7" s="48"/>
      <c r="Y7" s="48"/>
      <c r="Z7" s="20"/>
      <c r="AA7" s="48"/>
      <c r="AB7" s="48"/>
      <c r="AC7" s="48"/>
      <c r="AD7" s="48"/>
      <c r="AE7" s="20"/>
      <c r="AF7" s="20"/>
      <c r="AG7" s="48"/>
      <c r="AH7" s="48"/>
      <c r="AI7" s="48"/>
      <c r="AJ7" s="48"/>
      <c r="AK7" s="20"/>
      <c r="AL7" s="20"/>
      <c r="AM7" s="48"/>
      <c r="AN7" s="48"/>
      <c r="AO7" s="48"/>
      <c r="AP7" s="48"/>
      <c r="AQ7" s="20"/>
      <c r="AR7" s="20"/>
      <c r="AS7" s="48"/>
      <c r="AT7" s="48"/>
      <c r="AU7" s="48"/>
      <c r="AV7" s="48"/>
      <c r="AW7" s="20"/>
      <c r="AX7" s="20"/>
      <c r="AY7" s="48"/>
      <c r="AZ7" s="48"/>
      <c r="BA7" s="48"/>
      <c r="BB7" s="48"/>
      <c r="BC7" s="20"/>
      <c r="BD7" s="20"/>
      <c r="BE7" s="48"/>
      <c r="BF7" s="48"/>
      <c r="BG7" s="48"/>
      <c r="BH7" s="48"/>
      <c r="BI7" s="20"/>
      <c r="BJ7" s="20"/>
      <c r="BK7" s="48"/>
      <c r="BL7" s="48"/>
      <c r="BM7" s="48"/>
      <c r="BN7" s="48"/>
      <c r="BO7" s="20"/>
      <c r="BP7" s="20"/>
      <c r="BQ7" s="48"/>
      <c r="BR7" s="20"/>
      <c r="BS7" s="20"/>
      <c r="BT7" s="55"/>
      <c r="BU7" s="20"/>
      <c r="BV7" s="20"/>
      <c r="BW7" s="20"/>
      <c r="BX7" s="20"/>
      <c r="BY7" s="20"/>
    </row>
    <row r="8" spans="1:77" s="56" customFormat="1" ht="15.75" thickBot="1" x14ac:dyDescent="0.3">
      <c r="A8" s="80"/>
      <c r="B8" s="49"/>
      <c r="C8" s="20"/>
      <c r="D8" s="20"/>
      <c r="E8" s="20"/>
      <c r="F8" s="20"/>
      <c r="G8" s="20"/>
      <c r="H8" s="20"/>
      <c r="I8" s="20"/>
      <c r="J8" s="48"/>
      <c r="K8" s="48"/>
      <c r="L8" s="48"/>
      <c r="M8" s="20"/>
      <c r="N8" s="20"/>
      <c r="O8" s="48"/>
      <c r="P8" s="48"/>
      <c r="Q8" s="48"/>
      <c r="R8" s="48"/>
      <c r="S8" s="20"/>
      <c r="T8" s="20"/>
      <c r="U8" s="48"/>
      <c r="V8" s="48"/>
      <c r="W8" s="48"/>
      <c r="X8" s="48"/>
      <c r="Y8" s="48"/>
      <c r="Z8" s="20"/>
      <c r="AA8" s="48"/>
      <c r="AB8" s="48"/>
      <c r="AC8" s="48"/>
      <c r="AD8" s="48"/>
      <c r="AE8" s="20"/>
      <c r="AF8" s="20"/>
      <c r="AG8" s="48"/>
      <c r="AH8" s="48"/>
      <c r="AI8" s="48"/>
      <c r="AJ8" s="48"/>
      <c r="AK8" s="20"/>
      <c r="AL8" s="20"/>
      <c r="AM8" s="48"/>
      <c r="AN8" s="48"/>
      <c r="AO8" s="48"/>
      <c r="AP8" s="48"/>
      <c r="AQ8" s="20"/>
      <c r="AR8" s="20"/>
      <c r="AS8" s="48"/>
      <c r="AT8" s="48"/>
      <c r="AU8" s="48"/>
      <c r="AV8" s="48"/>
      <c r="AW8" s="20"/>
      <c r="AX8" s="20"/>
      <c r="AY8" s="48"/>
      <c r="AZ8" s="48"/>
      <c r="BA8" s="48"/>
      <c r="BB8" s="48"/>
      <c r="BC8" s="20"/>
      <c r="BD8" s="20"/>
      <c r="BE8" s="48"/>
      <c r="BF8" s="48"/>
      <c r="BG8" s="48"/>
      <c r="BH8" s="48"/>
      <c r="BI8" s="20"/>
      <c r="BJ8" s="20"/>
      <c r="BK8" s="48"/>
      <c r="BL8" s="48"/>
      <c r="BM8" s="48"/>
      <c r="BN8" s="48"/>
      <c r="BO8" s="20"/>
      <c r="BP8" s="20"/>
      <c r="BQ8" s="48"/>
      <c r="BR8" s="20"/>
      <c r="BS8" s="20"/>
      <c r="BT8" s="55"/>
      <c r="BU8" s="20"/>
      <c r="BV8" s="20"/>
      <c r="BW8" s="20"/>
      <c r="BX8" s="20"/>
      <c r="BY8" s="20"/>
    </row>
    <row r="9" spans="1:77" s="56" customFormat="1" ht="15.75" thickBot="1" x14ac:dyDescent="0.3">
      <c r="A9" s="80"/>
      <c r="B9" s="49"/>
      <c r="C9" s="20"/>
      <c r="D9" s="20"/>
      <c r="E9" s="20"/>
      <c r="F9" s="20"/>
      <c r="G9" s="20"/>
      <c r="H9" s="20"/>
      <c r="I9" s="20"/>
      <c r="J9" s="48"/>
      <c r="K9" s="48"/>
      <c r="L9" s="48"/>
      <c r="M9" s="20"/>
      <c r="N9" s="20"/>
      <c r="O9" s="48"/>
      <c r="P9" s="48"/>
      <c r="Q9" s="48"/>
      <c r="R9" s="48"/>
      <c r="S9" s="20"/>
      <c r="T9" s="20"/>
      <c r="U9" s="48"/>
      <c r="V9" s="48"/>
      <c r="W9" s="48"/>
      <c r="X9" s="48"/>
      <c r="Y9" s="48"/>
      <c r="Z9" s="20"/>
      <c r="AA9" s="48"/>
      <c r="AB9" s="48"/>
      <c r="AC9" s="48"/>
      <c r="AD9" s="48"/>
      <c r="AE9" s="20"/>
      <c r="AF9" s="20"/>
      <c r="AG9" s="48"/>
      <c r="AH9" s="48"/>
      <c r="AI9" s="48"/>
      <c r="AJ9" s="48"/>
      <c r="AK9" s="20"/>
      <c r="AL9" s="20"/>
      <c r="AM9" s="48"/>
      <c r="AN9" s="48"/>
      <c r="AO9" s="48"/>
      <c r="AP9" s="48"/>
      <c r="AQ9" s="20"/>
      <c r="AR9" s="20"/>
      <c r="AS9" s="48"/>
      <c r="AT9" s="48"/>
      <c r="AU9" s="48"/>
      <c r="AV9" s="48"/>
      <c r="AW9" s="20"/>
      <c r="AX9" s="20"/>
      <c r="AY9" s="48"/>
      <c r="AZ9" s="48"/>
      <c r="BA9" s="48"/>
      <c r="BB9" s="48"/>
      <c r="BC9" s="20"/>
      <c r="BD9" s="20"/>
      <c r="BE9" s="48"/>
      <c r="BF9" s="48"/>
      <c r="BG9" s="48"/>
      <c r="BH9" s="48"/>
      <c r="BI9" s="20"/>
      <c r="BJ9" s="20"/>
      <c r="BK9" s="48"/>
      <c r="BL9" s="48"/>
      <c r="BM9" s="48"/>
      <c r="BN9" s="48"/>
      <c r="BO9" s="20"/>
      <c r="BP9" s="20"/>
      <c r="BQ9" s="48"/>
      <c r="BR9" s="20"/>
      <c r="BS9" s="20"/>
      <c r="BT9" s="55"/>
      <c r="BU9" s="20"/>
      <c r="BV9" s="20"/>
      <c r="BW9" s="20"/>
      <c r="BX9" s="20"/>
      <c r="BY9" s="20"/>
    </row>
    <row r="10" spans="1:77" s="56" customFormat="1" ht="15.75" thickBot="1" x14ac:dyDescent="0.3">
      <c r="A10" s="80"/>
      <c r="B10" s="49"/>
      <c r="C10" s="20"/>
      <c r="D10" s="20"/>
      <c r="E10" s="20"/>
      <c r="F10" s="20"/>
      <c r="G10" s="20"/>
      <c r="H10" s="20"/>
      <c r="I10" s="20"/>
      <c r="J10" s="48"/>
      <c r="K10" s="48"/>
      <c r="L10" s="48"/>
      <c r="M10" s="20"/>
      <c r="N10" s="20"/>
      <c r="O10" s="48"/>
      <c r="P10" s="48"/>
      <c r="Q10" s="48"/>
      <c r="R10" s="48"/>
      <c r="S10" s="20"/>
      <c r="T10" s="20"/>
      <c r="U10" s="48"/>
      <c r="V10" s="48"/>
      <c r="W10" s="48"/>
      <c r="X10" s="48"/>
      <c r="Y10" s="48"/>
      <c r="Z10" s="20"/>
      <c r="AA10" s="48"/>
      <c r="AB10" s="48"/>
      <c r="AC10" s="48"/>
      <c r="AD10" s="48"/>
      <c r="AE10" s="20"/>
      <c r="AF10" s="20"/>
      <c r="AG10" s="48"/>
      <c r="AH10" s="48"/>
      <c r="AI10" s="48"/>
      <c r="AJ10" s="48"/>
      <c r="AK10" s="20"/>
      <c r="AL10" s="20"/>
      <c r="AM10" s="48"/>
      <c r="AN10" s="48"/>
      <c r="AO10" s="48"/>
      <c r="AP10" s="48"/>
      <c r="AQ10" s="20"/>
      <c r="AR10" s="20"/>
      <c r="AS10" s="48"/>
      <c r="AT10" s="48"/>
      <c r="AU10" s="48"/>
      <c r="AV10" s="48"/>
      <c r="AW10" s="20"/>
      <c r="AX10" s="20"/>
      <c r="AY10" s="48"/>
      <c r="AZ10" s="48"/>
      <c r="BA10" s="48"/>
      <c r="BB10" s="48"/>
      <c r="BC10" s="20"/>
      <c r="BD10" s="20"/>
      <c r="BE10" s="48"/>
      <c r="BF10" s="48"/>
      <c r="BG10" s="48"/>
      <c r="BH10" s="48"/>
      <c r="BI10" s="20"/>
      <c r="BJ10" s="20"/>
      <c r="BK10" s="48"/>
      <c r="BL10" s="48"/>
      <c r="BM10" s="48"/>
      <c r="BN10" s="48"/>
      <c r="BO10" s="20"/>
      <c r="BP10" s="20"/>
      <c r="BQ10" s="48"/>
      <c r="BR10" s="20"/>
      <c r="BS10" s="20"/>
      <c r="BT10" s="55"/>
      <c r="BU10" s="20"/>
      <c r="BV10" s="20"/>
      <c r="BW10" s="20"/>
      <c r="BX10" s="20"/>
      <c r="BY10" s="20"/>
    </row>
    <row r="11" spans="1:77" s="56" customFormat="1" ht="15.75" thickBot="1" x14ac:dyDescent="0.3">
      <c r="A11" s="80"/>
      <c r="B11" s="49"/>
      <c r="C11" s="20"/>
      <c r="D11" s="20"/>
      <c r="E11" s="20"/>
      <c r="F11" s="20"/>
      <c r="G11" s="20"/>
      <c r="H11" s="20"/>
      <c r="I11" s="20"/>
      <c r="J11" s="48"/>
      <c r="K11" s="48"/>
      <c r="L11" s="48"/>
      <c r="M11" s="20"/>
      <c r="N11" s="20"/>
      <c r="O11" s="48"/>
      <c r="P11" s="48"/>
      <c r="Q11" s="48"/>
      <c r="R11" s="48"/>
      <c r="S11" s="20"/>
      <c r="T11" s="20"/>
      <c r="U11" s="48"/>
      <c r="V11" s="48"/>
      <c r="W11" s="48"/>
      <c r="X11" s="48"/>
      <c r="Y11" s="48"/>
      <c r="Z11" s="20"/>
      <c r="AA11" s="48"/>
      <c r="AB11" s="48"/>
      <c r="AC11" s="48"/>
      <c r="AD11" s="48"/>
      <c r="AE11" s="20"/>
      <c r="AF11" s="20"/>
      <c r="AG11" s="48"/>
      <c r="AH11" s="48"/>
      <c r="AI11" s="48"/>
      <c r="AJ11" s="48"/>
      <c r="AK11" s="20"/>
      <c r="AL11" s="20"/>
      <c r="AM11" s="48"/>
      <c r="AN11" s="48"/>
      <c r="AO11" s="48"/>
      <c r="AP11" s="48"/>
      <c r="AQ11" s="20"/>
      <c r="AR11" s="20"/>
      <c r="AS11" s="48"/>
      <c r="AT11" s="48"/>
      <c r="AU11" s="48"/>
      <c r="AV11" s="48"/>
      <c r="AW11" s="20"/>
      <c r="AX11" s="20"/>
      <c r="AY11" s="48"/>
      <c r="AZ11" s="48"/>
      <c r="BA11" s="48"/>
      <c r="BB11" s="48"/>
      <c r="BC11" s="20"/>
      <c r="BD11" s="20"/>
      <c r="BE11" s="48"/>
      <c r="BF11" s="48"/>
      <c r="BG11" s="48"/>
      <c r="BH11" s="48"/>
      <c r="BI11" s="20"/>
      <c r="BJ11" s="20"/>
      <c r="BK11" s="48"/>
      <c r="BL11" s="48"/>
      <c r="BM11" s="48"/>
      <c r="BN11" s="48"/>
      <c r="BO11" s="20"/>
      <c r="BP11" s="20"/>
      <c r="BQ11" s="48"/>
      <c r="BR11" s="20"/>
      <c r="BS11" s="20"/>
      <c r="BT11" s="55"/>
      <c r="BU11" s="20"/>
      <c r="BV11" s="20"/>
      <c r="BW11" s="20"/>
      <c r="BX11" s="20"/>
      <c r="BY11" s="20"/>
    </row>
    <row r="12" spans="1:77" s="40" customFormat="1" ht="15.75" thickBot="1" x14ac:dyDescent="0.3">
      <c r="A12" s="75"/>
      <c r="B12" s="2"/>
      <c r="C12" s="1"/>
      <c r="D12" s="1"/>
      <c r="E12" s="1"/>
      <c r="F12" s="25"/>
      <c r="G12" s="1"/>
      <c r="H12" s="1"/>
      <c r="I12" s="1"/>
      <c r="J12" s="3"/>
      <c r="K12" s="3"/>
      <c r="L12" s="3"/>
      <c r="M12" s="1"/>
      <c r="N12" s="1"/>
      <c r="O12" s="3"/>
      <c r="P12" s="3"/>
      <c r="Q12" s="3"/>
      <c r="R12" s="3"/>
      <c r="S12" s="1"/>
      <c r="T12" s="1"/>
      <c r="U12" s="3"/>
      <c r="V12" s="3"/>
      <c r="W12" s="1"/>
      <c r="X12" s="1"/>
      <c r="Y12" s="1"/>
      <c r="Z12" s="1"/>
      <c r="AA12" s="1"/>
      <c r="AB12" s="3"/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3"/>
      <c r="AO12" s="1"/>
      <c r="AP12" s="1"/>
      <c r="AQ12" s="1"/>
      <c r="AR12" s="1"/>
      <c r="AS12" s="1"/>
      <c r="AT12" s="3"/>
      <c r="AU12" s="1"/>
      <c r="AV12" s="1"/>
      <c r="AW12" s="1"/>
      <c r="AX12" s="1"/>
      <c r="AY12" s="1"/>
      <c r="AZ12" s="3"/>
      <c r="BA12" s="1"/>
      <c r="BB12" s="1"/>
      <c r="BC12" s="1"/>
      <c r="BD12" s="1"/>
      <c r="BE12" s="1"/>
      <c r="BF12" s="3"/>
      <c r="BG12" s="1"/>
      <c r="BH12" s="1"/>
      <c r="BI12" s="1"/>
      <c r="BJ12" s="1"/>
      <c r="BK12" s="1"/>
      <c r="BL12" s="3"/>
      <c r="BM12" s="1"/>
      <c r="BN12" s="1"/>
      <c r="BO12" s="1"/>
      <c r="BP12" s="1"/>
      <c r="BQ12" s="1"/>
      <c r="BR12" s="19"/>
      <c r="BS12" s="1"/>
      <c r="BT12" s="37"/>
      <c r="BU12" s="1"/>
      <c r="BV12" s="1"/>
      <c r="BW12" s="1"/>
      <c r="BX12" s="1"/>
      <c r="BY12" s="39"/>
    </row>
    <row r="13" spans="1:77" s="40" customFormat="1" ht="15.75" thickBot="1" x14ac:dyDescent="0.3">
      <c r="A13" s="48"/>
      <c r="B13" s="49"/>
      <c r="C13" s="20"/>
      <c r="D13" s="20"/>
      <c r="E13" s="20"/>
      <c r="F13" s="20"/>
      <c r="G13" s="20"/>
      <c r="H13" s="20"/>
      <c r="I13" s="20"/>
      <c r="J13" s="48"/>
      <c r="K13" s="48"/>
      <c r="L13" s="48"/>
      <c r="M13" s="20"/>
      <c r="N13" s="20"/>
      <c r="O13" s="48"/>
      <c r="P13" s="48"/>
      <c r="Q13" s="20"/>
      <c r="R13" s="20"/>
      <c r="S13" s="20"/>
      <c r="T13" s="20"/>
      <c r="U13" s="20"/>
      <c r="V13" s="48"/>
      <c r="W13" s="20"/>
      <c r="X13" s="20"/>
      <c r="Y13" s="20"/>
      <c r="Z13" s="20"/>
      <c r="AA13" s="20"/>
      <c r="AB13" s="48"/>
      <c r="AC13" s="20"/>
      <c r="AD13" s="20"/>
      <c r="AE13" s="20"/>
      <c r="AF13" s="20"/>
      <c r="AG13" s="20"/>
      <c r="AH13" s="48"/>
      <c r="AI13" s="20"/>
      <c r="AJ13" s="20"/>
      <c r="AK13" s="20"/>
      <c r="AL13" s="20"/>
      <c r="AM13" s="20"/>
      <c r="AN13" s="48"/>
      <c r="AO13" s="20"/>
      <c r="AP13" s="20"/>
      <c r="AQ13" s="20"/>
      <c r="AR13" s="20"/>
      <c r="AS13" s="20"/>
      <c r="AT13" s="48"/>
      <c r="AU13" s="20"/>
      <c r="AV13" s="20"/>
      <c r="AW13" s="20"/>
      <c r="AX13" s="20"/>
      <c r="AY13" s="20"/>
      <c r="AZ13" s="48"/>
      <c r="BA13" s="20"/>
      <c r="BB13" s="20"/>
      <c r="BC13" s="20"/>
      <c r="BD13" s="20"/>
      <c r="BE13" s="20"/>
      <c r="BF13" s="48"/>
      <c r="BG13" s="20"/>
      <c r="BH13" s="20"/>
      <c r="BI13" s="20"/>
      <c r="BJ13" s="20"/>
      <c r="BK13" s="20"/>
      <c r="BL13" s="48"/>
      <c r="BM13" s="20"/>
      <c r="BN13" s="20"/>
      <c r="BO13" s="20"/>
      <c r="BP13" s="20"/>
      <c r="BQ13" s="20"/>
      <c r="BR13" s="20"/>
      <c r="BS13" s="20"/>
      <c r="BT13" s="50"/>
      <c r="BU13" s="20"/>
      <c r="BV13" s="20"/>
      <c r="BW13" s="20"/>
      <c r="BX13" s="20"/>
      <c r="BY13" s="39"/>
    </row>
    <row r="14" spans="1:77" hidden="1" x14ac:dyDescent="0.25">
      <c r="H14" s="4" t="str">
        <f t="shared" ref="H14:L23" si="1">J2</f>
        <v>AG</v>
      </c>
      <c r="I14" s="4">
        <f t="shared" si="1"/>
        <v>1500</v>
      </c>
      <c r="J14" s="4">
        <f t="shared" si="1"/>
        <v>8</v>
      </c>
      <c r="K14" s="4" t="str">
        <f t="shared" si="1"/>
        <v>Y</v>
      </c>
      <c r="L14" s="4" t="str">
        <f t="shared" si="1"/>
        <v>3L</v>
      </c>
      <c r="O14" s="28" t="str">
        <f>J2</f>
        <v>AG</v>
      </c>
      <c r="P14" s="4" t="str">
        <f t="shared" ref="P14:R23" si="2">N2</f>
        <v>3L</v>
      </c>
      <c r="Q14" s="4">
        <f t="shared" si="2"/>
        <v>3.5</v>
      </c>
      <c r="R14" s="4" t="str">
        <f t="shared" si="2"/>
        <v>AG</v>
      </c>
      <c r="S14" s="4" t="str">
        <f t="shared" ref="S14:U23" si="3">T2</f>
        <v>3L</v>
      </c>
      <c r="T14" s="4">
        <f t="shared" si="3"/>
        <v>3.5</v>
      </c>
      <c r="U14" s="4" t="str">
        <f t="shared" si="3"/>
        <v>AG</v>
      </c>
      <c r="V14" s="4" t="str">
        <f t="shared" ref="V14:X23" si="4">Z2</f>
        <v>3L</v>
      </c>
      <c r="W14" s="4">
        <f t="shared" si="4"/>
        <v>3.5</v>
      </c>
      <c r="X14" s="4" t="str">
        <f t="shared" si="4"/>
        <v>AG</v>
      </c>
      <c r="Y14" s="4" t="str">
        <f t="shared" ref="Y14:AA23" si="5">AF2</f>
        <v>3L</v>
      </c>
      <c r="Z14" s="4">
        <f t="shared" si="5"/>
        <v>3.5</v>
      </c>
      <c r="AA14" s="4">
        <f t="shared" si="5"/>
        <v>0</v>
      </c>
      <c r="AB14" s="4">
        <f t="shared" ref="AB14:AD23" si="6">AL2</f>
        <v>0</v>
      </c>
      <c r="AC14" s="4">
        <f t="shared" si="6"/>
        <v>0</v>
      </c>
      <c r="AD14" s="4">
        <f t="shared" si="6"/>
        <v>0</v>
      </c>
      <c r="AE14" s="4">
        <f t="shared" ref="AE14:AG23" si="7">AR2</f>
        <v>0</v>
      </c>
      <c r="AF14" s="4">
        <f t="shared" si="7"/>
        <v>0</v>
      </c>
      <c r="AG14" s="4">
        <f t="shared" si="7"/>
        <v>0</v>
      </c>
      <c r="AH14" s="4">
        <f t="shared" ref="AH14:AJ23" si="8">AX2</f>
        <v>0</v>
      </c>
      <c r="AI14" s="4">
        <f t="shared" si="8"/>
        <v>0</v>
      </c>
      <c r="AJ14" s="4">
        <f t="shared" si="8"/>
        <v>0</v>
      </c>
      <c r="AK14" s="4">
        <f t="shared" ref="AK14:AM23" si="9">BD2</f>
        <v>0</v>
      </c>
      <c r="AL14" s="4">
        <f t="shared" si="9"/>
        <v>0</v>
      </c>
      <c r="AM14" s="4">
        <f t="shared" si="9"/>
        <v>0</v>
      </c>
      <c r="AN14" s="4">
        <f t="shared" ref="AN14:AP23" si="10">BJ2</f>
        <v>0</v>
      </c>
      <c r="AO14" s="4">
        <f t="shared" si="10"/>
        <v>0</v>
      </c>
      <c r="AP14" s="4">
        <f t="shared" si="10"/>
        <v>0</v>
      </c>
      <c r="AQ14" s="4">
        <f t="shared" ref="AQ14:AR23" si="11">BP2</f>
        <v>0</v>
      </c>
      <c r="AR14" s="4">
        <f t="shared" si="11"/>
        <v>0</v>
      </c>
      <c r="AT14" s="28">
        <v>1</v>
      </c>
      <c r="AU14" s="29">
        <f>IF($P$14="3L",$Q$14,IF($S$14="3L",$T$14,IF($V$14="3L",$W$14,IF($Y$14="3L",$Z$14,IF($AB$14="3L",$AC$14,IF($AE$14="3L",$AF$14,IF($AH$14="3L",$AI$14,IF($AK$14="3L",$AL$14,IF($AN$14="3L",$AO$14,IF($AQ$14="3L",$AR$14,""))))))))))</f>
        <v>3.5</v>
      </c>
      <c r="AV14" s="29" t="str">
        <f>IF($P$14="4L",$Q$14,IF($S$14="4L",$T$14,IF($V$14="4L",$W$14,IF($Y$14="4L",$Z$14,IF($AB$14="4L",$AC$14,IF($AE$14="4L",$AF$14,IF($AH$14="4L",$AI$14,IF($AK$14="4L",$AL$14,IF($AN$14="4L",$AO$14,IF($AQ$14="4L",$AR$14,""))))))))))</f>
        <v/>
      </c>
      <c r="AW14" s="29" t="str">
        <f>IF($P$14="5L",$Q$14,IF($S$14="5L",$T$14,IF($V$14="5L",$W$14,IF($Y$14="5L",$Z$14,IF($AB$14="5L",$AC$14,IF($AE$14="5L",$AF$14,IF($AH$14="5L",$AI$14,IF($AK$14="5L",$AL$14,IF($AN$14="5L",$AO$14,IF($AQ$14="5L",$AR$14,""))))))))))</f>
        <v/>
      </c>
      <c r="AX14" s="29" t="str">
        <f>IF($P$14="6L",$Q$14,IF($S$14="6L",$T$14,IF($V$14="6L",$W$14,IF($Y$14="6L",$Z$14,IF($AB$14="6L",$AC$14,IF($AE$14="6L",$AF$14,IF($AH$14="6L",$AI$14,IF($AK$14="6L",$AL$14,IF($AN$14="6L",$AO$14,IF($AQ$14="6L",$AR$14,""))))))))))</f>
        <v/>
      </c>
      <c r="AY14" s="29" t="str">
        <f>IF($P$14="7L",$Q$14,IF($S$14="7L",$T$14,IF($V$14="7L",$W$14,IF($Y$14="7L",$Z$14,IF($AB$14="7L",$AC$14,IF($AE$14="7L",$AF$14,IF($AH$14="7L",$AI$14,IF($AK$14="7L",$AL$14,IF($AN$14="7L",$AO$14,IF($AQ$14="7L",$AR$14,""))))))))))</f>
        <v/>
      </c>
      <c r="AZ14" s="29" t="str">
        <f t="shared" ref="AZ14:AZ23" si="12">IF($O$14="LOFT",$Q$14,IF($R$14="LOFT",$T$14,IF($U$14="LOFT",$W$14,IF($X$14="LOFT",$Z$14,IF($AA$14="LOFT",$AC$14,IF($AD$14="LOFT",$AF$14,IF($AG$14="LOFT",$AI$14,IF($AJ$14="LOFT",$AL$14,IF($AM$14="LOFT",$AO$14,IF($AP$14="LOFT",$AR$14,""))))))))))</f>
        <v/>
      </c>
      <c r="BA14" s="29" t="str">
        <f t="shared" ref="BA14:BA23" si="13">IF($O$14="UT",$Q$14,IF($R$14="UT",$T$14,IF($U$14="UT",$W$14,IF($X$14="UT",$Z$14,IF($AA$14="UT",$AC$14,IF($AD$14="UT",$AF$14,IF($AG$14="UT",$AI$14,IF($AJ$14="UT",$AL$14,IF($AM$14="UT",$AO$14,IF($AP$14="UT",$AR$14,""))))))))))</f>
        <v/>
      </c>
      <c r="BB14" s="29" t="str">
        <f t="shared" ref="BB14:BB23" si="14">IF($O$14="HT",$Q$14,IF($R$14="HT",$T$14,IF($U$14="HT",$W$14,IF($X$14="HT",$Z$14,IF($AA$14="HT",$AC$14,IF($AD$14="HT",$AF$14,IF($AG$14="HT",$AI$14,IF($AJ$14="HT",$AL$14,IF($AM$14="HT",$AO$14,IF($AP$14="HT",$AR$14,""))))))))))</f>
        <v/>
      </c>
      <c r="BC14" s="29" t="str">
        <f t="shared" ref="BC14:BC23" si="15">IF($O$14="PURE",$Q$14,IF($R$14="PURE",$T$14,IF($U$14="PURE",$W$14,IF($X$14="PURE",$Z$14,IF($AA$14="PURE",$AC$14,IF($AD$14="PURE",$AF$14,IF($AG$14="PURE",$AI$14,IF($AJ$14="PURE",$AL$14,IF($AM$14="PURE",$AO$14,IF($AP$14="PURE",$AR$14,""))))))))))</f>
        <v/>
      </c>
      <c r="BD14" s="29" t="str">
        <f>IF($P$14="FUM",$Q$14,IF($S$14="FUM",$T$14,IF($V$14="FUM",$W$14,IF($Y$14="FUM",$Z$14,IF($AB$14="FUM",$AC$14,IF($AE$14="FUM",$AF$14,IF($AH$14="FUM",$AI$14,IF($AK$14="FUM",$AL$14,IF($AN$14="FUM",$AO$14,IF($AQ$14="FUM",$AR$14,""))))))))))</f>
        <v/>
      </c>
    </row>
    <row r="15" spans="1:77" hidden="1" x14ac:dyDescent="0.25">
      <c r="H15" s="4">
        <f t="shared" si="1"/>
        <v>0</v>
      </c>
      <c r="I15" s="4">
        <f t="shared" si="1"/>
        <v>0</v>
      </c>
      <c r="J15" s="4">
        <f t="shared" si="1"/>
        <v>0</v>
      </c>
      <c r="K15" s="4">
        <f t="shared" si="1"/>
        <v>0</v>
      </c>
      <c r="L15" s="4">
        <f t="shared" si="1"/>
        <v>0</v>
      </c>
      <c r="O15" s="28">
        <f t="shared" ref="O15:O23" si="16">J3</f>
        <v>0</v>
      </c>
      <c r="P15" s="4">
        <f t="shared" si="2"/>
        <v>0</v>
      </c>
      <c r="Q15" s="4">
        <f t="shared" si="2"/>
        <v>0</v>
      </c>
      <c r="R15" s="4">
        <f t="shared" si="2"/>
        <v>0</v>
      </c>
      <c r="S15" s="4">
        <f t="shared" si="3"/>
        <v>0</v>
      </c>
      <c r="T15" s="4">
        <f t="shared" si="3"/>
        <v>0</v>
      </c>
      <c r="U15" s="4">
        <f t="shared" si="3"/>
        <v>0</v>
      </c>
      <c r="V15" s="4">
        <f t="shared" si="4"/>
        <v>0</v>
      </c>
      <c r="W15" s="4">
        <f t="shared" si="4"/>
        <v>0</v>
      </c>
      <c r="X15" s="4">
        <f t="shared" si="4"/>
        <v>0</v>
      </c>
      <c r="Y15" s="4">
        <f t="shared" si="5"/>
        <v>0</v>
      </c>
      <c r="Z15" s="4">
        <f t="shared" si="5"/>
        <v>0</v>
      </c>
      <c r="AA15" s="4">
        <f t="shared" si="5"/>
        <v>0</v>
      </c>
      <c r="AB15" s="4">
        <f t="shared" si="6"/>
        <v>0</v>
      </c>
      <c r="AC15" s="4">
        <f t="shared" si="6"/>
        <v>0</v>
      </c>
      <c r="AD15" s="4">
        <f t="shared" si="6"/>
        <v>0</v>
      </c>
      <c r="AE15" s="4">
        <f t="shared" si="7"/>
        <v>0</v>
      </c>
      <c r="AF15" s="4">
        <f t="shared" si="7"/>
        <v>0</v>
      </c>
      <c r="AG15" s="4">
        <f t="shared" si="7"/>
        <v>0</v>
      </c>
      <c r="AH15" s="4">
        <f t="shared" si="8"/>
        <v>0</v>
      </c>
      <c r="AI15" s="4">
        <f t="shared" si="8"/>
        <v>0</v>
      </c>
      <c r="AJ15" s="4">
        <f t="shared" si="8"/>
        <v>0</v>
      </c>
      <c r="AK15" s="4">
        <f t="shared" si="9"/>
        <v>0</v>
      </c>
      <c r="AL15" s="4">
        <f t="shared" si="9"/>
        <v>0</v>
      </c>
      <c r="AM15" s="4">
        <f t="shared" si="9"/>
        <v>0</v>
      </c>
      <c r="AN15" s="4">
        <f t="shared" si="10"/>
        <v>0</v>
      </c>
      <c r="AO15" s="4">
        <f t="shared" si="10"/>
        <v>0</v>
      </c>
      <c r="AP15" s="4">
        <f t="shared" si="10"/>
        <v>0</v>
      </c>
      <c r="AQ15" s="4">
        <f t="shared" si="11"/>
        <v>0</v>
      </c>
      <c r="AR15" s="4">
        <f t="shared" si="11"/>
        <v>0</v>
      </c>
      <c r="AT15" s="28">
        <v>2</v>
      </c>
      <c r="AU15" s="29" t="str">
        <f>IF($P$15="3L",$Q$15,IF($S$15="3L",$T$15,IF($V$15="3L",$W$15,IF($Y$15="3L",$Z$15,IF($AB$15="3L",$AC$15,IF($AE$15="3L",$AF$15,IF($AH$15="3L",$AI$15,IF($AK$15="3L",$AL$15,IF($AN$15="3L",$AO$15,IF($AQ$15="3L",$AR$15,""))))))))))</f>
        <v/>
      </c>
      <c r="AV15" s="29" t="str">
        <f>IF($P$15="4L",$Q$15,IF($S$15="4L",$T$15,IF($V$15="4L",$W$15,IF($Y$15="4L",$Z$15,IF($AB$15="4L",$AC$15,IF($AE$15="4L",$AF$15,IF($AH$15="4L",$AI$15,IF($AK$15="4L",$AL$15,IF($AN$15="4L",$AO$15,IF($AQ$15="4L",$AR$15,""))))))))))</f>
        <v/>
      </c>
      <c r="AW15" s="29" t="str">
        <f>IF($P$15="5L",$Q$15,IF($S$15="5L",$T$15,IF($V$15="5L",$W$15,IF($Y$15="5L",$Z$15,IF($AB$15="5L",$AC$15,IF($AE$15="5L",$AF$15,IF($AH$15="5L",$AI$15,IF($AK$15="5L",$AL$15,IF($AN$15="5L",$AO$15,IF($AQ$15="5L",$AR$15,""))))))))))</f>
        <v/>
      </c>
      <c r="AX15" s="29" t="str">
        <f>IF($P$15="6L",$Q$15,IF($S$15="6L",$T$15,IF($V$15="6L",$W$15,IF($Y$15="6L",$Z$15,IF($AB$15="6L",$AC$15,IF($AE$15="6L",$AF$15,IF($AH$15="6L",$AI$15,IF($AK$15="6L",$AL$15,IF($AN$15="6L",$AO$15,IF($AQ$15="6L",$AR$15,""))))))))))</f>
        <v/>
      </c>
      <c r="AY15" s="29" t="str">
        <f>IF($P$15="7L",$Q$15,IF($S$15="7L",$T$15,IF($V$15="7L",$W$15,IF($Y$15="7L",$Z$15,IF($AB$15="7L",$AC$15,IF($AE$15="7L",$AF$15,IF($AH$15="7L",$AI$15,IF($AK$15="7L",$AL$15,IF($AN$15="7L",$AO$15,IF($AQ$15="7L",$AR$15,""))))))))))</f>
        <v/>
      </c>
      <c r="AZ15" s="29" t="str">
        <f t="shared" si="12"/>
        <v/>
      </c>
      <c r="BA15" s="29" t="str">
        <f t="shared" si="13"/>
        <v/>
      </c>
      <c r="BB15" s="29" t="str">
        <f t="shared" si="14"/>
        <v/>
      </c>
      <c r="BC15" s="29" t="str">
        <f t="shared" si="15"/>
        <v/>
      </c>
      <c r="BD15" s="29" t="str">
        <f>IF($P$15="FUM",$Q$15,IF($S$15="FUM",$T$15,IF($V$15="FUM",$W$15,IF($Y$15="FUM",$Z$15,IF($AB$15="FUM",$AC$15,IF($AE$15="FUM",$AF$15,IF($AH$15="FUM",$AI$15,IF($AK$15="FUM",$AL$15,IF($AN$15="FUM",$AO$15,IF($AQ$15="FUM",$AR$15,""))))))))))</f>
        <v/>
      </c>
    </row>
    <row r="16" spans="1:77" hidden="1" x14ac:dyDescent="0.25">
      <c r="H16" s="4">
        <f t="shared" si="1"/>
        <v>0</v>
      </c>
      <c r="I16" s="4">
        <f t="shared" si="1"/>
        <v>0</v>
      </c>
      <c r="J16" s="4">
        <f t="shared" si="1"/>
        <v>0</v>
      </c>
      <c r="K16" s="4">
        <f t="shared" si="1"/>
        <v>0</v>
      </c>
      <c r="L16" s="4">
        <f t="shared" si="1"/>
        <v>0</v>
      </c>
      <c r="O16" s="28">
        <f t="shared" si="16"/>
        <v>0</v>
      </c>
      <c r="P16" s="4">
        <f t="shared" si="2"/>
        <v>0</v>
      </c>
      <c r="Q16" s="4">
        <f t="shared" si="2"/>
        <v>0</v>
      </c>
      <c r="R16" s="4">
        <f t="shared" si="2"/>
        <v>0</v>
      </c>
      <c r="S16" s="4">
        <f t="shared" si="3"/>
        <v>0</v>
      </c>
      <c r="T16" s="4">
        <f t="shared" si="3"/>
        <v>0</v>
      </c>
      <c r="U16" s="4">
        <f t="shared" si="3"/>
        <v>0</v>
      </c>
      <c r="V16" s="4">
        <f t="shared" si="4"/>
        <v>0</v>
      </c>
      <c r="W16" s="4">
        <f t="shared" si="4"/>
        <v>0</v>
      </c>
      <c r="X16" s="4">
        <f t="shared" si="4"/>
        <v>0</v>
      </c>
      <c r="Y16" s="4">
        <f t="shared" si="5"/>
        <v>0</v>
      </c>
      <c r="Z16" s="4">
        <f t="shared" si="5"/>
        <v>0</v>
      </c>
      <c r="AA16" s="4">
        <f t="shared" si="5"/>
        <v>0</v>
      </c>
      <c r="AB16" s="4">
        <f t="shared" si="6"/>
        <v>0</v>
      </c>
      <c r="AC16" s="4">
        <f t="shared" si="6"/>
        <v>0</v>
      </c>
      <c r="AD16" s="4">
        <f t="shared" si="6"/>
        <v>0</v>
      </c>
      <c r="AE16" s="4">
        <f t="shared" si="7"/>
        <v>0</v>
      </c>
      <c r="AF16" s="4">
        <f t="shared" si="7"/>
        <v>0</v>
      </c>
      <c r="AG16" s="4">
        <f t="shared" si="7"/>
        <v>0</v>
      </c>
      <c r="AH16" s="4">
        <f t="shared" si="8"/>
        <v>0</v>
      </c>
      <c r="AI16" s="4">
        <f t="shared" si="8"/>
        <v>0</v>
      </c>
      <c r="AJ16" s="4">
        <f t="shared" si="8"/>
        <v>0</v>
      </c>
      <c r="AK16" s="4">
        <f t="shared" si="9"/>
        <v>0</v>
      </c>
      <c r="AL16" s="4">
        <f t="shared" si="9"/>
        <v>0</v>
      </c>
      <c r="AM16" s="4">
        <f t="shared" si="9"/>
        <v>0</v>
      </c>
      <c r="AN16" s="4">
        <f t="shared" si="10"/>
        <v>0</v>
      </c>
      <c r="AO16" s="4">
        <f t="shared" si="10"/>
        <v>0</v>
      </c>
      <c r="AP16" s="4">
        <f t="shared" si="10"/>
        <v>0</v>
      </c>
      <c r="AQ16" s="4">
        <f t="shared" si="11"/>
        <v>0</v>
      </c>
      <c r="AR16" s="4">
        <f t="shared" si="11"/>
        <v>0</v>
      </c>
      <c r="AT16" s="28">
        <v>3</v>
      </c>
      <c r="AU16" s="29" t="str">
        <f>IF($P$16="3L",$Q$16,IF($S$16="3L",$T$16,IF($V$16="3L",$W$16,IF($Y$16="3L",$Z$16,IF($AB$16="3L",$AC$16,IF($AE$16="3L",$AF$16,IF($AH$16="3L",$AI$16,IF($AK$16="3L",$AL$16,IF($AN$16="3L",$AO$16,IF($AQ$16="3L",$AR$16,""))))))))))</f>
        <v/>
      </c>
      <c r="AV16" s="29" t="str">
        <f>IF($P$16="4L",$Q$16,IF($S$16="4L",$T$16,IF($V$16="4L",$W$16,IF($Y$16="4L",$Z$16,IF($AB$16="4L",$AC$16,IF($AE$16="4L",$AF$16,IF($AH$16="4L",$AI$16,IF($AK$16="4L",$AL$16,IF($AN$16="4L",$AO$16,IF($AQ$16="4L",$AR$16,""))))))))))</f>
        <v/>
      </c>
      <c r="AW16" s="29" t="str">
        <f>IF($P$16="5L",$Q$16,IF($S$16="5L",$T$16,IF($V$16="5L",$W$16,IF($Y$16="5L",$Z$16,IF($AB$16="5L",$AC$16,IF($AE$16="5L",$AF$16,IF($AH$16="5L",$AI$16,IF($AK$16="5L",$AL$16,IF($AN$16="5L",$AO$16,IF($AQ$16="5L",$AR$16,""))))))))))</f>
        <v/>
      </c>
      <c r="AX16" s="29" t="str">
        <f>IF($P$16="6L",$Q$16,IF($S$16="6L",$T$16,IF($V$16="6L",$W$16,IF($Y$16="6L",$Z$16,IF($AB$16="6L",$AC$16,IF($AE$16="6L",$AF$16,IF($AH$16="6L",$AI$16,IF($AK$16="6L",$AL$16,IF($AN$16="6L",$AO$16,IF($AQ$16="6L",$AR$16,""))))))))))</f>
        <v/>
      </c>
      <c r="AY16" s="29" t="str">
        <f>IF($P$16="7L",$Q$16,IF($S$16="7L",$T$16,IF($V$16="7L",$W$16,IF($Y$16="7L",$Z$16,IF($AB$16="7L",$AC$16,IF($AE$16="7L",$AF$16,IF($AH$16="7L",$AI$16,IF($AK$16="7L",$AL$16,IF($AN$16="7L",$AO$16,IF($AQ$16="7L",$AR$16,""))))))))))</f>
        <v/>
      </c>
      <c r="AZ16" s="29" t="str">
        <f t="shared" si="12"/>
        <v/>
      </c>
      <c r="BA16" s="29" t="str">
        <f t="shared" si="13"/>
        <v/>
      </c>
      <c r="BB16" s="29" t="str">
        <f t="shared" si="14"/>
        <v/>
      </c>
      <c r="BC16" s="29" t="str">
        <f t="shared" si="15"/>
        <v/>
      </c>
      <c r="BD16" s="29" t="str">
        <f>IF($P$16="FUM",$Q$16,IF($S$16="FUM",$T$16,IF($V$16="FUM",$W$16,IF($Y$16="FUM",$Z$16,IF($AB$16="FUM",$AC$16,IF($AE$16="FUM",$AF$16,IF($AH$16="FUM",$AI$16,IF($AK$16="FUM",$AL$16,IF($AN$16="FUM",$AO$16,IF($AQ$16="FUM",$AR$16,""))))))))))</f>
        <v/>
      </c>
    </row>
    <row r="17" spans="8:56" hidden="1" x14ac:dyDescent="0.25">
      <c r="H17" s="4">
        <f t="shared" si="1"/>
        <v>0</v>
      </c>
      <c r="I17" s="4">
        <f t="shared" si="1"/>
        <v>0</v>
      </c>
      <c r="J17" s="4">
        <f t="shared" si="1"/>
        <v>0</v>
      </c>
      <c r="K17" s="4">
        <f t="shared" si="1"/>
        <v>0</v>
      </c>
      <c r="L17" s="4">
        <f t="shared" si="1"/>
        <v>0</v>
      </c>
      <c r="O17" s="28">
        <f t="shared" si="16"/>
        <v>0</v>
      </c>
      <c r="P17" s="4">
        <f t="shared" si="2"/>
        <v>0</v>
      </c>
      <c r="Q17" s="4">
        <f t="shared" si="2"/>
        <v>0</v>
      </c>
      <c r="R17" s="4">
        <f t="shared" si="2"/>
        <v>0</v>
      </c>
      <c r="S17" s="4">
        <f t="shared" si="3"/>
        <v>0</v>
      </c>
      <c r="T17" s="4">
        <f t="shared" si="3"/>
        <v>0</v>
      </c>
      <c r="U17" s="4">
        <f t="shared" si="3"/>
        <v>0</v>
      </c>
      <c r="V17" s="4">
        <f t="shared" si="4"/>
        <v>0</v>
      </c>
      <c r="W17" s="4">
        <f t="shared" si="4"/>
        <v>0</v>
      </c>
      <c r="X17" s="4">
        <f t="shared" si="4"/>
        <v>0</v>
      </c>
      <c r="Y17" s="4">
        <f t="shared" si="5"/>
        <v>0</v>
      </c>
      <c r="Z17" s="4">
        <f t="shared" si="5"/>
        <v>0</v>
      </c>
      <c r="AA17" s="4">
        <f t="shared" si="5"/>
        <v>0</v>
      </c>
      <c r="AB17" s="4">
        <f t="shared" si="6"/>
        <v>0</v>
      </c>
      <c r="AC17" s="4">
        <f t="shared" si="6"/>
        <v>0</v>
      </c>
      <c r="AD17" s="4">
        <f t="shared" si="6"/>
        <v>0</v>
      </c>
      <c r="AE17" s="4">
        <f t="shared" si="7"/>
        <v>0</v>
      </c>
      <c r="AF17" s="4">
        <f t="shared" si="7"/>
        <v>0</v>
      </c>
      <c r="AG17" s="4">
        <f t="shared" si="7"/>
        <v>0</v>
      </c>
      <c r="AH17" s="4">
        <f t="shared" si="8"/>
        <v>0</v>
      </c>
      <c r="AI17" s="4">
        <f t="shared" si="8"/>
        <v>0</v>
      </c>
      <c r="AJ17" s="4">
        <f t="shared" si="8"/>
        <v>0</v>
      </c>
      <c r="AK17" s="4">
        <f t="shared" si="9"/>
        <v>0</v>
      </c>
      <c r="AL17" s="4">
        <f t="shared" si="9"/>
        <v>0</v>
      </c>
      <c r="AM17" s="4">
        <f t="shared" si="9"/>
        <v>0</v>
      </c>
      <c r="AN17" s="4">
        <f t="shared" si="10"/>
        <v>0</v>
      </c>
      <c r="AO17" s="4">
        <f t="shared" si="10"/>
        <v>0</v>
      </c>
      <c r="AP17" s="4">
        <f t="shared" si="10"/>
        <v>0</v>
      </c>
      <c r="AQ17" s="4">
        <f t="shared" si="11"/>
        <v>0</v>
      </c>
      <c r="AR17" s="4">
        <f t="shared" si="11"/>
        <v>0</v>
      </c>
      <c r="AT17" s="28">
        <v>4</v>
      </c>
      <c r="AU17" s="29" t="str">
        <f>IF($P$17="3L",$Q$17,IF($S$17="3L",$T$17,IF($V$17="3L",$W$17,IF($Y$17="3L",$Z$17,IF($AB$17="3L",$AC$17,IF($AE$17="3L",$AF$17,IF($AH$17="3L",$AI$17,IF($AK$17="3L",$AL$17,IF($AN$17="3L",$AO$17,IF($AQ$17="3L",$AR$17,""))))))))))</f>
        <v/>
      </c>
      <c r="AV17" s="29" t="str">
        <f>IF($P$17="4L",$Q$17,IF($S$17="4L",$T$17,IF($V$17="4L",$W$17,IF($Y$17="4L",$Z$17,IF($AB$17="4L",$AC$17,IF($AE$17="4L",$AF$17,IF($AH$17="4L",$AI$17,IF($AK$17="4L",$AL$17,IF($AN$17="4L",$AO$17,IF($AQ$17="4L",$AR$17,""))))))))))</f>
        <v/>
      </c>
      <c r="AW17" s="29" t="str">
        <f>IF($P$17="5L",$Q$17,IF($S$17="5L",$T$17,IF($V$17="5L",$W$17,IF($Y$17="5L",$Z$17,IF($AB$17="5L",$AC$17,IF($AE$17="5L",$AF$17,IF($AH$17="5L",$AI$17,IF($AK$17="5L",$AL$17,IF($AN$17="5L",$AO$17,IF($AQ$17="5L",$AR$17,""))))))))))</f>
        <v/>
      </c>
      <c r="AX17" s="29" t="str">
        <f>IF($P$17="6L",$Q$17,IF($S$17="6L",$T$17,IF($V$17="6L",$W$17,IF($Y$17="6L",$Z$17,IF($AB$17="6L",$AC$17,IF($AE$17="6L",$AF$17,IF($AH$17="6L",$AI$17,IF($AK$17="6L",$AL$17,IF($AN$17="6L",$AO$17,IF($AQ$17="6L",$AR$17,""))))))))))</f>
        <v/>
      </c>
      <c r="AY17" s="29" t="str">
        <f>IF($P$17="7L",$Q$17,IF($S$17="7L",$T$17,IF($V$17="7L",$W$17,IF($Y$17="7L",$Z$17,IF($AB$17="7L",$AC$17,IF($AE$17="7L",$AF$17,IF($AH$17="7L",$AI$17,IF($AK$17="7L",$AL$17,IF($AN$17="7L",$AO$17,IF($AQ$17="7L",$AR$17,""))))))))))</f>
        <v/>
      </c>
      <c r="AZ17" s="29" t="str">
        <f t="shared" si="12"/>
        <v/>
      </c>
      <c r="BA17" s="29" t="str">
        <f t="shared" si="13"/>
        <v/>
      </c>
      <c r="BB17" s="29" t="str">
        <f t="shared" si="14"/>
        <v/>
      </c>
      <c r="BC17" s="29" t="str">
        <f t="shared" si="15"/>
        <v/>
      </c>
      <c r="BD17" s="29" t="str">
        <f>IF($P$17="FUM",$Q$17,IF($S$17="FUM",$T$17,IF($V$17="FUM",$W$17,IF($Y$17="FUM",$Z$17,IF($AB$17="FUM",$AC$17,IF($AE$17="FUM",$AF$17,IF($AH$17="FUM",$AI$17,IF($AK$17="FUM",$AL$17,IF($AN$17="FUM",$AO$17,IF($AQ$17="FUM",$AR$17,""))))))))))</f>
        <v/>
      </c>
    </row>
    <row r="18" spans="8:56" hidden="1" x14ac:dyDescent="0.25">
      <c r="H18" s="4">
        <f t="shared" si="1"/>
        <v>0</v>
      </c>
      <c r="I18" s="4">
        <f t="shared" si="1"/>
        <v>0</v>
      </c>
      <c r="J18" s="4">
        <f t="shared" si="1"/>
        <v>0</v>
      </c>
      <c r="K18" s="4">
        <f t="shared" si="1"/>
        <v>0</v>
      </c>
      <c r="L18" s="4">
        <f t="shared" si="1"/>
        <v>0</v>
      </c>
      <c r="O18" s="28">
        <f t="shared" si="16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3"/>
        <v>0</v>
      </c>
      <c r="T18" s="4">
        <f t="shared" si="3"/>
        <v>0</v>
      </c>
      <c r="U18" s="4">
        <f t="shared" si="3"/>
        <v>0</v>
      </c>
      <c r="V18" s="4">
        <f t="shared" si="4"/>
        <v>0</v>
      </c>
      <c r="W18" s="4">
        <f t="shared" si="4"/>
        <v>0</v>
      </c>
      <c r="X18" s="4">
        <f t="shared" si="4"/>
        <v>0</v>
      </c>
      <c r="Y18" s="4">
        <f t="shared" si="5"/>
        <v>0</v>
      </c>
      <c r="Z18" s="4">
        <f t="shared" si="5"/>
        <v>0</v>
      </c>
      <c r="AA18" s="4">
        <f t="shared" si="5"/>
        <v>0</v>
      </c>
      <c r="AB18" s="4">
        <f t="shared" si="6"/>
        <v>0</v>
      </c>
      <c r="AC18" s="4">
        <f t="shared" si="6"/>
        <v>0</v>
      </c>
      <c r="AD18" s="4">
        <f t="shared" si="6"/>
        <v>0</v>
      </c>
      <c r="AE18" s="4">
        <f t="shared" si="7"/>
        <v>0</v>
      </c>
      <c r="AF18" s="4">
        <f t="shared" si="7"/>
        <v>0</v>
      </c>
      <c r="AG18" s="4">
        <f t="shared" si="7"/>
        <v>0</v>
      </c>
      <c r="AH18" s="4">
        <f t="shared" si="8"/>
        <v>0</v>
      </c>
      <c r="AI18" s="4">
        <f t="shared" si="8"/>
        <v>0</v>
      </c>
      <c r="AJ18" s="4">
        <f t="shared" si="8"/>
        <v>0</v>
      </c>
      <c r="AK18" s="4">
        <f t="shared" si="9"/>
        <v>0</v>
      </c>
      <c r="AL18" s="4">
        <f t="shared" si="9"/>
        <v>0</v>
      </c>
      <c r="AM18" s="4">
        <f t="shared" si="9"/>
        <v>0</v>
      </c>
      <c r="AN18" s="4">
        <f t="shared" si="10"/>
        <v>0</v>
      </c>
      <c r="AO18" s="4">
        <f t="shared" si="10"/>
        <v>0</v>
      </c>
      <c r="AP18" s="4">
        <f t="shared" si="10"/>
        <v>0</v>
      </c>
      <c r="AQ18" s="4">
        <f t="shared" si="11"/>
        <v>0</v>
      </c>
      <c r="AR18" s="4">
        <f t="shared" si="11"/>
        <v>0</v>
      </c>
      <c r="AT18" s="28">
        <v>5</v>
      </c>
      <c r="AU18" s="29" t="str">
        <f>IF($P$18="3L",$Q$18,IF($S$18="3L",$T$18,IF($V$18="3L",$W$18,IF($Y$18="3L",$Z$18,IF($AB$18="3L",$AC$18,IF($AE$18="3L",$AF$18,IF($AH$18="3L",$AI$18,IF($AK$18="3L",$AL$18,IF($AN$18="3L",$AO$18,IF($AQ$18="3L",$AR$18,""))))))))))</f>
        <v/>
      </c>
      <c r="AV18" s="29" t="str">
        <f>IF($P$18="4L",$Q$18,IF($S$18="4L",$T$18,IF($V$18="4L",$W$18,IF($Y$18="4L",$Z$18,IF($AB$18="4L",$AC$18,IF($AE$18="4L",$AF$18,IF($AH$18="4L",$AI$18,IF($AK$18="4L",$AL$18,IF($AN$18="4L",$AO$18,IF($AQ$18="4L",$AR$18,""))))))))))</f>
        <v/>
      </c>
      <c r="AW18" s="29" t="str">
        <f>IF($P$18="5L",$Q$18,IF($S$18="5L",$T$18,IF($V$18="5L",$W$18,IF($Y$18="5L",$Z$18,IF($AB$18="5L",$AC$18,IF($AE$18="5L",$AF$18,IF($AH$18="5L",$AI$18,IF($AK$18="5L",$AL$18,IF($AN$18="5L",$AO$18,IF($AQ$18="5L",$AR$18,""))))))))))</f>
        <v/>
      </c>
      <c r="AX18" s="29" t="str">
        <f>IF($P$18="6L",$Q$18,IF($S$18="6L",$T$18,IF($V$18="6L",$W$18,IF($Y$18="6L",$Z$18,IF($AB$18="6L",$AC$18,IF($AE$18="6L",$AF$18,IF($AH$18="6L",$AI$18,IF($AK$18="6L",$AL$18,IF($AN$18="6L",$AO$18,IF($AQ$18="6L",$AR$18,""))))))))))</f>
        <v/>
      </c>
      <c r="AY18" s="29" t="str">
        <f>IF($P$18="7L",$Q$18,IF($S$18="7L",$T$18,IF($V$18="7L",$W$18,IF($Y$18="7L",$Z$18,IF($AB$18="7L",$AC$18,IF($AE$18="7L",$AF$18,IF($AH$18="7L",$AI$18,IF($AK$18="7L",$AL$18,IF($AN$18="7L",$AO$18,IF($AQ$18="7L",$AR$18,""))))))))))</f>
        <v/>
      </c>
      <c r="AZ18" s="29" t="str">
        <f t="shared" si="12"/>
        <v/>
      </c>
      <c r="BA18" s="29" t="str">
        <f t="shared" si="13"/>
        <v/>
      </c>
      <c r="BB18" s="29" t="str">
        <f t="shared" si="14"/>
        <v/>
      </c>
      <c r="BC18" s="29" t="str">
        <f t="shared" si="15"/>
        <v/>
      </c>
      <c r="BD18" s="29" t="str">
        <f>IF($P$18="FUM",$Q$18,IF($S$18="FUM",$T$18,IF($V$18="FUM",$W$18,IF($Y$18="FUM",$Z$18,IF($AB$18="FUM",$AC$18,IF($AE$18="FUM",$AF$18,IF($AH$18="FUM",$AI$18,IF($AK$18="FUM",$AL$18,IF($AN$18="FUM",$AO$18,IF($AQ$18="FUM",$AR$18,""))))))))))</f>
        <v/>
      </c>
    </row>
    <row r="19" spans="8:56" hidden="1" x14ac:dyDescent="0.25"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0</v>
      </c>
      <c r="L19" s="4">
        <f t="shared" si="1"/>
        <v>0</v>
      </c>
      <c r="O19" s="28">
        <f t="shared" si="16"/>
        <v>0</v>
      </c>
      <c r="P19" s="4">
        <f t="shared" si="2"/>
        <v>0</v>
      </c>
      <c r="Q19" s="4">
        <f t="shared" si="2"/>
        <v>0</v>
      </c>
      <c r="R19" s="4">
        <f t="shared" si="2"/>
        <v>0</v>
      </c>
      <c r="S19" s="4">
        <f t="shared" si="3"/>
        <v>0</v>
      </c>
      <c r="T19" s="4">
        <f t="shared" si="3"/>
        <v>0</v>
      </c>
      <c r="U19" s="4">
        <f t="shared" si="3"/>
        <v>0</v>
      </c>
      <c r="V19" s="4">
        <f t="shared" si="4"/>
        <v>0</v>
      </c>
      <c r="W19" s="4">
        <f t="shared" si="4"/>
        <v>0</v>
      </c>
      <c r="X19" s="4">
        <f t="shared" si="4"/>
        <v>0</v>
      </c>
      <c r="Y19" s="4">
        <f t="shared" si="5"/>
        <v>0</v>
      </c>
      <c r="Z19" s="4">
        <f t="shared" si="5"/>
        <v>0</v>
      </c>
      <c r="AA19" s="4">
        <f t="shared" si="5"/>
        <v>0</v>
      </c>
      <c r="AB19" s="4">
        <f t="shared" si="6"/>
        <v>0</v>
      </c>
      <c r="AC19" s="4">
        <f t="shared" si="6"/>
        <v>0</v>
      </c>
      <c r="AD19" s="4">
        <f t="shared" si="6"/>
        <v>0</v>
      </c>
      <c r="AE19" s="4">
        <f t="shared" si="7"/>
        <v>0</v>
      </c>
      <c r="AF19" s="4">
        <f t="shared" si="7"/>
        <v>0</v>
      </c>
      <c r="AG19" s="4">
        <f t="shared" si="7"/>
        <v>0</v>
      </c>
      <c r="AH19" s="4">
        <f t="shared" si="8"/>
        <v>0</v>
      </c>
      <c r="AI19" s="4">
        <f t="shared" si="8"/>
        <v>0</v>
      </c>
      <c r="AJ19" s="4">
        <f t="shared" si="8"/>
        <v>0</v>
      </c>
      <c r="AK19" s="4">
        <f t="shared" si="9"/>
        <v>0</v>
      </c>
      <c r="AL19" s="4">
        <f t="shared" si="9"/>
        <v>0</v>
      </c>
      <c r="AM19" s="4">
        <f t="shared" si="9"/>
        <v>0</v>
      </c>
      <c r="AN19" s="4">
        <f t="shared" si="10"/>
        <v>0</v>
      </c>
      <c r="AO19" s="4">
        <f t="shared" si="10"/>
        <v>0</v>
      </c>
      <c r="AP19" s="4">
        <f t="shared" si="10"/>
        <v>0</v>
      </c>
      <c r="AQ19" s="4">
        <f t="shared" si="11"/>
        <v>0</v>
      </c>
      <c r="AR19" s="4">
        <f t="shared" si="11"/>
        <v>0</v>
      </c>
      <c r="AT19" s="28">
        <v>6</v>
      </c>
      <c r="AU19" s="29" t="str">
        <f>IF($P$19="3L",$Q$19,IF($S$19="3L",$T$19,IF($V$19="3L",$W$19,IF($Y$19="3L",$Z$19,IF($AB$19="3L",$AC$19,IF($AE$19="3L",$AF$19,IF($AH$19="3L",$AI$19,IF($AK$19="3L",$AL$19,IF($AN$19="3L",$AO$19,IF($AQ$19="3L",$AR$19,""))))))))))</f>
        <v/>
      </c>
      <c r="AV19" s="29" t="str">
        <f>IF($P$19="4L",$Q$19,IF($S$19="4L",$T$19,IF($V$19="4L",$W$19,IF($Y$19="4L",$Z$19,IF($AB$19="4L",$AC$19,IF($AE$19="4L",$AF$19,IF($AH$19="4L",$AI$19,IF($AK$19="4L",$AL$19,IF($AN$19="4L",$AO$19,IF($AQ$19="4L",$AR$19,""))))))))))</f>
        <v/>
      </c>
      <c r="AW19" s="29" t="str">
        <f>IF($P$19="5L",$Q$19,IF($S$19="5L",$T$19,IF($V$19="5L",$W$19,IF($Y$19="5L",$Z$19,IF($AB$19="5L",$AC$19,IF($AE$19="5L",$AF$19,IF($AH$19="5L",$AI$19,IF($AK$19="5L",$AL$19,IF($AN$19="5L",$AO$19,IF($AQ$19="5L",$AR$19,""))))))))))</f>
        <v/>
      </c>
      <c r="AX19" s="29" t="str">
        <f>IF($P$19="6L",$Q$19,IF($S$19="6L",$T$19,IF($V$19="6L",$W$19,IF($Y$19="6L",$Z$19,IF($AB$19="6L",$AC$19,IF($AE$19="6L",$AF$19,IF($AH$19="6L",$AI$19,IF($AK$19="6L",$AL$19,IF($AN$19="6L",$AO$19,IF($AQ$19="6L",$AR$19,""))))))))))</f>
        <v/>
      </c>
      <c r="AY19" s="29" t="str">
        <f>IF($P$19="7L",$Q$19,IF($S$19="7L",$T$19,IF($V$19="7L",$W$19,IF($Y$19="7L",$Z$19,IF($AB$19="7L",$AC$19,IF($AE$19="7L",$AF$19,IF($AH$19="7L",$AI$19,IF($AK$19="7L",$AL$19,IF($AN$19="7L",$AO$19,IF($AQ$19="7L",$AR$19,""))))))))))</f>
        <v/>
      </c>
      <c r="AZ19" s="29" t="str">
        <f t="shared" si="12"/>
        <v/>
      </c>
      <c r="BA19" s="29" t="str">
        <f t="shared" si="13"/>
        <v/>
      </c>
      <c r="BB19" s="29" t="str">
        <f t="shared" si="14"/>
        <v/>
      </c>
      <c r="BC19" s="29" t="str">
        <f t="shared" si="15"/>
        <v/>
      </c>
      <c r="BD19" s="29" t="str">
        <f>IF($P$19="FUM",$Q$19,IF($S$19="FUM",$T$19,IF($V$19="FUM",$W$19,IF($Y$19="FUM",$Z$19,IF($AB$19="FUM",$AC$19,IF($AE$19="FUM",$AF$19,IF($AH$19="FUM",$AI$19,IF($AK$19="FUM",$AL$19,IF($AN$19="FUM",$AO$19,IF($AQ$19="FUM",$AR$19,""))))))))))</f>
        <v/>
      </c>
    </row>
    <row r="20" spans="8:56" hidden="1" x14ac:dyDescent="0.25"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0</v>
      </c>
      <c r="O20" s="28">
        <f t="shared" si="16"/>
        <v>0</v>
      </c>
      <c r="P20" s="4">
        <f t="shared" si="2"/>
        <v>0</v>
      </c>
      <c r="Q20" s="4">
        <f t="shared" si="2"/>
        <v>0</v>
      </c>
      <c r="R20" s="4">
        <f t="shared" si="2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4"/>
        <v>0</v>
      </c>
      <c r="W20" s="4">
        <f t="shared" si="4"/>
        <v>0</v>
      </c>
      <c r="X20" s="4">
        <f t="shared" si="4"/>
        <v>0</v>
      </c>
      <c r="Y20" s="4">
        <f t="shared" si="5"/>
        <v>0</v>
      </c>
      <c r="Z20" s="4">
        <f t="shared" si="5"/>
        <v>0</v>
      </c>
      <c r="AA20" s="4">
        <f t="shared" si="5"/>
        <v>0</v>
      </c>
      <c r="AB20" s="4">
        <f t="shared" si="6"/>
        <v>0</v>
      </c>
      <c r="AC20" s="4">
        <f t="shared" si="6"/>
        <v>0</v>
      </c>
      <c r="AD20" s="4">
        <f t="shared" si="6"/>
        <v>0</v>
      </c>
      <c r="AE20" s="4">
        <f t="shared" si="7"/>
        <v>0</v>
      </c>
      <c r="AF20" s="4">
        <f t="shared" si="7"/>
        <v>0</v>
      </c>
      <c r="AG20" s="4">
        <f t="shared" si="7"/>
        <v>0</v>
      </c>
      <c r="AH20" s="4">
        <f t="shared" si="8"/>
        <v>0</v>
      </c>
      <c r="AI20" s="4">
        <f t="shared" si="8"/>
        <v>0</v>
      </c>
      <c r="AJ20" s="4">
        <f t="shared" si="8"/>
        <v>0</v>
      </c>
      <c r="AK20" s="4">
        <f t="shared" si="9"/>
        <v>0</v>
      </c>
      <c r="AL20" s="4">
        <f t="shared" si="9"/>
        <v>0</v>
      </c>
      <c r="AM20" s="4">
        <f t="shared" si="9"/>
        <v>0</v>
      </c>
      <c r="AN20" s="4">
        <f t="shared" si="10"/>
        <v>0</v>
      </c>
      <c r="AO20" s="4">
        <f t="shared" si="10"/>
        <v>0</v>
      </c>
      <c r="AP20" s="4">
        <f t="shared" si="10"/>
        <v>0</v>
      </c>
      <c r="AQ20" s="4">
        <f t="shared" si="11"/>
        <v>0</v>
      </c>
      <c r="AR20" s="4">
        <f t="shared" si="11"/>
        <v>0</v>
      </c>
      <c r="AT20" s="28">
        <v>7</v>
      </c>
      <c r="AU20" s="29" t="str">
        <f>IF($P$20="3L",$Q$20,IF($S$20="3L",$T$20,IF($V$20="3L",$W$20,IF($Y$20="3L",$Z$20,IF($AB$20="3L",$AC$20,IF($AE$20="3L",$AF$20,IF($AH$20="3L",$AI$20,IF($AK$20="3L",$AL$20,IF($AN$20="3L",$AO$20,IF($AQ$20="3L",$AR$20,""))))))))))</f>
        <v/>
      </c>
      <c r="AV20" s="29" t="str">
        <f>IF($P$20="4L",$Q$20,IF($S$20="4L",$T$20,IF($V$20="4L",$W$20,IF($Y$20="4L",$Z$20,IF($AB$20="4L",$AC$20,IF($AE$20="4L",$AF$20,IF($AH$20="4L",$AI$20,IF($AK$20="4L",$AL$20,IF($AN$20="4L",$AO$20,IF($AQ$20="4L",$AR$20,""))))))))))</f>
        <v/>
      </c>
      <c r="AW20" s="29" t="str">
        <f>IF($P$20="5L",$Q$20,IF($S$20="5L",$T$20,IF($V$20="5L",$W$20,IF($Y$20="5L",$Z$20,IF($AB$20="5L",$AC$20,IF($AE$20="5L",$AF$20,IF($AH$20="5L",$AI$20,IF($AK$20="5L",$AL$20,IF($AN$20="5L",$AO$20,IF($AQ$20="5L",$AR$20,""))))))))))</f>
        <v/>
      </c>
      <c r="AX20" s="29" t="str">
        <f>IF($P$20="6L",$Q$20,IF($S$20="6L",$T$20,IF($V$20="6L",$W$20,IF($Y$20="6L",$Z$20,IF($AB$20="6L",$AC$20,IF($AE$20="6L",$AF$20,IF($AH$20="6L",$AI$20,IF($AK$20="6L",$AL$20,IF($AN$20="6L",$AO$20,IF($AQ$20="6L",$AR$20,""))))))))))</f>
        <v/>
      </c>
      <c r="AY20" s="29" t="str">
        <f>IF($P$20="7L",$Q$20,IF($S$20="7L",$T$20,IF($V$20="7L",$W$20,IF($Y$20="7L",$Z$20,IF($AB$20="7L",$AC$20,IF($AE$20="7L",$AF$20,IF($AH$20="7L",$AI$20,IF($AK$20="7L",$AL$20,IF($AN$20="7L",$AO$20,IF($AQ$20="7L",$AR$20,""))))))))))</f>
        <v/>
      </c>
      <c r="AZ20" s="29" t="str">
        <f t="shared" si="12"/>
        <v/>
      </c>
      <c r="BA20" s="29" t="str">
        <f t="shared" si="13"/>
        <v/>
      </c>
      <c r="BB20" s="29" t="str">
        <f t="shared" si="14"/>
        <v/>
      </c>
      <c r="BC20" s="29" t="str">
        <f t="shared" si="15"/>
        <v/>
      </c>
      <c r="BD20" s="29" t="str">
        <f>IF($P$20="FUM",$Q$20,IF($S$20="FUM",$T$20,IF($V$20="FUM",$W$20,IF($Y$20="FUM",$Z$20,IF($AB$20="FUM",$AC$20,IF($AE$20="FUM",$AF$20,IF($AH$20="FUM",$AI$20,IF($AK$20="FUM",$AL$20,IF($AN$20="FUM",$AO$20,IF($AQ$20="FUM",$AR$20,""))))))))))</f>
        <v/>
      </c>
    </row>
    <row r="21" spans="8:56" hidden="1" x14ac:dyDescent="0.25">
      <c r="H21" s="4">
        <f t="shared" si="1"/>
        <v>0</v>
      </c>
      <c r="I21" s="4">
        <f t="shared" si="1"/>
        <v>0</v>
      </c>
      <c r="J21" s="4">
        <f t="shared" si="1"/>
        <v>0</v>
      </c>
      <c r="K21" s="4">
        <f t="shared" si="1"/>
        <v>0</v>
      </c>
      <c r="L21" s="4">
        <f t="shared" si="1"/>
        <v>0</v>
      </c>
      <c r="O21" s="28">
        <f t="shared" si="16"/>
        <v>0</v>
      </c>
      <c r="P21" s="4">
        <f t="shared" si="2"/>
        <v>0</v>
      </c>
      <c r="Q21" s="4">
        <f t="shared" si="2"/>
        <v>0</v>
      </c>
      <c r="R21" s="4">
        <f t="shared" si="2"/>
        <v>0</v>
      </c>
      <c r="S21" s="4">
        <f t="shared" si="3"/>
        <v>0</v>
      </c>
      <c r="T21" s="4">
        <f t="shared" si="3"/>
        <v>0</v>
      </c>
      <c r="U21" s="4">
        <f t="shared" si="3"/>
        <v>0</v>
      </c>
      <c r="V21" s="4">
        <f t="shared" si="4"/>
        <v>0</v>
      </c>
      <c r="W21" s="4">
        <f t="shared" si="4"/>
        <v>0</v>
      </c>
      <c r="X21" s="4">
        <f t="shared" si="4"/>
        <v>0</v>
      </c>
      <c r="Y21" s="4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6"/>
        <v>0</v>
      </c>
      <c r="AC21" s="4">
        <f t="shared" si="6"/>
        <v>0</v>
      </c>
      <c r="AD21" s="4">
        <f t="shared" si="6"/>
        <v>0</v>
      </c>
      <c r="AE21" s="4">
        <f t="shared" si="7"/>
        <v>0</v>
      </c>
      <c r="AF21" s="4">
        <f t="shared" si="7"/>
        <v>0</v>
      </c>
      <c r="AG21" s="4">
        <f t="shared" si="7"/>
        <v>0</v>
      </c>
      <c r="AH21" s="4">
        <f t="shared" si="8"/>
        <v>0</v>
      </c>
      <c r="AI21" s="4">
        <f t="shared" si="8"/>
        <v>0</v>
      </c>
      <c r="AJ21" s="4">
        <f t="shared" si="8"/>
        <v>0</v>
      </c>
      <c r="AK21" s="4">
        <f t="shared" si="9"/>
        <v>0</v>
      </c>
      <c r="AL21" s="4">
        <f t="shared" si="9"/>
        <v>0</v>
      </c>
      <c r="AM21" s="4">
        <f t="shared" si="9"/>
        <v>0</v>
      </c>
      <c r="AN21" s="4">
        <f t="shared" si="10"/>
        <v>0</v>
      </c>
      <c r="AO21" s="4">
        <f t="shared" si="10"/>
        <v>0</v>
      </c>
      <c r="AP21" s="4">
        <f t="shared" si="10"/>
        <v>0</v>
      </c>
      <c r="AQ21" s="4">
        <f t="shared" si="11"/>
        <v>0</v>
      </c>
      <c r="AR21" s="4">
        <f t="shared" si="11"/>
        <v>0</v>
      </c>
      <c r="AT21" s="28">
        <v>8</v>
      </c>
      <c r="AU21" s="29" t="str">
        <f>IF($P$21="3L",$Q$21,IF($S$21="3L",$T$21,IF($V$21="3L",$W$21,IF($Y$21="3L",$Z$21,IF($AB$21="3L",$AC$21,IF($AE$21="3L",$AF$21,IF($AH$21="3L",$AI$21,IF($AK$21="3L",$AL$21,IF($AN$21="3L",$AO$21,IF($AQ$21="3L",$AR$21,""))))))))))</f>
        <v/>
      </c>
      <c r="AV21" s="29" t="str">
        <f>IF($P$21="4L",$Q$21,IF($S$21="4L",$T$21,IF($V$21="4L",$W$21,IF($Y$21="4L",$Z$21,IF($AB$21="4L",$AC$21,IF($AE$21="4L",$AF$21,IF($AH$21="4L",$AI$21,IF($AK$21="4L",$AL$21,IF($AN$21="4L",$AO$21,IF($AQ$21="4L",$AR$21,""))))))))))</f>
        <v/>
      </c>
      <c r="AW21" s="29" t="str">
        <f>IF($P$21="5L",$Q$21,IF($S$21="5L",$T$21,IF($V$21="5L",$W$21,IF($Y$21="5L",$Z$21,IF($AB$21="5L",$AC$21,IF($AE$21="5L",$AF$21,IF($AH$21="5L",$AI$21,IF($AK$21="5L",$AL$21,IF($AN$21="5L",$AO$21,IF($AQ$21="5L",$AR$21,""))))))))))</f>
        <v/>
      </c>
      <c r="AX21" s="29" t="str">
        <f>IF($P$21="6L",$Q$21,IF($S$21="6L",$T$21,IF($V$21="6L",$W$21,IF($Y$21="6L",$Z$21,IF($AB$21="6L",$AC$21,IF($AE$21="6L",$AF$21,IF($AH$21="6L",$AI$21,IF($AK$21="6L",$AL$21,IF($AN$21="6L",$AO$21,IF($AQ$21="6L",$AR$21,""))))))))))</f>
        <v/>
      </c>
      <c r="AY21" s="29" t="str">
        <f>IF($P$21="7L",$Q$21,IF($S$21="7L",$T$21,IF($V$21="7L",$W$21,IF($Y$21="7L",$Z$21,IF($AB$21="7L",$AC$21,IF($AE$21="7L",$AF$21,IF($AH$21="7L",$AI$21,IF($AK$21="7L",$AL$21,IF($AN$21="7L",$AO$21,IF($AQ$21="7L",$AR$21,""))))))))))</f>
        <v/>
      </c>
      <c r="AZ21" s="29" t="str">
        <f t="shared" si="12"/>
        <v/>
      </c>
      <c r="BA21" s="29" t="str">
        <f t="shared" si="13"/>
        <v/>
      </c>
      <c r="BB21" s="29" t="str">
        <f t="shared" si="14"/>
        <v/>
      </c>
      <c r="BC21" s="29" t="str">
        <f t="shared" si="15"/>
        <v/>
      </c>
      <c r="BD21" s="29" t="str">
        <f>IF($P$21="FUM",$Q$21,IF($S$21="FUM",$T$21,IF($V$21="FUM",$W$21,IF($Y$21="FUM",$Z$21,IF($AB$21="FUM",$AC$21,IF($AE$21="FUM",$AF$21,IF($AH$21="FUM",$AI$21,IF($AK$21="FUM",$AL$21,IF($AN$21="FUM",$AO$21,IF($AQ$21="FUM",$AR$21,""))))))))))</f>
        <v/>
      </c>
    </row>
    <row r="22" spans="8:56" hidden="1" x14ac:dyDescent="0.25">
      <c r="H22" s="4">
        <f t="shared" si="1"/>
        <v>0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O22" s="28">
        <f t="shared" si="16"/>
        <v>0</v>
      </c>
      <c r="P22" s="4">
        <f t="shared" si="2"/>
        <v>0</v>
      </c>
      <c r="Q22" s="4">
        <f t="shared" si="2"/>
        <v>0</v>
      </c>
      <c r="R22" s="4">
        <f t="shared" si="2"/>
        <v>0</v>
      </c>
      <c r="S22" s="4">
        <f t="shared" si="3"/>
        <v>0</v>
      </c>
      <c r="T22" s="4">
        <f t="shared" si="3"/>
        <v>0</v>
      </c>
      <c r="U22" s="4">
        <f t="shared" si="3"/>
        <v>0</v>
      </c>
      <c r="V22" s="4">
        <f t="shared" si="4"/>
        <v>0</v>
      </c>
      <c r="W22" s="4">
        <f t="shared" si="4"/>
        <v>0</v>
      </c>
      <c r="X22" s="4">
        <f t="shared" si="4"/>
        <v>0</v>
      </c>
      <c r="Y22" s="4">
        <f t="shared" si="5"/>
        <v>0</v>
      </c>
      <c r="Z22" s="4">
        <f t="shared" si="5"/>
        <v>0</v>
      </c>
      <c r="AA22" s="4">
        <f t="shared" si="5"/>
        <v>0</v>
      </c>
      <c r="AB22" s="4">
        <f t="shared" si="6"/>
        <v>0</v>
      </c>
      <c r="AC22" s="4">
        <f t="shared" si="6"/>
        <v>0</v>
      </c>
      <c r="AD22" s="4">
        <f t="shared" si="6"/>
        <v>0</v>
      </c>
      <c r="AE22" s="4">
        <f t="shared" si="7"/>
        <v>0</v>
      </c>
      <c r="AF22" s="4">
        <f t="shared" si="7"/>
        <v>0</v>
      </c>
      <c r="AG22" s="4">
        <f t="shared" si="7"/>
        <v>0</v>
      </c>
      <c r="AH22" s="4">
        <f t="shared" si="8"/>
        <v>0</v>
      </c>
      <c r="AI22" s="4">
        <f t="shared" si="8"/>
        <v>0</v>
      </c>
      <c r="AJ22" s="4">
        <f t="shared" si="8"/>
        <v>0</v>
      </c>
      <c r="AK22" s="4">
        <f t="shared" si="9"/>
        <v>0</v>
      </c>
      <c r="AL22" s="4">
        <f t="shared" si="9"/>
        <v>0</v>
      </c>
      <c r="AM22" s="4">
        <f t="shared" si="9"/>
        <v>0</v>
      </c>
      <c r="AN22" s="4">
        <f t="shared" si="10"/>
        <v>0</v>
      </c>
      <c r="AO22" s="4">
        <f t="shared" si="10"/>
        <v>0</v>
      </c>
      <c r="AP22" s="4">
        <f t="shared" si="10"/>
        <v>0</v>
      </c>
      <c r="AQ22" s="4">
        <f t="shared" si="11"/>
        <v>0</v>
      </c>
      <c r="AR22" s="4">
        <f t="shared" si="11"/>
        <v>0</v>
      </c>
      <c r="AT22" s="28">
        <v>9</v>
      </c>
      <c r="AU22" s="29" t="str">
        <f>IF($P$22="3L",$Q$22,IF($S$22="3L",$T$22,IF($V$22="3L",$W$22,IF($Y$22="3L",$Z$22,IF($AB$22="3L",$AC$22,IF($AE$22="3L",$AF$22,IF($AH$22="3L",$AI$22,IF($AK$22="3L",$AL$22,IF($AN$22="3L",$AO$22,IF($AQ$22="3L",$AR$22,""))))))))))</f>
        <v/>
      </c>
      <c r="AV22" s="29" t="str">
        <f>IF($P$22="4L",$Q$22,IF($S$22="4L",$T$22,IF($V$22="4L",$W$22,IF($Y$22="4L",$Z$22,IF($AB$22="4L",$AC$22,IF($AE$22="4L",$AF$22,IF($AH$22="4L",$AI$22,IF($AK$22="4L",$AL$22,IF($AN$22="4L",$AO$22,IF($AQ$22="4L",$AR$22,""))))))))))</f>
        <v/>
      </c>
      <c r="AW22" s="29" t="str">
        <f>IF($P$22="5L",$Q$22,IF($S$22="5L",$T$22,IF($V$22="5L",$W$22,IF($Y$22="5L",$Z$22,IF($AB$22="5L",$AC$22,IF($AE$22="5L",$AF$22,IF($AH$22="5L",$AI$22,IF($AK$22="5L",$AL$22,IF($AN$22="5L",$AO$22,IF($AQ$22="5L",$AR$22,""))))))))))</f>
        <v/>
      </c>
      <c r="AX22" s="29" t="str">
        <f>IF($P$22="6L",$Q$22,IF($S$22="6L",$T$22,IF($V$22="6L",$W$22,IF($Y$22="6L",$Z$22,IF($AB$22="6L",$AC$22,IF($AE$22="6L",$AF$22,IF($AH$22="6L",$AI$22,IF($AK$22="6L",$AL$22,IF($AN$22="6L",$AO$22,IF($AQ$22="6L",$AR$22,""))))))))))</f>
        <v/>
      </c>
      <c r="AY22" s="29" t="str">
        <f>IF($P$22="7L",$Q$22,IF($S$22="7L",$T$22,IF($V$22="7L",$W$22,IF($Y$22="7L",$Z$22,IF($AB$22="7L",$AC$22,IF($AE$22="7L",$AF$22,IF($AH$22="7L",$AI$22,IF($AK$22="7L",$AL$22,IF($AN$22="7L",$AO$22,IF($AQ$22="7L",$AR$22,""))))))))))</f>
        <v/>
      </c>
      <c r="AZ22" s="29" t="str">
        <f t="shared" si="12"/>
        <v/>
      </c>
      <c r="BA22" s="29" t="str">
        <f t="shared" si="13"/>
        <v/>
      </c>
      <c r="BB22" s="29" t="str">
        <f t="shared" si="14"/>
        <v/>
      </c>
      <c r="BC22" s="29" t="str">
        <f t="shared" si="15"/>
        <v/>
      </c>
      <c r="BD22" s="29" t="str">
        <f>IF($P$22="FUM",$Q$22,IF($S$22="FUM",$T$22,IF($V$22="FUM",$W$22,IF($Y$22="FUM",$Z$22,IF($AB$22="FUM",$AC$22,IF($AE$22="FUM",$AF$22,IF($AH$22="FUM",$AI$22,IF($AK$22="FUM",$AL$22,IF($AN$22="FUM",$AO$22,IF($AQ$22="FUM",$AR$22,""))))))))))</f>
        <v/>
      </c>
    </row>
    <row r="23" spans="8:56" hidden="1" x14ac:dyDescent="0.25">
      <c r="H23" s="4">
        <f t="shared" si="1"/>
        <v>0</v>
      </c>
      <c r="I23" s="4">
        <f t="shared" si="1"/>
        <v>0</v>
      </c>
      <c r="J23" s="4">
        <f t="shared" si="1"/>
        <v>0</v>
      </c>
      <c r="K23" s="4">
        <f t="shared" si="1"/>
        <v>0</v>
      </c>
      <c r="L23" s="4">
        <f t="shared" si="1"/>
        <v>0</v>
      </c>
      <c r="O23" s="28">
        <f t="shared" si="16"/>
        <v>0</v>
      </c>
      <c r="P23" s="4">
        <f t="shared" si="2"/>
        <v>0</v>
      </c>
      <c r="Q23" s="4">
        <f t="shared" si="2"/>
        <v>0</v>
      </c>
      <c r="R23" s="4">
        <f t="shared" si="2"/>
        <v>0</v>
      </c>
      <c r="S23" s="4">
        <f t="shared" si="3"/>
        <v>0</v>
      </c>
      <c r="T23" s="4">
        <f t="shared" si="3"/>
        <v>0</v>
      </c>
      <c r="U23" s="4">
        <f t="shared" si="3"/>
        <v>0</v>
      </c>
      <c r="V23" s="4">
        <f t="shared" si="4"/>
        <v>0</v>
      </c>
      <c r="W23" s="4">
        <f t="shared" si="4"/>
        <v>0</v>
      </c>
      <c r="X23" s="4">
        <f t="shared" si="4"/>
        <v>0</v>
      </c>
      <c r="Y23" s="4">
        <f t="shared" si="5"/>
        <v>0</v>
      </c>
      <c r="Z23" s="4">
        <f t="shared" si="5"/>
        <v>0</v>
      </c>
      <c r="AA23" s="4">
        <f t="shared" si="5"/>
        <v>0</v>
      </c>
      <c r="AB23" s="4">
        <f t="shared" si="6"/>
        <v>0</v>
      </c>
      <c r="AC23" s="4">
        <f t="shared" si="6"/>
        <v>0</v>
      </c>
      <c r="AD23" s="4">
        <f t="shared" si="6"/>
        <v>0</v>
      </c>
      <c r="AE23" s="4">
        <f t="shared" si="7"/>
        <v>0</v>
      </c>
      <c r="AF23" s="4">
        <f t="shared" si="7"/>
        <v>0</v>
      </c>
      <c r="AG23" s="4">
        <f t="shared" si="7"/>
        <v>0</v>
      </c>
      <c r="AH23" s="4">
        <f t="shared" si="8"/>
        <v>0</v>
      </c>
      <c r="AI23" s="4">
        <f t="shared" si="8"/>
        <v>0</v>
      </c>
      <c r="AJ23" s="4">
        <f t="shared" si="8"/>
        <v>0</v>
      </c>
      <c r="AK23" s="4">
        <f t="shared" si="9"/>
        <v>0</v>
      </c>
      <c r="AL23" s="4">
        <f t="shared" si="9"/>
        <v>0</v>
      </c>
      <c r="AM23" s="4">
        <f t="shared" si="9"/>
        <v>0</v>
      </c>
      <c r="AN23" s="4">
        <f t="shared" si="10"/>
        <v>0</v>
      </c>
      <c r="AO23" s="4">
        <f t="shared" si="10"/>
        <v>0</v>
      </c>
      <c r="AP23" s="4">
        <f t="shared" si="10"/>
        <v>0</v>
      </c>
      <c r="AQ23" s="4">
        <f t="shared" si="11"/>
        <v>0</v>
      </c>
      <c r="AR23" s="4">
        <f t="shared" si="11"/>
        <v>0</v>
      </c>
      <c r="AT23" s="28">
        <v>10</v>
      </c>
      <c r="AU23" s="29" t="str">
        <f>IF($P$23="3L",$Q$23,IF($S$23="3L",$T$23,IF($V$23="3L",$W$23,IF($Y$23="3L",$Z$23,IF($AB$23="3L",$AC$23,IF($AE$23="3L",$AF$23,IF($AH$23="3L",$AI$23,IF($AK$23="3L",$AL$23,IF($AN$23="3L",$AO$23,IF($AQ$23="3L",$AR$23,""))))))))))</f>
        <v/>
      </c>
      <c r="AV23" s="29" t="str">
        <f>IF($P$23="4L",$Q$23,IF($S$23="4L",$T$23,IF($V$23="4L",$W$23,IF($Y$23="4L",$Z$23,IF($AB$23="4L",$AC$23,IF($AE$23="4L",$AF$23,IF($AH$23="4L",$AI$23,IF($AK$23="4L",$AL$23,IF($AN$23="4L",$AO$23,IF($AQ$23="4L",$AR$23,""))))))))))</f>
        <v/>
      </c>
      <c r="AW23" s="29" t="str">
        <f>IF($P$23="5L",$Q$23,IF($S$23="5L",$T$23,IF($V$23="5L",$W$23,IF($Y$23="5L",$Z$23,IF($AB$23="5L",$AC$23,IF($AE$23="5L",$AF$23,IF($AH$23="5L",$AI$23,IF($AK$23="5L",$AL$23,IF($AN$23="5L",$AO$23,IF($AQ$23="5L",$AR$23,""))))))))))</f>
        <v/>
      </c>
      <c r="AX23" s="29" t="str">
        <f>IF($P$23="6L",$Q$23,IF($S$23="6L",$T$23,IF($V$23="6L",$W$23,IF($Y$23="6L",$Z$23,IF($AB$23="6L",$AC$23,IF($AE$23="6L",$AF$23,IF($AH$23="6L",$AI$23,IF($AK$23="6L",$AL$23,IF($AN$23="6L",$AO$23,IF($AQ$23="6L",$AR$23,""))))))))))</f>
        <v/>
      </c>
      <c r="AY23" s="29" t="str">
        <f>IF($P$23="7L",$Q$23,IF($S$23="7L",$T$23,IF($V$23="7L",$W$23,IF($Y$23="7L",$Z$23,IF($AB$23="7L",$AC$23,IF($AE$23="7L",$AF$23,IF($AH$23="7L",$AI$23,IF($AK$23="7L",$AL$23,IF($AN$23="7L",$AO$23,IF($AQ$23="7L",$AR$23,""))))))))))</f>
        <v/>
      </c>
      <c r="AZ23" s="29" t="str">
        <f t="shared" si="12"/>
        <v/>
      </c>
      <c r="BA23" s="29" t="str">
        <f t="shared" si="13"/>
        <v/>
      </c>
      <c r="BB23" s="29" t="str">
        <f t="shared" si="14"/>
        <v/>
      </c>
      <c r="BC23" s="29" t="str">
        <f t="shared" si="15"/>
        <v/>
      </c>
      <c r="BD23" s="29" t="str">
        <f>IF($P$23="FUM",$Q$23,IF($S$23="FUM",$T$23,IF($V$23="FUM",$W$23,IF($Y$23="FUM",$Z$23,IF($AB$23="FUM",$AC$23,IF($AE$23="FUM",$AF$23,IF($AH$23="FUM",$AI$23,IF($AK$23="FUM",$AL$23,IF($AN$23="FUM",$AO$23,IF($AQ$23="FUM",$AR$23,""))))))))))</f>
        <v/>
      </c>
    </row>
    <row r="24" spans="8:56" hidden="1" x14ac:dyDescent="0.25">
      <c r="H24" s="4" t="str">
        <f t="shared" ref="H24:L33" si="17">P2</f>
        <v>AG</v>
      </c>
      <c r="I24" s="4">
        <f t="shared" si="17"/>
        <v>1000</v>
      </c>
      <c r="J24" s="4">
        <f t="shared" si="17"/>
        <v>10</v>
      </c>
      <c r="K24" s="4" t="str">
        <f t="shared" si="17"/>
        <v>Y</v>
      </c>
      <c r="L24" s="4" t="str">
        <f t="shared" si="17"/>
        <v>3L</v>
      </c>
    </row>
    <row r="25" spans="8:56" hidden="1" x14ac:dyDescent="0.25">
      <c r="H25" s="4">
        <f t="shared" si="17"/>
        <v>0</v>
      </c>
      <c r="I25" s="4">
        <f t="shared" si="17"/>
        <v>0</v>
      </c>
      <c r="J25" s="4">
        <f t="shared" si="17"/>
        <v>0</v>
      </c>
      <c r="K25" s="4">
        <f t="shared" si="17"/>
        <v>0</v>
      </c>
      <c r="L25" s="4">
        <f t="shared" si="17"/>
        <v>0</v>
      </c>
    </row>
    <row r="26" spans="8:56" hidden="1" x14ac:dyDescent="0.25">
      <c r="H26" s="4">
        <f t="shared" si="17"/>
        <v>0</v>
      </c>
      <c r="I26" s="4">
        <f t="shared" si="17"/>
        <v>0</v>
      </c>
      <c r="J26" s="4">
        <f t="shared" si="17"/>
        <v>0</v>
      </c>
      <c r="K26" s="4">
        <f t="shared" si="17"/>
        <v>0</v>
      </c>
      <c r="L26" s="4">
        <f t="shared" si="17"/>
        <v>0</v>
      </c>
    </row>
    <row r="27" spans="8:56" hidden="1" x14ac:dyDescent="0.25">
      <c r="H27" s="4">
        <f t="shared" si="17"/>
        <v>0</v>
      </c>
      <c r="I27" s="4">
        <f t="shared" si="17"/>
        <v>0</v>
      </c>
      <c r="J27" s="4">
        <f t="shared" si="17"/>
        <v>0</v>
      </c>
      <c r="K27" s="4">
        <f t="shared" si="17"/>
        <v>0</v>
      </c>
      <c r="L27" s="4">
        <f t="shared" si="17"/>
        <v>0</v>
      </c>
    </row>
    <row r="28" spans="8:56" hidden="1" x14ac:dyDescent="0.25">
      <c r="H28" s="4">
        <f t="shared" si="17"/>
        <v>0</v>
      </c>
      <c r="I28" s="4">
        <f t="shared" si="17"/>
        <v>0</v>
      </c>
      <c r="J28" s="4">
        <f t="shared" si="17"/>
        <v>0</v>
      </c>
      <c r="K28" s="4">
        <f t="shared" si="17"/>
        <v>0</v>
      </c>
      <c r="L28" s="4">
        <f t="shared" si="17"/>
        <v>0</v>
      </c>
    </row>
    <row r="29" spans="8:56" hidden="1" x14ac:dyDescent="0.25"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</row>
    <row r="30" spans="8:56" hidden="1" x14ac:dyDescent="0.25">
      <c r="H30" s="4">
        <f t="shared" si="17"/>
        <v>0</v>
      </c>
      <c r="I30" s="4">
        <f t="shared" si="17"/>
        <v>0</v>
      </c>
      <c r="J30" s="4">
        <f t="shared" si="17"/>
        <v>0</v>
      </c>
      <c r="K30" s="4">
        <f t="shared" si="17"/>
        <v>0</v>
      </c>
      <c r="L30" s="4">
        <f t="shared" si="17"/>
        <v>0</v>
      </c>
    </row>
    <row r="31" spans="8:56" hidden="1" x14ac:dyDescent="0.25">
      <c r="H31" s="4">
        <f t="shared" si="17"/>
        <v>0</v>
      </c>
      <c r="I31" s="4">
        <f t="shared" si="17"/>
        <v>0</v>
      </c>
      <c r="J31" s="4">
        <f t="shared" si="17"/>
        <v>0</v>
      </c>
      <c r="K31" s="4">
        <f t="shared" si="17"/>
        <v>0</v>
      </c>
      <c r="L31" s="4">
        <f t="shared" si="17"/>
        <v>0</v>
      </c>
    </row>
    <row r="32" spans="8:56" hidden="1" x14ac:dyDescent="0.25">
      <c r="H32" s="4">
        <f t="shared" si="17"/>
        <v>0</v>
      </c>
      <c r="I32" s="4">
        <f t="shared" si="17"/>
        <v>0</v>
      </c>
      <c r="J32" s="4">
        <f t="shared" si="17"/>
        <v>0</v>
      </c>
      <c r="K32" s="4">
        <f t="shared" si="17"/>
        <v>0</v>
      </c>
      <c r="L32" s="4">
        <f t="shared" si="17"/>
        <v>0</v>
      </c>
    </row>
    <row r="33" spans="8:12" hidden="1" x14ac:dyDescent="0.25">
      <c r="H33" s="4">
        <f t="shared" si="17"/>
        <v>0</v>
      </c>
      <c r="I33" s="4">
        <f t="shared" si="17"/>
        <v>0</v>
      </c>
      <c r="J33" s="4">
        <f t="shared" si="17"/>
        <v>0</v>
      </c>
      <c r="K33" s="4">
        <f t="shared" si="17"/>
        <v>0</v>
      </c>
      <c r="L33" s="4">
        <f t="shared" si="17"/>
        <v>0</v>
      </c>
    </row>
    <row r="34" spans="8:12" hidden="1" x14ac:dyDescent="0.25">
      <c r="H34" s="4" t="str">
        <f t="shared" ref="H34:L43" si="18">V2</f>
        <v>AG</v>
      </c>
      <c r="I34" s="4">
        <f t="shared" si="18"/>
        <v>750</v>
      </c>
      <c r="J34" s="4">
        <f t="shared" si="18"/>
        <v>10</v>
      </c>
      <c r="K34" s="4" t="str">
        <f t="shared" si="18"/>
        <v>Y</v>
      </c>
      <c r="L34" s="4" t="str">
        <f t="shared" si="18"/>
        <v>3L</v>
      </c>
    </row>
    <row r="35" spans="8:12" hidden="1" x14ac:dyDescent="0.25">
      <c r="H35" s="4">
        <f t="shared" si="18"/>
        <v>0</v>
      </c>
      <c r="I35" s="4">
        <f t="shared" si="18"/>
        <v>0</v>
      </c>
      <c r="J35" s="4">
        <f t="shared" si="18"/>
        <v>0</v>
      </c>
      <c r="K35" s="4">
        <f t="shared" si="18"/>
        <v>0</v>
      </c>
      <c r="L35" s="4">
        <f t="shared" si="18"/>
        <v>0</v>
      </c>
    </row>
    <row r="36" spans="8:12" hidden="1" x14ac:dyDescent="0.25">
      <c r="H36" s="4">
        <f t="shared" si="18"/>
        <v>0</v>
      </c>
      <c r="I36" s="4">
        <f t="shared" si="18"/>
        <v>0</v>
      </c>
      <c r="J36" s="4">
        <f t="shared" si="18"/>
        <v>0</v>
      </c>
      <c r="K36" s="4">
        <f t="shared" si="18"/>
        <v>0</v>
      </c>
      <c r="L36" s="4">
        <f t="shared" si="18"/>
        <v>0</v>
      </c>
    </row>
    <row r="37" spans="8:12" hidden="1" x14ac:dyDescent="0.25">
      <c r="H37" s="4">
        <f t="shared" si="18"/>
        <v>0</v>
      </c>
      <c r="I37" s="4">
        <f t="shared" si="18"/>
        <v>0</v>
      </c>
      <c r="J37" s="4">
        <f t="shared" si="18"/>
        <v>0</v>
      </c>
      <c r="K37" s="4">
        <f t="shared" si="18"/>
        <v>0</v>
      </c>
      <c r="L37" s="4">
        <f t="shared" si="18"/>
        <v>0</v>
      </c>
    </row>
    <row r="38" spans="8:12" hidden="1" x14ac:dyDescent="0.25">
      <c r="H38" s="4">
        <f t="shared" si="18"/>
        <v>0</v>
      </c>
      <c r="I38" s="4">
        <f t="shared" si="18"/>
        <v>0</v>
      </c>
      <c r="J38" s="4">
        <f t="shared" si="18"/>
        <v>0</v>
      </c>
      <c r="K38" s="4">
        <f t="shared" si="18"/>
        <v>0</v>
      </c>
      <c r="L38" s="4">
        <f t="shared" si="18"/>
        <v>0</v>
      </c>
    </row>
    <row r="39" spans="8:12" hidden="1" x14ac:dyDescent="0.25">
      <c r="H39" s="4">
        <f t="shared" si="18"/>
        <v>0</v>
      </c>
      <c r="I39" s="4">
        <f t="shared" si="18"/>
        <v>0</v>
      </c>
      <c r="J39" s="4">
        <f t="shared" si="18"/>
        <v>0</v>
      </c>
      <c r="K39" s="4">
        <f t="shared" si="18"/>
        <v>0</v>
      </c>
      <c r="L39" s="4">
        <f t="shared" si="18"/>
        <v>0</v>
      </c>
    </row>
    <row r="40" spans="8:12" hidden="1" x14ac:dyDescent="0.25">
      <c r="H40" s="4">
        <f t="shared" si="18"/>
        <v>0</v>
      </c>
      <c r="I40" s="4">
        <f t="shared" si="18"/>
        <v>0</v>
      </c>
      <c r="J40" s="4">
        <f t="shared" si="18"/>
        <v>0</v>
      </c>
      <c r="K40" s="4">
        <f t="shared" si="18"/>
        <v>0</v>
      </c>
      <c r="L40" s="4">
        <f t="shared" si="18"/>
        <v>0</v>
      </c>
    </row>
    <row r="41" spans="8:12" hidden="1" x14ac:dyDescent="0.25">
      <c r="H41" s="4">
        <f t="shared" si="18"/>
        <v>0</v>
      </c>
      <c r="I41" s="4">
        <f t="shared" si="18"/>
        <v>0</v>
      </c>
      <c r="J41" s="4">
        <f t="shared" si="18"/>
        <v>0</v>
      </c>
      <c r="K41" s="4">
        <f t="shared" si="18"/>
        <v>0</v>
      </c>
      <c r="L41" s="4">
        <f t="shared" si="18"/>
        <v>0</v>
      </c>
    </row>
    <row r="42" spans="8:12" hidden="1" x14ac:dyDescent="0.25">
      <c r="H42" s="4">
        <f t="shared" si="18"/>
        <v>0</v>
      </c>
      <c r="I42" s="4">
        <f t="shared" si="18"/>
        <v>0</v>
      </c>
      <c r="J42" s="4">
        <f t="shared" si="18"/>
        <v>0</v>
      </c>
      <c r="K42" s="4">
        <f t="shared" si="18"/>
        <v>0</v>
      </c>
      <c r="L42" s="4">
        <f t="shared" si="18"/>
        <v>0</v>
      </c>
    </row>
    <row r="43" spans="8:12" hidden="1" x14ac:dyDescent="0.25">
      <c r="H43" s="4">
        <f t="shared" si="18"/>
        <v>0</v>
      </c>
      <c r="I43" s="4">
        <f t="shared" si="18"/>
        <v>0</v>
      </c>
      <c r="J43" s="4">
        <f t="shared" si="18"/>
        <v>0</v>
      </c>
      <c r="K43" s="4">
        <f t="shared" si="18"/>
        <v>0</v>
      </c>
      <c r="L43" s="4">
        <f t="shared" si="18"/>
        <v>0</v>
      </c>
    </row>
    <row r="44" spans="8:12" hidden="1" x14ac:dyDescent="0.25">
      <c r="H44" s="4" t="str">
        <f t="shared" ref="H44:L53" si="19">AB2</f>
        <v>AG</v>
      </c>
      <c r="I44" s="4">
        <f t="shared" si="19"/>
        <v>500</v>
      </c>
      <c r="J44" s="4">
        <f t="shared" si="19"/>
        <v>20</v>
      </c>
      <c r="K44" s="4" t="str">
        <f t="shared" si="19"/>
        <v>Y</v>
      </c>
      <c r="L44" s="4" t="str">
        <f t="shared" si="19"/>
        <v>3L</v>
      </c>
    </row>
    <row r="45" spans="8:12" hidden="1" x14ac:dyDescent="0.25">
      <c r="H45" s="4">
        <f t="shared" si="19"/>
        <v>0</v>
      </c>
      <c r="I45" s="4">
        <f t="shared" si="19"/>
        <v>0</v>
      </c>
      <c r="J45" s="4">
        <f t="shared" si="19"/>
        <v>0</v>
      </c>
      <c r="K45" s="4">
        <f t="shared" si="19"/>
        <v>0</v>
      </c>
      <c r="L45" s="4">
        <f t="shared" si="19"/>
        <v>0</v>
      </c>
    </row>
    <row r="46" spans="8:12" hidden="1" x14ac:dyDescent="0.25">
      <c r="H46" s="4">
        <f t="shared" si="19"/>
        <v>0</v>
      </c>
      <c r="I46" s="4">
        <f t="shared" si="19"/>
        <v>0</v>
      </c>
      <c r="J46" s="4">
        <f t="shared" si="19"/>
        <v>0</v>
      </c>
      <c r="K46" s="4">
        <f t="shared" si="19"/>
        <v>0</v>
      </c>
      <c r="L46" s="4">
        <f t="shared" si="19"/>
        <v>0</v>
      </c>
    </row>
    <row r="47" spans="8:12" hidden="1" x14ac:dyDescent="0.25">
      <c r="H47" s="4">
        <f t="shared" si="19"/>
        <v>0</v>
      </c>
      <c r="I47" s="4">
        <f t="shared" si="19"/>
        <v>0</v>
      </c>
      <c r="J47" s="4">
        <f t="shared" si="19"/>
        <v>0</v>
      </c>
      <c r="K47" s="4">
        <f t="shared" si="19"/>
        <v>0</v>
      </c>
      <c r="L47" s="4">
        <f t="shared" si="19"/>
        <v>0</v>
      </c>
    </row>
    <row r="48" spans="8:12" hidden="1" x14ac:dyDescent="0.25">
      <c r="H48" s="4">
        <f t="shared" si="19"/>
        <v>0</v>
      </c>
      <c r="I48" s="4">
        <f t="shared" si="19"/>
        <v>0</v>
      </c>
      <c r="J48" s="4">
        <f t="shared" si="19"/>
        <v>0</v>
      </c>
      <c r="K48" s="4">
        <f t="shared" si="19"/>
        <v>0</v>
      </c>
      <c r="L48" s="4">
        <f t="shared" si="19"/>
        <v>0</v>
      </c>
    </row>
    <row r="49" spans="8:12" hidden="1" x14ac:dyDescent="0.25">
      <c r="H49" s="4">
        <f t="shared" si="19"/>
        <v>0</v>
      </c>
      <c r="I49" s="4">
        <f t="shared" si="19"/>
        <v>0</v>
      </c>
      <c r="J49" s="4">
        <f t="shared" si="19"/>
        <v>0</v>
      </c>
      <c r="K49" s="4">
        <f t="shared" si="19"/>
        <v>0</v>
      </c>
      <c r="L49" s="4">
        <f t="shared" si="19"/>
        <v>0</v>
      </c>
    </row>
    <row r="50" spans="8:12" hidden="1" x14ac:dyDescent="0.25">
      <c r="H50" s="4">
        <f t="shared" si="19"/>
        <v>0</v>
      </c>
      <c r="I50" s="4">
        <f t="shared" si="19"/>
        <v>0</v>
      </c>
      <c r="J50" s="4">
        <f t="shared" si="19"/>
        <v>0</v>
      </c>
      <c r="K50" s="4">
        <f t="shared" si="19"/>
        <v>0</v>
      </c>
      <c r="L50" s="4">
        <f t="shared" si="19"/>
        <v>0</v>
      </c>
    </row>
    <row r="51" spans="8:12" hidden="1" x14ac:dyDescent="0.25">
      <c r="H51" s="4">
        <f t="shared" si="19"/>
        <v>0</v>
      </c>
      <c r="I51" s="4">
        <f t="shared" si="19"/>
        <v>0</v>
      </c>
      <c r="J51" s="4">
        <f t="shared" si="19"/>
        <v>0</v>
      </c>
      <c r="K51" s="4">
        <f t="shared" si="19"/>
        <v>0</v>
      </c>
      <c r="L51" s="4">
        <f t="shared" si="19"/>
        <v>0</v>
      </c>
    </row>
    <row r="52" spans="8:12" hidden="1" x14ac:dyDescent="0.25">
      <c r="H52" s="4">
        <f t="shared" si="19"/>
        <v>0</v>
      </c>
      <c r="I52" s="4">
        <f t="shared" si="19"/>
        <v>0</v>
      </c>
      <c r="J52" s="4">
        <f t="shared" si="19"/>
        <v>0</v>
      </c>
      <c r="K52" s="4">
        <f t="shared" si="19"/>
        <v>0</v>
      </c>
      <c r="L52" s="4">
        <f t="shared" si="19"/>
        <v>0</v>
      </c>
    </row>
    <row r="53" spans="8:12" hidden="1" x14ac:dyDescent="0.25">
      <c r="H53" s="4">
        <f t="shared" si="19"/>
        <v>0</v>
      </c>
      <c r="I53" s="4">
        <f t="shared" si="19"/>
        <v>0</v>
      </c>
      <c r="J53" s="4">
        <f t="shared" si="19"/>
        <v>0</v>
      </c>
      <c r="K53" s="4">
        <f t="shared" si="19"/>
        <v>0</v>
      </c>
      <c r="L53" s="4">
        <f t="shared" si="19"/>
        <v>0</v>
      </c>
    </row>
    <row r="54" spans="8:12" hidden="1" x14ac:dyDescent="0.25">
      <c r="H54" s="4">
        <f t="shared" ref="H54:L63" si="20">AH2</f>
        <v>0</v>
      </c>
      <c r="I54" s="4">
        <f t="shared" si="20"/>
        <v>0</v>
      </c>
      <c r="J54" s="4">
        <f t="shared" si="20"/>
        <v>0</v>
      </c>
      <c r="K54" s="4">
        <f t="shared" si="20"/>
        <v>0</v>
      </c>
      <c r="L54" s="4">
        <f t="shared" si="20"/>
        <v>0</v>
      </c>
    </row>
    <row r="55" spans="8:12" hidden="1" x14ac:dyDescent="0.25">
      <c r="H55" s="4">
        <f t="shared" si="20"/>
        <v>0</v>
      </c>
      <c r="I55" s="4">
        <f t="shared" si="20"/>
        <v>0</v>
      </c>
      <c r="J55" s="4">
        <f t="shared" si="20"/>
        <v>0</v>
      </c>
      <c r="K55" s="4">
        <f t="shared" si="20"/>
        <v>0</v>
      </c>
      <c r="L55" s="4">
        <f t="shared" si="20"/>
        <v>0</v>
      </c>
    </row>
    <row r="56" spans="8:12" hidden="1" x14ac:dyDescent="0.25">
      <c r="H56" s="4">
        <f t="shared" si="20"/>
        <v>0</v>
      </c>
      <c r="I56" s="4">
        <f t="shared" si="20"/>
        <v>0</v>
      </c>
      <c r="J56" s="4">
        <f t="shared" si="20"/>
        <v>0</v>
      </c>
      <c r="K56" s="4">
        <f t="shared" si="20"/>
        <v>0</v>
      </c>
      <c r="L56" s="4">
        <f t="shared" si="20"/>
        <v>0</v>
      </c>
    </row>
    <row r="57" spans="8:12" hidden="1" x14ac:dyDescent="0.25">
      <c r="H57" s="4">
        <f t="shared" si="20"/>
        <v>0</v>
      </c>
      <c r="I57" s="4">
        <f t="shared" si="20"/>
        <v>0</v>
      </c>
      <c r="J57" s="4">
        <f t="shared" si="20"/>
        <v>0</v>
      </c>
      <c r="K57" s="4">
        <f t="shared" si="20"/>
        <v>0</v>
      </c>
      <c r="L57" s="4">
        <f t="shared" si="20"/>
        <v>0</v>
      </c>
    </row>
    <row r="58" spans="8:12" hidden="1" x14ac:dyDescent="0.25">
      <c r="H58" s="4">
        <f t="shared" si="20"/>
        <v>0</v>
      </c>
      <c r="I58" s="4">
        <f t="shared" si="20"/>
        <v>0</v>
      </c>
      <c r="J58" s="4">
        <f t="shared" si="20"/>
        <v>0</v>
      </c>
      <c r="K58" s="4">
        <f t="shared" si="20"/>
        <v>0</v>
      </c>
      <c r="L58" s="4">
        <f t="shared" si="20"/>
        <v>0</v>
      </c>
    </row>
    <row r="59" spans="8:12" hidden="1" x14ac:dyDescent="0.25">
      <c r="H59" s="4">
        <f t="shared" si="20"/>
        <v>0</v>
      </c>
      <c r="I59" s="4">
        <f t="shared" si="20"/>
        <v>0</v>
      </c>
      <c r="J59" s="4">
        <f t="shared" si="20"/>
        <v>0</v>
      </c>
      <c r="K59" s="4">
        <f t="shared" si="20"/>
        <v>0</v>
      </c>
      <c r="L59" s="4">
        <f t="shared" si="20"/>
        <v>0</v>
      </c>
    </row>
    <row r="60" spans="8:12" hidden="1" x14ac:dyDescent="0.25">
      <c r="H60" s="4">
        <f t="shared" si="20"/>
        <v>0</v>
      </c>
      <c r="I60" s="4">
        <f t="shared" si="20"/>
        <v>0</v>
      </c>
      <c r="J60" s="4">
        <f t="shared" si="20"/>
        <v>0</v>
      </c>
      <c r="K60" s="4">
        <f t="shared" si="20"/>
        <v>0</v>
      </c>
      <c r="L60" s="4">
        <f t="shared" si="20"/>
        <v>0</v>
      </c>
    </row>
    <row r="61" spans="8:12" hidden="1" x14ac:dyDescent="0.25">
      <c r="H61" s="4">
        <f t="shared" si="20"/>
        <v>0</v>
      </c>
      <c r="I61" s="4">
        <f t="shared" si="20"/>
        <v>0</v>
      </c>
      <c r="J61" s="4">
        <f t="shared" si="20"/>
        <v>0</v>
      </c>
      <c r="K61" s="4">
        <f t="shared" si="20"/>
        <v>0</v>
      </c>
      <c r="L61" s="4">
        <f t="shared" si="20"/>
        <v>0</v>
      </c>
    </row>
    <row r="62" spans="8:12" hidden="1" x14ac:dyDescent="0.25">
      <c r="H62" s="4">
        <f t="shared" si="20"/>
        <v>0</v>
      </c>
      <c r="I62" s="4">
        <f t="shared" si="20"/>
        <v>0</v>
      </c>
      <c r="J62" s="4">
        <f t="shared" si="20"/>
        <v>0</v>
      </c>
      <c r="K62" s="4">
        <f t="shared" si="20"/>
        <v>0</v>
      </c>
      <c r="L62" s="4">
        <f t="shared" si="20"/>
        <v>0</v>
      </c>
    </row>
    <row r="63" spans="8:12" hidden="1" x14ac:dyDescent="0.25">
      <c r="H63" s="4">
        <f t="shared" si="20"/>
        <v>0</v>
      </c>
      <c r="I63" s="4">
        <f t="shared" si="20"/>
        <v>0</v>
      </c>
      <c r="J63" s="4">
        <f t="shared" si="20"/>
        <v>0</v>
      </c>
      <c r="K63" s="4">
        <f t="shared" si="20"/>
        <v>0</v>
      </c>
      <c r="L63" s="4">
        <f t="shared" si="20"/>
        <v>0</v>
      </c>
    </row>
    <row r="64" spans="8:12" hidden="1" x14ac:dyDescent="0.25">
      <c r="H64" s="4">
        <f t="shared" ref="H64:L73" si="21">AN2</f>
        <v>0</v>
      </c>
      <c r="I64" s="4">
        <f t="shared" si="21"/>
        <v>0</v>
      </c>
      <c r="J64" s="4">
        <f t="shared" si="21"/>
        <v>0</v>
      </c>
      <c r="K64" s="4">
        <f t="shared" si="21"/>
        <v>0</v>
      </c>
      <c r="L64" s="4">
        <f t="shared" si="21"/>
        <v>0</v>
      </c>
    </row>
    <row r="65" spans="8:12" hidden="1" x14ac:dyDescent="0.25">
      <c r="H65" s="4">
        <f t="shared" si="21"/>
        <v>0</v>
      </c>
      <c r="I65" s="4">
        <f t="shared" si="21"/>
        <v>0</v>
      </c>
      <c r="J65" s="4">
        <f t="shared" si="21"/>
        <v>0</v>
      </c>
      <c r="K65" s="4">
        <f t="shared" si="21"/>
        <v>0</v>
      </c>
      <c r="L65" s="4">
        <f t="shared" si="21"/>
        <v>0</v>
      </c>
    </row>
    <row r="66" spans="8:12" hidden="1" x14ac:dyDescent="0.25">
      <c r="H66" s="4">
        <f t="shared" si="21"/>
        <v>0</v>
      </c>
      <c r="I66" s="4">
        <f t="shared" si="21"/>
        <v>0</v>
      </c>
      <c r="J66" s="4">
        <f t="shared" si="21"/>
        <v>0</v>
      </c>
      <c r="K66" s="4">
        <f t="shared" si="21"/>
        <v>0</v>
      </c>
      <c r="L66" s="4">
        <f t="shared" si="21"/>
        <v>0</v>
      </c>
    </row>
    <row r="67" spans="8:12" hidden="1" x14ac:dyDescent="0.25">
      <c r="H67" s="4">
        <f t="shared" si="21"/>
        <v>0</v>
      </c>
      <c r="I67" s="4">
        <f t="shared" si="21"/>
        <v>0</v>
      </c>
      <c r="J67" s="4">
        <f t="shared" si="21"/>
        <v>0</v>
      </c>
      <c r="K67" s="4">
        <f t="shared" si="21"/>
        <v>0</v>
      </c>
      <c r="L67" s="4">
        <f t="shared" si="21"/>
        <v>0</v>
      </c>
    </row>
    <row r="68" spans="8:12" hidden="1" x14ac:dyDescent="0.25">
      <c r="H68" s="4">
        <f t="shared" si="21"/>
        <v>0</v>
      </c>
      <c r="I68" s="4">
        <f t="shared" si="21"/>
        <v>0</v>
      </c>
      <c r="J68" s="4">
        <f t="shared" si="21"/>
        <v>0</v>
      </c>
      <c r="K68" s="4">
        <f t="shared" si="21"/>
        <v>0</v>
      </c>
      <c r="L68" s="4">
        <f t="shared" si="21"/>
        <v>0</v>
      </c>
    </row>
    <row r="69" spans="8:12" hidden="1" x14ac:dyDescent="0.25">
      <c r="H69" s="4">
        <f t="shared" si="21"/>
        <v>0</v>
      </c>
      <c r="I69" s="4">
        <f t="shared" si="21"/>
        <v>0</v>
      </c>
      <c r="J69" s="4">
        <f t="shared" si="21"/>
        <v>0</v>
      </c>
      <c r="K69" s="4">
        <f t="shared" si="21"/>
        <v>0</v>
      </c>
      <c r="L69" s="4">
        <f t="shared" si="21"/>
        <v>0</v>
      </c>
    </row>
    <row r="70" spans="8:12" hidden="1" x14ac:dyDescent="0.25">
      <c r="H70" s="4">
        <f t="shared" si="21"/>
        <v>0</v>
      </c>
      <c r="I70" s="4">
        <f t="shared" si="21"/>
        <v>0</v>
      </c>
      <c r="J70" s="4">
        <f t="shared" si="21"/>
        <v>0</v>
      </c>
      <c r="K70" s="4">
        <f t="shared" si="21"/>
        <v>0</v>
      </c>
      <c r="L70" s="4">
        <f t="shared" si="21"/>
        <v>0</v>
      </c>
    </row>
    <row r="71" spans="8:12" hidden="1" x14ac:dyDescent="0.25">
      <c r="H71" s="4">
        <f t="shared" si="21"/>
        <v>0</v>
      </c>
      <c r="I71" s="4">
        <f t="shared" si="21"/>
        <v>0</v>
      </c>
      <c r="J71" s="4">
        <f t="shared" si="21"/>
        <v>0</v>
      </c>
      <c r="K71" s="4">
        <f t="shared" si="21"/>
        <v>0</v>
      </c>
      <c r="L71" s="4">
        <f t="shared" si="21"/>
        <v>0</v>
      </c>
    </row>
    <row r="72" spans="8:12" hidden="1" x14ac:dyDescent="0.25">
      <c r="H72" s="4">
        <f t="shared" si="21"/>
        <v>0</v>
      </c>
      <c r="I72" s="4">
        <f t="shared" si="21"/>
        <v>0</v>
      </c>
      <c r="J72" s="4">
        <f t="shared" si="21"/>
        <v>0</v>
      </c>
      <c r="K72" s="4">
        <f t="shared" si="21"/>
        <v>0</v>
      </c>
      <c r="L72" s="4">
        <f t="shared" si="21"/>
        <v>0</v>
      </c>
    </row>
    <row r="73" spans="8:12" hidden="1" x14ac:dyDescent="0.25">
      <c r="H73" s="4">
        <f t="shared" si="21"/>
        <v>0</v>
      </c>
      <c r="I73" s="4">
        <f t="shared" si="21"/>
        <v>0</v>
      </c>
      <c r="J73" s="4">
        <f t="shared" si="21"/>
        <v>0</v>
      </c>
      <c r="K73" s="4">
        <f t="shared" si="21"/>
        <v>0</v>
      </c>
      <c r="L73" s="4">
        <f t="shared" si="21"/>
        <v>0</v>
      </c>
    </row>
    <row r="74" spans="8:12" hidden="1" x14ac:dyDescent="0.25">
      <c r="H74" s="4">
        <f t="shared" ref="H74:L83" si="22">AT2</f>
        <v>0</v>
      </c>
      <c r="I74" s="4">
        <f t="shared" si="22"/>
        <v>0</v>
      </c>
      <c r="J74" s="4">
        <f t="shared" si="22"/>
        <v>0</v>
      </c>
      <c r="K74" s="4">
        <f t="shared" si="22"/>
        <v>0</v>
      </c>
      <c r="L74" s="4">
        <f t="shared" si="22"/>
        <v>0</v>
      </c>
    </row>
    <row r="75" spans="8:12" hidden="1" x14ac:dyDescent="0.25">
      <c r="H75" s="4">
        <f t="shared" si="22"/>
        <v>0</v>
      </c>
      <c r="I75" s="4">
        <f t="shared" si="22"/>
        <v>0</v>
      </c>
      <c r="J75" s="4">
        <f t="shared" si="22"/>
        <v>0</v>
      </c>
      <c r="K75" s="4">
        <f t="shared" si="22"/>
        <v>0</v>
      </c>
      <c r="L75" s="4">
        <f t="shared" si="22"/>
        <v>0</v>
      </c>
    </row>
    <row r="76" spans="8:12" hidden="1" x14ac:dyDescent="0.25"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0</v>
      </c>
    </row>
    <row r="77" spans="8:12" hidden="1" x14ac:dyDescent="0.25">
      <c r="H77" s="4">
        <f t="shared" si="22"/>
        <v>0</v>
      </c>
      <c r="I77" s="4">
        <f t="shared" si="22"/>
        <v>0</v>
      </c>
      <c r="J77" s="4">
        <f t="shared" si="22"/>
        <v>0</v>
      </c>
      <c r="K77" s="4">
        <f t="shared" si="22"/>
        <v>0</v>
      </c>
      <c r="L77" s="4">
        <f t="shared" si="22"/>
        <v>0</v>
      </c>
    </row>
    <row r="78" spans="8:12" hidden="1" x14ac:dyDescent="0.25">
      <c r="H78" s="4">
        <f t="shared" si="22"/>
        <v>0</v>
      </c>
      <c r="I78" s="4">
        <f t="shared" si="22"/>
        <v>0</v>
      </c>
      <c r="J78" s="4">
        <f t="shared" si="22"/>
        <v>0</v>
      </c>
      <c r="K78" s="4">
        <f t="shared" si="22"/>
        <v>0</v>
      </c>
      <c r="L78" s="4">
        <f t="shared" si="22"/>
        <v>0</v>
      </c>
    </row>
    <row r="79" spans="8:12" hidden="1" x14ac:dyDescent="0.25">
      <c r="H79" s="4">
        <f t="shared" si="22"/>
        <v>0</v>
      </c>
      <c r="I79" s="4">
        <f t="shared" si="22"/>
        <v>0</v>
      </c>
      <c r="J79" s="4">
        <f t="shared" si="22"/>
        <v>0</v>
      </c>
      <c r="K79" s="4">
        <f t="shared" si="22"/>
        <v>0</v>
      </c>
      <c r="L79" s="4">
        <f t="shared" si="22"/>
        <v>0</v>
      </c>
    </row>
    <row r="80" spans="8:12" hidden="1" x14ac:dyDescent="0.25">
      <c r="H80" s="4">
        <f t="shared" si="22"/>
        <v>0</v>
      </c>
      <c r="I80" s="4">
        <f t="shared" si="22"/>
        <v>0</v>
      </c>
      <c r="J80" s="4">
        <f t="shared" si="22"/>
        <v>0</v>
      </c>
      <c r="K80" s="4">
        <f t="shared" si="22"/>
        <v>0</v>
      </c>
      <c r="L80" s="4">
        <f t="shared" si="22"/>
        <v>0</v>
      </c>
    </row>
    <row r="81" spans="8:12" hidden="1" x14ac:dyDescent="0.25">
      <c r="H81" s="4">
        <f t="shared" si="22"/>
        <v>0</v>
      </c>
      <c r="I81" s="4">
        <f t="shared" si="22"/>
        <v>0</v>
      </c>
      <c r="J81" s="4">
        <f t="shared" si="22"/>
        <v>0</v>
      </c>
      <c r="K81" s="4">
        <f t="shared" si="22"/>
        <v>0</v>
      </c>
      <c r="L81" s="4">
        <f t="shared" si="22"/>
        <v>0</v>
      </c>
    </row>
    <row r="82" spans="8:12" hidden="1" x14ac:dyDescent="0.25"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</row>
    <row r="83" spans="8:12" hidden="1" x14ac:dyDescent="0.25">
      <c r="H83" s="4">
        <f t="shared" si="22"/>
        <v>0</v>
      </c>
      <c r="I83" s="4">
        <f t="shared" si="22"/>
        <v>0</v>
      </c>
      <c r="J83" s="4">
        <f t="shared" si="22"/>
        <v>0</v>
      </c>
      <c r="K83" s="4">
        <f t="shared" si="22"/>
        <v>0</v>
      </c>
      <c r="L83" s="4">
        <f t="shared" si="22"/>
        <v>0</v>
      </c>
    </row>
    <row r="84" spans="8:12" hidden="1" x14ac:dyDescent="0.25">
      <c r="H84" s="4">
        <f t="shared" ref="H84:L93" si="23">AZ2</f>
        <v>0</v>
      </c>
      <c r="I84" s="4">
        <f t="shared" si="23"/>
        <v>0</v>
      </c>
      <c r="J84" s="4">
        <f t="shared" si="23"/>
        <v>0</v>
      </c>
      <c r="K84" s="4">
        <f t="shared" si="23"/>
        <v>0</v>
      </c>
      <c r="L84" s="4">
        <f t="shared" si="23"/>
        <v>0</v>
      </c>
    </row>
    <row r="85" spans="8:12" hidden="1" x14ac:dyDescent="0.25">
      <c r="H85" s="4">
        <f t="shared" si="23"/>
        <v>0</v>
      </c>
      <c r="I85" s="4">
        <f t="shared" si="23"/>
        <v>0</v>
      </c>
      <c r="J85" s="4">
        <f t="shared" si="23"/>
        <v>0</v>
      </c>
      <c r="K85" s="4">
        <f t="shared" si="23"/>
        <v>0</v>
      </c>
      <c r="L85" s="4">
        <f t="shared" si="23"/>
        <v>0</v>
      </c>
    </row>
    <row r="86" spans="8:12" hidden="1" x14ac:dyDescent="0.25">
      <c r="H86" s="4">
        <f t="shared" si="23"/>
        <v>0</v>
      </c>
      <c r="I86" s="4">
        <f t="shared" si="23"/>
        <v>0</v>
      </c>
      <c r="J86" s="4">
        <f t="shared" si="23"/>
        <v>0</v>
      </c>
      <c r="K86" s="4">
        <f t="shared" si="23"/>
        <v>0</v>
      </c>
      <c r="L86" s="4">
        <f t="shared" si="23"/>
        <v>0</v>
      </c>
    </row>
    <row r="87" spans="8:12" hidden="1" x14ac:dyDescent="0.25">
      <c r="H87" s="4">
        <f t="shared" si="23"/>
        <v>0</v>
      </c>
      <c r="I87" s="4">
        <f t="shared" si="23"/>
        <v>0</v>
      </c>
      <c r="J87" s="4">
        <f t="shared" si="23"/>
        <v>0</v>
      </c>
      <c r="K87" s="4">
        <f t="shared" si="23"/>
        <v>0</v>
      </c>
      <c r="L87" s="4">
        <f t="shared" si="23"/>
        <v>0</v>
      </c>
    </row>
    <row r="88" spans="8:12" hidden="1" x14ac:dyDescent="0.25">
      <c r="H88" s="4">
        <f t="shared" si="23"/>
        <v>0</v>
      </c>
      <c r="I88" s="4">
        <f t="shared" si="23"/>
        <v>0</v>
      </c>
      <c r="J88" s="4">
        <f t="shared" si="23"/>
        <v>0</v>
      </c>
      <c r="K88" s="4">
        <f t="shared" si="23"/>
        <v>0</v>
      </c>
      <c r="L88" s="4">
        <f t="shared" si="23"/>
        <v>0</v>
      </c>
    </row>
    <row r="89" spans="8:12" hidden="1" x14ac:dyDescent="0.25">
      <c r="H89" s="4">
        <f t="shared" si="23"/>
        <v>0</v>
      </c>
      <c r="I89" s="4">
        <f t="shared" si="23"/>
        <v>0</v>
      </c>
      <c r="J89" s="4">
        <f t="shared" si="23"/>
        <v>0</v>
      </c>
      <c r="K89" s="4">
        <f t="shared" si="23"/>
        <v>0</v>
      </c>
      <c r="L89" s="4">
        <f t="shared" si="23"/>
        <v>0</v>
      </c>
    </row>
    <row r="90" spans="8:12" hidden="1" x14ac:dyDescent="0.25">
      <c r="H90" s="4">
        <f t="shared" si="23"/>
        <v>0</v>
      </c>
      <c r="I90" s="4">
        <f t="shared" si="23"/>
        <v>0</v>
      </c>
      <c r="J90" s="4">
        <f t="shared" si="23"/>
        <v>0</v>
      </c>
      <c r="K90" s="4">
        <f t="shared" si="23"/>
        <v>0</v>
      </c>
      <c r="L90" s="4">
        <f t="shared" si="23"/>
        <v>0</v>
      </c>
    </row>
    <row r="91" spans="8:12" hidden="1" x14ac:dyDescent="0.25">
      <c r="H91" s="4">
        <f t="shared" si="23"/>
        <v>0</v>
      </c>
      <c r="I91" s="4">
        <f t="shared" si="23"/>
        <v>0</v>
      </c>
      <c r="J91" s="4">
        <f t="shared" si="23"/>
        <v>0</v>
      </c>
      <c r="K91" s="4">
        <f t="shared" si="23"/>
        <v>0</v>
      </c>
      <c r="L91" s="4">
        <f t="shared" si="23"/>
        <v>0</v>
      </c>
    </row>
    <row r="92" spans="8:12" hidden="1" x14ac:dyDescent="0.25">
      <c r="H92" s="4">
        <f t="shared" si="23"/>
        <v>0</v>
      </c>
      <c r="I92" s="4">
        <f t="shared" si="23"/>
        <v>0</v>
      </c>
      <c r="J92" s="4">
        <f t="shared" si="23"/>
        <v>0</v>
      </c>
      <c r="K92" s="4">
        <f t="shared" si="23"/>
        <v>0</v>
      </c>
      <c r="L92" s="4">
        <f t="shared" si="23"/>
        <v>0</v>
      </c>
    </row>
    <row r="93" spans="8:12" hidden="1" x14ac:dyDescent="0.25">
      <c r="H93" s="4">
        <f t="shared" si="23"/>
        <v>0</v>
      </c>
      <c r="I93" s="4">
        <f t="shared" si="23"/>
        <v>0</v>
      </c>
      <c r="J93" s="4">
        <f t="shared" si="23"/>
        <v>0</v>
      </c>
      <c r="K93" s="4">
        <f t="shared" si="23"/>
        <v>0</v>
      </c>
      <c r="L93" s="4">
        <f t="shared" si="23"/>
        <v>0</v>
      </c>
    </row>
    <row r="94" spans="8:12" hidden="1" x14ac:dyDescent="0.25">
      <c r="H94" s="4">
        <f t="shared" ref="H94:L103" si="24">BF2</f>
        <v>0</v>
      </c>
      <c r="I94" s="4">
        <f t="shared" si="24"/>
        <v>0</v>
      </c>
      <c r="J94" s="4">
        <f t="shared" si="24"/>
        <v>0</v>
      </c>
      <c r="K94" s="4">
        <f t="shared" si="24"/>
        <v>0</v>
      </c>
      <c r="L94" s="4">
        <f t="shared" si="24"/>
        <v>0</v>
      </c>
    </row>
    <row r="95" spans="8:12" hidden="1" x14ac:dyDescent="0.25">
      <c r="H95" s="4">
        <f t="shared" si="24"/>
        <v>0</v>
      </c>
      <c r="I95" s="4">
        <f t="shared" si="24"/>
        <v>0</v>
      </c>
      <c r="J95" s="4">
        <f t="shared" si="24"/>
        <v>0</v>
      </c>
      <c r="K95" s="4">
        <f t="shared" si="24"/>
        <v>0</v>
      </c>
      <c r="L95" s="4">
        <f t="shared" si="24"/>
        <v>0</v>
      </c>
    </row>
    <row r="96" spans="8:12" hidden="1" x14ac:dyDescent="0.25">
      <c r="H96" s="4">
        <f t="shared" si="24"/>
        <v>0</v>
      </c>
      <c r="I96" s="4">
        <f t="shared" si="24"/>
        <v>0</v>
      </c>
      <c r="J96" s="4">
        <f t="shared" si="24"/>
        <v>0</v>
      </c>
      <c r="K96" s="4">
        <f t="shared" si="24"/>
        <v>0</v>
      </c>
      <c r="L96" s="4">
        <f t="shared" si="24"/>
        <v>0</v>
      </c>
    </row>
    <row r="97" spans="8:12" hidden="1" x14ac:dyDescent="0.25">
      <c r="H97" s="4">
        <f t="shared" si="24"/>
        <v>0</v>
      </c>
      <c r="I97" s="4">
        <f t="shared" si="24"/>
        <v>0</v>
      </c>
      <c r="J97" s="4">
        <f t="shared" si="24"/>
        <v>0</v>
      </c>
      <c r="K97" s="4">
        <f t="shared" si="24"/>
        <v>0</v>
      </c>
      <c r="L97" s="4">
        <f t="shared" si="24"/>
        <v>0</v>
      </c>
    </row>
    <row r="98" spans="8:12" hidden="1" x14ac:dyDescent="0.25">
      <c r="H98" s="4">
        <f t="shared" si="24"/>
        <v>0</v>
      </c>
      <c r="I98" s="4">
        <f t="shared" si="24"/>
        <v>0</v>
      </c>
      <c r="J98" s="4">
        <f t="shared" si="24"/>
        <v>0</v>
      </c>
      <c r="K98" s="4">
        <f t="shared" si="24"/>
        <v>0</v>
      </c>
      <c r="L98" s="4">
        <f t="shared" si="24"/>
        <v>0</v>
      </c>
    </row>
    <row r="99" spans="8:12" hidden="1" x14ac:dyDescent="0.25">
      <c r="H99" s="4">
        <f t="shared" si="24"/>
        <v>0</v>
      </c>
      <c r="I99" s="4">
        <f t="shared" si="24"/>
        <v>0</v>
      </c>
      <c r="J99" s="4">
        <f t="shared" si="24"/>
        <v>0</v>
      </c>
      <c r="K99" s="4">
        <f t="shared" si="24"/>
        <v>0</v>
      </c>
      <c r="L99" s="4">
        <f t="shared" si="24"/>
        <v>0</v>
      </c>
    </row>
    <row r="100" spans="8:12" hidden="1" x14ac:dyDescent="0.25">
      <c r="H100" s="4">
        <f t="shared" si="24"/>
        <v>0</v>
      </c>
      <c r="I100" s="4">
        <f t="shared" si="24"/>
        <v>0</v>
      </c>
      <c r="J100" s="4">
        <f t="shared" si="24"/>
        <v>0</v>
      </c>
      <c r="K100" s="4">
        <f t="shared" si="24"/>
        <v>0</v>
      </c>
      <c r="L100" s="4">
        <f t="shared" si="24"/>
        <v>0</v>
      </c>
    </row>
    <row r="101" spans="8:12" hidden="1" x14ac:dyDescent="0.25">
      <c r="H101" s="4">
        <f t="shared" si="24"/>
        <v>0</v>
      </c>
      <c r="I101" s="4">
        <f t="shared" si="24"/>
        <v>0</v>
      </c>
      <c r="J101" s="4">
        <f t="shared" si="24"/>
        <v>0</v>
      </c>
      <c r="K101" s="4">
        <f t="shared" si="24"/>
        <v>0</v>
      </c>
      <c r="L101" s="4">
        <f t="shared" si="24"/>
        <v>0</v>
      </c>
    </row>
    <row r="102" spans="8:12" hidden="1" x14ac:dyDescent="0.25">
      <c r="H102" s="4">
        <f t="shared" si="24"/>
        <v>0</v>
      </c>
      <c r="I102" s="4">
        <f t="shared" si="24"/>
        <v>0</v>
      </c>
      <c r="J102" s="4">
        <f t="shared" si="24"/>
        <v>0</v>
      </c>
      <c r="K102" s="4">
        <f t="shared" si="24"/>
        <v>0</v>
      </c>
      <c r="L102" s="4">
        <f t="shared" si="24"/>
        <v>0</v>
      </c>
    </row>
    <row r="103" spans="8:12" hidden="1" x14ac:dyDescent="0.25">
      <c r="H103" s="4">
        <f t="shared" si="24"/>
        <v>0</v>
      </c>
      <c r="I103" s="4">
        <f t="shared" si="24"/>
        <v>0</v>
      </c>
      <c r="J103" s="4">
        <f t="shared" si="24"/>
        <v>0</v>
      </c>
      <c r="K103" s="4">
        <f t="shared" si="24"/>
        <v>0</v>
      </c>
      <c r="L103" s="4">
        <f t="shared" si="24"/>
        <v>0</v>
      </c>
    </row>
    <row r="104" spans="8:12" hidden="1" x14ac:dyDescent="0.25">
      <c r="H104" s="4">
        <f t="shared" ref="H104:L113" si="25">BL2</f>
        <v>0</v>
      </c>
      <c r="I104" s="4">
        <f t="shared" si="25"/>
        <v>0</v>
      </c>
      <c r="J104" s="4">
        <f t="shared" si="25"/>
        <v>0</v>
      </c>
      <c r="K104" s="4">
        <f t="shared" si="25"/>
        <v>0</v>
      </c>
      <c r="L104" s="4">
        <f t="shared" si="25"/>
        <v>0</v>
      </c>
    </row>
    <row r="105" spans="8:12" hidden="1" x14ac:dyDescent="0.25">
      <c r="H105" s="4">
        <f t="shared" si="25"/>
        <v>0</v>
      </c>
      <c r="I105" s="4">
        <f t="shared" si="25"/>
        <v>0</v>
      </c>
      <c r="J105" s="4">
        <f t="shared" si="25"/>
        <v>0</v>
      </c>
      <c r="K105" s="4">
        <f t="shared" si="25"/>
        <v>0</v>
      </c>
      <c r="L105" s="4">
        <f t="shared" si="25"/>
        <v>0</v>
      </c>
    </row>
    <row r="106" spans="8:12" hidden="1" x14ac:dyDescent="0.25">
      <c r="H106" s="4">
        <f t="shared" si="25"/>
        <v>0</v>
      </c>
      <c r="I106" s="4">
        <f t="shared" si="25"/>
        <v>0</v>
      </c>
      <c r="J106" s="4">
        <f t="shared" si="25"/>
        <v>0</v>
      </c>
      <c r="K106" s="4">
        <f t="shared" si="25"/>
        <v>0</v>
      </c>
      <c r="L106" s="4">
        <f t="shared" si="25"/>
        <v>0</v>
      </c>
    </row>
    <row r="107" spans="8:12" hidden="1" x14ac:dyDescent="0.25">
      <c r="H107" s="4">
        <f t="shared" si="25"/>
        <v>0</v>
      </c>
      <c r="I107" s="4">
        <f t="shared" si="25"/>
        <v>0</v>
      </c>
      <c r="J107" s="4">
        <f t="shared" si="25"/>
        <v>0</v>
      </c>
      <c r="K107" s="4">
        <f t="shared" si="25"/>
        <v>0</v>
      </c>
      <c r="L107" s="4">
        <f t="shared" si="25"/>
        <v>0</v>
      </c>
    </row>
    <row r="108" spans="8:12" hidden="1" x14ac:dyDescent="0.25">
      <c r="H108" s="4">
        <f t="shared" si="25"/>
        <v>0</v>
      </c>
      <c r="I108" s="4">
        <f t="shared" si="25"/>
        <v>0</v>
      </c>
      <c r="J108" s="4">
        <f t="shared" si="25"/>
        <v>0</v>
      </c>
      <c r="K108" s="4">
        <f t="shared" si="25"/>
        <v>0</v>
      </c>
      <c r="L108" s="4">
        <f t="shared" si="25"/>
        <v>0</v>
      </c>
    </row>
    <row r="109" spans="8:12" hidden="1" x14ac:dyDescent="0.25">
      <c r="H109" s="4">
        <f t="shared" si="25"/>
        <v>0</v>
      </c>
      <c r="I109" s="4">
        <f t="shared" si="25"/>
        <v>0</v>
      </c>
      <c r="J109" s="4">
        <f t="shared" si="25"/>
        <v>0</v>
      </c>
      <c r="K109" s="4">
        <f t="shared" si="25"/>
        <v>0</v>
      </c>
      <c r="L109" s="4">
        <f t="shared" si="25"/>
        <v>0</v>
      </c>
    </row>
    <row r="110" spans="8:12" hidden="1" x14ac:dyDescent="0.25">
      <c r="H110" s="4">
        <f t="shared" si="25"/>
        <v>0</v>
      </c>
      <c r="I110" s="4">
        <f t="shared" si="25"/>
        <v>0</v>
      </c>
      <c r="J110" s="4">
        <f t="shared" si="25"/>
        <v>0</v>
      </c>
      <c r="K110" s="4">
        <f t="shared" si="25"/>
        <v>0</v>
      </c>
      <c r="L110" s="4">
        <f t="shared" si="25"/>
        <v>0</v>
      </c>
    </row>
    <row r="111" spans="8:12" hidden="1" x14ac:dyDescent="0.25">
      <c r="H111" s="4">
        <f t="shared" si="25"/>
        <v>0</v>
      </c>
      <c r="I111" s="4">
        <f t="shared" si="25"/>
        <v>0</v>
      </c>
      <c r="J111" s="4">
        <f t="shared" si="25"/>
        <v>0</v>
      </c>
      <c r="K111" s="4">
        <f t="shared" si="25"/>
        <v>0</v>
      </c>
      <c r="L111" s="4">
        <f t="shared" si="25"/>
        <v>0</v>
      </c>
    </row>
    <row r="112" spans="8:12" hidden="1" x14ac:dyDescent="0.25">
      <c r="H112" s="4">
        <f t="shared" si="25"/>
        <v>0</v>
      </c>
      <c r="I112" s="4">
        <f t="shared" si="25"/>
        <v>0</v>
      </c>
      <c r="J112" s="4">
        <f t="shared" si="25"/>
        <v>0</v>
      </c>
      <c r="K112" s="4">
        <f t="shared" si="25"/>
        <v>0</v>
      </c>
      <c r="L112" s="4">
        <f t="shared" si="25"/>
        <v>0</v>
      </c>
    </row>
    <row r="113" spans="1:62" hidden="1" x14ac:dyDescent="0.25">
      <c r="H113" s="45">
        <f t="shared" si="25"/>
        <v>0</v>
      </c>
      <c r="I113" s="45">
        <f t="shared" si="25"/>
        <v>0</v>
      </c>
      <c r="J113" s="4">
        <f t="shared" si="25"/>
        <v>0</v>
      </c>
      <c r="K113" s="4">
        <f t="shared" si="25"/>
        <v>0</v>
      </c>
      <c r="L113" s="4">
        <f t="shared" si="25"/>
        <v>0</v>
      </c>
    </row>
    <row r="114" spans="1:62" x14ac:dyDescent="0.25">
      <c r="A114" s="168" t="s">
        <v>85</v>
      </c>
      <c r="B114" s="169"/>
      <c r="C114" s="170"/>
      <c r="D114" s="171">
        <v>46008</v>
      </c>
      <c r="E114" s="172"/>
      <c r="F114" s="172"/>
      <c r="G114" s="172"/>
      <c r="H114" s="46"/>
      <c r="I114" s="54"/>
    </row>
    <row r="115" spans="1:62" ht="15.75" thickBot="1" x14ac:dyDescent="0.3">
      <c r="A115" s="110"/>
      <c r="B115" s="110"/>
      <c r="C115" s="110"/>
      <c r="D115" s="110"/>
      <c r="E115" s="110"/>
      <c r="F115" s="110"/>
      <c r="G115" s="110"/>
      <c r="H115" s="54"/>
      <c r="I115" s="54"/>
    </row>
    <row r="116" spans="1:62" ht="16.5" thickBot="1" x14ac:dyDescent="0.3">
      <c r="A116" s="173" t="s">
        <v>248</v>
      </c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5"/>
      <c r="AH116" s="118" t="s">
        <v>35</v>
      </c>
      <c r="AI116" s="118"/>
      <c r="AJ116" s="118" t="str">
        <f>F2</f>
        <v>AP08</v>
      </c>
      <c r="AK116" s="118"/>
      <c r="AL116" s="118"/>
      <c r="AN116" s="118" t="s">
        <v>35</v>
      </c>
      <c r="AO116" s="118"/>
      <c r="AP116" s="118">
        <f>F3</f>
        <v>0</v>
      </c>
      <c r="AQ116" s="118"/>
      <c r="AR116" s="118"/>
      <c r="AT116" s="118" t="s">
        <v>35</v>
      </c>
      <c r="AU116" s="118"/>
      <c r="AV116" s="118">
        <f>F4</f>
        <v>0</v>
      </c>
      <c r="AW116" s="118"/>
      <c r="AX116" s="118"/>
      <c r="AZ116" s="118" t="s">
        <v>35</v>
      </c>
      <c r="BA116" s="118"/>
      <c r="BB116" s="118">
        <f>F5</f>
        <v>0</v>
      </c>
      <c r="BC116" s="118"/>
      <c r="BD116" s="118"/>
      <c r="BF116" s="118" t="s">
        <v>35</v>
      </c>
      <c r="BG116" s="118"/>
      <c r="BH116" s="118">
        <f>F6</f>
        <v>0</v>
      </c>
      <c r="BI116" s="118"/>
      <c r="BJ116" s="118"/>
    </row>
    <row r="117" spans="1:62" x14ac:dyDescent="0.25">
      <c r="A117" s="123" t="s">
        <v>31</v>
      </c>
      <c r="B117" s="113" t="s">
        <v>22</v>
      </c>
      <c r="C117" s="114"/>
      <c r="D117" s="114"/>
      <c r="E117" s="114"/>
      <c r="F117" s="115"/>
      <c r="G117" s="113" t="s">
        <v>20</v>
      </c>
      <c r="H117" s="114"/>
      <c r="I117" s="114"/>
      <c r="J117" s="114"/>
      <c r="K117" s="115"/>
      <c r="L117" s="113" t="s">
        <v>34</v>
      </c>
      <c r="M117" s="114"/>
      <c r="N117" s="114"/>
      <c r="O117" s="114"/>
      <c r="P117" s="115"/>
      <c r="Q117" s="113" t="s">
        <v>127</v>
      </c>
      <c r="R117" s="114"/>
      <c r="S117" s="114"/>
      <c r="T117" s="114"/>
      <c r="U117" s="115"/>
      <c r="V117" s="113" t="s">
        <v>129</v>
      </c>
      <c r="W117" s="114"/>
      <c r="X117" s="114"/>
      <c r="Y117" s="114"/>
      <c r="Z117" s="115"/>
      <c r="AA117" s="113" t="s">
        <v>26</v>
      </c>
      <c r="AB117" s="114"/>
      <c r="AC117" s="114"/>
      <c r="AD117" s="114"/>
      <c r="AE117" s="115"/>
      <c r="AF117" s="116" t="s">
        <v>24</v>
      </c>
      <c r="AG117" s="116" t="s">
        <v>86</v>
      </c>
      <c r="AH117" s="118" t="str">
        <f>G2</f>
        <v>PAWAN PUTRA AGENCY</v>
      </c>
      <c r="AI117" s="118"/>
      <c r="AJ117" s="118"/>
      <c r="AK117" s="118"/>
      <c r="AL117" s="118"/>
      <c r="AN117" s="118">
        <f>G3</f>
        <v>0</v>
      </c>
      <c r="AO117" s="118"/>
      <c r="AP117" s="118"/>
      <c r="AQ117" s="118"/>
      <c r="AR117" s="118"/>
      <c r="AT117" s="118">
        <f>G4</f>
        <v>0</v>
      </c>
      <c r="AU117" s="118"/>
      <c r="AV117" s="118"/>
      <c r="AW117" s="118"/>
      <c r="AX117" s="118"/>
      <c r="AZ117" s="118">
        <f>G5</f>
        <v>0</v>
      </c>
      <c r="BA117" s="118"/>
      <c r="BB117" s="118"/>
      <c r="BC117" s="118"/>
      <c r="BD117" s="118"/>
      <c r="BF117" s="118">
        <f>G6</f>
        <v>0</v>
      </c>
      <c r="BG117" s="118"/>
      <c r="BH117" s="118"/>
      <c r="BI117" s="118"/>
      <c r="BJ117" s="118"/>
    </row>
    <row r="118" spans="1:62" ht="15.75" thickBot="1" x14ac:dyDescent="0.3">
      <c r="A118" s="124"/>
      <c r="B118" s="9" t="s">
        <v>32</v>
      </c>
      <c r="C118" s="12" t="s">
        <v>17</v>
      </c>
      <c r="D118" s="12" t="s">
        <v>19</v>
      </c>
      <c r="E118" s="12" t="s">
        <v>33</v>
      </c>
      <c r="F118" s="14" t="s">
        <v>80</v>
      </c>
      <c r="G118" s="9" t="s">
        <v>32</v>
      </c>
      <c r="H118" s="12" t="s">
        <v>17</v>
      </c>
      <c r="I118" s="12" t="s">
        <v>19</v>
      </c>
      <c r="J118" s="12" t="s">
        <v>33</v>
      </c>
      <c r="K118" s="14" t="s">
        <v>80</v>
      </c>
      <c r="L118" s="9" t="s">
        <v>32</v>
      </c>
      <c r="M118" s="12" t="s">
        <v>17</v>
      </c>
      <c r="N118" s="12" t="s">
        <v>19</v>
      </c>
      <c r="O118" s="12" t="s">
        <v>33</v>
      </c>
      <c r="P118" s="14" t="s">
        <v>80</v>
      </c>
      <c r="Q118" s="9" t="s">
        <v>32</v>
      </c>
      <c r="R118" s="12" t="s">
        <v>17</v>
      </c>
      <c r="S118" s="12" t="s">
        <v>19</v>
      </c>
      <c r="T118" s="12" t="s">
        <v>33</v>
      </c>
      <c r="U118" s="14" t="s">
        <v>80</v>
      </c>
      <c r="V118" s="9" t="s">
        <v>32</v>
      </c>
      <c r="W118" s="12" t="s">
        <v>17</v>
      </c>
      <c r="X118" s="12" t="s">
        <v>19</v>
      </c>
      <c r="Y118" s="12" t="s">
        <v>33</v>
      </c>
      <c r="Z118" s="14" t="s">
        <v>80</v>
      </c>
      <c r="AA118" s="9" t="s">
        <v>32</v>
      </c>
      <c r="AB118" s="12" t="s">
        <v>17</v>
      </c>
      <c r="AC118" s="12" t="s">
        <v>19</v>
      </c>
      <c r="AD118" s="12" t="s">
        <v>33</v>
      </c>
      <c r="AE118" s="14" t="s">
        <v>80</v>
      </c>
      <c r="AF118" s="117"/>
      <c r="AG118" s="117"/>
      <c r="AH118" s="118" t="str">
        <f>H2</f>
        <v>TIRUPATHI</v>
      </c>
      <c r="AI118" s="118"/>
      <c r="AJ118" s="118"/>
      <c r="AK118" s="118"/>
      <c r="AL118" s="118"/>
      <c r="AN118" s="118">
        <f>H3</f>
        <v>0</v>
      </c>
      <c r="AO118" s="118"/>
      <c r="AP118" s="118"/>
      <c r="AQ118" s="118"/>
      <c r="AR118" s="118"/>
      <c r="AT118" s="118">
        <f>H4</f>
        <v>0</v>
      </c>
      <c r="AU118" s="118"/>
      <c r="AV118" s="118"/>
      <c r="AW118" s="118"/>
      <c r="AX118" s="118"/>
      <c r="AZ118" s="118">
        <f>H5</f>
        <v>0</v>
      </c>
      <c r="BA118" s="118"/>
      <c r="BB118" s="118"/>
      <c r="BC118" s="118"/>
      <c r="BD118" s="118"/>
      <c r="BF118" s="118">
        <f>H6</f>
        <v>0</v>
      </c>
      <c r="BG118" s="118"/>
      <c r="BH118" s="118"/>
      <c r="BI118" s="118"/>
      <c r="BJ118" s="118"/>
    </row>
    <row r="119" spans="1:62" ht="15.75" thickBot="1" x14ac:dyDescent="0.3">
      <c r="A119" s="16">
        <v>300</v>
      </c>
      <c r="B119" s="10">
        <f t="shared" ref="B119:F127" si="26">SUMIFS($J$14:$J$113,$I$14:$I$113,$A119,$K$14:$K$113,B$118,$L$14:$L$113,$B$117,$H$14:$H$113,"AG")</f>
        <v>0</v>
      </c>
      <c r="C119" s="11">
        <f t="shared" si="26"/>
        <v>0</v>
      </c>
      <c r="D119" s="11">
        <f t="shared" si="26"/>
        <v>0</v>
      </c>
      <c r="E119" s="11">
        <f t="shared" si="26"/>
        <v>0</v>
      </c>
      <c r="F119" s="17">
        <f t="shared" si="26"/>
        <v>0</v>
      </c>
      <c r="G119" s="10">
        <f t="shared" ref="G119:K127" si="27">SUMIFS($J$14:$J$113,$I$14:$I$113,$A119,$K$14:$K$113,G$118,$L$14:$L$113,$G$117,$H$14:$H$113,"AG")</f>
        <v>0</v>
      </c>
      <c r="H119" s="11">
        <f t="shared" si="27"/>
        <v>0</v>
      </c>
      <c r="I119" s="11">
        <f t="shared" si="27"/>
        <v>0</v>
      </c>
      <c r="J119" s="11">
        <f t="shared" si="27"/>
        <v>0</v>
      </c>
      <c r="K119" s="17">
        <f t="shared" si="27"/>
        <v>0</v>
      </c>
      <c r="L119" s="10">
        <f t="shared" ref="L119:P127" si="28">SUMIFS($J$14:$J$113,$I$14:$I$113,$A119,$K$14:$K$113,L$118,$L$14:$L$113,$L$117,$H$14:$H$113,"AG")</f>
        <v>0</v>
      </c>
      <c r="M119" s="11">
        <f t="shared" si="28"/>
        <v>0</v>
      </c>
      <c r="N119" s="11">
        <f t="shared" si="28"/>
        <v>0</v>
      </c>
      <c r="O119" s="11">
        <f t="shared" si="28"/>
        <v>0</v>
      </c>
      <c r="P119" s="17">
        <f t="shared" si="28"/>
        <v>0</v>
      </c>
      <c r="Q119" s="10">
        <f t="shared" ref="Q119:U127" si="29">SUMIFS($J$14:$J$113,$I$14:$I$113,$A119,$K$14:$K$113,Q$118,$L$14:$L$113,$Q$117,$H$14:$H$113,"AG")</f>
        <v>0</v>
      </c>
      <c r="R119" s="11">
        <f t="shared" si="29"/>
        <v>0</v>
      </c>
      <c r="S119" s="11">
        <f t="shared" si="29"/>
        <v>0</v>
      </c>
      <c r="T119" s="11">
        <f t="shared" si="29"/>
        <v>0</v>
      </c>
      <c r="U119" s="17">
        <f t="shared" si="29"/>
        <v>0</v>
      </c>
      <c r="V119" s="10">
        <f t="shared" ref="V119:AE127" si="30">SUMIFS($J$14:$J$113,$I$14:$I$113,$A119,$K$14:$K$113,V$118,$L$14:$L$113,$L$117,$H$14:$H$113,"AG")</f>
        <v>0</v>
      </c>
      <c r="W119" s="11">
        <f t="shared" si="30"/>
        <v>0</v>
      </c>
      <c r="X119" s="11">
        <f t="shared" si="30"/>
        <v>0</v>
      </c>
      <c r="Y119" s="11">
        <f t="shared" si="30"/>
        <v>0</v>
      </c>
      <c r="Z119" s="17">
        <f t="shared" si="30"/>
        <v>0</v>
      </c>
      <c r="AA119" s="10">
        <f t="shared" si="30"/>
        <v>0</v>
      </c>
      <c r="AB119" s="11">
        <f t="shared" si="30"/>
        <v>0</v>
      </c>
      <c r="AC119" s="11">
        <f t="shared" si="30"/>
        <v>0</v>
      </c>
      <c r="AD119" s="11">
        <f t="shared" si="30"/>
        <v>0</v>
      </c>
      <c r="AE119" s="17">
        <f t="shared" si="30"/>
        <v>0</v>
      </c>
      <c r="AF119" s="16">
        <f>SUM(B119:AE119)*A119</f>
        <v>0</v>
      </c>
      <c r="AG119" s="16">
        <f>SUM(B119:AE119)</f>
        <v>0</v>
      </c>
      <c r="AH119" s="30" t="s">
        <v>136</v>
      </c>
      <c r="AI119" s="30" t="s">
        <v>27</v>
      </c>
      <c r="AJ119" s="30" t="s">
        <v>28</v>
      </c>
      <c r="AK119" s="30" t="s">
        <v>29</v>
      </c>
      <c r="AL119" s="30" t="s">
        <v>30</v>
      </c>
      <c r="AN119" s="30" t="s">
        <v>136</v>
      </c>
      <c r="AO119" s="30" t="s">
        <v>27</v>
      </c>
      <c r="AP119" s="30" t="s">
        <v>28</v>
      </c>
      <c r="AQ119" s="30" t="s">
        <v>29</v>
      </c>
      <c r="AR119" s="30" t="s">
        <v>30</v>
      </c>
      <c r="AT119" s="30" t="s">
        <v>136</v>
      </c>
      <c r="AU119" s="30" t="s">
        <v>27</v>
      </c>
      <c r="AV119" s="30" t="s">
        <v>28</v>
      </c>
      <c r="AW119" s="30" t="s">
        <v>29</v>
      </c>
      <c r="AX119" s="30" t="s">
        <v>30</v>
      </c>
      <c r="AZ119" s="30" t="s">
        <v>136</v>
      </c>
      <c r="BA119" s="30" t="s">
        <v>27</v>
      </c>
      <c r="BB119" s="30" t="s">
        <v>28</v>
      </c>
      <c r="BC119" s="30" t="s">
        <v>29</v>
      </c>
      <c r="BD119" s="30" t="s">
        <v>30</v>
      </c>
      <c r="BF119" s="30" t="s">
        <v>136</v>
      </c>
      <c r="BG119" s="30" t="s">
        <v>27</v>
      </c>
      <c r="BH119" s="30" t="s">
        <v>28</v>
      </c>
      <c r="BI119" s="30" t="s">
        <v>29</v>
      </c>
      <c r="BJ119" s="30" t="s">
        <v>30</v>
      </c>
    </row>
    <row r="120" spans="1:62" x14ac:dyDescent="0.25">
      <c r="A120" s="16">
        <v>500</v>
      </c>
      <c r="B120" s="10">
        <f t="shared" si="26"/>
        <v>0</v>
      </c>
      <c r="C120" s="11">
        <f t="shared" si="26"/>
        <v>20</v>
      </c>
      <c r="D120" s="11">
        <f t="shared" si="26"/>
        <v>0</v>
      </c>
      <c r="E120" s="11">
        <f t="shared" si="26"/>
        <v>0</v>
      </c>
      <c r="F120" s="17">
        <f t="shared" si="26"/>
        <v>0</v>
      </c>
      <c r="G120" s="10">
        <f t="shared" si="27"/>
        <v>0</v>
      </c>
      <c r="H120" s="11">
        <f t="shared" si="27"/>
        <v>0</v>
      </c>
      <c r="I120" s="11">
        <f t="shared" si="27"/>
        <v>0</v>
      </c>
      <c r="J120" s="11">
        <f t="shared" si="27"/>
        <v>0</v>
      </c>
      <c r="K120" s="17">
        <f t="shared" si="27"/>
        <v>0</v>
      </c>
      <c r="L120" s="10">
        <f t="shared" si="28"/>
        <v>0</v>
      </c>
      <c r="M120" s="11">
        <f t="shared" si="28"/>
        <v>0</v>
      </c>
      <c r="N120" s="11">
        <f t="shared" si="28"/>
        <v>0</v>
      </c>
      <c r="O120" s="11">
        <f t="shared" si="28"/>
        <v>0</v>
      </c>
      <c r="P120" s="17">
        <f t="shared" si="28"/>
        <v>0</v>
      </c>
      <c r="Q120" s="10">
        <f t="shared" si="29"/>
        <v>0</v>
      </c>
      <c r="R120" s="11">
        <f t="shared" si="29"/>
        <v>0</v>
      </c>
      <c r="S120" s="11">
        <f t="shared" si="29"/>
        <v>0</v>
      </c>
      <c r="T120" s="11">
        <f t="shared" si="29"/>
        <v>0</v>
      </c>
      <c r="U120" s="17">
        <f t="shared" si="29"/>
        <v>0</v>
      </c>
      <c r="V120" s="10">
        <f t="shared" si="30"/>
        <v>0</v>
      </c>
      <c r="W120" s="11">
        <f t="shared" si="30"/>
        <v>0</v>
      </c>
      <c r="X120" s="11">
        <f t="shared" si="30"/>
        <v>0</v>
      </c>
      <c r="Y120" s="11">
        <f t="shared" si="30"/>
        <v>0</v>
      </c>
      <c r="Z120" s="17">
        <f t="shared" si="30"/>
        <v>0</v>
      </c>
      <c r="AA120" s="10">
        <f t="shared" si="30"/>
        <v>0</v>
      </c>
      <c r="AB120" s="11">
        <f t="shared" si="30"/>
        <v>0</v>
      </c>
      <c r="AC120" s="11">
        <f t="shared" si="30"/>
        <v>0</v>
      </c>
      <c r="AD120" s="11">
        <f t="shared" si="30"/>
        <v>0</v>
      </c>
      <c r="AE120" s="17">
        <f t="shared" si="30"/>
        <v>0</v>
      </c>
      <c r="AF120" s="16">
        <f t="shared" ref="AF120:AF127" si="31">SUM(B120:AE120)*A120</f>
        <v>10000</v>
      </c>
      <c r="AG120" s="16">
        <f t="shared" ref="AG120:AG128" si="32">SUM(B120:AE120)</f>
        <v>20</v>
      </c>
      <c r="AH120" s="16" t="str">
        <f>J2</f>
        <v>AG</v>
      </c>
      <c r="AI120" s="10">
        <f>K2</f>
        <v>1500</v>
      </c>
      <c r="AJ120" s="11">
        <f>L2</f>
        <v>8</v>
      </c>
      <c r="AK120" s="11" t="str">
        <f>M2</f>
        <v>Y</v>
      </c>
      <c r="AL120" s="17" t="str">
        <f>N2</f>
        <v>3L</v>
      </c>
      <c r="AN120" s="16">
        <f>J3</f>
        <v>0</v>
      </c>
      <c r="AO120" s="10">
        <f>K3</f>
        <v>0</v>
      </c>
      <c r="AP120" s="11">
        <f>L3</f>
        <v>0</v>
      </c>
      <c r="AQ120" s="11">
        <f>M3</f>
        <v>0</v>
      </c>
      <c r="AR120" s="17">
        <f>N3</f>
        <v>0</v>
      </c>
      <c r="AT120" s="16">
        <f>J4</f>
        <v>0</v>
      </c>
      <c r="AU120" s="10">
        <f>K4</f>
        <v>0</v>
      </c>
      <c r="AV120" s="11">
        <f>L4</f>
        <v>0</v>
      </c>
      <c r="AW120" s="11">
        <f>M4</f>
        <v>0</v>
      </c>
      <c r="AX120" s="17">
        <f>N4</f>
        <v>0</v>
      </c>
      <c r="AZ120" s="16">
        <f>J5</f>
        <v>0</v>
      </c>
      <c r="BA120" s="10">
        <f>K5</f>
        <v>0</v>
      </c>
      <c r="BB120" s="11">
        <f>L5</f>
        <v>0</v>
      </c>
      <c r="BC120" s="11">
        <f>M5</f>
        <v>0</v>
      </c>
      <c r="BD120" s="17">
        <f>N5</f>
        <v>0</v>
      </c>
      <c r="BF120" s="16">
        <f>J6</f>
        <v>0</v>
      </c>
      <c r="BG120" s="10">
        <f>K6</f>
        <v>0</v>
      </c>
      <c r="BH120" s="11">
        <f>L6</f>
        <v>0</v>
      </c>
      <c r="BI120" s="11">
        <f>M6</f>
        <v>0</v>
      </c>
      <c r="BJ120" s="17">
        <f>N6</f>
        <v>0</v>
      </c>
    </row>
    <row r="121" spans="1:62" x14ac:dyDescent="0.25">
      <c r="A121" s="15">
        <v>750</v>
      </c>
      <c r="B121" s="8">
        <f t="shared" si="26"/>
        <v>0</v>
      </c>
      <c r="C121" s="6">
        <f t="shared" si="26"/>
        <v>10</v>
      </c>
      <c r="D121" s="6">
        <f t="shared" si="26"/>
        <v>0</v>
      </c>
      <c r="E121" s="6">
        <f t="shared" si="26"/>
        <v>0</v>
      </c>
      <c r="F121" s="13">
        <f t="shared" si="26"/>
        <v>0</v>
      </c>
      <c r="G121" s="8">
        <f t="shared" si="27"/>
        <v>0</v>
      </c>
      <c r="H121" s="6">
        <f t="shared" si="27"/>
        <v>0</v>
      </c>
      <c r="I121" s="6">
        <f t="shared" si="27"/>
        <v>0</v>
      </c>
      <c r="J121" s="6">
        <f t="shared" si="27"/>
        <v>0</v>
      </c>
      <c r="K121" s="13">
        <f t="shared" si="27"/>
        <v>0</v>
      </c>
      <c r="L121" s="8">
        <f t="shared" si="28"/>
        <v>0</v>
      </c>
      <c r="M121" s="6">
        <f t="shared" si="28"/>
        <v>0</v>
      </c>
      <c r="N121" s="6">
        <f t="shared" si="28"/>
        <v>0</v>
      </c>
      <c r="O121" s="6">
        <f t="shared" si="28"/>
        <v>0</v>
      </c>
      <c r="P121" s="13">
        <f t="shared" si="28"/>
        <v>0</v>
      </c>
      <c r="Q121" s="8">
        <f t="shared" si="29"/>
        <v>0</v>
      </c>
      <c r="R121" s="6">
        <f t="shared" si="29"/>
        <v>0</v>
      </c>
      <c r="S121" s="6">
        <f t="shared" si="29"/>
        <v>0</v>
      </c>
      <c r="T121" s="6">
        <f t="shared" si="29"/>
        <v>0</v>
      </c>
      <c r="U121" s="13">
        <f t="shared" si="29"/>
        <v>0</v>
      </c>
      <c r="V121" s="8">
        <f t="shared" si="30"/>
        <v>0</v>
      </c>
      <c r="W121" s="6">
        <f t="shared" si="30"/>
        <v>0</v>
      </c>
      <c r="X121" s="6">
        <f t="shared" si="30"/>
        <v>0</v>
      </c>
      <c r="Y121" s="6">
        <f t="shared" si="30"/>
        <v>0</v>
      </c>
      <c r="Z121" s="13">
        <f t="shared" si="30"/>
        <v>0</v>
      </c>
      <c r="AA121" s="8">
        <f t="shared" si="30"/>
        <v>0</v>
      </c>
      <c r="AB121" s="6">
        <f t="shared" si="30"/>
        <v>0</v>
      </c>
      <c r="AC121" s="6">
        <f t="shared" si="30"/>
        <v>0</v>
      </c>
      <c r="AD121" s="6">
        <f t="shared" si="30"/>
        <v>0</v>
      </c>
      <c r="AE121" s="13">
        <f t="shared" si="30"/>
        <v>0</v>
      </c>
      <c r="AF121" s="16">
        <f t="shared" si="31"/>
        <v>7500</v>
      </c>
      <c r="AG121" s="16">
        <f t="shared" si="32"/>
        <v>10</v>
      </c>
      <c r="AH121" s="15" t="str">
        <f>P2</f>
        <v>AG</v>
      </c>
      <c r="AI121" s="8">
        <f>Q2</f>
        <v>1000</v>
      </c>
      <c r="AJ121" s="6">
        <f>R2</f>
        <v>10</v>
      </c>
      <c r="AK121" s="6" t="str">
        <f>S2</f>
        <v>Y</v>
      </c>
      <c r="AL121" s="13" t="str">
        <f>T2</f>
        <v>3L</v>
      </c>
      <c r="AN121" s="15">
        <f>P3</f>
        <v>0</v>
      </c>
      <c r="AO121" s="8">
        <f>Q3</f>
        <v>0</v>
      </c>
      <c r="AP121" s="6">
        <f>R3</f>
        <v>0</v>
      </c>
      <c r="AQ121" s="6">
        <f>S3</f>
        <v>0</v>
      </c>
      <c r="AR121" s="13">
        <f>T3</f>
        <v>0</v>
      </c>
      <c r="AT121" s="15">
        <f>P4</f>
        <v>0</v>
      </c>
      <c r="AU121" s="8">
        <f>Q4</f>
        <v>0</v>
      </c>
      <c r="AV121" s="6">
        <f>R4</f>
        <v>0</v>
      </c>
      <c r="AW121" s="6">
        <f>S4</f>
        <v>0</v>
      </c>
      <c r="AX121" s="13">
        <f>T4</f>
        <v>0</v>
      </c>
      <c r="AZ121" s="15">
        <f>P5</f>
        <v>0</v>
      </c>
      <c r="BA121" s="8">
        <f>Q5</f>
        <v>0</v>
      </c>
      <c r="BB121" s="6">
        <f>R5</f>
        <v>0</v>
      </c>
      <c r="BC121" s="6">
        <f>S5</f>
        <v>0</v>
      </c>
      <c r="BD121" s="13">
        <f>T5</f>
        <v>0</v>
      </c>
      <c r="BF121" s="15">
        <f>P6</f>
        <v>0</v>
      </c>
      <c r="BG121" s="8">
        <f>Q6</f>
        <v>0</v>
      </c>
      <c r="BH121" s="6">
        <f>R6</f>
        <v>0</v>
      </c>
      <c r="BI121" s="6">
        <f>S6</f>
        <v>0</v>
      </c>
      <c r="BJ121" s="13">
        <f>T6</f>
        <v>0</v>
      </c>
    </row>
    <row r="122" spans="1:62" x14ac:dyDescent="0.25">
      <c r="A122" s="15">
        <v>1000</v>
      </c>
      <c r="B122" s="8">
        <f t="shared" si="26"/>
        <v>0</v>
      </c>
      <c r="C122" s="6">
        <f t="shared" si="26"/>
        <v>10</v>
      </c>
      <c r="D122" s="6">
        <f t="shared" si="26"/>
        <v>0</v>
      </c>
      <c r="E122" s="6">
        <f t="shared" si="26"/>
        <v>0</v>
      </c>
      <c r="F122" s="13">
        <f t="shared" si="26"/>
        <v>0</v>
      </c>
      <c r="G122" s="8">
        <f t="shared" si="27"/>
        <v>0</v>
      </c>
      <c r="H122" s="6">
        <f t="shared" si="27"/>
        <v>0</v>
      </c>
      <c r="I122" s="6">
        <f t="shared" si="27"/>
        <v>0</v>
      </c>
      <c r="J122" s="6">
        <f t="shared" si="27"/>
        <v>0</v>
      </c>
      <c r="K122" s="13">
        <f t="shared" si="27"/>
        <v>0</v>
      </c>
      <c r="L122" s="8">
        <f t="shared" si="28"/>
        <v>0</v>
      </c>
      <c r="M122" s="6">
        <f t="shared" si="28"/>
        <v>0</v>
      </c>
      <c r="N122" s="6">
        <f t="shared" si="28"/>
        <v>0</v>
      </c>
      <c r="O122" s="6">
        <f t="shared" si="28"/>
        <v>0</v>
      </c>
      <c r="P122" s="13">
        <f t="shared" si="28"/>
        <v>0</v>
      </c>
      <c r="Q122" s="8">
        <f t="shared" si="29"/>
        <v>0</v>
      </c>
      <c r="R122" s="6">
        <f t="shared" si="29"/>
        <v>0</v>
      </c>
      <c r="S122" s="6">
        <f t="shared" si="29"/>
        <v>0</v>
      </c>
      <c r="T122" s="6">
        <f t="shared" si="29"/>
        <v>0</v>
      </c>
      <c r="U122" s="13">
        <f t="shared" si="29"/>
        <v>0</v>
      </c>
      <c r="V122" s="8">
        <f t="shared" si="30"/>
        <v>0</v>
      </c>
      <c r="W122" s="6">
        <f t="shared" si="30"/>
        <v>0</v>
      </c>
      <c r="X122" s="6">
        <f t="shared" si="30"/>
        <v>0</v>
      </c>
      <c r="Y122" s="6">
        <f t="shared" si="30"/>
        <v>0</v>
      </c>
      <c r="Z122" s="13">
        <f t="shared" si="30"/>
        <v>0</v>
      </c>
      <c r="AA122" s="8">
        <f t="shared" si="30"/>
        <v>0</v>
      </c>
      <c r="AB122" s="6">
        <f t="shared" si="30"/>
        <v>0</v>
      </c>
      <c r="AC122" s="6">
        <f t="shared" si="30"/>
        <v>0</v>
      </c>
      <c r="AD122" s="6">
        <f t="shared" si="30"/>
        <v>0</v>
      </c>
      <c r="AE122" s="13">
        <f t="shared" si="30"/>
        <v>0</v>
      </c>
      <c r="AF122" s="16">
        <f t="shared" si="31"/>
        <v>10000</v>
      </c>
      <c r="AG122" s="16">
        <f t="shared" si="32"/>
        <v>10</v>
      </c>
      <c r="AH122" s="15" t="str">
        <f>V2</f>
        <v>AG</v>
      </c>
      <c r="AI122" s="8">
        <f>W2</f>
        <v>750</v>
      </c>
      <c r="AJ122" s="6">
        <f>X2</f>
        <v>10</v>
      </c>
      <c r="AK122" s="6" t="str">
        <f>Y2</f>
        <v>Y</v>
      </c>
      <c r="AL122" s="13" t="str">
        <f>Z2</f>
        <v>3L</v>
      </c>
      <c r="AN122" s="15">
        <f>V3</f>
        <v>0</v>
      </c>
      <c r="AO122" s="8">
        <f>W3</f>
        <v>0</v>
      </c>
      <c r="AP122" s="6">
        <f>X3</f>
        <v>0</v>
      </c>
      <c r="AQ122" s="6">
        <f>Y3</f>
        <v>0</v>
      </c>
      <c r="AR122" s="13">
        <f>Z3</f>
        <v>0</v>
      </c>
      <c r="AT122" s="15">
        <f>V4</f>
        <v>0</v>
      </c>
      <c r="AU122" s="8">
        <f>W4</f>
        <v>0</v>
      </c>
      <c r="AV122" s="6">
        <f>X4</f>
        <v>0</v>
      </c>
      <c r="AW122" s="6">
        <f>Y4</f>
        <v>0</v>
      </c>
      <c r="AX122" s="13">
        <f>Z4</f>
        <v>0</v>
      </c>
      <c r="AZ122" s="15">
        <f>V5</f>
        <v>0</v>
      </c>
      <c r="BA122" s="8">
        <f>W5</f>
        <v>0</v>
      </c>
      <c r="BB122" s="6">
        <f>X5</f>
        <v>0</v>
      </c>
      <c r="BC122" s="6">
        <f>Y5</f>
        <v>0</v>
      </c>
      <c r="BD122" s="13">
        <f>Z5</f>
        <v>0</v>
      </c>
      <c r="BF122" s="15">
        <f>V6</f>
        <v>0</v>
      </c>
      <c r="BG122" s="8">
        <f>W6</f>
        <v>0</v>
      </c>
      <c r="BH122" s="6">
        <f>X6</f>
        <v>0</v>
      </c>
      <c r="BI122" s="6">
        <f>Y6</f>
        <v>0</v>
      </c>
      <c r="BJ122" s="13">
        <f>Z6</f>
        <v>0</v>
      </c>
    </row>
    <row r="123" spans="1:62" x14ac:dyDescent="0.25">
      <c r="A123" s="15">
        <v>1500</v>
      </c>
      <c r="B123" s="8">
        <f t="shared" si="26"/>
        <v>0</v>
      </c>
      <c r="C123" s="6">
        <f t="shared" si="26"/>
        <v>8</v>
      </c>
      <c r="D123" s="6">
        <f t="shared" si="26"/>
        <v>0</v>
      </c>
      <c r="E123" s="6">
        <f t="shared" si="26"/>
        <v>0</v>
      </c>
      <c r="F123" s="13">
        <f t="shared" si="26"/>
        <v>0</v>
      </c>
      <c r="G123" s="8">
        <f t="shared" si="27"/>
        <v>0</v>
      </c>
      <c r="H123" s="6">
        <f t="shared" si="27"/>
        <v>0</v>
      </c>
      <c r="I123" s="6">
        <f t="shared" si="27"/>
        <v>0</v>
      </c>
      <c r="J123" s="6">
        <f t="shared" si="27"/>
        <v>0</v>
      </c>
      <c r="K123" s="13">
        <f t="shared" si="27"/>
        <v>0</v>
      </c>
      <c r="L123" s="8">
        <f t="shared" si="28"/>
        <v>0</v>
      </c>
      <c r="M123" s="6">
        <f t="shared" si="28"/>
        <v>0</v>
      </c>
      <c r="N123" s="6">
        <f t="shared" si="28"/>
        <v>0</v>
      </c>
      <c r="O123" s="6">
        <f t="shared" si="28"/>
        <v>0</v>
      </c>
      <c r="P123" s="13">
        <f t="shared" si="28"/>
        <v>0</v>
      </c>
      <c r="Q123" s="8">
        <f t="shared" si="29"/>
        <v>0</v>
      </c>
      <c r="R123" s="6">
        <f t="shared" si="29"/>
        <v>0</v>
      </c>
      <c r="S123" s="6">
        <f t="shared" si="29"/>
        <v>0</v>
      </c>
      <c r="T123" s="6">
        <f t="shared" si="29"/>
        <v>0</v>
      </c>
      <c r="U123" s="13">
        <f t="shared" si="29"/>
        <v>0</v>
      </c>
      <c r="V123" s="8">
        <f t="shared" si="30"/>
        <v>0</v>
      </c>
      <c r="W123" s="6">
        <f t="shared" si="30"/>
        <v>0</v>
      </c>
      <c r="X123" s="6">
        <f t="shared" si="30"/>
        <v>0</v>
      </c>
      <c r="Y123" s="6">
        <f t="shared" si="30"/>
        <v>0</v>
      </c>
      <c r="Z123" s="13">
        <f t="shared" si="30"/>
        <v>0</v>
      </c>
      <c r="AA123" s="8">
        <f t="shared" si="30"/>
        <v>0</v>
      </c>
      <c r="AB123" s="6">
        <f t="shared" si="30"/>
        <v>0</v>
      </c>
      <c r="AC123" s="6">
        <f t="shared" si="30"/>
        <v>0</v>
      </c>
      <c r="AD123" s="6">
        <f t="shared" si="30"/>
        <v>0</v>
      </c>
      <c r="AE123" s="13">
        <f t="shared" si="30"/>
        <v>0</v>
      </c>
      <c r="AF123" s="16">
        <f t="shared" si="31"/>
        <v>12000</v>
      </c>
      <c r="AG123" s="16">
        <f t="shared" si="32"/>
        <v>8</v>
      </c>
      <c r="AH123" s="15" t="str">
        <f>AB2</f>
        <v>AG</v>
      </c>
      <c r="AI123" s="8">
        <f>AC2</f>
        <v>500</v>
      </c>
      <c r="AJ123" s="6">
        <f>AD2</f>
        <v>20</v>
      </c>
      <c r="AK123" s="6" t="str">
        <f>AE2</f>
        <v>Y</v>
      </c>
      <c r="AL123" s="13" t="str">
        <f>AF2</f>
        <v>3L</v>
      </c>
      <c r="AN123" s="15">
        <f>AB3</f>
        <v>0</v>
      </c>
      <c r="AO123" s="8">
        <f>AC3</f>
        <v>0</v>
      </c>
      <c r="AP123" s="6">
        <f>AD3</f>
        <v>0</v>
      </c>
      <c r="AQ123" s="6">
        <f>AE3</f>
        <v>0</v>
      </c>
      <c r="AR123" s="13">
        <f>AF3</f>
        <v>0</v>
      </c>
      <c r="AT123" s="15">
        <f>AB4</f>
        <v>0</v>
      </c>
      <c r="AU123" s="8">
        <f>AC4</f>
        <v>0</v>
      </c>
      <c r="AV123" s="6">
        <f>AD4</f>
        <v>0</v>
      </c>
      <c r="AW123" s="6">
        <f>AE4</f>
        <v>0</v>
      </c>
      <c r="AX123" s="13">
        <f>AF4</f>
        <v>0</v>
      </c>
      <c r="AZ123" s="15">
        <f>AB5</f>
        <v>0</v>
      </c>
      <c r="BA123" s="8">
        <f>AC5</f>
        <v>0</v>
      </c>
      <c r="BB123" s="6">
        <f>AD5</f>
        <v>0</v>
      </c>
      <c r="BC123" s="6">
        <f>AE5</f>
        <v>0</v>
      </c>
      <c r="BD123" s="13">
        <f>AF5</f>
        <v>0</v>
      </c>
      <c r="BF123" s="15">
        <f>AB6</f>
        <v>0</v>
      </c>
      <c r="BG123" s="8">
        <f>AC6</f>
        <v>0</v>
      </c>
      <c r="BH123" s="6">
        <f>AD6</f>
        <v>0</v>
      </c>
      <c r="BI123" s="6">
        <f>AE6</f>
        <v>0</v>
      </c>
      <c r="BJ123" s="13">
        <f>AF6</f>
        <v>0</v>
      </c>
    </row>
    <row r="124" spans="1:62" x14ac:dyDescent="0.25">
      <c r="A124" s="15">
        <v>2000</v>
      </c>
      <c r="B124" s="8">
        <f t="shared" si="26"/>
        <v>0</v>
      </c>
      <c r="C124" s="6">
        <f t="shared" si="26"/>
        <v>0</v>
      </c>
      <c r="D124" s="6">
        <f t="shared" si="26"/>
        <v>0</v>
      </c>
      <c r="E124" s="6">
        <f t="shared" si="26"/>
        <v>0</v>
      </c>
      <c r="F124" s="13">
        <f t="shared" si="26"/>
        <v>0</v>
      </c>
      <c r="G124" s="8">
        <f t="shared" si="27"/>
        <v>0</v>
      </c>
      <c r="H124" s="6">
        <f t="shared" si="27"/>
        <v>0</v>
      </c>
      <c r="I124" s="6">
        <f t="shared" si="27"/>
        <v>0</v>
      </c>
      <c r="J124" s="6">
        <f t="shared" si="27"/>
        <v>0</v>
      </c>
      <c r="K124" s="13">
        <f t="shared" si="27"/>
        <v>0</v>
      </c>
      <c r="L124" s="8">
        <f t="shared" si="28"/>
        <v>0</v>
      </c>
      <c r="M124" s="6">
        <f t="shared" si="28"/>
        <v>0</v>
      </c>
      <c r="N124" s="6">
        <f t="shared" si="28"/>
        <v>0</v>
      </c>
      <c r="O124" s="6">
        <f t="shared" si="28"/>
        <v>0</v>
      </c>
      <c r="P124" s="13">
        <f t="shared" si="28"/>
        <v>0</v>
      </c>
      <c r="Q124" s="8">
        <f t="shared" si="29"/>
        <v>0</v>
      </c>
      <c r="R124" s="6">
        <f t="shared" si="29"/>
        <v>0</v>
      </c>
      <c r="S124" s="6">
        <f t="shared" si="29"/>
        <v>0</v>
      </c>
      <c r="T124" s="6">
        <f t="shared" si="29"/>
        <v>0</v>
      </c>
      <c r="U124" s="13">
        <f t="shared" si="29"/>
        <v>0</v>
      </c>
      <c r="V124" s="8">
        <f t="shared" si="30"/>
        <v>0</v>
      </c>
      <c r="W124" s="6">
        <f t="shared" si="30"/>
        <v>0</v>
      </c>
      <c r="X124" s="6">
        <f t="shared" si="30"/>
        <v>0</v>
      </c>
      <c r="Y124" s="6">
        <f t="shared" si="30"/>
        <v>0</v>
      </c>
      <c r="Z124" s="13">
        <f t="shared" si="30"/>
        <v>0</v>
      </c>
      <c r="AA124" s="8">
        <f t="shared" si="30"/>
        <v>0</v>
      </c>
      <c r="AB124" s="6">
        <f t="shared" si="30"/>
        <v>0</v>
      </c>
      <c r="AC124" s="6">
        <f t="shared" si="30"/>
        <v>0</v>
      </c>
      <c r="AD124" s="6">
        <f t="shared" si="30"/>
        <v>0</v>
      </c>
      <c r="AE124" s="13">
        <f t="shared" si="30"/>
        <v>0</v>
      </c>
      <c r="AF124" s="16">
        <f t="shared" si="31"/>
        <v>0</v>
      </c>
      <c r="AG124" s="16">
        <f t="shared" si="32"/>
        <v>0</v>
      </c>
      <c r="AH124" s="15">
        <f>AH2</f>
        <v>0</v>
      </c>
      <c r="AI124" s="8">
        <f>AI2</f>
        <v>0</v>
      </c>
      <c r="AJ124" s="6">
        <f>AJ2</f>
        <v>0</v>
      </c>
      <c r="AK124" s="6">
        <f>AK2</f>
        <v>0</v>
      </c>
      <c r="AL124" s="13">
        <f>AL2</f>
        <v>0</v>
      </c>
      <c r="AN124" s="15">
        <f>AH3</f>
        <v>0</v>
      </c>
      <c r="AO124" s="8">
        <f>AI3</f>
        <v>0</v>
      </c>
      <c r="AP124" s="6">
        <f>AJ3</f>
        <v>0</v>
      </c>
      <c r="AQ124" s="6">
        <f>AK3</f>
        <v>0</v>
      </c>
      <c r="AR124" s="13">
        <f>AL3</f>
        <v>0</v>
      </c>
      <c r="AT124" s="15">
        <f>AH4</f>
        <v>0</v>
      </c>
      <c r="AU124" s="8">
        <f>AI4</f>
        <v>0</v>
      </c>
      <c r="AV124" s="6">
        <f>AJ4</f>
        <v>0</v>
      </c>
      <c r="AW124" s="6">
        <f>AK4</f>
        <v>0</v>
      </c>
      <c r="AX124" s="13">
        <f>AL4</f>
        <v>0</v>
      </c>
      <c r="AZ124" s="15">
        <f>AH5</f>
        <v>0</v>
      </c>
      <c r="BA124" s="8">
        <f>AI5</f>
        <v>0</v>
      </c>
      <c r="BB124" s="6">
        <f>AJ5</f>
        <v>0</v>
      </c>
      <c r="BC124" s="6">
        <f>AK5</f>
        <v>0</v>
      </c>
      <c r="BD124" s="13">
        <f>AL5</f>
        <v>0</v>
      </c>
      <c r="BF124" s="15">
        <f>AH6</f>
        <v>0</v>
      </c>
      <c r="BG124" s="8">
        <f>AI6</f>
        <v>0</v>
      </c>
      <c r="BH124" s="6">
        <f>AJ6</f>
        <v>0</v>
      </c>
      <c r="BI124" s="6">
        <f>AK6</f>
        <v>0</v>
      </c>
      <c r="BJ124" s="13">
        <f>AL6</f>
        <v>0</v>
      </c>
    </row>
    <row r="125" spans="1:62" x14ac:dyDescent="0.25">
      <c r="A125" s="15">
        <v>3000</v>
      </c>
      <c r="B125" s="8">
        <f t="shared" si="26"/>
        <v>0</v>
      </c>
      <c r="C125" s="6">
        <f t="shared" si="26"/>
        <v>0</v>
      </c>
      <c r="D125" s="6">
        <f t="shared" si="26"/>
        <v>0</v>
      </c>
      <c r="E125" s="6">
        <f t="shared" si="26"/>
        <v>0</v>
      </c>
      <c r="F125" s="13">
        <f t="shared" si="26"/>
        <v>0</v>
      </c>
      <c r="G125" s="8">
        <f t="shared" si="27"/>
        <v>0</v>
      </c>
      <c r="H125" s="6">
        <f t="shared" si="27"/>
        <v>0</v>
      </c>
      <c r="I125" s="6">
        <f t="shared" si="27"/>
        <v>0</v>
      </c>
      <c r="J125" s="6">
        <f t="shared" si="27"/>
        <v>0</v>
      </c>
      <c r="K125" s="13">
        <f t="shared" si="27"/>
        <v>0</v>
      </c>
      <c r="L125" s="8">
        <f t="shared" si="28"/>
        <v>0</v>
      </c>
      <c r="M125" s="6">
        <f t="shared" si="28"/>
        <v>0</v>
      </c>
      <c r="N125" s="6">
        <f t="shared" si="28"/>
        <v>0</v>
      </c>
      <c r="O125" s="6">
        <f t="shared" si="28"/>
        <v>0</v>
      </c>
      <c r="P125" s="13">
        <f t="shared" si="28"/>
        <v>0</v>
      </c>
      <c r="Q125" s="8">
        <f t="shared" si="29"/>
        <v>0</v>
      </c>
      <c r="R125" s="6">
        <f t="shared" si="29"/>
        <v>0</v>
      </c>
      <c r="S125" s="6">
        <f t="shared" si="29"/>
        <v>0</v>
      </c>
      <c r="T125" s="6">
        <f t="shared" si="29"/>
        <v>0</v>
      </c>
      <c r="U125" s="13">
        <f t="shared" si="29"/>
        <v>0</v>
      </c>
      <c r="V125" s="8">
        <f t="shared" si="30"/>
        <v>0</v>
      </c>
      <c r="W125" s="6">
        <f t="shared" si="30"/>
        <v>0</v>
      </c>
      <c r="X125" s="6">
        <f t="shared" si="30"/>
        <v>0</v>
      </c>
      <c r="Y125" s="6">
        <f t="shared" si="30"/>
        <v>0</v>
      </c>
      <c r="Z125" s="13">
        <f t="shared" si="30"/>
        <v>0</v>
      </c>
      <c r="AA125" s="8">
        <f t="shared" si="30"/>
        <v>0</v>
      </c>
      <c r="AB125" s="6">
        <f t="shared" si="30"/>
        <v>0</v>
      </c>
      <c r="AC125" s="6">
        <f t="shared" si="30"/>
        <v>0</v>
      </c>
      <c r="AD125" s="6">
        <f t="shared" si="30"/>
        <v>0</v>
      </c>
      <c r="AE125" s="13">
        <f t="shared" si="30"/>
        <v>0</v>
      </c>
      <c r="AF125" s="16">
        <f t="shared" si="31"/>
        <v>0</v>
      </c>
      <c r="AG125" s="16">
        <f t="shared" si="32"/>
        <v>0</v>
      </c>
      <c r="AH125" s="15">
        <f>AN2</f>
        <v>0</v>
      </c>
      <c r="AI125" s="8">
        <f>AO2</f>
        <v>0</v>
      </c>
      <c r="AJ125" s="6">
        <f>AP2</f>
        <v>0</v>
      </c>
      <c r="AK125" s="6">
        <f>AQ2</f>
        <v>0</v>
      </c>
      <c r="AL125" s="13">
        <f>AR2</f>
        <v>0</v>
      </c>
      <c r="AN125" s="15">
        <f>AN3</f>
        <v>0</v>
      </c>
      <c r="AO125" s="8">
        <f>AO3</f>
        <v>0</v>
      </c>
      <c r="AP125" s="6">
        <f>AP3</f>
        <v>0</v>
      </c>
      <c r="AQ125" s="6">
        <f>AQ3</f>
        <v>0</v>
      </c>
      <c r="AR125" s="13">
        <f>AR3</f>
        <v>0</v>
      </c>
      <c r="AT125" s="15">
        <f>AN4</f>
        <v>0</v>
      </c>
      <c r="AU125" s="8">
        <f>AO4</f>
        <v>0</v>
      </c>
      <c r="AV125" s="6">
        <f>AP4</f>
        <v>0</v>
      </c>
      <c r="AW125" s="6">
        <f>AQ4</f>
        <v>0</v>
      </c>
      <c r="AX125" s="13">
        <f>AR4</f>
        <v>0</v>
      </c>
      <c r="AZ125" s="15">
        <f>AN5</f>
        <v>0</v>
      </c>
      <c r="BA125" s="8">
        <f>AO5</f>
        <v>0</v>
      </c>
      <c r="BB125" s="6">
        <f>AP5</f>
        <v>0</v>
      </c>
      <c r="BC125" s="6">
        <f>AQ5</f>
        <v>0</v>
      </c>
      <c r="BD125" s="13">
        <f>AR5</f>
        <v>0</v>
      </c>
      <c r="BF125" s="15">
        <f>AN6</f>
        <v>0</v>
      </c>
      <c r="BG125" s="8">
        <f>AO6</f>
        <v>0</v>
      </c>
      <c r="BH125" s="6">
        <f>AP6</f>
        <v>0</v>
      </c>
      <c r="BI125" s="6">
        <f>AQ6</f>
        <v>0</v>
      </c>
      <c r="BJ125" s="13">
        <f>AR6</f>
        <v>0</v>
      </c>
    </row>
    <row r="126" spans="1:62" x14ac:dyDescent="0.25">
      <c r="A126" s="15">
        <v>5000</v>
      </c>
      <c r="B126" s="8">
        <f t="shared" si="26"/>
        <v>0</v>
      </c>
      <c r="C126" s="6">
        <f t="shared" si="26"/>
        <v>0</v>
      </c>
      <c r="D126" s="6">
        <f t="shared" si="26"/>
        <v>0</v>
      </c>
      <c r="E126" s="6">
        <f t="shared" si="26"/>
        <v>0</v>
      </c>
      <c r="F126" s="13">
        <f t="shared" si="26"/>
        <v>0</v>
      </c>
      <c r="G126" s="8">
        <f t="shared" si="27"/>
        <v>0</v>
      </c>
      <c r="H126" s="6">
        <f t="shared" si="27"/>
        <v>0</v>
      </c>
      <c r="I126" s="6">
        <f t="shared" si="27"/>
        <v>0</v>
      </c>
      <c r="J126" s="6">
        <f t="shared" si="27"/>
        <v>0</v>
      </c>
      <c r="K126" s="13">
        <f t="shared" si="27"/>
        <v>0</v>
      </c>
      <c r="L126" s="8">
        <f t="shared" si="28"/>
        <v>0</v>
      </c>
      <c r="M126" s="6">
        <f t="shared" si="28"/>
        <v>0</v>
      </c>
      <c r="N126" s="6">
        <f t="shared" si="28"/>
        <v>0</v>
      </c>
      <c r="O126" s="6">
        <f t="shared" si="28"/>
        <v>0</v>
      </c>
      <c r="P126" s="13">
        <f t="shared" si="28"/>
        <v>0</v>
      </c>
      <c r="Q126" s="8">
        <f t="shared" si="29"/>
        <v>0</v>
      </c>
      <c r="R126" s="6">
        <f t="shared" si="29"/>
        <v>0</v>
      </c>
      <c r="S126" s="6">
        <f t="shared" si="29"/>
        <v>0</v>
      </c>
      <c r="T126" s="6">
        <f t="shared" si="29"/>
        <v>0</v>
      </c>
      <c r="U126" s="13">
        <f t="shared" si="29"/>
        <v>0</v>
      </c>
      <c r="V126" s="8">
        <f t="shared" si="30"/>
        <v>0</v>
      </c>
      <c r="W126" s="6">
        <f t="shared" si="30"/>
        <v>0</v>
      </c>
      <c r="X126" s="6">
        <f t="shared" si="30"/>
        <v>0</v>
      </c>
      <c r="Y126" s="6">
        <f t="shared" si="30"/>
        <v>0</v>
      </c>
      <c r="Z126" s="13">
        <f t="shared" si="30"/>
        <v>0</v>
      </c>
      <c r="AA126" s="8">
        <f t="shared" si="30"/>
        <v>0</v>
      </c>
      <c r="AB126" s="6">
        <f t="shared" si="30"/>
        <v>0</v>
      </c>
      <c r="AC126" s="6">
        <f t="shared" si="30"/>
        <v>0</v>
      </c>
      <c r="AD126" s="6">
        <f t="shared" si="30"/>
        <v>0</v>
      </c>
      <c r="AE126" s="13">
        <f t="shared" si="30"/>
        <v>0</v>
      </c>
      <c r="AF126" s="16">
        <f t="shared" si="31"/>
        <v>0</v>
      </c>
      <c r="AG126" s="16">
        <f t="shared" si="32"/>
        <v>0</v>
      </c>
      <c r="AH126" s="15">
        <f>AT2</f>
        <v>0</v>
      </c>
      <c r="AI126" s="8">
        <f>AU2</f>
        <v>0</v>
      </c>
      <c r="AJ126" s="6">
        <f>AV2</f>
        <v>0</v>
      </c>
      <c r="AK126" s="6">
        <f>AW2</f>
        <v>0</v>
      </c>
      <c r="AL126" s="13">
        <f>AX2</f>
        <v>0</v>
      </c>
      <c r="AN126" s="15">
        <f>AT3</f>
        <v>0</v>
      </c>
      <c r="AO126" s="8">
        <f>AU3</f>
        <v>0</v>
      </c>
      <c r="AP126" s="6">
        <f>AV3</f>
        <v>0</v>
      </c>
      <c r="AQ126" s="6">
        <f>AW3</f>
        <v>0</v>
      </c>
      <c r="AR126" s="13">
        <f>AX3</f>
        <v>0</v>
      </c>
      <c r="AT126" s="15">
        <f>AT4</f>
        <v>0</v>
      </c>
      <c r="AU126" s="8">
        <f>AU4</f>
        <v>0</v>
      </c>
      <c r="AV126" s="6">
        <f>AV4</f>
        <v>0</v>
      </c>
      <c r="AW126" s="6">
        <f>AW4</f>
        <v>0</v>
      </c>
      <c r="AX126" s="13">
        <f>AX4</f>
        <v>0</v>
      </c>
      <c r="AZ126" s="15">
        <f>AT5</f>
        <v>0</v>
      </c>
      <c r="BA126" s="8">
        <f>AU5</f>
        <v>0</v>
      </c>
      <c r="BB126" s="6">
        <f>AV5</f>
        <v>0</v>
      </c>
      <c r="BC126" s="6">
        <f>AW5</f>
        <v>0</v>
      </c>
      <c r="BD126" s="13">
        <f>AX5</f>
        <v>0</v>
      </c>
      <c r="BF126" s="15">
        <f>AT6</f>
        <v>0</v>
      </c>
      <c r="BG126" s="8">
        <f>AU6</f>
        <v>0</v>
      </c>
      <c r="BH126" s="6">
        <f>AV6</f>
        <v>0</v>
      </c>
      <c r="BI126" s="6">
        <f>AW6</f>
        <v>0</v>
      </c>
      <c r="BJ126" s="13">
        <f>AX6</f>
        <v>0</v>
      </c>
    </row>
    <row r="127" spans="1:62" ht="15.75" thickBot="1" x14ac:dyDescent="0.3">
      <c r="A127" s="59">
        <v>10000</v>
      </c>
      <c r="B127" s="31">
        <f t="shared" si="26"/>
        <v>0</v>
      </c>
      <c r="C127" s="32">
        <f t="shared" si="26"/>
        <v>0</v>
      </c>
      <c r="D127" s="32">
        <f t="shared" si="26"/>
        <v>0</v>
      </c>
      <c r="E127" s="32">
        <f t="shared" si="26"/>
        <v>0</v>
      </c>
      <c r="F127" s="33">
        <f t="shared" si="26"/>
        <v>0</v>
      </c>
      <c r="G127" s="31">
        <f t="shared" si="27"/>
        <v>0</v>
      </c>
      <c r="H127" s="32">
        <f t="shared" si="27"/>
        <v>0</v>
      </c>
      <c r="I127" s="32">
        <f t="shared" si="27"/>
        <v>0</v>
      </c>
      <c r="J127" s="32">
        <f t="shared" si="27"/>
        <v>0</v>
      </c>
      <c r="K127" s="33">
        <f t="shared" si="27"/>
        <v>0</v>
      </c>
      <c r="L127" s="31">
        <f t="shared" si="28"/>
        <v>0</v>
      </c>
      <c r="M127" s="32">
        <f t="shared" si="28"/>
        <v>0</v>
      </c>
      <c r="N127" s="32">
        <f t="shared" si="28"/>
        <v>0</v>
      </c>
      <c r="O127" s="32">
        <f t="shared" si="28"/>
        <v>0</v>
      </c>
      <c r="P127" s="33">
        <f t="shared" si="28"/>
        <v>0</v>
      </c>
      <c r="Q127" s="31">
        <f t="shared" si="29"/>
        <v>0</v>
      </c>
      <c r="R127" s="32">
        <f t="shared" si="29"/>
        <v>0</v>
      </c>
      <c r="S127" s="32">
        <f t="shared" si="29"/>
        <v>0</v>
      </c>
      <c r="T127" s="32">
        <f t="shared" si="29"/>
        <v>0</v>
      </c>
      <c r="U127" s="33">
        <f t="shared" si="29"/>
        <v>0</v>
      </c>
      <c r="V127" s="31">
        <f t="shared" si="30"/>
        <v>0</v>
      </c>
      <c r="W127" s="32">
        <f t="shared" si="30"/>
        <v>0</v>
      </c>
      <c r="X127" s="32">
        <f t="shared" si="30"/>
        <v>0</v>
      </c>
      <c r="Y127" s="32">
        <f t="shared" si="30"/>
        <v>0</v>
      </c>
      <c r="Z127" s="33">
        <f t="shared" si="30"/>
        <v>0</v>
      </c>
      <c r="AA127" s="31">
        <f t="shared" si="30"/>
        <v>0</v>
      </c>
      <c r="AB127" s="32">
        <f t="shared" si="30"/>
        <v>0</v>
      </c>
      <c r="AC127" s="32">
        <f t="shared" si="30"/>
        <v>0</v>
      </c>
      <c r="AD127" s="32">
        <f t="shared" si="30"/>
        <v>0</v>
      </c>
      <c r="AE127" s="33">
        <f t="shared" si="30"/>
        <v>0</v>
      </c>
      <c r="AF127" s="16">
        <f t="shared" si="31"/>
        <v>0</v>
      </c>
      <c r="AG127" s="43">
        <f t="shared" si="32"/>
        <v>0</v>
      </c>
      <c r="AH127" s="15">
        <f>AZ2</f>
        <v>0</v>
      </c>
      <c r="AI127" s="8">
        <f>BA2</f>
        <v>0</v>
      </c>
      <c r="AJ127" s="6">
        <f>BB2</f>
        <v>0</v>
      </c>
      <c r="AK127" s="6">
        <f>BC2</f>
        <v>0</v>
      </c>
      <c r="AL127" s="13">
        <f>BD2</f>
        <v>0</v>
      </c>
      <c r="AN127" s="15">
        <f>AZ3</f>
        <v>0</v>
      </c>
      <c r="AO127" s="8">
        <f>BA3</f>
        <v>0</v>
      </c>
      <c r="AP127" s="6">
        <f>BB3</f>
        <v>0</v>
      </c>
      <c r="AQ127" s="6">
        <f>BC3</f>
        <v>0</v>
      </c>
      <c r="AR127" s="13">
        <f>BD3</f>
        <v>0</v>
      </c>
      <c r="AT127" s="15">
        <f>AZ4</f>
        <v>0</v>
      </c>
      <c r="AU127" s="8">
        <f>BA4</f>
        <v>0</v>
      </c>
      <c r="AV127" s="6">
        <f>BB4</f>
        <v>0</v>
      </c>
      <c r="AW127" s="6">
        <f>BC4</f>
        <v>0</v>
      </c>
      <c r="AX127" s="13">
        <f>BD4</f>
        <v>0</v>
      </c>
      <c r="AZ127" s="15">
        <f>AZ5</f>
        <v>0</v>
      </c>
      <c r="BA127" s="8">
        <f>BA5</f>
        <v>0</v>
      </c>
      <c r="BB127" s="6">
        <f>BB5</f>
        <v>0</v>
      </c>
      <c r="BC127" s="6">
        <f>BC5</f>
        <v>0</v>
      </c>
      <c r="BD127" s="13">
        <f>BD5</f>
        <v>0</v>
      </c>
      <c r="BF127" s="15">
        <f>AZ6</f>
        <v>0</v>
      </c>
      <c r="BG127" s="8">
        <f>BA6</f>
        <v>0</v>
      </c>
      <c r="BH127" s="6">
        <f>BB6</f>
        <v>0</v>
      </c>
      <c r="BI127" s="6">
        <f>BC6</f>
        <v>0</v>
      </c>
      <c r="BJ127" s="13">
        <f>BD6</f>
        <v>0</v>
      </c>
    </row>
    <row r="128" spans="1:62" ht="15.75" thickBot="1" x14ac:dyDescent="0.3">
      <c r="A128" s="35"/>
      <c r="B128" s="60">
        <f t="shared" ref="B128:AG128" si="33">SUM(B119:B127)</f>
        <v>0</v>
      </c>
      <c r="C128" s="61">
        <f t="shared" si="33"/>
        <v>48</v>
      </c>
      <c r="D128" s="61">
        <f t="shared" si="33"/>
        <v>0</v>
      </c>
      <c r="E128" s="61">
        <f t="shared" si="33"/>
        <v>0</v>
      </c>
      <c r="F128" s="62">
        <f t="shared" si="33"/>
        <v>0</v>
      </c>
      <c r="G128" s="60">
        <f t="shared" si="33"/>
        <v>0</v>
      </c>
      <c r="H128" s="61">
        <f t="shared" si="33"/>
        <v>0</v>
      </c>
      <c r="I128" s="61">
        <f t="shared" si="33"/>
        <v>0</v>
      </c>
      <c r="J128" s="61">
        <f t="shared" si="33"/>
        <v>0</v>
      </c>
      <c r="K128" s="62">
        <f t="shared" si="33"/>
        <v>0</v>
      </c>
      <c r="L128" s="60">
        <f t="shared" si="33"/>
        <v>0</v>
      </c>
      <c r="M128" s="61">
        <f t="shared" si="33"/>
        <v>0</v>
      </c>
      <c r="N128" s="61">
        <f t="shared" si="33"/>
        <v>0</v>
      </c>
      <c r="O128" s="61">
        <f t="shared" si="33"/>
        <v>0</v>
      </c>
      <c r="P128" s="62">
        <f t="shared" si="33"/>
        <v>0</v>
      </c>
      <c r="Q128" s="60">
        <f t="shared" si="33"/>
        <v>0</v>
      </c>
      <c r="R128" s="61">
        <f t="shared" si="33"/>
        <v>0</v>
      </c>
      <c r="S128" s="61">
        <f t="shared" si="33"/>
        <v>0</v>
      </c>
      <c r="T128" s="61">
        <f t="shared" si="33"/>
        <v>0</v>
      </c>
      <c r="U128" s="62">
        <f t="shared" si="33"/>
        <v>0</v>
      </c>
      <c r="V128" s="60">
        <f t="shared" si="33"/>
        <v>0</v>
      </c>
      <c r="W128" s="61">
        <f t="shared" si="33"/>
        <v>0</v>
      </c>
      <c r="X128" s="61">
        <f t="shared" si="33"/>
        <v>0</v>
      </c>
      <c r="Y128" s="61">
        <f t="shared" si="33"/>
        <v>0</v>
      </c>
      <c r="Z128" s="62">
        <f t="shared" si="33"/>
        <v>0</v>
      </c>
      <c r="AA128" s="60">
        <f t="shared" si="33"/>
        <v>0</v>
      </c>
      <c r="AB128" s="61">
        <f t="shared" si="33"/>
        <v>0</v>
      </c>
      <c r="AC128" s="61">
        <f t="shared" si="33"/>
        <v>0</v>
      </c>
      <c r="AD128" s="61">
        <f t="shared" si="33"/>
        <v>0</v>
      </c>
      <c r="AE128" s="62">
        <f t="shared" si="33"/>
        <v>0</v>
      </c>
      <c r="AF128" s="35">
        <f>SUM(AF119:AF127)</f>
        <v>39500</v>
      </c>
      <c r="AG128" s="35">
        <f t="shared" si="32"/>
        <v>48</v>
      </c>
      <c r="AH128" s="15">
        <f>BF2</f>
        <v>0</v>
      </c>
      <c r="AI128" s="8">
        <f>BG2</f>
        <v>0</v>
      </c>
      <c r="AJ128" s="6">
        <f>BH2</f>
        <v>0</v>
      </c>
      <c r="AK128" s="6">
        <f>BI2</f>
        <v>0</v>
      </c>
      <c r="AL128" s="13">
        <f>BJ2</f>
        <v>0</v>
      </c>
      <c r="AN128" s="15">
        <f>BF3</f>
        <v>0</v>
      </c>
      <c r="AO128" s="8">
        <f>BG3</f>
        <v>0</v>
      </c>
      <c r="AP128" s="6">
        <f>BH3</f>
        <v>0</v>
      </c>
      <c r="AQ128" s="6">
        <f>BI3</f>
        <v>0</v>
      </c>
      <c r="AR128" s="13">
        <f>BJ3</f>
        <v>0</v>
      </c>
      <c r="AT128" s="15">
        <f>BF4</f>
        <v>0</v>
      </c>
      <c r="AU128" s="8">
        <f>BG4</f>
        <v>0</v>
      </c>
      <c r="AV128" s="6">
        <f>BH4</f>
        <v>0</v>
      </c>
      <c r="AW128" s="6">
        <f>BI4</f>
        <v>0</v>
      </c>
      <c r="AX128" s="13">
        <f>BJ4</f>
        <v>0</v>
      </c>
      <c r="AZ128" s="15">
        <f>BF5</f>
        <v>0</v>
      </c>
      <c r="BA128" s="8">
        <f>BG5</f>
        <v>0</v>
      </c>
      <c r="BB128" s="6">
        <f>BH5</f>
        <v>0</v>
      </c>
      <c r="BC128" s="6">
        <f>BI5</f>
        <v>0</v>
      </c>
      <c r="BD128" s="13">
        <f>BJ5</f>
        <v>0</v>
      </c>
      <c r="BF128" s="15">
        <f>BF6</f>
        <v>0</v>
      </c>
      <c r="BG128" s="8">
        <f>BG6</f>
        <v>0</v>
      </c>
      <c r="BH128" s="6">
        <f>BH6</f>
        <v>0</v>
      </c>
      <c r="BI128" s="6">
        <f>BI6</f>
        <v>0</v>
      </c>
      <c r="BJ128" s="13">
        <f>BJ6</f>
        <v>0</v>
      </c>
    </row>
    <row r="129" spans="1:62" ht="15.75" thickBo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9">
        <f>BL2</f>
        <v>0</v>
      </c>
      <c r="AI129" s="31">
        <f>BM2</f>
        <v>0</v>
      </c>
      <c r="AJ129" s="32">
        <f>BN2</f>
        <v>0</v>
      </c>
      <c r="AK129" s="32">
        <f>BO2</f>
        <v>0</v>
      </c>
      <c r="AL129" s="33">
        <f>BP2</f>
        <v>0</v>
      </c>
      <c r="AN129" s="59">
        <f>BL3</f>
        <v>0</v>
      </c>
      <c r="AO129" s="31">
        <f>BM3</f>
        <v>0</v>
      </c>
      <c r="AP129" s="32">
        <f>BN3</f>
        <v>0</v>
      </c>
      <c r="AQ129" s="32">
        <f>BO3</f>
        <v>0</v>
      </c>
      <c r="AR129" s="33">
        <f>BP3</f>
        <v>0</v>
      </c>
      <c r="AT129" s="59">
        <f>BL4</f>
        <v>0</v>
      </c>
      <c r="AU129" s="31">
        <f>BM4</f>
        <v>0</v>
      </c>
      <c r="AV129" s="32">
        <f>BN4</f>
        <v>0</v>
      </c>
      <c r="AW129" s="32">
        <f>BO4</f>
        <v>0</v>
      </c>
      <c r="AX129" s="33">
        <f>BP4</f>
        <v>0</v>
      </c>
      <c r="AZ129" s="59">
        <f>BL5</f>
        <v>0</v>
      </c>
      <c r="BA129" s="31">
        <f>BM5</f>
        <v>0</v>
      </c>
      <c r="BB129" s="32">
        <f>BN5</f>
        <v>0</v>
      </c>
      <c r="BC129" s="32">
        <f>BO5</f>
        <v>0</v>
      </c>
      <c r="BD129" s="33">
        <f>BP5</f>
        <v>0</v>
      </c>
      <c r="BF129" s="59">
        <f>BL6</f>
        <v>0</v>
      </c>
      <c r="BG129" s="31">
        <f>BM6</f>
        <v>0</v>
      </c>
      <c r="BH129" s="32">
        <f>BN6</f>
        <v>0</v>
      </c>
      <c r="BI129" s="32">
        <f>BO6</f>
        <v>0</v>
      </c>
      <c r="BJ129" s="33">
        <f>BP6</f>
        <v>0</v>
      </c>
    </row>
    <row r="130" spans="1:62" ht="16.5" thickBot="1" x14ac:dyDescent="0.3">
      <c r="A130" s="173" t="s">
        <v>249</v>
      </c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5"/>
      <c r="AH130" s="35" t="str">
        <f>C2</f>
        <v>A/C</v>
      </c>
      <c r="AI130" s="158">
        <f>SUM(AJ120:AJ129)</f>
        <v>48</v>
      </c>
      <c r="AJ130" s="159"/>
      <c r="AK130" s="158">
        <f>BT2</f>
        <v>39500</v>
      </c>
      <c r="AL130" s="159"/>
      <c r="AN130" s="35">
        <f>C3</f>
        <v>0</v>
      </c>
      <c r="AO130" s="158">
        <f>SUM(AP120:AP129)</f>
        <v>0</v>
      </c>
      <c r="AP130" s="159"/>
      <c r="AQ130" s="158">
        <f>BT3</f>
        <v>0</v>
      </c>
      <c r="AR130" s="159"/>
      <c r="AT130" s="35">
        <f>C4</f>
        <v>0</v>
      </c>
      <c r="AU130" s="158">
        <f>SUM(AV120:AV129)</f>
        <v>0</v>
      </c>
      <c r="AV130" s="159"/>
      <c r="AW130" s="158">
        <f>BT4</f>
        <v>0</v>
      </c>
      <c r="AX130" s="159"/>
      <c r="AZ130" s="35">
        <f>C5</f>
        <v>0</v>
      </c>
      <c r="BA130" s="158">
        <f>SUM(BB120:BB129)</f>
        <v>0</v>
      </c>
      <c r="BB130" s="159"/>
      <c r="BC130" s="158">
        <f>BT5</f>
        <v>0</v>
      </c>
      <c r="BD130" s="159"/>
      <c r="BF130" s="35">
        <f>C6</f>
        <v>0</v>
      </c>
      <c r="BG130" s="158">
        <f>SUM(BG120:BG129)</f>
        <v>0</v>
      </c>
      <c r="BH130" s="159"/>
      <c r="BI130" s="158">
        <f>BT6</f>
        <v>0</v>
      </c>
      <c r="BJ130" s="159"/>
    </row>
    <row r="131" spans="1:62" ht="15.75" thickBot="1" x14ac:dyDescent="0.3">
      <c r="A131" s="123" t="s">
        <v>31</v>
      </c>
      <c r="B131" s="113" t="s">
        <v>22</v>
      </c>
      <c r="C131" s="114"/>
      <c r="D131" s="114"/>
      <c r="E131" s="114"/>
      <c r="F131" s="115"/>
      <c r="G131" s="113" t="s">
        <v>20</v>
      </c>
      <c r="H131" s="114"/>
      <c r="I131" s="114"/>
      <c r="J131" s="114"/>
      <c r="K131" s="115"/>
      <c r="L131" s="113" t="s">
        <v>34</v>
      </c>
      <c r="M131" s="114"/>
      <c r="N131" s="114"/>
      <c r="O131" s="114"/>
      <c r="P131" s="115"/>
      <c r="Q131" s="113" t="s">
        <v>127</v>
      </c>
      <c r="R131" s="114"/>
      <c r="S131" s="114"/>
      <c r="T131" s="114"/>
      <c r="U131" s="115"/>
      <c r="V131" s="113" t="s">
        <v>129</v>
      </c>
      <c r="W131" s="114"/>
      <c r="X131" s="114"/>
      <c r="Y131" s="114"/>
      <c r="Z131" s="115"/>
      <c r="AA131" s="113" t="s">
        <v>26</v>
      </c>
      <c r="AB131" s="114"/>
      <c r="AC131" s="114"/>
      <c r="AD131" s="114"/>
      <c r="AE131" s="115"/>
      <c r="AF131" s="116" t="s">
        <v>24</v>
      </c>
      <c r="AG131" s="116" t="s">
        <v>86</v>
      </c>
      <c r="AH131" s="35" t="s">
        <v>25</v>
      </c>
      <c r="AI131" s="158">
        <f>A2</f>
        <v>21420</v>
      </c>
      <c r="AJ131" s="160"/>
      <c r="AK131" s="158" t="str">
        <f>BR2</f>
        <v>COD</v>
      </c>
      <c r="AL131" s="159"/>
      <c r="AN131" s="35" t="s">
        <v>25</v>
      </c>
      <c r="AO131" s="158">
        <f>A3</f>
        <v>0</v>
      </c>
      <c r="AP131" s="160"/>
      <c r="AQ131" s="158">
        <f>BR3</f>
        <v>0</v>
      </c>
      <c r="AR131" s="159"/>
      <c r="AT131" s="35" t="s">
        <v>25</v>
      </c>
      <c r="AU131" s="158">
        <f>A4</f>
        <v>0</v>
      </c>
      <c r="AV131" s="160"/>
      <c r="AW131" s="158">
        <f>BR4</f>
        <v>0</v>
      </c>
      <c r="AX131" s="159"/>
      <c r="AZ131" s="35" t="s">
        <v>25</v>
      </c>
      <c r="BA131" s="158">
        <f>A5</f>
        <v>0</v>
      </c>
      <c r="BB131" s="160"/>
      <c r="BC131" s="158">
        <f>BR5</f>
        <v>0</v>
      </c>
      <c r="BD131" s="159"/>
      <c r="BF131" s="35" t="s">
        <v>25</v>
      </c>
      <c r="BG131" s="158">
        <f>A6</f>
        <v>0</v>
      </c>
      <c r="BH131" s="160"/>
      <c r="BI131" s="158">
        <f>BR6</f>
        <v>0</v>
      </c>
      <c r="BJ131" s="159"/>
    </row>
    <row r="132" spans="1:62" ht="15.75" thickBot="1" x14ac:dyDescent="0.3">
      <c r="A132" s="124"/>
      <c r="B132" s="9" t="s">
        <v>32</v>
      </c>
      <c r="C132" s="12" t="s">
        <v>17</v>
      </c>
      <c r="D132" s="12" t="s">
        <v>19</v>
      </c>
      <c r="E132" s="12" t="s">
        <v>33</v>
      </c>
      <c r="F132" s="14" t="s">
        <v>80</v>
      </c>
      <c r="G132" s="9" t="s">
        <v>32</v>
      </c>
      <c r="H132" s="12" t="s">
        <v>17</v>
      </c>
      <c r="I132" s="12" t="s">
        <v>19</v>
      </c>
      <c r="J132" s="12" t="s">
        <v>33</v>
      </c>
      <c r="K132" s="14" t="s">
        <v>80</v>
      </c>
      <c r="L132" s="9" t="s">
        <v>32</v>
      </c>
      <c r="M132" s="12" t="s">
        <v>17</v>
      </c>
      <c r="N132" s="12" t="s">
        <v>19</v>
      </c>
      <c r="O132" s="12" t="s">
        <v>33</v>
      </c>
      <c r="P132" s="14" t="s">
        <v>80</v>
      </c>
      <c r="Q132" s="9" t="s">
        <v>32</v>
      </c>
      <c r="R132" s="12" t="s">
        <v>17</v>
      </c>
      <c r="S132" s="12" t="s">
        <v>19</v>
      </c>
      <c r="T132" s="12" t="s">
        <v>33</v>
      </c>
      <c r="U132" s="14" t="s">
        <v>80</v>
      </c>
      <c r="V132" s="9" t="s">
        <v>32</v>
      </c>
      <c r="W132" s="12" t="s">
        <v>17</v>
      </c>
      <c r="X132" s="12" t="s">
        <v>19</v>
      </c>
      <c r="Y132" s="12" t="s">
        <v>33</v>
      </c>
      <c r="Z132" s="14" t="s">
        <v>80</v>
      </c>
      <c r="AA132" s="9" t="s">
        <v>32</v>
      </c>
      <c r="AB132" s="12" t="s">
        <v>17</v>
      </c>
      <c r="AC132" s="12" t="s">
        <v>19</v>
      </c>
      <c r="AD132" s="12" t="s">
        <v>33</v>
      </c>
      <c r="AE132" s="14" t="s">
        <v>80</v>
      </c>
      <c r="AF132" s="117"/>
      <c r="AG132" s="117"/>
      <c r="AH132" s="58" t="s">
        <v>130</v>
      </c>
      <c r="AI132" s="58" t="s">
        <v>131</v>
      </c>
      <c r="AJ132" s="58" t="s">
        <v>132</v>
      </c>
      <c r="AK132" s="58" t="s">
        <v>166</v>
      </c>
      <c r="AL132" s="58" t="s">
        <v>33</v>
      </c>
      <c r="AN132" s="58" t="s">
        <v>130</v>
      </c>
      <c r="AO132" s="58" t="s">
        <v>131</v>
      </c>
      <c r="AP132" s="58" t="s">
        <v>132</v>
      </c>
      <c r="AQ132" s="58" t="s">
        <v>166</v>
      </c>
      <c r="AR132" s="58" t="s">
        <v>33</v>
      </c>
      <c r="AT132" s="58" t="s">
        <v>130</v>
      </c>
      <c r="AU132" s="58" t="s">
        <v>131</v>
      </c>
      <c r="AV132" s="58" t="s">
        <v>132</v>
      </c>
      <c r="AW132" s="58" t="s">
        <v>166</v>
      </c>
      <c r="AX132" s="58" t="s">
        <v>33</v>
      </c>
      <c r="AZ132" s="58" t="s">
        <v>130</v>
      </c>
      <c r="BA132" s="58" t="s">
        <v>131</v>
      </c>
      <c r="BB132" s="58" t="s">
        <v>132</v>
      </c>
      <c r="BC132" s="58" t="s">
        <v>166</v>
      </c>
      <c r="BD132" s="58" t="s">
        <v>33</v>
      </c>
      <c r="BF132" s="58" t="s">
        <v>130</v>
      </c>
      <c r="BG132" s="58" t="s">
        <v>131</v>
      </c>
      <c r="BH132" s="58" t="s">
        <v>132</v>
      </c>
      <c r="BI132" s="58" t="s">
        <v>166</v>
      </c>
      <c r="BJ132" s="58" t="s">
        <v>33</v>
      </c>
    </row>
    <row r="133" spans="1:62" ht="15.75" thickBot="1" x14ac:dyDescent="0.3">
      <c r="A133" s="16">
        <v>300</v>
      </c>
      <c r="B133" s="10">
        <f t="shared" ref="B133:F141" si="34">SUMIFS($J$14:$J$113,$I$14:$I$113,$A133,$K$14:$K$113,B$118,$L$14:$L$113,$B$117,$H$14:$H$113,"NG")</f>
        <v>0</v>
      </c>
      <c r="C133" s="11">
        <f t="shared" si="34"/>
        <v>0</v>
      </c>
      <c r="D133" s="11">
        <f t="shared" si="34"/>
        <v>0</v>
      </c>
      <c r="E133" s="11">
        <f t="shared" si="34"/>
        <v>0</v>
      </c>
      <c r="F133" s="17">
        <f t="shared" si="34"/>
        <v>0</v>
      </c>
      <c r="G133" s="10">
        <f t="shared" ref="G133:K141" si="35">SUMIFS($J$14:$J$113,$I$14:$I$113,$A133,$K$14:$K$113,G$118,$L$14:$L$113,$G$117,$H$14:$H$113,"NG")</f>
        <v>0</v>
      </c>
      <c r="H133" s="11">
        <f t="shared" si="35"/>
        <v>0</v>
      </c>
      <c r="I133" s="11">
        <f t="shared" si="35"/>
        <v>0</v>
      </c>
      <c r="J133" s="11">
        <f t="shared" si="35"/>
        <v>0</v>
      </c>
      <c r="K133" s="17">
        <f t="shared" si="35"/>
        <v>0</v>
      </c>
      <c r="L133" s="10">
        <f t="shared" ref="L133:P141" si="36">SUMIFS($J$14:$J$113,$I$14:$I$113,$A133,$K$14:$K$113,L$118,$L$14:$L$113,$L$117,$H$14:$H$113,"NG")</f>
        <v>0</v>
      </c>
      <c r="M133" s="11">
        <f t="shared" si="36"/>
        <v>0</v>
      </c>
      <c r="N133" s="11">
        <f t="shared" si="36"/>
        <v>0</v>
      </c>
      <c r="O133" s="11">
        <f t="shared" si="36"/>
        <v>0</v>
      </c>
      <c r="P133" s="17">
        <f t="shared" si="36"/>
        <v>0</v>
      </c>
      <c r="Q133" s="10">
        <f t="shared" ref="Q133:U141" si="37">SUMIFS($J$14:$J$113,$I$14:$I$113,$A133,$K$14:$K$113,Q$118,$L$14:$L$113,$Q$117,$H$14:$H$113,"NG")</f>
        <v>0</v>
      </c>
      <c r="R133" s="11">
        <f t="shared" si="37"/>
        <v>0</v>
      </c>
      <c r="S133" s="11">
        <f t="shared" si="37"/>
        <v>0</v>
      </c>
      <c r="T133" s="11">
        <f t="shared" si="37"/>
        <v>0</v>
      </c>
      <c r="U133" s="17">
        <f t="shared" si="37"/>
        <v>0</v>
      </c>
      <c r="V133" s="10">
        <f t="shared" ref="V133:AE141" si="38">SUMIFS($J$14:$J$113,$I$14:$I$113,$A133,$K$14:$K$113,V$118,$L$14:$L$113,$L$117,$H$14:$H$113,"NG")</f>
        <v>0</v>
      </c>
      <c r="W133" s="11">
        <f t="shared" si="38"/>
        <v>0</v>
      </c>
      <c r="X133" s="11">
        <f t="shared" si="38"/>
        <v>0</v>
      </c>
      <c r="Y133" s="11">
        <f t="shared" si="38"/>
        <v>0</v>
      </c>
      <c r="Z133" s="17">
        <f t="shared" si="38"/>
        <v>0</v>
      </c>
      <c r="AA133" s="10">
        <f t="shared" si="38"/>
        <v>0</v>
      </c>
      <c r="AB133" s="11">
        <f t="shared" si="38"/>
        <v>0</v>
      </c>
      <c r="AC133" s="11">
        <f t="shared" si="38"/>
        <v>0</v>
      </c>
      <c r="AD133" s="11">
        <f t="shared" si="38"/>
        <v>0</v>
      </c>
      <c r="AE133" s="17">
        <f t="shared" si="38"/>
        <v>0</v>
      </c>
      <c r="AF133" s="16">
        <f>SUM(B133:AE133)*A133</f>
        <v>0</v>
      </c>
      <c r="AG133" s="16">
        <f>SUM(B133:AE133)</f>
        <v>0</v>
      </c>
      <c r="AH133" s="34" t="str">
        <f>AZ14</f>
        <v/>
      </c>
      <c r="AI133" s="34" t="str">
        <f>BA14</f>
        <v/>
      </c>
      <c r="AJ133" s="34" t="str">
        <f>BB14</f>
        <v/>
      </c>
      <c r="AK133" s="35" t="str">
        <f>BC14</f>
        <v/>
      </c>
      <c r="AL133" s="35" t="str">
        <f>BD14</f>
        <v/>
      </c>
      <c r="AN133" s="34" t="str">
        <f>AZ15</f>
        <v/>
      </c>
      <c r="AO133" s="34" t="str">
        <f>BA15</f>
        <v/>
      </c>
      <c r="AP133" s="34" t="str">
        <f>BB15</f>
        <v/>
      </c>
      <c r="AQ133" s="35" t="str">
        <f>BC15</f>
        <v/>
      </c>
      <c r="AR133" s="35" t="str">
        <f>BD15</f>
        <v/>
      </c>
      <c r="AT133" s="34" t="str">
        <f>AZ16</f>
        <v/>
      </c>
      <c r="AU133" s="34" t="str">
        <f>BA16</f>
        <v/>
      </c>
      <c r="AV133" s="34" t="str">
        <f>BB16</f>
        <v/>
      </c>
      <c r="AW133" s="35" t="str">
        <f>BC16</f>
        <v/>
      </c>
      <c r="AX133" s="35" t="str">
        <f>BD16</f>
        <v/>
      </c>
      <c r="AZ133" s="34" t="str">
        <f>AZ17</f>
        <v/>
      </c>
      <c r="BA133" s="34" t="str">
        <f>BA17</f>
        <v/>
      </c>
      <c r="BB133" s="34" t="str">
        <f>BB17</f>
        <v/>
      </c>
      <c r="BC133" s="35" t="str">
        <f>BC17</f>
        <v/>
      </c>
      <c r="BD133" s="35" t="str">
        <f>BD17</f>
        <v/>
      </c>
      <c r="BF133" s="34" t="str">
        <f>AZ18</f>
        <v/>
      </c>
      <c r="BG133" s="34" t="str">
        <f>BA18</f>
        <v/>
      </c>
      <c r="BH133" s="34" t="str">
        <f>BB18</f>
        <v/>
      </c>
      <c r="BI133" s="35" t="str">
        <f>BC18</f>
        <v/>
      </c>
      <c r="BJ133" s="35" t="str">
        <f>BD18</f>
        <v/>
      </c>
    </row>
    <row r="134" spans="1:62" ht="15.75" thickBot="1" x14ac:dyDescent="0.3">
      <c r="A134" s="16">
        <v>500</v>
      </c>
      <c r="B134" s="10">
        <f t="shared" si="34"/>
        <v>0</v>
      </c>
      <c r="C134" s="11">
        <f t="shared" si="34"/>
        <v>0</v>
      </c>
      <c r="D134" s="11">
        <f t="shared" si="34"/>
        <v>0</v>
      </c>
      <c r="E134" s="11">
        <f t="shared" si="34"/>
        <v>0</v>
      </c>
      <c r="F134" s="17">
        <f t="shared" si="34"/>
        <v>0</v>
      </c>
      <c r="G134" s="10">
        <f t="shared" si="35"/>
        <v>0</v>
      </c>
      <c r="H134" s="11">
        <f t="shared" si="35"/>
        <v>0</v>
      </c>
      <c r="I134" s="11">
        <f t="shared" si="35"/>
        <v>0</v>
      </c>
      <c r="J134" s="11">
        <f t="shared" si="35"/>
        <v>0</v>
      </c>
      <c r="K134" s="17">
        <f t="shared" si="35"/>
        <v>0</v>
      </c>
      <c r="L134" s="10">
        <f t="shared" si="36"/>
        <v>0</v>
      </c>
      <c r="M134" s="11">
        <f t="shared" si="36"/>
        <v>0</v>
      </c>
      <c r="N134" s="11">
        <f t="shared" si="36"/>
        <v>0</v>
      </c>
      <c r="O134" s="11">
        <f t="shared" si="36"/>
        <v>0</v>
      </c>
      <c r="P134" s="17">
        <f t="shared" si="36"/>
        <v>0</v>
      </c>
      <c r="Q134" s="10">
        <f t="shared" si="37"/>
        <v>0</v>
      </c>
      <c r="R134" s="11">
        <f t="shared" si="37"/>
        <v>0</v>
      </c>
      <c r="S134" s="11">
        <f t="shared" si="37"/>
        <v>0</v>
      </c>
      <c r="T134" s="11">
        <f t="shared" si="37"/>
        <v>0</v>
      </c>
      <c r="U134" s="17">
        <f t="shared" si="37"/>
        <v>0</v>
      </c>
      <c r="V134" s="10">
        <f t="shared" si="38"/>
        <v>0</v>
      </c>
      <c r="W134" s="11">
        <f t="shared" si="38"/>
        <v>0</v>
      </c>
      <c r="X134" s="11">
        <f t="shared" si="38"/>
        <v>0</v>
      </c>
      <c r="Y134" s="11">
        <f t="shared" si="38"/>
        <v>0</v>
      </c>
      <c r="Z134" s="17">
        <f t="shared" si="38"/>
        <v>0</v>
      </c>
      <c r="AA134" s="10">
        <f t="shared" si="38"/>
        <v>0</v>
      </c>
      <c r="AB134" s="11">
        <f t="shared" si="38"/>
        <v>0</v>
      </c>
      <c r="AC134" s="11">
        <f t="shared" si="38"/>
        <v>0</v>
      </c>
      <c r="AD134" s="11">
        <f t="shared" si="38"/>
        <v>0</v>
      </c>
      <c r="AE134" s="17">
        <f t="shared" si="38"/>
        <v>0</v>
      </c>
      <c r="AF134" s="16">
        <f t="shared" ref="AF134:AF141" si="39">SUM(B134:AE134)*A134</f>
        <v>0</v>
      </c>
      <c r="AG134" s="16">
        <f t="shared" ref="AG134:AG142" si="40">SUM(B134:AE134)</f>
        <v>0</v>
      </c>
      <c r="AH134" s="58" t="s">
        <v>22</v>
      </c>
      <c r="AI134" s="58" t="s">
        <v>20</v>
      </c>
      <c r="AJ134" s="58" t="s">
        <v>34</v>
      </c>
      <c r="AK134" s="58" t="s">
        <v>127</v>
      </c>
      <c r="AL134" s="58" t="s">
        <v>129</v>
      </c>
      <c r="AN134" s="58" t="s">
        <v>22</v>
      </c>
      <c r="AO134" s="58" t="s">
        <v>20</v>
      </c>
      <c r="AP134" s="58" t="s">
        <v>34</v>
      </c>
      <c r="AQ134" s="58" t="s">
        <v>127</v>
      </c>
      <c r="AR134" s="58" t="s">
        <v>129</v>
      </c>
      <c r="AT134" s="58" t="s">
        <v>22</v>
      </c>
      <c r="AU134" s="58" t="s">
        <v>20</v>
      </c>
      <c r="AV134" s="58" t="s">
        <v>34</v>
      </c>
      <c r="AW134" s="58" t="s">
        <v>127</v>
      </c>
      <c r="AX134" s="58" t="s">
        <v>129</v>
      </c>
      <c r="AZ134" s="58" t="s">
        <v>22</v>
      </c>
      <c r="BA134" s="58" t="s">
        <v>20</v>
      </c>
      <c r="BB134" s="58" t="s">
        <v>34</v>
      </c>
      <c r="BC134" s="58" t="s">
        <v>127</v>
      </c>
      <c r="BD134" s="58" t="s">
        <v>129</v>
      </c>
      <c r="BF134" s="58" t="s">
        <v>22</v>
      </c>
      <c r="BG134" s="58" t="s">
        <v>20</v>
      </c>
      <c r="BH134" s="58" t="s">
        <v>34</v>
      </c>
      <c r="BI134" s="58" t="s">
        <v>127</v>
      </c>
      <c r="BJ134" s="58" t="s">
        <v>129</v>
      </c>
    </row>
    <row r="135" spans="1:62" ht="15.75" thickBot="1" x14ac:dyDescent="0.3">
      <c r="A135" s="15">
        <v>750</v>
      </c>
      <c r="B135" s="8">
        <f t="shared" si="34"/>
        <v>0</v>
      </c>
      <c r="C135" s="6">
        <f t="shared" si="34"/>
        <v>0</v>
      </c>
      <c r="D135" s="6">
        <f t="shared" si="34"/>
        <v>0</v>
      </c>
      <c r="E135" s="6">
        <f t="shared" si="34"/>
        <v>0</v>
      </c>
      <c r="F135" s="13">
        <f t="shared" si="34"/>
        <v>0</v>
      </c>
      <c r="G135" s="8">
        <f t="shared" si="35"/>
        <v>0</v>
      </c>
      <c r="H135" s="6">
        <f t="shared" si="35"/>
        <v>0</v>
      </c>
      <c r="I135" s="6">
        <f t="shared" si="35"/>
        <v>0</v>
      </c>
      <c r="J135" s="6">
        <f t="shared" si="35"/>
        <v>0</v>
      </c>
      <c r="K135" s="13">
        <f t="shared" si="35"/>
        <v>0</v>
      </c>
      <c r="L135" s="8">
        <f t="shared" si="36"/>
        <v>0</v>
      </c>
      <c r="M135" s="6">
        <f t="shared" si="36"/>
        <v>0</v>
      </c>
      <c r="N135" s="6">
        <f t="shared" si="36"/>
        <v>0</v>
      </c>
      <c r="O135" s="6">
        <f t="shared" si="36"/>
        <v>0</v>
      </c>
      <c r="P135" s="13">
        <f t="shared" si="36"/>
        <v>0</v>
      </c>
      <c r="Q135" s="8">
        <f t="shared" si="37"/>
        <v>0</v>
      </c>
      <c r="R135" s="6">
        <f t="shared" si="37"/>
        <v>0</v>
      </c>
      <c r="S135" s="6">
        <f t="shared" si="37"/>
        <v>0</v>
      </c>
      <c r="T135" s="6">
        <f t="shared" si="37"/>
        <v>0</v>
      </c>
      <c r="U135" s="13">
        <f t="shared" si="37"/>
        <v>0</v>
      </c>
      <c r="V135" s="8">
        <f t="shared" si="38"/>
        <v>0</v>
      </c>
      <c r="W135" s="6">
        <f t="shared" si="38"/>
        <v>0</v>
      </c>
      <c r="X135" s="6">
        <f t="shared" si="38"/>
        <v>0</v>
      </c>
      <c r="Y135" s="6">
        <f t="shared" si="38"/>
        <v>0</v>
      </c>
      <c r="Z135" s="13">
        <f t="shared" si="38"/>
        <v>0</v>
      </c>
      <c r="AA135" s="8">
        <f t="shared" si="38"/>
        <v>0</v>
      </c>
      <c r="AB135" s="6">
        <f t="shared" si="38"/>
        <v>0</v>
      </c>
      <c r="AC135" s="6">
        <f t="shared" si="38"/>
        <v>0</v>
      </c>
      <c r="AD135" s="6">
        <f t="shared" si="38"/>
        <v>0</v>
      </c>
      <c r="AE135" s="13">
        <f t="shared" si="38"/>
        <v>0</v>
      </c>
      <c r="AF135" s="16">
        <f t="shared" si="39"/>
        <v>0</v>
      </c>
      <c r="AG135" s="16">
        <f t="shared" si="40"/>
        <v>0</v>
      </c>
      <c r="AH135" s="34">
        <f>AU14</f>
        <v>3.5</v>
      </c>
      <c r="AI135" s="34" t="str">
        <f>AV14</f>
        <v/>
      </c>
      <c r="AJ135" s="34" t="str">
        <f>AW14</f>
        <v/>
      </c>
      <c r="AK135" s="35" t="str">
        <f>AX14</f>
        <v/>
      </c>
      <c r="AL135" s="35" t="str">
        <f>AY14</f>
        <v/>
      </c>
      <c r="AN135" s="34" t="str">
        <f>AU15</f>
        <v/>
      </c>
      <c r="AO135" s="34" t="str">
        <f>AV15</f>
        <v/>
      </c>
      <c r="AP135" s="34" t="str">
        <f>AW15</f>
        <v/>
      </c>
      <c r="AQ135" s="35" t="str">
        <f>AX15</f>
        <v/>
      </c>
      <c r="AR135" s="35" t="str">
        <f>AY15</f>
        <v/>
      </c>
      <c r="AT135" s="34" t="str">
        <f>AU16</f>
        <v/>
      </c>
      <c r="AU135" s="34" t="str">
        <f>AV16</f>
        <v/>
      </c>
      <c r="AV135" s="34" t="str">
        <f>AW16</f>
        <v/>
      </c>
      <c r="AW135" s="35" t="str">
        <f>AX16</f>
        <v/>
      </c>
      <c r="AX135" s="35" t="str">
        <f>AY16</f>
        <v/>
      </c>
      <c r="AZ135" s="34" t="str">
        <f>AU17</f>
        <v/>
      </c>
      <c r="BA135" s="34" t="str">
        <f>AV17</f>
        <v/>
      </c>
      <c r="BB135" s="34" t="str">
        <f>AW17</f>
        <v/>
      </c>
      <c r="BC135" s="35" t="str">
        <f>AX17</f>
        <v/>
      </c>
      <c r="BD135" s="35" t="str">
        <f>AY17</f>
        <v/>
      </c>
      <c r="BF135" s="34" t="str">
        <f>AU18</f>
        <v/>
      </c>
      <c r="BG135" s="34" t="str">
        <f>AV18</f>
        <v/>
      </c>
      <c r="BH135" s="34" t="str">
        <f>AW18</f>
        <v/>
      </c>
      <c r="BI135" s="35" t="str">
        <f>AX18</f>
        <v/>
      </c>
      <c r="BJ135" s="35" t="str">
        <f>AY18</f>
        <v/>
      </c>
    </row>
    <row r="136" spans="1:62" x14ac:dyDescent="0.25">
      <c r="A136" s="15">
        <v>1000</v>
      </c>
      <c r="B136" s="8">
        <f t="shared" si="34"/>
        <v>0</v>
      </c>
      <c r="C136" s="6">
        <f t="shared" si="34"/>
        <v>0</v>
      </c>
      <c r="D136" s="6">
        <f t="shared" si="34"/>
        <v>0</v>
      </c>
      <c r="E136" s="6">
        <f t="shared" si="34"/>
        <v>0</v>
      </c>
      <c r="F136" s="13">
        <f t="shared" si="34"/>
        <v>0</v>
      </c>
      <c r="G136" s="8">
        <f t="shared" si="35"/>
        <v>0</v>
      </c>
      <c r="H136" s="6">
        <f t="shared" si="35"/>
        <v>0</v>
      </c>
      <c r="I136" s="6">
        <f t="shared" si="35"/>
        <v>0</v>
      </c>
      <c r="J136" s="6">
        <f t="shared" si="35"/>
        <v>0</v>
      </c>
      <c r="K136" s="13">
        <f t="shared" si="35"/>
        <v>0</v>
      </c>
      <c r="L136" s="8">
        <f t="shared" si="36"/>
        <v>0</v>
      </c>
      <c r="M136" s="6">
        <f t="shared" si="36"/>
        <v>0</v>
      </c>
      <c r="N136" s="6">
        <f t="shared" si="36"/>
        <v>0</v>
      </c>
      <c r="O136" s="6">
        <f t="shared" si="36"/>
        <v>0</v>
      </c>
      <c r="P136" s="13">
        <f t="shared" si="36"/>
        <v>0</v>
      </c>
      <c r="Q136" s="8">
        <f t="shared" si="37"/>
        <v>0</v>
      </c>
      <c r="R136" s="6">
        <f t="shared" si="37"/>
        <v>0</v>
      </c>
      <c r="S136" s="6">
        <f t="shared" si="37"/>
        <v>0</v>
      </c>
      <c r="T136" s="6">
        <f t="shared" si="37"/>
        <v>0</v>
      </c>
      <c r="U136" s="13">
        <f t="shared" si="37"/>
        <v>0</v>
      </c>
      <c r="V136" s="8">
        <f t="shared" si="38"/>
        <v>0</v>
      </c>
      <c r="W136" s="6">
        <f t="shared" si="38"/>
        <v>0</v>
      </c>
      <c r="X136" s="6">
        <f t="shared" si="38"/>
        <v>0</v>
      </c>
      <c r="Y136" s="6">
        <f t="shared" si="38"/>
        <v>0</v>
      </c>
      <c r="Z136" s="13">
        <f t="shared" si="38"/>
        <v>0</v>
      </c>
      <c r="AA136" s="8">
        <f t="shared" si="38"/>
        <v>0</v>
      </c>
      <c r="AB136" s="6">
        <f t="shared" si="38"/>
        <v>0</v>
      </c>
      <c r="AC136" s="6">
        <f t="shared" si="38"/>
        <v>0</v>
      </c>
      <c r="AD136" s="6">
        <f t="shared" si="38"/>
        <v>0</v>
      </c>
      <c r="AE136" s="13">
        <f t="shared" si="38"/>
        <v>0</v>
      </c>
      <c r="AF136" s="16">
        <f t="shared" si="39"/>
        <v>0</v>
      </c>
      <c r="AG136" s="16">
        <f t="shared" si="40"/>
        <v>0</v>
      </c>
    </row>
    <row r="137" spans="1:62" x14ac:dyDescent="0.25">
      <c r="A137" s="15">
        <v>1500</v>
      </c>
      <c r="B137" s="8">
        <f t="shared" si="34"/>
        <v>0</v>
      </c>
      <c r="C137" s="6">
        <f t="shared" si="34"/>
        <v>0</v>
      </c>
      <c r="D137" s="6">
        <f t="shared" si="34"/>
        <v>0</v>
      </c>
      <c r="E137" s="6">
        <f t="shared" si="34"/>
        <v>0</v>
      </c>
      <c r="F137" s="13">
        <f t="shared" si="34"/>
        <v>0</v>
      </c>
      <c r="G137" s="8">
        <f t="shared" si="35"/>
        <v>0</v>
      </c>
      <c r="H137" s="6">
        <f t="shared" si="35"/>
        <v>0</v>
      </c>
      <c r="I137" s="6">
        <f t="shared" si="35"/>
        <v>0</v>
      </c>
      <c r="J137" s="6">
        <f t="shared" si="35"/>
        <v>0</v>
      </c>
      <c r="K137" s="13">
        <f t="shared" si="35"/>
        <v>0</v>
      </c>
      <c r="L137" s="8">
        <f t="shared" si="36"/>
        <v>0</v>
      </c>
      <c r="M137" s="6">
        <f t="shared" si="36"/>
        <v>0</v>
      </c>
      <c r="N137" s="6">
        <f t="shared" si="36"/>
        <v>0</v>
      </c>
      <c r="O137" s="6">
        <f t="shared" si="36"/>
        <v>0</v>
      </c>
      <c r="P137" s="13">
        <f t="shared" si="36"/>
        <v>0</v>
      </c>
      <c r="Q137" s="8">
        <f t="shared" si="37"/>
        <v>0</v>
      </c>
      <c r="R137" s="6">
        <f t="shared" si="37"/>
        <v>0</v>
      </c>
      <c r="S137" s="6">
        <f t="shared" si="37"/>
        <v>0</v>
      </c>
      <c r="T137" s="6">
        <f t="shared" si="37"/>
        <v>0</v>
      </c>
      <c r="U137" s="13">
        <f t="shared" si="37"/>
        <v>0</v>
      </c>
      <c r="V137" s="8">
        <f t="shared" si="38"/>
        <v>0</v>
      </c>
      <c r="W137" s="6">
        <f t="shared" si="38"/>
        <v>0</v>
      </c>
      <c r="X137" s="6">
        <f t="shared" si="38"/>
        <v>0</v>
      </c>
      <c r="Y137" s="6">
        <f t="shared" si="38"/>
        <v>0</v>
      </c>
      <c r="Z137" s="13">
        <f t="shared" si="38"/>
        <v>0</v>
      </c>
      <c r="AA137" s="8">
        <f t="shared" si="38"/>
        <v>0</v>
      </c>
      <c r="AB137" s="6">
        <f t="shared" si="38"/>
        <v>0</v>
      </c>
      <c r="AC137" s="6">
        <f t="shared" si="38"/>
        <v>0</v>
      </c>
      <c r="AD137" s="6">
        <f t="shared" si="38"/>
        <v>0</v>
      </c>
      <c r="AE137" s="13">
        <f t="shared" si="38"/>
        <v>0</v>
      </c>
      <c r="AF137" s="16">
        <f t="shared" si="39"/>
        <v>0</v>
      </c>
      <c r="AG137" s="16">
        <f t="shared" si="40"/>
        <v>0</v>
      </c>
      <c r="AH137" s="118" t="s">
        <v>35</v>
      </c>
      <c r="AI137" s="118"/>
      <c r="AJ137" s="118">
        <f>F7</f>
        <v>0</v>
      </c>
      <c r="AK137" s="118"/>
      <c r="AL137" s="118"/>
      <c r="AN137" s="118" t="s">
        <v>35</v>
      </c>
      <c r="AO137" s="118"/>
      <c r="AP137" s="118">
        <f>F8</f>
        <v>0</v>
      </c>
      <c r="AQ137" s="118"/>
      <c r="AR137" s="118"/>
      <c r="AT137" s="118" t="s">
        <v>35</v>
      </c>
      <c r="AU137" s="118"/>
      <c r="AV137" s="118">
        <f>F9</f>
        <v>0</v>
      </c>
      <c r="AW137" s="118"/>
      <c r="AX137" s="118"/>
      <c r="AZ137" s="118" t="s">
        <v>35</v>
      </c>
      <c r="BA137" s="118"/>
      <c r="BB137" s="118">
        <f>F10</f>
        <v>0</v>
      </c>
      <c r="BC137" s="118"/>
      <c r="BD137" s="118"/>
      <c r="BF137" s="118" t="s">
        <v>35</v>
      </c>
      <c r="BG137" s="118"/>
      <c r="BH137" s="118">
        <f>F11</f>
        <v>0</v>
      </c>
      <c r="BI137" s="118"/>
      <c r="BJ137" s="118"/>
    </row>
    <row r="138" spans="1:62" x14ac:dyDescent="0.25">
      <c r="A138" s="15">
        <v>2000</v>
      </c>
      <c r="B138" s="8">
        <f t="shared" si="34"/>
        <v>0</v>
      </c>
      <c r="C138" s="6">
        <f t="shared" si="34"/>
        <v>0</v>
      </c>
      <c r="D138" s="6">
        <f t="shared" si="34"/>
        <v>0</v>
      </c>
      <c r="E138" s="6">
        <f t="shared" si="34"/>
        <v>0</v>
      </c>
      <c r="F138" s="13">
        <f t="shared" si="34"/>
        <v>0</v>
      </c>
      <c r="G138" s="8">
        <f t="shared" si="35"/>
        <v>0</v>
      </c>
      <c r="H138" s="6">
        <f t="shared" si="35"/>
        <v>0</v>
      </c>
      <c r="I138" s="6">
        <f t="shared" si="35"/>
        <v>0</v>
      </c>
      <c r="J138" s="6">
        <f t="shared" si="35"/>
        <v>0</v>
      </c>
      <c r="K138" s="13">
        <f t="shared" si="35"/>
        <v>0</v>
      </c>
      <c r="L138" s="8">
        <f t="shared" si="36"/>
        <v>0</v>
      </c>
      <c r="M138" s="6">
        <f t="shared" si="36"/>
        <v>0</v>
      </c>
      <c r="N138" s="6">
        <f t="shared" si="36"/>
        <v>0</v>
      </c>
      <c r="O138" s="6">
        <f t="shared" si="36"/>
        <v>0</v>
      </c>
      <c r="P138" s="13">
        <f t="shared" si="36"/>
        <v>0</v>
      </c>
      <c r="Q138" s="8">
        <f t="shared" si="37"/>
        <v>0</v>
      </c>
      <c r="R138" s="6">
        <f t="shared" si="37"/>
        <v>0</v>
      </c>
      <c r="S138" s="6">
        <f t="shared" si="37"/>
        <v>0</v>
      </c>
      <c r="T138" s="6">
        <f t="shared" si="37"/>
        <v>0</v>
      </c>
      <c r="U138" s="13">
        <f t="shared" si="37"/>
        <v>0</v>
      </c>
      <c r="V138" s="8">
        <f t="shared" si="38"/>
        <v>0</v>
      </c>
      <c r="W138" s="6">
        <f t="shared" si="38"/>
        <v>0</v>
      </c>
      <c r="X138" s="6">
        <f t="shared" si="38"/>
        <v>0</v>
      </c>
      <c r="Y138" s="6">
        <f t="shared" si="38"/>
        <v>0</v>
      </c>
      <c r="Z138" s="13">
        <f t="shared" si="38"/>
        <v>0</v>
      </c>
      <c r="AA138" s="8">
        <f t="shared" si="38"/>
        <v>0</v>
      </c>
      <c r="AB138" s="6">
        <f t="shared" si="38"/>
        <v>0</v>
      </c>
      <c r="AC138" s="6">
        <f t="shared" si="38"/>
        <v>0</v>
      </c>
      <c r="AD138" s="6">
        <f t="shared" si="38"/>
        <v>0</v>
      </c>
      <c r="AE138" s="13">
        <f t="shared" si="38"/>
        <v>0</v>
      </c>
      <c r="AF138" s="16">
        <f t="shared" si="39"/>
        <v>0</v>
      </c>
      <c r="AG138" s="16">
        <f t="shared" si="40"/>
        <v>0</v>
      </c>
      <c r="AH138" s="118">
        <f>G7</f>
        <v>0</v>
      </c>
      <c r="AI138" s="118"/>
      <c r="AJ138" s="118"/>
      <c r="AK138" s="118"/>
      <c r="AL138" s="118"/>
      <c r="AN138" s="118">
        <f>G8</f>
        <v>0</v>
      </c>
      <c r="AO138" s="118">
        <f>G8</f>
        <v>0</v>
      </c>
      <c r="AP138" s="118"/>
      <c r="AQ138" s="118"/>
      <c r="AR138" s="118"/>
      <c r="AT138" s="118">
        <f>G9</f>
        <v>0</v>
      </c>
      <c r="AU138" s="118"/>
      <c r="AV138" s="118"/>
      <c r="AW138" s="118"/>
      <c r="AX138" s="118"/>
      <c r="AZ138" s="118">
        <f>G10</f>
        <v>0</v>
      </c>
      <c r="BA138" s="118"/>
      <c r="BB138" s="118"/>
      <c r="BC138" s="118"/>
      <c r="BD138" s="118"/>
      <c r="BF138" s="118">
        <f>G11</f>
        <v>0</v>
      </c>
      <c r="BG138" s="118"/>
      <c r="BH138" s="118"/>
      <c r="BI138" s="118"/>
      <c r="BJ138" s="118"/>
    </row>
    <row r="139" spans="1:62" ht="15.75" thickBot="1" x14ac:dyDescent="0.3">
      <c r="A139" s="15">
        <v>3000</v>
      </c>
      <c r="B139" s="8">
        <f t="shared" si="34"/>
        <v>0</v>
      </c>
      <c r="C139" s="6">
        <f t="shared" si="34"/>
        <v>0</v>
      </c>
      <c r="D139" s="6">
        <f t="shared" si="34"/>
        <v>0</v>
      </c>
      <c r="E139" s="6">
        <f t="shared" si="34"/>
        <v>0</v>
      </c>
      <c r="F139" s="13">
        <f t="shared" si="34"/>
        <v>0</v>
      </c>
      <c r="G139" s="8">
        <f t="shared" si="35"/>
        <v>0</v>
      </c>
      <c r="H139" s="6">
        <f t="shared" si="35"/>
        <v>0</v>
      </c>
      <c r="I139" s="6">
        <f t="shared" si="35"/>
        <v>0</v>
      </c>
      <c r="J139" s="6">
        <f t="shared" si="35"/>
        <v>0</v>
      </c>
      <c r="K139" s="13">
        <f t="shared" si="35"/>
        <v>0</v>
      </c>
      <c r="L139" s="8">
        <f t="shared" si="36"/>
        <v>0</v>
      </c>
      <c r="M139" s="6">
        <f t="shared" si="36"/>
        <v>0</v>
      </c>
      <c r="N139" s="6">
        <f t="shared" si="36"/>
        <v>0</v>
      </c>
      <c r="O139" s="6">
        <f t="shared" si="36"/>
        <v>0</v>
      </c>
      <c r="P139" s="13">
        <f t="shared" si="36"/>
        <v>0</v>
      </c>
      <c r="Q139" s="8">
        <f t="shared" si="37"/>
        <v>0</v>
      </c>
      <c r="R139" s="6">
        <f t="shared" si="37"/>
        <v>0</v>
      </c>
      <c r="S139" s="6">
        <f t="shared" si="37"/>
        <v>0</v>
      </c>
      <c r="T139" s="6">
        <f t="shared" si="37"/>
        <v>0</v>
      </c>
      <c r="U139" s="13">
        <f t="shared" si="37"/>
        <v>0</v>
      </c>
      <c r="V139" s="8">
        <f t="shared" si="38"/>
        <v>0</v>
      </c>
      <c r="W139" s="6">
        <f t="shared" si="38"/>
        <v>0</v>
      </c>
      <c r="X139" s="6">
        <f t="shared" si="38"/>
        <v>0</v>
      </c>
      <c r="Y139" s="6">
        <f t="shared" si="38"/>
        <v>0</v>
      </c>
      <c r="Z139" s="13">
        <f t="shared" si="38"/>
        <v>0</v>
      </c>
      <c r="AA139" s="8">
        <f t="shared" si="38"/>
        <v>0</v>
      </c>
      <c r="AB139" s="6">
        <f t="shared" si="38"/>
        <v>0</v>
      </c>
      <c r="AC139" s="6">
        <f t="shared" si="38"/>
        <v>0</v>
      </c>
      <c r="AD139" s="6">
        <f t="shared" si="38"/>
        <v>0</v>
      </c>
      <c r="AE139" s="13">
        <f t="shared" si="38"/>
        <v>0</v>
      </c>
      <c r="AF139" s="16">
        <f t="shared" si="39"/>
        <v>0</v>
      </c>
      <c r="AG139" s="16">
        <f t="shared" si="40"/>
        <v>0</v>
      </c>
      <c r="AH139" s="118">
        <f>H7</f>
        <v>0</v>
      </c>
      <c r="AI139" s="118"/>
      <c r="AJ139" s="118"/>
      <c r="AK139" s="118"/>
      <c r="AL139" s="118"/>
      <c r="AN139" s="118">
        <f>H8</f>
        <v>0</v>
      </c>
      <c r="AO139" s="118">
        <f>H8</f>
        <v>0</v>
      </c>
      <c r="AP139" s="118"/>
      <c r="AQ139" s="118"/>
      <c r="AR139" s="118"/>
      <c r="AT139" s="118">
        <f>H9</f>
        <v>0</v>
      </c>
      <c r="AU139" s="118"/>
      <c r="AV139" s="118"/>
      <c r="AW139" s="118"/>
      <c r="AX139" s="118"/>
      <c r="AZ139" s="118">
        <f>H10</f>
        <v>0</v>
      </c>
      <c r="BA139" s="118"/>
      <c r="BB139" s="118"/>
      <c r="BC139" s="118"/>
      <c r="BD139" s="118"/>
      <c r="BF139" s="118">
        <f>H11</f>
        <v>0</v>
      </c>
      <c r="BG139" s="118"/>
      <c r="BH139" s="118"/>
      <c r="BI139" s="118"/>
      <c r="BJ139" s="118"/>
    </row>
    <row r="140" spans="1:62" ht="15.75" thickBot="1" x14ac:dyDescent="0.3">
      <c r="A140" s="15">
        <v>5000</v>
      </c>
      <c r="B140" s="8">
        <f t="shared" si="34"/>
        <v>0</v>
      </c>
      <c r="C140" s="6">
        <f t="shared" si="34"/>
        <v>0</v>
      </c>
      <c r="D140" s="6">
        <f t="shared" si="34"/>
        <v>0</v>
      </c>
      <c r="E140" s="6">
        <f t="shared" si="34"/>
        <v>0</v>
      </c>
      <c r="F140" s="13">
        <f t="shared" si="34"/>
        <v>0</v>
      </c>
      <c r="G140" s="8">
        <f t="shared" si="35"/>
        <v>0</v>
      </c>
      <c r="H140" s="6">
        <f t="shared" si="35"/>
        <v>0</v>
      </c>
      <c r="I140" s="6">
        <f t="shared" si="35"/>
        <v>0</v>
      </c>
      <c r="J140" s="6">
        <f t="shared" si="35"/>
        <v>0</v>
      </c>
      <c r="K140" s="13">
        <f t="shared" si="35"/>
        <v>0</v>
      </c>
      <c r="L140" s="8">
        <f t="shared" si="36"/>
        <v>0</v>
      </c>
      <c r="M140" s="6">
        <f t="shared" si="36"/>
        <v>0</v>
      </c>
      <c r="N140" s="6">
        <f t="shared" si="36"/>
        <v>0</v>
      </c>
      <c r="O140" s="6">
        <f t="shared" si="36"/>
        <v>0</v>
      </c>
      <c r="P140" s="13">
        <f t="shared" si="36"/>
        <v>0</v>
      </c>
      <c r="Q140" s="8">
        <f t="shared" si="37"/>
        <v>0</v>
      </c>
      <c r="R140" s="6">
        <f t="shared" si="37"/>
        <v>0</v>
      </c>
      <c r="S140" s="6">
        <f t="shared" si="37"/>
        <v>0</v>
      </c>
      <c r="T140" s="6">
        <f t="shared" si="37"/>
        <v>0</v>
      </c>
      <c r="U140" s="13">
        <f t="shared" si="37"/>
        <v>0</v>
      </c>
      <c r="V140" s="8">
        <f t="shared" si="38"/>
        <v>0</v>
      </c>
      <c r="W140" s="6">
        <f t="shared" si="38"/>
        <v>0</v>
      </c>
      <c r="X140" s="6">
        <f t="shared" si="38"/>
        <v>0</v>
      </c>
      <c r="Y140" s="6">
        <f t="shared" si="38"/>
        <v>0</v>
      </c>
      <c r="Z140" s="13">
        <f t="shared" si="38"/>
        <v>0</v>
      </c>
      <c r="AA140" s="8">
        <f t="shared" si="38"/>
        <v>0</v>
      </c>
      <c r="AB140" s="6">
        <f t="shared" si="38"/>
        <v>0</v>
      </c>
      <c r="AC140" s="6">
        <f t="shared" si="38"/>
        <v>0</v>
      </c>
      <c r="AD140" s="6">
        <f t="shared" si="38"/>
        <v>0</v>
      </c>
      <c r="AE140" s="13">
        <f t="shared" si="38"/>
        <v>0</v>
      </c>
      <c r="AF140" s="16">
        <f t="shared" si="39"/>
        <v>0</v>
      </c>
      <c r="AG140" s="16">
        <f t="shared" si="40"/>
        <v>0</v>
      </c>
      <c r="AH140" s="30" t="s">
        <v>136</v>
      </c>
      <c r="AI140" s="30" t="s">
        <v>27</v>
      </c>
      <c r="AJ140" s="30" t="s">
        <v>28</v>
      </c>
      <c r="AK140" s="30" t="s">
        <v>29</v>
      </c>
      <c r="AL140" s="30" t="s">
        <v>30</v>
      </c>
      <c r="AN140" s="30" t="s">
        <v>136</v>
      </c>
      <c r="AO140" s="30" t="s">
        <v>27</v>
      </c>
      <c r="AP140" s="30" t="s">
        <v>28</v>
      </c>
      <c r="AQ140" s="30" t="s">
        <v>29</v>
      </c>
      <c r="AR140" s="30" t="s">
        <v>30</v>
      </c>
      <c r="AT140" s="30" t="s">
        <v>136</v>
      </c>
      <c r="AU140" s="30" t="s">
        <v>27</v>
      </c>
      <c r="AV140" s="30" t="s">
        <v>28</v>
      </c>
      <c r="AW140" s="30" t="s">
        <v>29</v>
      </c>
      <c r="AX140" s="30" t="s">
        <v>30</v>
      </c>
      <c r="AZ140" s="30" t="s">
        <v>136</v>
      </c>
      <c r="BA140" s="30" t="s">
        <v>27</v>
      </c>
      <c r="BB140" s="30" t="s">
        <v>28</v>
      </c>
      <c r="BC140" s="30" t="s">
        <v>29</v>
      </c>
      <c r="BD140" s="30" t="s">
        <v>30</v>
      </c>
      <c r="BF140" s="30" t="s">
        <v>136</v>
      </c>
      <c r="BG140" s="30" t="s">
        <v>27</v>
      </c>
      <c r="BH140" s="30" t="s">
        <v>28</v>
      </c>
      <c r="BI140" s="30" t="s">
        <v>29</v>
      </c>
      <c r="BJ140" s="30" t="s">
        <v>30</v>
      </c>
    </row>
    <row r="141" spans="1:62" ht="15.75" thickBot="1" x14ac:dyDescent="0.3">
      <c r="A141" s="59">
        <v>10000</v>
      </c>
      <c r="B141" s="31">
        <f t="shared" si="34"/>
        <v>0</v>
      </c>
      <c r="C141" s="32">
        <f t="shared" si="34"/>
        <v>0</v>
      </c>
      <c r="D141" s="32">
        <f t="shared" si="34"/>
        <v>0</v>
      </c>
      <c r="E141" s="32">
        <f t="shared" si="34"/>
        <v>0</v>
      </c>
      <c r="F141" s="33">
        <f t="shared" si="34"/>
        <v>0</v>
      </c>
      <c r="G141" s="31">
        <f t="shared" si="35"/>
        <v>0</v>
      </c>
      <c r="H141" s="32">
        <f t="shared" si="35"/>
        <v>0</v>
      </c>
      <c r="I141" s="32">
        <f t="shared" si="35"/>
        <v>0</v>
      </c>
      <c r="J141" s="32">
        <f t="shared" si="35"/>
        <v>0</v>
      </c>
      <c r="K141" s="33">
        <f t="shared" si="35"/>
        <v>0</v>
      </c>
      <c r="L141" s="31">
        <f t="shared" si="36"/>
        <v>0</v>
      </c>
      <c r="M141" s="32">
        <f t="shared" si="36"/>
        <v>0</v>
      </c>
      <c r="N141" s="32">
        <f t="shared" si="36"/>
        <v>0</v>
      </c>
      <c r="O141" s="32">
        <f t="shared" si="36"/>
        <v>0</v>
      </c>
      <c r="P141" s="33">
        <f t="shared" si="36"/>
        <v>0</v>
      </c>
      <c r="Q141" s="31">
        <f t="shared" si="37"/>
        <v>0</v>
      </c>
      <c r="R141" s="32">
        <f t="shared" si="37"/>
        <v>0</v>
      </c>
      <c r="S141" s="32">
        <f t="shared" si="37"/>
        <v>0</v>
      </c>
      <c r="T141" s="32">
        <f t="shared" si="37"/>
        <v>0</v>
      </c>
      <c r="U141" s="33">
        <f t="shared" si="37"/>
        <v>0</v>
      </c>
      <c r="V141" s="31">
        <f t="shared" si="38"/>
        <v>0</v>
      </c>
      <c r="W141" s="32">
        <f t="shared" si="38"/>
        <v>0</v>
      </c>
      <c r="X141" s="32">
        <f t="shared" si="38"/>
        <v>0</v>
      </c>
      <c r="Y141" s="32">
        <f t="shared" si="38"/>
        <v>0</v>
      </c>
      <c r="Z141" s="33">
        <f t="shared" si="38"/>
        <v>0</v>
      </c>
      <c r="AA141" s="31">
        <f t="shared" si="38"/>
        <v>0</v>
      </c>
      <c r="AB141" s="32">
        <f t="shared" si="38"/>
        <v>0</v>
      </c>
      <c r="AC141" s="32">
        <f t="shared" si="38"/>
        <v>0</v>
      </c>
      <c r="AD141" s="32">
        <f t="shared" si="38"/>
        <v>0</v>
      </c>
      <c r="AE141" s="33">
        <f t="shared" si="38"/>
        <v>0</v>
      </c>
      <c r="AF141" s="16">
        <f t="shared" si="39"/>
        <v>0</v>
      </c>
      <c r="AG141" s="43">
        <f t="shared" si="40"/>
        <v>0</v>
      </c>
      <c r="AH141" s="16">
        <f>J7</f>
        <v>0</v>
      </c>
      <c r="AI141" s="10">
        <f>K7</f>
        <v>0</v>
      </c>
      <c r="AJ141" s="11">
        <f>L7</f>
        <v>0</v>
      </c>
      <c r="AK141" s="11">
        <f>M7</f>
        <v>0</v>
      </c>
      <c r="AL141" s="17">
        <f>N7</f>
        <v>0</v>
      </c>
      <c r="AN141" s="16">
        <f>J8</f>
        <v>0</v>
      </c>
      <c r="AO141" s="10">
        <f>K8</f>
        <v>0</v>
      </c>
      <c r="AP141" s="11">
        <f>L8</f>
        <v>0</v>
      </c>
      <c r="AQ141" s="11">
        <f>M8</f>
        <v>0</v>
      </c>
      <c r="AR141" s="17">
        <f>N8</f>
        <v>0</v>
      </c>
      <c r="AT141" s="16">
        <f>J9</f>
        <v>0</v>
      </c>
      <c r="AU141" s="10">
        <f>K9</f>
        <v>0</v>
      </c>
      <c r="AV141" s="11">
        <f>L9</f>
        <v>0</v>
      </c>
      <c r="AW141" s="11">
        <f>M9</f>
        <v>0</v>
      </c>
      <c r="AX141" s="17">
        <f>N9</f>
        <v>0</v>
      </c>
      <c r="AZ141" s="16">
        <f>J10</f>
        <v>0</v>
      </c>
      <c r="BA141" s="10">
        <f>K10</f>
        <v>0</v>
      </c>
      <c r="BB141" s="11">
        <f>L10</f>
        <v>0</v>
      </c>
      <c r="BC141" s="11">
        <f>M10</f>
        <v>0</v>
      </c>
      <c r="BD141" s="17">
        <f>N10</f>
        <v>0</v>
      </c>
      <c r="BF141" s="16">
        <f>J11</f>
        <v>0</v>
      </c>
      <c r="BG141" s="10">
        <f>K11</f>
        <v>0</v>
      </c>
      <c r="BH141" s="11">
        <f>L11</f>
        <v>0</v>
      </c>
      <c r="BI141" s="11">
        <f>M11</f>
        <v>0</v>
      </c>
      <c r="BJ141" s="17">
        <f>N11</f>
        <v>0</v>
      </c>
    </row>
    <row r="142" spans="1:62" ht="15.75" thickBot="1" x14ac:dyDescent="0.3">
      <c r="A142" s="35"/>
      <c r="B142" s="60">
        <f t="shared" ref="B142:AG142" si="41">SUM(B133:B141)</f>
        <v>0</v>
      </c>
      <c r="C142" s="61">
        <f t="shared" si="41"/>
        <v>0</v>
      </c>
      <c r="D142" s="61">
        <f t="shared" si="41"/>
        <v>0</v>
      </c>
      <c r="E142" s="61">
        <f t="shared" si="41"/>
        <v>0</v>
      </c>
      <c r="F142" s="62">
        <f t="shared" si="41"/>
        <v>0</v>
      </c>
      <c r="G142" s="60">
        <f t="shared" si="41"/>
        <v>0</v>
      </c>
      <c r="H142" s="61">
        <f t="shared" si="41"/>
        <v>0</v>
      </c>
      <c r="I142" s="61">
        <f t="shared" si="41"/>
        <v>0</v>
      </c>
      <c r="J142" s="61">
        <f t="shared" si="41"/>
        <v>0</v>
      </c>
      <c r="K142" s="62">
        <f t="shared" si="41"/>
        <v>0</v>
      </c>
      <c r="L142" s="60">
        <f t="shared" si="41"/>
        <v>0</v>
      </c>
      <c r="M142" s="61">
        <f t="shared" si="41"/>
        <v>0</v>
      </c>
      <c r="N142" s="61">
        <f t="shared" si="41"/>
        <v>0</v>
      </c>
      <c r="O142" s="61">
        <f t="shared" si="41"/>
        <v>0</v>
      </c>
      <c r="P142" s="62">
        <f t="shared" si="41"/>
        <v>0</v>
      </c>
      <c r="Q142" s="60">
        <f t="shared" si="41"/>
        <v>0</v>
      </c>
      <c r="R142" s="61">
        <f t="shared" si="41"/>
        <v>0</v>
      </c>
      <c r="S142" s="61">
        <f t="shared" si="41"/>
        <v>0</v>
      </c>
      <c r="T142" s="61">
        <f t="shared" si="41"/>
        <v>0</v>
      </c>
      <c r="U142" s="62">
        <f t="shared" si="41"/>
        <v>0</v>
      </c>
      <c r="V142" s="60">
        <f t="shared" si="41"/>
        <v>0</v>
      </c>
      <c r="W142" s="61">
        <f t="shared" si="41"/>
        <v>0</v>
      </c>
      <c r="X142" s="61">
        <f t="shared" si="41"/>
        <v>0</v>
      </c>
      <c r="Y142" s="61">
        <f t="shared" si="41"/>
        <v>0</v>
      </c>
      <c r="Z142" s="62">
        <f t="shared" si="41"/>
        <v>0</v>
      </c>
      <c r="AA142" s="60">
        <f t="shared" si="41"/>
        <v>0</v>
      </c>
      <c r="AB142" s="61">
        <f t="shared" si="41"/>
        <v>0</v>
      </c>
      <c r="AC142" s="61">
        <f t="shared" si="41"/>
        <v>0</v>
      </c>
      <c r="AD142" s="61">
        <f t="shared" si="41"/>
        <v>0</v>
      </c>
      <c r="AE142" s="62">
        <f t="shared" si="41"/>
        <v>0</v>
      </c>
      <c r="AF142" s="35">
        <f t="shared" si="41"/>
        <v>0</v>
      </c>
      <c r="AG142" s="35">
        <f t="shared" si="40"/>
        <v>0</v>
      </c>
      <c r="AH142" s="15">
        <f>P7</f>
        <v>0</v>
      </c>
      <c r="AI142" s="8">
        <f>Q7</f>
        <v>0</v>
      </c>
      <c r="AJ142" s="6">
        <f>R7</f>
        <v>0</v>
      </c>
      <c r="AK142" s="6">
        <f>S7</f>
        <v>0</v>
      </c>
      <c r="AL142" s="13">
        <f>T7</f>
        <v>0</v>
      </c>
      <c r="AN142" s="15">
        <f>P8</f>
        <v>0</v>
      </c>
      <c r="AO142" s="8">
        <f>Q8</f>
        <v>0</v>
      </c>
      <c r="AP142" s="6">
        <f>R8</f>
        <v>0</v>
      </c>
      <c r="AQ142" s="6">
        <f>S8</f>
        <v>0</v>
      </c>
      <c r="AR142" s="13">
        <f>T8</f>
        <v>0</v>
      </c>
      <c r="AT142" s="15">
        <f>P9</f>
        <v>0</v>
      </c>
      <c r="AU142" s="8">
        <f>Q9</f>
        <v>0</v>
      </c>
      <c r="AV142" s="6">
        <f>R9</f>
        <v>0</v>
      </c>
      <c r="AW142" s="6">
        <f>S9</f>
        <v>0</v>
      </c>
      <c r="AX142" s="13">
        <f>T9</f>
        <v>0</v>
      </c>
      <c r="AZ142" s="15">
        <f>P10</f>
        <v>0</v>
      </c>
      <c r="BA142" s="8">
        <f>Q10</f>
        <v>0</v>
      </c>
      <c r="BB142" s="6">
        <f>R10</f>
        <v>0</v>
      </c>
      <c r="BC142" s="6">
        <f>S10</f>
        <v>0</v>
      </c>
      <c r="BD142" s="13">
        <f>T10</f>
        <v>0</v>
      </c>
      <c r="BF142" s="15">
        <f>P11</f>
        <v>0</v>
      </c>
      <c r="BG142" s="8">
        <f>Q11</f>
        <v>0</v>
      </c>
      <c r="BH142" s="6">
        <f>R11</f>
        <v>0</v>
      </c>
      <c r="BI142" s="6">
        <f>S11</f>
        <v>0</v>
      </c>
      <c r="BJ142" s="13">
        <f>T11</f>
        <v>0</v>
      </c>
    </row>
    <row r="143" spans="1:62" ht="15.75" thickBot="1" x14ac:dyDescent="0.3">
      <c r="AH143" s="15">
        <f>V7</f>
        <v>0</v>
      </c>
      <c r="AI143" s="8">
        <f>W7</f>
        <v>0</v>
      </c>
      <c r="AJ143" s="6">
        <f>X7</f>
        <v>0</v>
      </c>
      <c r="AK143" s="6">
        <f>Y7</f>
        <v>0</v>
      </c>
      <c r="AL143" s="13">
        <f>Z7</f>
        <v>0</v>
      </c>
      <c r="AN143" s="15">
        <f>V8</f>
        <v>0</v>
      </c>
      <c r="AO143" s="8">
        <f>W8</f>
        <v>0</v>
      </c>
      <c r="AP143" s="6">
        <f>X8</f>
        <v>0</v>
      </c>
      <c r="AQ143" s="6">
        <f>Y8</f>
        <v>0</v>
      </c>
      <c r="AR143" s="13">
        <f>Z8</f>
        <v>0</v>
      </c>
      <c r="AT143" s="15">
        <f>V9</f>
        <v>0</v>
      </c>
      <c r="AU143" s="8">
        <f>W9</f>
        <v>0</v>
      </c>
      <c r="AV143" s="6">
        <f>X9</f>
        <v>0</v>
      </c>
      <c r="AW143" s="6">
        <f>Y9</f>
        <v>0</v>
      </c>
      <c r="AX143" s="13">
        <f>Z9</f>
        <v>0</v>
      </c>
      <c r="AZ143" s="15">
        <f>V10</f>
        <v>0</v>
      </c>
      <c r="BA143" s="8">
        <f>W10</f>
        <v>0</v>
      </c>
      <c r="BB143" s="6">
        <f>X10</f>
        <v>0</v>
      </c>
      <c r="BC143" s="6">
        <f>Y10</f>
        <v>0</v>
      </c>
      <c r="BD143" s="13">
        <f>Z10</f>
        <v>0</v>
      </c>
      <c r="BF143" s="15">
        <f>V11</f>
        <v>0</v>
      </c>
      <c r="BG143" s="8">
        <f>W11</f>
        <v>0</v>
      </c>
      <c r="BH143" s="6">
        <f>X11</f>
        <v>0</v>
      </c>
      <c r="BI143" s="6">
        <f>Y11</f>
        <v>0</v>
      </c>
      <c r="BJ143" s="13">
        <f>Z11</f>
        <v>0</v>
      </c>
    </row>
    <row r="144" spans="1:62" ht="15.75" customHeight="1" thickBot="1" x14ac:dyDescent="0.3">
      <c r="A144" s="111" t="s">
        <v>130</v>
      </c>
      <c r="B144" s="112"/>
      <c r="D144" s="111" t="s">
        <v>131</v>
      </c>
      <c r="E144" s="112"/>
      <c r="G144" s="111" t="s">
        <v>132</v>
      </c>
      <c r="H144" s="112"/>
      <c r="J144" s="161" t="s">
        <v>250</v>
      </c>
      <c r="K144" s="162"/>
      <c r="M144" s="161" t="s">
        <v>251</v>
      </c>
      <c r="N144" s="162"/>
      <c r="P144" s="161" t="s">
        <v>252</v>
      </c>
      <c r="Q144" s="162"/>
      <c r="S144" s="123" t="s">
        <v>31</v>
      </c>
      <c r="T144" s="113" t="s">
        <v>84</v>
      </c>
      <c r="U144" s="115"/>
      <c r="V144" s="116" t="s">
        <v>24</v>
      </c>
      <c r="W144" s="116" t="s">
        <v>86</v>
      </c>
      <c r="AH144" s="15">
        <f>AB7</f>
        <v>0</v>
      </c>
      <c r="AI144" s="8">
        <f>AC7</f>
        <v>0</v>
      </c>
      <c r="AJ144" s="6">
        <f>AD7</f>
        <v>0</v>
      </c>
      <c r="AK144" s="6">
        <f>AE7</f>
        <v>0</v>
      </c>
      <c r="AL144" s="13">
        <f>AF7</f>
        <v>0</v>
      </c>
      <c r="AN144" s="15">
        <f>AB8</f>
        <v>0</v>
      </c>
      <c r="AO144" s="8">
        <f>AC8</f>
        <v>0</v>
      </c>
      <c r="AP144" s="6">
        <f>AD8</f>
        <v>0</v>
      </c>
      <c r="AQ144" s="6">
        <f>AE8</f>
        <v>0</v>
      </c>
      <c r="AR144" s="13">
        <f>AF8</f>
        <v>0</v>
      </c>
      <c r="AT144" s="15">
        <f>AB9</f>
        <v>0</v>
      </c>
      <c r="AU144" s="8">
        <f>AC9</f>
        <v>0</v>
      </c>
      <c r="AV144" s="6">
        <f>AD9</f>
        <v>0</v>
      </c>
      <c r="AW144" s="6">
        <f>AE9</f>
        <v>0</v>
      </c>
      <c r="AX144" s="13">
        <f>AF9</f>
        <v>0</v>
      </c>
      <c r="AZ144" s="15">
        <f>AB10</f>
        <v>0</v>
      </c>
      <c r="BA144" s="8">
        <f>AC10</f>
        <v>0</v>
      </c>
      <c r="BB144" s="6">
        <f>AD10</f>
        <v>0</v>
      </c>
      <c r="BC144" s="6">
        <f>AE10</f>
        <v>0</v>
      </c>
      <c r="BD144" s="13">
        <f>AF10</f>
        <v>0</v>
      </c>
      <c r="BF144" s="15">
        <f>AB11</f>
        <v>0</v>
      </c>
      <c r="BG144" s="8">
        <f>AC11</f>
        <v>0</v>
      </c>
      <c r="BH144" s="6">
        <f>AD11</f>
        <v>0</v>
      </c>
      <c r="BI144" s="6">
        <f>AE11</f>
        <v>0</v>
      </c>
      <c r="BJ144" s="13">
        <f>AF11</f>
        <v>0</v>
      </c>
    </row>
    <row r="145" spans="1:62" ht="15.75" thickBot="1" x14ac:dyDescent="0.3">
      <c r="A145" s="60" t="s">
        <v>27</v>
      </c>
      <c r="B145" s="62" t="s">
        <v>102</v>
      </c>
      <c r="D145" s="34" t="s">
        <v>27</v>
      </c>
      <c r="E145" s="79" t="s">
        <v>102</v>
      </c>
      <c r="G145" s="34" t="s">
        <v>27</v>
      </c>
      <c r="H145" s="79" t="s">
        <v>102</v>
      </c>
      <c r="J145" s="163"/>
      <c r="K145" s="164"/>
      <c r="M145" s="163"/>
      <c r="N145" s="164"/>
      <c r="P145" s="163"/>
      <c r="Q145" s="164"/>
      <c r="S145" s="124"/>
      <c r="T145" s="12" t="s">
        <v>17</v>
      </c>
      <c r="U145" s="12" t="s">
        <v>19</v>
      </c>
      <c r="V145" s="117"/>
      <c r="W145" s="117"/>
      <c r="AH145" s="15">
        <f>AH7</f>
        <v>0</v>
      </c>
      <c r="AI145" s="8">
        <f>AI7</f>
        <v>0</v>
      </c>
      <c r="AJ145" s="6">
        <f>AJ7</f>
        <v>0</v>
      </c>
      <c r="AK145" s="6">
        <f>AK7</f>
        <v>0</v>
      </c>
      <c r="AL145" s="13">
        <f>AL7</f>
        <v>0</v>
      </c>
      <c r="AN145" s="15">
        <f>AH8</f>
        <v>0</v>
      </c>
      <c r="AO145" s="8">
        <f>AI8</f>
        <v>0</v>
      </c>
      <c r="AP145" s="6">
        <f>AJ8</f>
        <v>0</v>
      </c>
      <c r="AQ145" s="6">
        <f>AK8</f>
        <v>0</v>
      </c>
      <c r="AR145" s="13">
        <f>AL8</f>
        <v>0</v>
      </c>
      <c r="AT145" s="15">
        <f>AH9</f>
        <v>0</v>
      </c>
      <c r="AU145" s="8">
        <f>AI9</f>
        <v>0</v>
      </c>
      <c r="AV145" s="6">
        <f>AJ9</f>
        <v>0</v>
      </c>
      <c r="AW145" s="6">
        <f>AK9</f>
        <v>0</v>
      </c>
      <c r="AX145" s="13">
        <f>AL9</f>
        <v>0</v>
      </c>
      <c r="AZ145" s="15">
        <f>AH10</f>
        <v>0</v>
      </c>
      <c r="BA145" s="8">
        <f>AI10</f>
        <v>0</v>
      </c>
      <c r="BB145" s="6">
        <f>AJ10</f>
        <v>0</v>
      </c>
      <c r="BC145" s="6">
        <f>AK10</f>
        <v>0</v>
      </c>
      <c r="BD145" s="13">
        <f>AL10</f>
        <v>0</v>
      </c>
      <c r="BF145" s="15">
        <f>AH11</f>
        <v>0</v>
      </c>
      <c r="BG145" s="8">
        <f>AI11</f>
        <v>0</v>
      </c>
      <c r="BH145" s="6">
        <f>AJ11</f>
        <v>0</v>
      </c>
      <c r="BI145" s="6">
        <f>AK11</f>
        <v>0</v>
      </c>
      <c r="BJ145" s="13">
        <f>AL11</f>
        <v>0</v>
      </c>
    </row>
    <row r="146" spans="1:62" x14ac:dyDescent="0.25">
      <c r="A146" s="10">
        <v>225</v>
      </c>
      <c r="B146" s="17">
        <f t="shared" ref="B146:B151" si="42">SUMIFS($J$14:$J$113,$H$14:$H$113,$A$144,$I$14:$I$113,A146)</f>
        <v>0</v>
      </c>
      <c r="D146" s="10">
        <v>1000</v>
      </c>
      <c r="E146" s="17">
        <f>SUMIFS($J$14:$J$113,$H$14:$H$113,$D$144,$I$14:$I$113,D146)</f>
        <v>0</v>
      </c>
      <c r="G146" s="10">
        <v>1000</v>
      </c>
      <c r="H146" s="17">
        <f>SUMIFS($J$14:$J$113,$H$14:$H$113,$G$144,$I$14:$I$113,G146)</f>
        <v>0</v>
      </c>
      <c r="J146" s="163"/>
      <c r="K146" s="164"/>
      <c r="M146" s="163"/>
      <c r="N146" s="164"/>
      <c r="P146" s="163"/>
      <c r="Q146" s="164"/>
      <c r="S146" s="16">
        <v>300</v>
      </c>
      <c r="T146" s="11">
        <f>SUMIFS($J$14:$J$113,$I$14:$I$113,$S146,$K$14:$K$113,T$145,$H$14:$H$113,$T$144)</f>
        <v>0</v>
      </c>
      <c r="U146" s="11">
        <f>SUMIFS($J$14:$J$113,$I$14:$I$113,$S146,$K$14:$K$113,U$145,$H$14:$H$113,$T$144)</f>
        <v>0</v>
      </c>
      <c r="V146" s="16">
        <f>SUM(T146:U146)*S146</f>
        <v>0</v>
      </c>
      <c r="W146" s="16">
        <f>T146+U146</f>
        <v>0</v>
      </c>
      <c r="AH146" s="15">
        <f>AN7</f>
        <v>0</v>
      </c>
      <c r="AI146" s="8">
        <f>AO7</f>
        <v>0</v>
      </c>
      <c r="AJ146" s="6">
        <f>AP7</f>
        <v>0</v>
      </c>
      <c r="AK146" s="6">
        <f>AQ7</f>
        <v>0</v>
      </c>
      <c r="AL146" s="13">
        <f>AR7</f>
        <v>0</v>
      </c>
      <c r="AN146" s="15">
        <f>AN8</f>
        <v>0</v>
      </c>
      <c r="AO146" s="8">
        <f>AO8</f>
        <v>0</v>
      </c>
      <c r="AP146" s="6">
        <f>AP8</f>
        <v>0</v>
      </c>
      <c r="AQ146" s="6">
        <f>AQ8</f>
        <v>0</v>
      </c>
      <c r="AR146" s="13">
        <f>AR8</f>
        <v>0</v>
      </c>
      <c r="AT146" s="15">
        <f>AN9</f>
        <v>0</v>
      </c>
      <c r="AU146" s="8">
        <f>AO9</f>
        <v>0</v>
      </c>
      <c r="AV146" s="6">
        <f>AP9</f>
        <v>0</v>
      </c>
      <c r="AW146" s="6">
        <f>AQ9</f>
        <v>0</v>
      </c>
      <c r="AX146" s="13">
        <f>AR9</f>
        <v>0</v>
      </c>
      <c r="AZ146" s="15">
        <f>AN10</f>
        <v>0</v>
      </c>
      <c r="BA146" s="8">
        <f>AO10</f>
        <v>0</v>
      </c>
      <c r="BB146" s="6">
        <f>AP10</f>
        <v>0</v>
      </c>
      <c r="BC146" s="6">
        <f>AQ10</f>
        <v>0</v>
      </c>
      <c r="BD146" s="13">
        <f>AR10</f>
        <v>0</v>
      </c>
      <c r="BF146" s="15">
        <f>AN11</f>
        <v>0</v>
      </c>
      <c r="BG146" s="8">
        <f>AO11</f>
        <v>0</v>
      </c>
      <c r="BH146" s="6">
        <f>AP11</f>
        <v>0</v>
      </c>
      <c r="BI146" s="6">
        <f>AQ11</f>
        <v>0</v>
      </c>
      <c r="BJ146" s="13">
        <f>AR11</f>
        <v>0</v>
      </c>
    </row>
    <row r="147" spans="1:62" ht="15.75" thickBot="1" x14ac:dyDescent="0.3">
      <c r="A147" s="8">
        <v>325</v>
      </c>
      <c r="B147" s="17">
        <f t="shared" si="42"/>
        <v>0</v>
      </c>
      <c r="D147" s="9">
        <v>3000</v>
      </c>
      <c r="E147" s="17">
        <f>SUMIFS($J$14:$J$113,$H$14:$H$113,$D$144,$I$14:$I$113,D147)</f>
        <v>0</v>
      </c>
      <c r="G147" s="31">
        <v>2000</v>
      </c>
      <c r="H147" s="17">
        <f>SUMIFS($J$14:$J$113,$H$14:$H$113,$G$144,$I$14:$I$113,G147)</f>
        <v>0</v>
      </c>
      <c r="J147" s="165"/>
      <c r="K147" s="166"/>
      <c r="M147" s="165"/>
      <c r="N147" s="166"/>
      <c r="P147" s="165"/>
      <c r="Q147" s="166"/>
      <c r="S147" s="16">
        <v>500</v>
      </c>
      <c r="T147" s="11">
        <f t="shared" ref="T147:U154" si="43">SUMIFS($J$14:$J$113,$I$14:$I$113,$S147,$K$14:$K$113,T$145,$H$14:$H$113,$T$144)</f>
        <v>0</v>
      </c>
      <c r="U147" s="11">
        <f t="shared" si="43"/>
        <v>0</v>
      </c>
      <c r="V147" s="16">
        <f t="shared" ref="V147:V154" si="44">SUM(T147:U147)*S147</f>
        <v>0</v>
      </c>
      <c r="W147" s="16">
        <f t="shared" ref="W147:W154" si="45">T147+U147</f>
        <v>0</v>
      </c>
      <c r="AA147" s="167" t="s">
        <v>37</v>
      </c>
      <c r="AB147" s="167"/>
      <c r="AC147" s="167"/>
      <c r="AD147" s="167" t="s">
        <v>113</v>
      </c>
      <c r="AE147" s="167"/>
      <c r="AF147" s="167"/>
      <c r="AH147" s="15">
        <f>AT7</f>
        <v>0</v>
      </c>
      <c r="AI147" s="8">
        <f>AU7</f>
        <v>0</v>
      </c>
      <c r="AJ147" s="6">
        <f>AV7</f>
        <v>0</v>
      </c>
      <c r="AK147" s="6">
        <f>AW7</f>
        <v>0</v>
      </c>
      <c r="AL147" s="13">
        <f>AX7</f>
        <v>0</v>
      </c>
      <c r="AN147" s="15">
        <f>AT8</f>
        <v>0</v>
      </c>
      <c r="AO147" s="8">
        <f>AU8</f>
        <v>0</v>
      </c>
      <c r="AP147" s="6">
        <f>AV8</f>
        <v>0</v>
      </c>
      <c r="AQ147" s="6">
        <f>AW8</f>
        <v>0</v>
      </c>
      <c r="AR147" s="13">
        <f>AX8</f>
        <v>0</v>
      </c>
      <c r="AT147" s="15">
        <f>AT9</f>
        <v>0</v>
      </c>
      <c r="AU147" s="8">
        <f>AU9</f>
        <v>0</v>
      </c>
      <c r="AV147" s="6">
        <f>AV9</f>
        <v>0</v>
      </c>
      <c r="AW147" s="6">
        <f>AW9</f>
        <v>0</v>
      </c>
      <c r="AX147" s="13">
        <f>AX9</f>
        <v>0</v>
      </c>
      <c r="AZ147" s="15">
        <f>AT10</f>
        <v>0</v>
      </c>
      <c r="BA147" s="8">
        <f>AU10</f>
        <v>0</v>
      </c>
      <c r="BB147" s="6">
        <f>AV10</f>
        <v>0</v>
      </c>
      <c r="BC147" s="6">
        <f>AW10</f>
        <v>0</v>
      </c>
      <c r="BD147" s="13">
        <f>AX10</f>
        <v>0</v>
      </c>
      <c r="BF147" s="15">
        <f>AT11</f>
        <v>0</v>
      </c>
      <c r="BG147" s="8">
        <f>AU11</f>
        <v>0</v>
      </c>
      <c r="BH147" s="6">
        <f>AV11</f>
        <v>0</v>
      </c>
      <c r="BI147" s="6">
        <f>AW11</f>
        <v>0</v>
      </c>
      <c r="BJ147" s="13">
        <f>AX11</f>
        <v>0</v>
      </c>
    </row>
    <row r="148" spans="1:62" ht="15.75" thickBot="1" x14ac:dyDescent="0.3">
      <c r="A148" s="8">
        <v>400</v>
      </c>
      <c r="B148" s="17">
        <f t="shared" si="42"/>
        <v>0</v>
      </c>
      <c r="D148" s="60" t="s">
        <v>24</v>
      </c>
      <c r="E148" s="62">
        <f>SUMPRODUCT(D146:D147,E146:E147)</f>
        <v>0</v>
      </c>
      <c r="G148" s="60" t="s">
        <v>24</v>
      </c>
      <c r="H148" s="62">
        <f>SUMPRODUCT(G146:G147,H146:H147)</f>
        <v>0</v>
      </c>
      <c r="J148" s="60" t="s">
        <v>29</v>
      </c>
      <c r="K148" s="62" t="s">
        <v>102</v>
      </c>
      <c r="M148" s="60" t="s">
        <v>29</v>
      </c>
      <c r="N148" s="62" t="s">
        <v>102</v>
      </c>
      <c r="P148" s="60" t="s">
        <v>29</v>
      </c>
      <c r="Q148" s="62" t="s">
        <v>102</v>
      </c>
      <c r="S148" s="15">
        <v>750</v>
      </c>
      <c r="T148" s="11">
        <f t="shared" si="43"/>
        <v>0</v>
      </c>
      <c r="U148" s="11">
        <f t="shared" si="43"/>
        <v>0</v>
      </c>
      <c r="V148" s="16">
        <f t="shared" si="44"/>
        <v>0</v>
      </c>
      <c r="W148" s="16">
        <f t="shared" si="45"/>
        <v>0</v>
      </c>
      <c r="AA148" s="167" t="str">
        <f>"TANKS: " &amp; SUM(B128:AE128,B146:B151,E146:E147,H146:H147,B142:AE142,W155)</f>
        <v>TANKS: 48</v>
      </c>
      <c r="AB148" s="167"/>
      <c r="AC148" s="167"/>
      <c r="AD148" s="167" t="str">
        <f>"LTRS: " &amp;SUM(AF128,B152,E148,H148,AF142,V155)</f>
        <v>LTRS: 39500</v>
      </c>
      <c r="AE148" s="167"/>
      <c r="AF148" s="167"/>
      <c r="AH148" s="15">
        <f>AZ7</f>
        <v>0</v>
      </c>
      <c r="AI148" s="8">
        <f>BA7</f>
        <v>0</v>
      </c>
      <c r="AJ148" s="6">
        <f>BB7</f>
        <v>0</v>
      </c>
      <c r="AK148" s="6">
        <f>BC7</f>
        <v>0</v>
      </c>
      <c r="AL148" s="13">
        <f>BD7</f>
        <v>0</v>
      </c>
      <c r="AN148" s="15">
        <f>AZ8</f>
        <v>0</v>
      </c>
      <c r="AO148" s="8">
        <f>BA8</f>
        <v>0</v>
      </c>
      <c r="AP148" s="6">
        <f>BB8</f>
        <v>0</v>
      </c>
      <c r="AQ148" s="6">
        <f>BC8</f>
        <v>0</v>
      </c>
      <c r="AR148" s="13">
        <f>BD8</f>
        <v>0</v>
      </c>
      <c r="AT148" s="15">
        <f>AZ9</f>
        <v>0</v>
      </c>
      <c r="AU148" s="8">
        <f>BA9</f>
        <v>0</v>
      </c>
      <c r="AV148" s="6">
        <f>BB9</f>
        <v>0</v>
      </c>
      <c r="AW148" s="6">
        <f>BC9</f>
        <v>0</v>
      </c>
      <c r="AX148" s="13">
        <f>BD9</f>
        <v>0</v>
      </c>
      <c r="AZ148" s="15">
        <f>AZ10</f>
        <v>0</v>
      </c>
      <c r="BA148" s="8">
        <f>BA10</f>
        <v>0</v>
      </c>
      <c r="BB148" s="6">
        <f>BB10</f>
        <v>0</v>
      </c>
      <c r="BC148" s="6">
        <f>BC10</f>
        <v>0</v>
      </c>
      <c r="BD148" s="13">
        <f>BD10</f>
        <v>0</v>
      </c>
      <c r="BF148" s="15">
        <f>AZ11</f>
        <v>0</v>
      </c>
      <c r="BG148" s="8">
        <f>BA11</f>
        <v>0</v>
      </c>
      <c r="BH148" s="6">
        <f>BB11</f>
        <v>0</v>
      </c>
      <c r="BI148" s="6">
        <f>BC11</f>
        <v>0</v>
      </c>
      <c r="BJ148" s="13">
        <f>BD11</f>
        <v>0</v>
      </c>
    </row>
    <row r="149" spans="1:62" x14ac:dyDescent="0.25">
      <c r="A149" s="8">
        <v>500</v>
      </c>
      <c r="B149" s="17">
        <f t="shared" si="42"/>
        <v>0</v>
      </c>
      <c r="J149" s="10" t="s">
        <v>17</v>
      </c>
      <c r="K149" s="17">
        <f>SUMIFS($J$14:$J$113,$H$14:$H$113,"CAP16_1",$K$14:$K$113,J149)</f>
        <v>0</v>
      </c>
      <c r="M149" s="10" t="s">
        <v>17</v>
      </c>
      <c r="N149" s="17">
        <f>SUMIFS($J$14:$J$113,$H$14:$H$113,"CAP16_2",$K$14:$K$113,M149)</f>
        <v>0</v>
      </c>
      <c r="P149" s="10" t="s">
        <v>17</v>
      </c>
      <c r="Q149" s="17">
        <f>SUMIFS($J$14:$J$113,$H$14:$H$113,"CAP19",$K$14:$K$113,P149)</f>
        <v>0</v>
      </c>
      <c r="S149" s="15">
        <v>1000</v>
      </c>
      <c r="T149" s="11">
        <f t="shared" si="43"/>
        <v>0</v>
      </c>
      <c r="U149" s="11">
        <f t="shared" si="43"/>
        <v>0</v>
      </c>
      <c r="V149" s="16">
        <f t="shared" si="44"/>
        <v>0</v>
      </c>
      <c r="W149" s="16">
        <f t="shared" si="45"/>
        <v>0</v>
      </c>
      <c r="AA149" s="167" t="s">
        <v>76</v>
      </c>
      <c r="AB149" s="167"/>
      <c r="AC149" s="167"/>
      <c r="AD149" s="176">
        <f>D114</f>
        <v>46008</v>
      </c>
      <c r="AE149" s="176"/>
      <c r="AF149" s="176"/>
      <c r="AH149" s="15">
        <f>BF7</f>
        <v>0</v>
      </c>
      <c r="AI149" s="8">
        <f>BG7</f>
        <v>0</v>
      </c>
      <c r="AJ149" s="6">
        <f>BH7</f>
        <v>0</v>
      </c>
      <c r="AK149" s="6">
        <f>BI7</f>
        <v>0</v>
      </c>
      <c r="AL149" s="13">
        <f>BJ7</f>
        <v>0</v>
      </c>
      <c r="AN149" s="15">
        <f>BF8</f>
        <v>0</v>
      </c>
      <c r="AO149" s="8">
        <f>BG8</f>
        <v>0</v>
      </c>
      <c r="AP149" s="6">
        <f>BH8</f>
        <v>0</v>
      </c>
      <c r="AQ149" s="6">
        <f>BI8</f>
        <v>0</v>
      </c>
      <c r="AR149" s="13">
        <f>BJ8</f>
        <v>0</v>
      </c>
      <c r="AT149" s="15">
        <f>BF9</f>
        <v>0</v>
      </c>
      <c r="AU149" s="8">
        <f>BG9</f>
        <v>0</v>
      </c>
      <c r="AV149" s="6">
        <f>BH9</f>
        <v>0</v>
      </c>
      <c r="AW149" s="6">
        <f>BI9</f>
        <v>0</v>
      </c>
      <c r="AX149" s="13">
        <f>BJ9</f>
        <v>0</v>
      </c>
      <c r="AZ149" s="15">
        <f>BF10</f>
        <v>0</v>
      </c>
      <c r="BA149" s="8">
        <f>BG10</f>
        <v>0</v>
      </c>
      <c r="BB149" s="6">
        <f>BH10</f>
        <v>0</v>
      </c>
      <c r="BC149" s="6">
        <f>BI10</f>
        <v>0</v>
      </c>
      <c r="BD149" s="13">
        <f>BJ10</f>
        <v>0</v>
      </c>
      <c r="BF149" s="15">
        <f>BF11</f>
        <v>0</v>
      </c>
      <c r="BG149" s="8">
        <f>BG11</f>
        <v>0</v>
      </c>
      <c r="BH149" s="6">
        <f>BH11</f>
        <v>0</v>
      </c>
      <c r="BI149" s="6">
        <f>BI11</f>
        <v>0</v>
      </c>
      <c r="BJ149" s="13">
        <f>BJ11</f>
        <v>0</v>
      </c>
    </row>
    <row r="150" spans="1:62" ht="15.75" thickBot="1" x14ac:dyDescent="0.3">
      <c r="A150" s="8">
        <v>750</v>
      </c>
      <c r="B150" s="17">
        <f t="shared" si="42"/>
        <v>0</v>
      </c>
      <c r="J150" s="8" t="s">
        <v>19</v>
      </c>
      <c r="K150" s="17">
        <f t="shared" ref="K150:K153" si="46">SUMIFS($J$14:$J$113,$H$14:$H$113,"CAP16_1",$K$14:$K$113,J150)</f>
        <v>0</v>
      </c>
      <c r="M150" s="8" t="s">
        <v>19</v>
      </c>
      <c r="N150" s="17">
        <f t="shared" ref="N150:N153" si="47">SUMIFS($J$14:$J$113,$H$14:$H$113,"CAP16_2",$K$14:$K$113,M150)</f>
        <v>0</v>
      </c>
      <c r="P150" s="8" t="s">
        <v>19</v>
      </c>
      <c r="Q150" s="17">
        <f t="shared" ref="Q150:Q153" si="48">SUMIFS($J$14:$J$113,$H$14:$H$113,"CAP19",$K$14:$K$113,P150)</f>
        <v>0</v>
      </c>
      <c r="S150" s="15">
        <v>1500</v>
      </c>
      <c r="T150" s="11">
        <f t="shared" si="43"/>
        <v>0</v>
      </c>
      <c r="U150" s="11">
        <f t="shared" si="43"/>
        <v>0</v>
      </c>
      <c r="V150" s="16">
        <f t="shared" si="44"/>
        <v>0</v>
      </c>
      <c r="W150" s="16">
        <f t="shared" si="45"/>
        <v>0</v>
      </c>
      <c r="AH150" s="59">
        <f>BL7</f>
        <v>0</v>
      </c>
      <c r="AI150" s="31">
        <f>BM7</f>
        <v>0</v>
      </c>
      <c r="AJ150" s="32">
        <f>BN7</f>
        <v>0</v>
      </c>
      <c r="AK150" s="32">
        <f>BO7</f>
        <v>0</v>
      </c>
      <c r="AL150" s="33">
        <f>BP7</f>
        <v>0</v>
      </c>
      <c r="AN150" s="59">
        <f>BL8</f>
        <v>0</v>
      </c>
      <c r="AO150" s="31">
        <f>BM8</f>
        <v>0</v>
      </c>
      <c r="AP150" s="32">
        <f>BN8</f>
        <v>0</v>
      </c>
      <c r="AQ150" s="32">
        <f>BO8</f>
        <v>0</v>
      </c>
      <c r="AR150" s="33">
        <f>BP8</f>
        <v>0</v>
      </c>
      <c r="AT150" s="59">
        <f>BL9</f>
        <v>0</v>
      </c>
      <c r="AU150" s="31">
        <f>BM9</f>
        <v>0</v>
      </c>
      <c r="AV150" s="32">
        <f>BN9</f>
        <v>0</v>
      </c>
      <c r="AW150" s="32">
        <f>BO9</f>
        <v>0</v>
      </c>
      <c r="AX150" s="33">
        <f>BP9</f>
        <v>0</v>
      </c>
      <c r="AZ150" s="59">
        <f>BL10</f>
        <v>0</v>
      </c>
      <c r="BA150" s="31">
        <f>BM10</f>
        <v>0</v>
      </c>
      <c r="BB150" s="32">
        <f>BN10</f>
        <v>0</v>
      </c>
      <c r="BC150" s="32">
        <f>BO10</f>
        <v>0</v>
      </c>
      <c r="BD150" s="33">
        <f>BP10</f>
        <v>0</v>
      </c>
      <c r="BF150" s="59">
        <f>BL11</f>
        <v>0</v>
      </c>
      <c r="BG150" s="31">
        <f>BM11</f>
        <v>0</v>
      </c>
      <c r="BH150" s="32">
        <f>BN11</f>
        <v>0</v>
      </c>
      <c r="BI150" s="32">
        <f>BO11</f>
        <v>0</v>
      </c>
      <c r="BJ150" s="33">
        <f>BP11</f>
        <v>0</v>
      </c>
    </row>
    <row r="151" spans="1:62" ht="15.75" thickBot="1" x14ac:dyDescent="0.3">
      <c r="A151" s="9">
        <v>1000</v>
      </c>
      <c r="B151" s="17">
        <f t="shared" si="42"/>
        <v>0</v>
      </c>
      <c r="J151" s="8" t="s">
        <v>32</v>
      </c>
      <c r="K151" s="17">
        <f t="shared" si="46"/>
        <v>0</v>
      </c>
      <c r="M151" s="8" t="s">
        <v>32</v>
      </c>
      <c r="N151" s="17">
        <f t="shared" si="47"/>
        <v>0</v>
      </c>
      <c r="P151" s="8" t="s">
        <v>32</v>
      </c>
      <c r="Q151" s="17">
        <f t="shared" si="48"/>
        <v>0</v>
      </c>
      <c r="S151" s="15">
        <v>2000</v>
      </c>
      <c r="T151" s="11">
        <f t="shared" si="43"/>
        <v>0</v>
      </c>
      <c r="U151" s="11">
        <f t="shared" si="43"/>
        <v>0</v>
      </c>
      <c r="V151" s="16">
        <f t="shared" si="44"/>
        <v>0</v>
      </c>
      <c r="W151" s="16">
        <f t="shared" si="45"/>
        <v>0</v>
      </c>
      <c r="AH151" s="35">
        <f>C7</f>
        <v>0</v>
      </c>
      <c r="AI151" s="158">
        <f>SUM(AI141:AI150)</f>
        <v>0</v>
      </c>
      <c r="AJ151" s="159"/>
      <c r="AK151" s="158">
        <f>BT7</f>
        <v>0</v>
      </c>
      <c r="AL151" s="159"/>
      <c r="AN151" s="35">
        <f>C8</f>
        <v>0</v>
      </c>
      <c r="AO151" s="158">
        <f>SUM(AO141:AO150)</f>
        <v>0</v>
      </c>
      <c r="AP151" s="159"/>
      <c r="AQ151" s="158">
        <f>BT8</f>
        <v>0</v>
      </c>
      <c r="AR151" s="159"/>
      <c r="AT151" s="35">
        <f>C9</f>
        <v>0</v>
      </c>
      <c r="AU151" s="158">
        <f>SUM(AU141:AU150)</f>
        <v>0</v>
      </c>
      <c r="AV151" s="159"/>
      <c r="AW151" s="158">
        <f>BT9</f>
        <v>0</v>
      </c>
      <c r="AX151" s="159"/>
      <c r="AZ151" s="35">
        <f>C10</f>
        <v>0</v>
      </c>
      <c r="BA151" s="158">
        <f>SUM(BA141:BA150)</f>
        <v>0</v>
      </c>
      <c r="BB151" s="159"/>
      <c r="BC151" s="158">
        <f>BT10</f>
        <v>0</v>
      </c>
      <c r="BD151" s="159"/>
      <c r="BF151" s="35">
        <f>C11</f>
        <v>0</v>
      </c>
      <c r="BG151" s="158">
        <f>SUM(BG141:BG150)</f>
        <v>0</v>
      </c>
      <c r="BH151" s="159"/>
      <c r="BI151" s="158">
        <f>BT11</f>
        <v>0</v>
      </c>
      <c r="BJ151" s="159"/>
    </row>
    <row r="152" spans="1:62" ht="15.75" thickBot="1" x14ac:dyDescent="0.3">
      <c r="A152" s="60" t="s">
        <v>24</v>
      </c>
      <c r="B152" s="62">
        <f>SUMPRODUCT(A146:A151,B146:B151)</f>
        <v>0</v>
      </c>
      <c r="J152" s="8" t="s">
        <v>33</v>
      </c>
      <c r="K152" s="17">
        <f t="shared" si="46"/>
        <v>0</v>
      </c>
      <c r="M152" s="8" t="s">
        <v>33</v>
      </c>
      <c r="N152" s="17">
        <f t="shared" si="47"/>
        <v>0</v>
      </c>
      <c r="P152" s="8" t="s">
        <v>33</v>
      </c>
      <c r="Q152" s="17">
        <f t="shared" si="48"/>
        <v>0</v>
      </c>
      <c r="S152" s="15">
        <v>3000</v>
      </c>
      <c r="T152" s="11">
        <f t="shared" si="43"/>
        <v>0</v>
      </c>
      <c r="U152" s="11">
        <f t="shared" si="43"/>
        <v>0</v>
      </c>
      <c r="V152" s="16">
        <f t="shared" si="44"/>
        <v>0</v>
      </c>
      <c r="W152" s="16">
        <f t="shared" si="45"/>
        <v>0</v>
      </c>
      <c r="AH152" s="35" t="s">
        <v>25</v>
      </c>
      <c r="AI152" s="158">
        <f>A7</f>
        <v>0</v>
      </c>
      <c r="AJ152" s="160"/>
      <c r="AK152" s="158">
        <f>BR7</f>
        <v>0</v>
      </c>
      <c r="AL152" s="159"/>
      <c r="AN152" s="35" t="s">
        <v>25</v>
      </c>
      <c r="AO152" s="158">
        <f>A8</f>
        <v>0</v>
      </c>
      <c r="AP152" s="160"/>
      <c r="AQ152" s="158">
        <f>BR8</f>
        <v>0</v>
      </c>
      <c r="AR152" s="159"/>
      <c r="AT152" s="35" t="s">
        <v>25</v>
      </c>
      <c r="AU152" s="158">
        <f>A9</f>
        <v>0</v>
      </c>
      <c r="AV152" s="160"/>
      <c r="AW152" s="158">
        <f>BR9</f>
        <v>0</v>
      </c>
      <c r="AX152" s="159"/>
      <c r="AZ152" s="35" t="s">
        <v>25</v>
      </c>
      <c r="BA152" s="158">
        <f>A10</f>
        <v>0</v>
      </c>
      <c r="BB152" s="160"/>
      <c r="BC152" s="158">
        <f>BR10</f>
        <v>0</v>
      </c>
      <c r="BD152" s="159"/>
      <c r="BF152" s="35" t="s">
        <v>25</v>
      </c>
      <c r="BG152" s="158">
        <f>A11</f>
        <v>0</v>
      </c>
      <c r="BH152" s="160"/>
      <c r="BI152" s="158">
        <f>BR11</f>
        <v>0</v>
      </c>
      <c r="BJ152" s="159"/>
    </row>
    <row r="153" spans="1:62" ht="15.75" thickBot="1" x14ac:dyDescent="0.3">
      <c r="J153" s="9" t="s">
        <v>80</v>
      </c>
      <c r="K153" s="17">
        <f t="shared" si="46"/>
        <v>0</v>
      </c>
      <c r="M153" s="9" t="s">
        <v>80</v>
      </c>
      <c r="N153" s="17">
        <f t="shared" si="47"/>
        <v>0</v>
      </c>
      <c r="P153" s="9" t="s">
        <v>80</v>
      </c>
      <c r="Q153" s="17">
        <f t="shared" si="48"/>
        <v>0</v>
      </c>
      <c r="S153" s="15">
        <v>5000</v>
      </c>
      <c r="T153" s="11">
        <f t="shared" si="43"/>
        <v>0</v>
      </c>
      <c r="U153" s="11">
        <f t="shared" si="43"/>
        <v>0</v>
      </c>
      <c r="V153" s="16">
        <f t="shared" si="44"/>
        <v>0</v>
      </c>
      <c r="W153" s="16">
        <f t="shared" si="45"/>
        <v>0</v>
      </c>
      <c r="AH153" s="58" t="s">
        <v>130</v>
      </c>
      <c r="AI153" s="58" t="s">
        <v>131</v>
      </c>
      <c r="AJ153" s="58" t="s">
        <v>132</v>
      </c>
      <c r="AK153" s="58" t="s">
        <v>166</v>
      </c>
      <c r="AL153" s="58" t="s">
        <v>33</v>
      </c>
      <c r="AN153" s="58" t="s">
        <v>130</v>
      </c>
      <c r="AO153" s="58" t="s">
        <v>131</v>
      </c>
      <c r="AP153" s="58" t="s">
        <v>132</v>
      </c>
      <c r="AQ153" s="58" t="s">
        <v>166</v>
      </c>
      <c r="AR153" s="58" t="s">
        <v>33</v>
      </c>
      <c r="AT153" s="58" t="s">
        <v>130</v>
      </c>
      <c r="AU153" s="58" t="s">
        <v>131</v>
      </c>
      <c r="AV153" s="58" t="s">
        <v>132</v>
      </c>
      <c r="AW153" s="58" t="s">
        <v>166</v>
      </c>
      <c r="AX153" s="58" t="s">
        <v>33</v>
      </c>
      <c r="AZ153" s="58" t="s">
        <v>130</v>
      </c>
      <c r="BA153" s="58" t="s">
        <v>131</v>
      </c>
      <c r="BB153" s="58" t="s">
        <v>132</v>
      </c>
      <c r="BC153" s="58" t="s">
        <v>166</v>
      </c>
      <c r="BD153" s="58" t="s">
        <v>33</v>
      </c>
      <c r="BF153" s="58" t="s">
        <v>130</v>
      </c>
      <c r="BG153" s="58" t="s">
        <v>131</v>
      </c>
      <c r="BH153" s="58" t="s">
        <v>132</v>
      </c>
      <c r="BI153" s="58" t="s">
        <v>166</v>
      </c>
      <c r="BJ153" s="58" t="s">
        <v>33</v>
      </c>
    </row>
    <row r="154" spans="1:62" ht="15.75" thickBot="1" x14ac:dyDescent="0.3">
      <c r="J154" s="60" t="s">
        <v>24</v>
      </c>
      <c r="K154" s="62">
        <f>SUM(K149:K153)</f>
        <v>0</v>
      </c>
      <c r="M154" s="60" t="s">
        <v>24</v>
      </c>
      <c r="N154" s="62">
        <f>SUM(N149:N153)</f>
        <v>0</v>
      </c>
      <c r="P154" s="60" t="s">
        <v>24</v>
      </c>
      <c r="Q154" s="62">
        <f>SUM(Q149:Q153)</f>
        <v>0</v>
      </c>
      <c r="S154" s="59">
        <v>10000</v>
      </c>
      <c r="T154" s="11">
        <f t="shared" si="43"/>
        <v>0</v>
      </c>
      <c r="U154" s="11">
        <f t="shared" si="43"/>
        <v>0</v>
      </c>
      <c r="V154" s="16">
        <f t="shared" si="44"/>
        <v>0</v>
      </c>
      <c r="W154" s="16">
        <f t="shared" si="45"/>
        <v>0</v>
      </c>
      <c r="AH154" s="34" t="str">
        <f>AZ19</f>
        <v/>
      </c>
      <c r="AI154" s="34" t="str">
        <f>BA19</f>
        <v/>
      </c>
      <c r="AJ154" s="34" t="str">
        <f>BB19</f>
        <v/>
      </c>
      <c r="AK154" s="35" t="str">
        <f>BC19</f>
        <v/>
      </c>
      <c r="AL154" s="35" t="str">
        <f>BD19</f>
        <v/>
      </c>
      <c r="AN154" s="34" t="str">
        <f>AZ20</f>
        <v/>
      </c>
      <c r="AO154" s="34" t="str">
        <f>BA20</f>
        <v/>
      </c>
      <c r="AP154" s="34" t="str">
        <f>BB20</f>
        <v/>
      </c>
      <c r="AQ154" s="35" t="str">
        <f>BC20</f>
        <v/>
      </c>
      <c r="AR154" s="35" t="str">
        <f>BD20</f>
        <v/>
      </c>
      <c r="AT154" s="34" t="str">
        <f>AZ21</f>
        <v/>
      </c>
      <c r="AU154" s="34" t="str">
        <f>BA21</f>
        <v/>
      </c>
      <c r="AV154" s="34" t="str">
        <f>BB21</f>
        <v/>
      </c>
      <c r="AW154" s="35" t="str">
        <f>BC21</f>
        <v/>
      </c>
      <c r="AX154" s="35" t="str">
        <f>BD21</f>
        <v/>
      </c>
      <c r="AZ154" s="34" t="str">
        <f>AZ22</f>
        <v/>
      </c>
      <c r="BA154" s="34" t="str">
        <f>BA22</f>
        <v/>
      </c>
      <c r="BB154" s="34" t="str">
        <f>BB22</f>
        <v/>
      </c>
      <c r="BC154" s="35" t="str">
        <f>BC22</f>
        <v/>
      </c>
      <c r="BD154" s="35" t="str">
        <f>BD22</f>
        <v/>
      </c>
      <c r="BF154" s="34" t="str">
        <f>AZ23</f>
        <v/>
      </c>
      <c r="BG154" s="34" t="str">
        <f>BA23</f>
        <v/>
      </c>
      <c r="BH154" s="34" t="str">
        <f>BB23</f>
        <v/>
      </c>
      <c r="BI154" s="35" t="str">
        <f>BC23</f>
        <v/>
      </c>
      <c r="BJ154" s="35" t="str">
        <f>BD23</f>
        <v/>
      </c>
    </row>
    <row r="155" spans="1:62" ht="15.75" thickBot="1" x14ac:dyDescent="0.3">
      <c r="S155" s="35"/>
      <c r="T155" s="61">
        <f>SUM(T146:T154)</f>
        <v>0</v>
      </c>
      <c r="U155" s="61">
        <f t="shared" ref="U155:W155" si="49">SUM(U146:U154)</f>
        <v>0</v>
      </c>
      <c r="V155" s="35">
        <f t="shared" si="49"/>
        <v>0</v>
      </c>
      <c r="W155" s="35">
        <f t="shared" si="49"/>
        <v>0</v>
      </c>
      <c r="AH155" s="58" t="s">
        <v>22</v>
      </c>
      <c r="AI155" s="58" t="s">
        <v>20</v>
      </c>
      <c r="AJ155" s="58" t="s">
        <v>34</v>
      </c>
      <c r="AK155" s="58" t="s">
        <v>127</v>
      </c>
      <c r="AL155" s="58" t="s">
        <v>129</v>
      </c>
      <c r="AN155" s="58" t="s">
        <v>22</v>
      </c>
      <c r="AO155" s="58" t="s">
        <v>20</v>
      </c>
      <c r="AP155" s="58" t="s">
        <v>34</v>
      </c>
      <c r="AQ155" s="58" t="s">
        <v>127</v>
      </c>
      <c r="AR155" s="58" t="s">
        <v>129</v>
      </c>
      <c r="AT155" s="58" t="s">
        <v>22</v>
      </c>
      <c r="AU155" s="58" t="s">
        <v>20</v>
      </c>
      <c r="AV155" s="58" t="s">
        <v>34</v>
      </c>
      <c r="AW155" s="58" t="s">
        <v>127</v>
      </c>
      <c r="AX155" s="58" t="s">
        <v>129</v>
      </c>
      <c r="AZ155" s="58" t="s">
        <v>22</v>
      </c>
      <c r="BA155" s="58" t="s">
        <v>20</v>
      </c>
      <c r="BB155" s="58" t="s">
        <v>34</v>
      </c>
      <c r="BC155" s="58" t="s">
        <v>127</v>
      </c>
      <c r="BD155" s="58" t="s">
        <v>129</v>
      </c>
      <c r="BF155" s="58" t="s">
        <v>22</v>
      </c>
      <c r="BG155" s="58" t="s">
        <v>20</v>
      </c>
      <c r="BH155" s="58" t="s">
        <v>34</v>
      </c>
      <c r="BI155" s="58" t="s">
        <v>127</v>
      </c>
      <c r="BJ155" s="58" t="s">
        <v>129</v>
      </c>
    </row>
    <row r="156" spans="1:62" ht="15.75" thickBot="1" x14ac:dyDescent="0.3">
      <c r="AH156" s="34" t="str">
        <f>AU19</f>
        <v/>
      </c>
      <c r="AI156" s="34" t="str">
        <f>AV19</f>
        <v/>
      </c>
      <c r="AJ156" s="34" t="str">
        <f>AW19</f>
        <v/>
      </c>
      <c r="AK156" s="35" t="str">
        <f>AX19</f>
        <v/>
      </c>
      <c r="AL156" s="35" t="str">
        <f>AY19</f>
        <v/>
      </c>
      <c r="AN156" s="34" t="str">
        <f>AU20</f>
        <v/>
      </c>
      <c r="AO156" s="34" t="str">
        <f>AV20</f>
        <v/>
      </c>
      <c r="AP156" s="34" t="str">
        <f>AW20</f>
        <v/>
      </c>
      <c r="AQ156" s="35" t="str">
        <f>AX20</f>
        <v/>
      </c>
      <c r="AR156" s="35" t="str">
        <f>AY20</f>
        <v/>
      </c>
      <c r="AT156" s="34" t="str">
        <f>AU21</f>
        <v/>
      </c>
      <c r="AU156" s="34" t="str">
        <f>AV21</f>
        <v/>
      </c>
      <c r="AV156" s="34" t="str">
        <f>AW21</f>
        <v/>
      </c>
      <c r="AW156" s="35" t="str">
        <f>AX21</f>
        <v/>
      </c>
      <c r="AX156" s="35" t="str">
        <f>AY21</f>
        <v/>
      </c>
      <c r="AZ156" s="34" t="str">
        <f>AU22</f>
        <v/>
      </c>
      <c r="BA156" s="34" t="str">
        <f>AV22</f>
        <v/>
      </c>
      <c r="BB156" s="34" t="str">
        <f>AW22</f>
        <v/>
      </c>
      <c r="BC156" s="35" t="str">
        <f>AX22</f>
        <v/>
      </c>
      <c r="BD156" s="35" t="str">
        <f>AY22</f>
        <v/>
      </c>
      <c r="BF156" s="34" t="str">
        <f>AU23</f>
        <v/>
      </c>
      <c r="BG156" s="34" t="str">
        <f>AV23</f>
        <v/>
      </c>
      <c r="BH156" s="34" t="str">
        <f>AW23</f>
        <v/>
      </c>
      <c r="BI156" s="35" t="str">
        <f>AX23</f>
        <v/>
      </c>
      <c r="BJ156" s="35" t="str">
        <f>AY23</f>
        <v/>
      </c>
    </row>
    <row r="157" spans="1:62" ht="13.7" customHeight="1" thickBot="1" x14ac:dyDescent="0.3"/>
    <row r="158" spans="1:62" ht="15.75" thickBot="1" x14ac:dyDescent="0.3">
      <c r="AH158" s="149" t="s">
        <v>37</v>
      </c>
      <c r="AI158" s="150"/>
      <c r="AJ158" s="150"/>
      <c r="AK158" s="151" t="str">
        <f>AD147</f>
        <v>KA41C4059</v>
      </c>
      <c r="AL158" s="151"/>
      <c r="AM158" s="152"/>
      <c r="AN158" s="157" t="str">
        <f>AA148</f>
        <v>TANKS: 48</v>
      </c>
      <c r="AO158" s="153"/>
      <c r="AP158" s="153" t="str">
        <f>AD148</f>
        <v>LTRS: 39500</v>
      </c>
      <c r="AQ158" s="153"/>
      <c r="AR158" s="154"/>
      <c r="AS158" s="150" t="s">
        <v>76</v>
      </c>
      <c r="AT158" s="150"/>
      <c r="AU158" s="155">
        <f>AD149</f>
        <v>46008</v>
      </c>
      <c r="AV158" s="155"/>
      <c r="AW158" s="156"/>
    </row>
    <row r="159" spans="1:62" ht="13.7" customHeight="1" x14ac:dyDescent="0.25"/>
    <row r="160" spans="1:62" ht="13.7" customHeight="1" thickBot="1" x14ac:dyDescent="0.3"/>
    <row r="161" spans="1:52" ht="13.7" customHeight="1" x14ac:dyDescent="0.25">
      <c r="A161" s="123" t="s">
        <v>31</v>
      </c>
      <c r="B161" s="113" t="s">
        <v>84</v>
      </c>
      <c r="C161" s="115"/>
      <c r="D161" s="113" t="s">
        <v>22</v>
      </c>
      <c r="E161" s="114"/>
      <c r="F161" s="114"/>
      <c r="G161" s="114"/>
      <c r="H161" s="115"/>
      <c r="I161" s="113" t="s">
        <v>20</v>
      </c>
      <c r="J161" s="114"/>
      <c r="K161" s="114"/>
      <c r="L161" s="114"/>
      <c r="M161" s="115"/>
      <c r="N161" s="113" t="s">
        <v>34</v>
      </c>
      <c r="O161" s="114"/>
      <c r="P161" s="114"/>
      <c r="Q161" s="114"/>
      <c r="R161" s="115"/>
      <c r="S161" s="113" t="s">
        <v>127</v>
      </c>
      <c r="T161" s="114"/>
      <c r="U161" s="114"/>
      <c r="V161" s="114"/>
      <c r="W161" s="115"/>
      <c r="X161" s="113" t="s">
        <v>129</v>
      </c>
      <c r="Y161" s="114"/>
      <c r="Z161" s="114"/>
      <c r="AA161" s="114"/>
      <c r="AB161" s="115"/>
      <c r="AC161" s="113" t="s">
        <v>26</v>
      </c>
      <c r="AD161" s="114"/>
      <c r="AE161" s="114"/>
      <c r="AF161" s="114"/>
      <c r="AG161" s="115"/>
      <c r="AH161" s="116" t="s">
        <v>24</v>
      </c>
      <c r="AI161" s="116" t="s">
        <v>86</v>
      </c>
      <c r="AJ161" s="81"/>
    </row>
    <row r="162" spans="1:52" ht="13.7" customHeight="1" thickBot="1" x14ac:dyDescent="0.3">
      <c r="A162" s="124"/>
      <c r="B162" s="12" t="s">
        <v>17</v>
      </c>
      <c r="C162" s="12" t="s">
        <v>19</v>
      </c>
      <c r="D162" s="9" t="s">
        <v>32</v>
      </c>
      <c r="E162" s="12" t="s">
        <v>17</v>
      </c>
      <c r="F162" s="12" t="s">
        <v>19</v>
      </c>
      <c r="G162" s="12" t="s">
        <v>33</v>
      </c>
      <c r="H162" s="14" t="s">
        <v>80</v>
      </c>
      <c r="I162" s="9" t="s">
        <v>32</v>
      </c>
      <c r="J162" s="12" t="s">
        <v>17</v>
      </c>
      <c r="K162" s="12" t="s">
        <v>19</v>
      </c>
      <c r="L162" s="12" t="s">
        <v>33</v>
      </c>
      <c r="M162" s="14" t="s">
        <v>80</v>
      </c>
      <c r="N162" s="9" t="s">
        <v>32</v>
      </c>
      <c r="O162" s="12" t="s">
        <v>17</v>
      </c>
      <c r="P162" s="12" t="s">
        <v>19</v>
      </c>
      <c r="Q162" s="12" t="s">
        <v>33</v>
      </c>
      <c r="R162" s="14" t="s">
        <v>80</v>
      </c>
      <c r="S162" s="9" t="s">
        <v>32</v>
      </c>
      <c r="T162" s="12" t="s">
        <v>17</v>
      </c>
      <c r="U162" s="12" t="s">
        <v>19</v>
      </c>
      <c r="V162" s="12" t="s">
        <v>33</v>
      </c>
      <c r="W162" s="14" t="s">
        <v>80</v>
      </c>
      <c r="X162" s="9" t="s">
        <v>32</v>
      </c>
      <c r="Y162" s="12" t="s">
        <v>17</v>
      </c>
      <c r="Z162" s="12" t="s">
        <v>19</v>
      </c>
      <c r="AA162" s="12" t="s">
        <v>33</v>
      </c>
      <c r="AB162" s="14" t="s">
        <v>80</v>
      </c>
      <c r="AC162" s="9" t="s">
        <v>32</v>
      </c>
      <c r="AD162" s="12" t="s">
        <v>17</v>
      </c>
      <c r="AE162" s="12" t="s">
        <v>19</v>
      </c>
      <c r="AF162" s="12" t="s">
        <v>33</v>
      </c>
      <c r="AG162" s="14" t="s">
        <v>80</v>
      </c>
      <c r="AH162" s="117"/>
      <c r="AI162" s="117"/>
      <c r="AJ162" s="81"/>
    </row>
    <row r="163" spans="1:52" ht="13.7" customHeight="1" x14ac:dyDescent="0.25">
      <c r="A163" s="16">
        <v>300</v>
      </c>
      <c r="B163" s="11">
        <f>T146</f>
        <v>0</v>
      </c>
      <c r="C163" s="11">
        <f>U146</f>
        <v>0</v>
      </c>
      <c r="D163" s="10">
        <f>B119+B133</f>
        <v>0</v>
      </c>
      <c r="E163" s="11">
        <f t="shared" ref="E163:AG171" si="50">C119+C133</f>
        <v>0</v>
      </c>
      <c r="F163" s="11">
        <f t="shared" si="50"/>
        <v>0</v>
      </c>
      <c r="G163" s="11">
        <f t="shared" si="50"/>
        <v>0</v>
      </c>
      <c r="H163" s="17">
        <f t="shared" si="50"/>
        <v>0</v>
      </c>
      <c r="I163" s="10">
        <f t="shared" si="50"/>
        <v>0</v>
      </c>
      <c r="J163" s="11">
        <f t="shared" si="50"/>
        <v>0</v>
      </c>
      <c r="K163" s="11">
        <f t="shared" si="50"/>
        <v>0</v>
      </c>
      <c r="L163" s="11">
        <f t="shared" si="50"/>
        <v>0</v>
      </c>
      <c r="M163" s="17">
        <f t="shared" si="50"/>
        <v>0</v>
      </c>
      <c r="N163" s="10">
        <f t="shared" si="50"/>
        <v>0</v>
      </c>
      <c r="O163" s="11">
        <f t="shared" si="50"/>
        <v>0</v>
      </c>
      <c r="P163" s="11">
        <f t="shared" si="50"/>
        <v>0</v>
      </c>
      <c r="Q163" s="11">
        <f t="shared" si="50"/>
        <v>0</v>
      </c>
      <c r="R163" s="17">
        <f t="shared" si="50"/>
        <v>0</v>
      </c>
      <c r="S163" s="10">
        <f t="shared" si="50"/>
        <v>0</v>
      </c>
      <c r="T163" s="11">
        <f t="shared" si="50"/>
        <v>0</v>
      </c>
      <c r="U163" s="11">
        <f t="shared" si="50"/>
        <v>0</v>
      </c>
      <c r="V163" s="11">
        <f t="shared" si="50"/>
        <v>0</v>
      </c>
      <c r="W163" s="17">
        <f t="shared" si="50"/>
        <v>0</v>
      </c>
      <c r="X163" s="10">
        <f t="shared" si="50"/>
        <v>0</v>
      </c>
      <c r="Y163" s="11">
        <f t="shared" si="50"/>
        <v>0</v>
      </c>
      <c r="Z163" s="11">
        <f t="shared" si="50"/>
        <v>0</v>
      </c>
      <c r="AA163" s="11">
        <f t="shared" si="50"/>
        <v>0</v>
      </c>
      <c r="AB163" s="17">
        <f t="shared" si="50"/>
        <v>0</v>
      </c>
      <c r="AC163" s="10">
        <f t="shared" si="50"/>
        <v>0</v>
      </c>
      <c r="AD163" s="11">
        <f t="shared" si="50"/>
        <v>0</v>
      </c>
      <c r="AE163" s="11">
        <f t="shared" si="50"/>
        <v>0</v>
      </c>
      <c r="AF163" s="11">
        <f t="shared" si="50"/>
        <v>0</v>
      </c>
      <c r="AG163" s="17">
        <f t="shared" si="50"/>
        <v>0</v>
      </c>
      <c r="AH163" s="16">
        <f>SUM(D163:AG163)*A163</f>
        <v>0</v>
      </c>
      <c r="AI163" s="16">
        <f>SUM(D163:AG163)</f>
        <v>0</v>
      </c>
      <c r="AJ163" s="82"/>
    </row>
    <row r="164" spans="1:52" ht="13.7" customHeight="1" x14ac:dyDescent="0.25">
      <c r="A164" s="16">
        <v>500</v>
      </c>
      <c r="B164" s="11">
        <f t="shared" ref="B164:C171" si="51">T147</f>
        <v>0</v>
      </c>
      <c r="C164" s="11">
        <f t="shared" si="51"/>
        <v>0</v>
      </c>
      <c r="D164" s="10">
        <f t="shared" ref="D164:D171" si="52">B120+B134</f>
        <v>0</v>
      </c>
      <c r="E164" s="11">
        <f t="shared" si="50"/>
        <v>20</v>
      </c>
      <c r="F164" s="11">
        <f t="shared" si="50"/>
        <v>0</v>
      </c>
      <c r="G164" s="11">
        <f t="shared" si="50"/>
        <v>0</v>
      </c>
      <c r="H164" s="17">
        <f t="shared" si="50"/>
        <v>0</v>
      </c>
      <c r="I164" s="10">
        <f t="shared" si="50"/>
        <v>0</v>
      </c>
      <c r="J164" s="11">
        <f t="shared" si="50"/>
        <v>0</v>
      </c>
      <c r="K164" s="11">
        <f t="shared" si="50"/>
        <v>0</v>
      </c>
      <c r="L164" s="11">
        <f t="shared" si="50"/>
        <v>0</v>
      </c>
      <c r="M164" s="17">
        <f t="shared" si="50"/>
        <v>0</v>
      </c>
      <c r="N164" s="10">
        <f t="shared" si="50"/>
        <v>0</v>
      </c>
      <c r="O164" s="11">
        <f t="shared" si="50"/>
        <v>0</v>
      </c>
      <c r="P164" s="11">
        <f t="shared" si="50"/>
        <v>0</v>
      </c>
      <c r="Q164" s="11">
        <f t="shared" si="50"/>
        <v>0</v>
      </c>
      <c r="R164" s="17">
        <f t="shared" si="50"/>
        <v>0</v>
      </c>
      <c r="S164" s="10">
        <f t="shared" si="50"/>
        <v>0</v>
      </c>
      <c r="T164" s="11">
        <f t="shared" si="50"/>
        <v>0</v>
      </c>
      <c r="U164" s="11">
        <f t="shared" si="50"/>
        <v>0</v>
      </c>
      <c r="V164" s="11">
        <f t="shared" si="50"/>
        <v>0</v>
      </c>
      <c r="W164" s="17">
        <f t="shared" si="50"/>
        <v>0</v>
      </c>
      <c r="X164" s="10">
        <f t="shared" si="50"/>
        <v>0</v>
      </c>
      <c r="Y164" s="11">
        <f t="shared" si="50"/>
        <v>0</v>
      </c>
      <c r="Z164" s="11">
        <f t="shared" si="50"/>
        <v>0</v>
      </c>
      <c r="AA164" s="11">
        <f t="shared" si="50"/>
        <v>0</v>
      </c>
      <c r="AB164" s="17">
        <f t="shared" si="50"/>
        <v>0</v>
      </c>
      <c r="AC164" s="10">
        <f t="shared" si="50"/>
        <v>0</v>
      </c>
      <c r="AD164" s="11">
        <f t="shared" si="50"/>
        <v>0</v>
      </c>
      <c r="AE164" s="11">
        <f t="shared" si="50"/>
        <v>0</v>
      </c>
      <c r="AF164" s="11">
        <f t="shared" si="50"/>
        <v>0</v>
      </c>
      <c r="AG164" s="17">
        <f t="shared" si="50"/>
        <v>0</v>
      </c>
      <c r="AH164" s="16">
        <f>SUM(D164:AG164)*A164</f>
        <v>10000</v>
      </c>
      <c r="AI164" s="16">
        <f t="shared" ref="AI164:AI172" si="53">SUM(D164:AG164)</f>
        <v>20</v>
      </c>
    </row>
    <row r="165" spans="1:52" ht="13.7" customHeight="1" x14ac:dyDescent="0.25">
      <c r="A165" s="15">
        <v>750</v>
      </c>
      <c r="B165" s="11">
        <f t="shared" si="51"/>
        <v>0</v>
      </c>
      <c r="C165" s="11">
        <f t="shared" si="51"/>
        <v>0</v>
      </c>
      <c r="D165" s="8">
        <f t="shared" si="52"/>
        <v>0</v>
      </c>
      <c r="E165" s="6">
        <f t="shared" si="50"/>
        <v>10</v>
      </c>
      <c r="F165" s="6">
        <f t="shared" si="50"/>
        <v>0</v>
      </c>
      <c r="G165" s="6">
        <f t="shared" si="50"/>
        <v>0</v>
      </c>
      <c r="H165" s="13">
        <f t="shared" si="50"/>
        <v>0</v>
      </c>
      <c r="I165" s="8">
        <f t="shared" si="50"/>
        <v>0</v>
      </c>
      <c r="J165" s="6">
        <f t="shared" si="50"/>
        <v>0</v>
      </c>
      <c r="K165" s="6">
        <f t="shared" si="50"/>
        <v>0</v>
      </c>
      <c r="L165" s="6">
        <f t="shared" si="50"/>
        <v>0</v>
      </c>
      <c r="M165" s="13">
        <f t="shared" si="50"/>
        <v>0</v>
      </c>
      <c r="N165" s="8">
        <f t="shared" si="50"/>
        <v>0</v>
      </c>
      <c r="O165" s="6">
        <f t="shared" si="50"/>
        <v>0</v>
      </c>
      <c r="P165" s="6">
        <f t="shared" si="50"/>
        <v>0</v>
      </c>
      <c r="Q165" s="6">
        <f t="shared" si="50"/>
        <v>0</v>
      </c>
      <c r="R165" s="13">
        <f t="shared" si="50"/>
        <v>0</v>
      </c>
      <c r="S165" s="8">
        <f t="shared" si="50"/>
        <v>0</v>
      </c>
      <c r="T165" s="6">
        <f t="shared" si="50"/>
        <v>0</v>
      </c>
      <c r="U165" s="6">
        <f t="shared" si="50"/>
        <v>0</v>
      </c>
      <c r="V165" s="6">
        <f t="shared" si="50"/>
        <v>0</v>
      </c>
      <c r="W165" s="13">
        <f t="shared" si="50"/>
        <v>0</v>
      </c>
      <c r="X165" s="8">
        <f t="shared" si="50"/>
        <v>0</v>
      </c>
      <c r="Y165" s="6">
        <f t="shared" si="50"/>
        <v>0</v>
      </c>
      <c r="Z165" s="6">
        <f t="shared" si="50"/>
        <v>0</v>
      </c>
      <c r="AA165" s="6">
        <f t="shared" si="50"/>
        <v>0</v>
      </c>
      <c r="AB165" s="13">
        <f t="shared" si="50"/>
        <v>0</v>
      </c>
      <c r="AC165" s="8">
        <f t="shared" si="50"/>
        <v>0</v>
      </c>
      <c r="AD165" s="6">
        <f t="shared" si="50"/>
        <v>0</v>
      </c>
      <c r="AE165" s="6">
        <f t="shared" si="50"/>
        <v>0</v>
      </c>
      <c r="AF165" s="6">
        <f t="shared" si="50"/>
        <v>0</v>
      </c>
      <c r="AG165" s="13">
        <f t="shared" si="50"/>
        <v>0</v>
      </c>
      <c r="AH165" s="16">
        <f>SUM(D165:AG165)*A165</f>
        <v>7500</v>
      </c>
      <c r="AI165" s="16">
        <f t="shared" si="53"/>
        <v>10</v>
      </c>
    </row>
    <row r="166" spans="1:52" ht="13.7" customHeight="1" x14ac:dyDescent="0.25">
      <c r="A166" s="15">
        <v>1000</v>
      </c>
      <c r="B166" s="11">
        <f t="shared" si="51"/>
        <v>0</v>
      </c>
      <c r="C166" s="11">
        <f t="shared" si="51"/>
        <v>0</v>
      </c>
      <c r="D166" s="8">
        <f t="shared" si="52"/>
        <v>0</v>
      </c>
      <c r="E166" s="6">
        <f t="shared" si="50"/>
        <v>10</v>
      </c>
      <c r="F166" s="6">
        <f t="shared" si="50"/>
        <v>0</v>
      </c>
      <c r="G166" s="6">
        <f t="shared" si="50"/>
        <v>0</v>
      </c>
      <c r="H166" s="13">
        <f t="shared" si="50"/>
        <v>0</v>
      </c>
      <c r="I166" s="8">
        <f t="shared" si="50"/>
        <v>0</v>
      </c>
      <c r="J166" s="6">
        <f t="shared" si="50"/>
        <v>0</v>
      </c>
      <c r="K166" s="6">
        <f t="shared" si="50"/>
        <v>0</v>
      </c>
      <c r="L166" s="6">
        <f t="shared" si="50"/>
        <v>0</v>
      </c>
      <c r="M166" s="13">
        <f t="shared" si="50"/>
        <v>0</v>
      </c>
      <c r="N166" s="8">
        <f t="shared" si="50"/>
        <v>0</v>
      </c>
      <c r="O166" s="6">
        <f t="shared" si="50"/>
        <v>0</v>
      </c>
      <c r="P166" s="6">
        <f t="shared" si="50"/>
        <v>0</v>
      </c>
      <c r="Q166" s="6">
        <f t="shared" si="50"/>
        <v>0</v>
      </c>
      <c r="R166" s="13">
        <f t="shared" si="50"/>
        <v>0</v>
      </c>
      <c r="S166" s="8">
        <f t="shared" si="50"/>
        <v>0</v>
      </c>
      <c r="T166" s="6">
        <f t="shared" si="50"/>
        <v>0</v>
      </c>
      <c r="U166" s="6">
        <f t="shared" si="50"/>
        <v>0</v>
      </c>
      <c r="V166" s="6">
        <f t="shared" si="50"/>
        <v>0</v>
      </c>
      <c r="W166" s="13">
        <f t="shared" si="50"/>
        <v>0</v>
      </c>
      <c r="X166" s="8">
        <f t="shared" si="50"/>
        <v>0</v>
      </c>
      <c r="Y166" s="6">
        <f t="shared" si="50"/>
        <v>0</v>
      </c>
      <c r="Z166" s="6">
        <f t="shared" si="50"/>
        <v>0</v>
      </c>
      <c r="AA166" s="6">
        <f t="shared" si="50"/>
        <v>0</v>
      </c>
      <c r="AB166" s="13">
        <f t="shared" si="50"/>
        <v>0</v>
      </c>
      <c r="AC166" s="8">
        <f t="shared" si="50"/>
        <v>0</v>
      </c>
      <c r="AD166" s="6">
        <f t="shared" si="50"/>
        <v>0</v>
      </c>
      <c r="AE166" s="6">
        <f t="shared" si="50"/>
        <v>0</v>
      </c>
      <c r="AF166" s="6">
        <f t="shared" si="50"/>
        <v>0</v>
      </c>
      <c r="AG166" s="13">
        <f t="shared" si="50"/>
        <v>0</v>
      </c>
      <c r="AH166" s="16">
        <f>SUM(D166:AG166)*A166</f>
        <v>10000</v>
      </c>
      <c r="AI166" s="16">
        <f t="shared" si="53"/>
        <v>10</v>
      </c>
    </row>
    <row r="167" spans="1:52" ht="13.7" customHeight="1" x14ac:dyDescent="0.25">
      <c r="A167" s="15">
        <v>1500</v>
      </c>
      <c r="B167" s="11">
        <f t="shared" si="51"/>
        <v>0</v>
      </c>
      <c r="C167" s="11">
        <f t="shared" si="51"/>
        <v>0</v>
      </c>
      <c r="D167" s="8">
        <f t="shared" si="52"/>
        <v>0</v>
      </c>
      <c r="E167" s="6">
        <f t="shared" si="50"/>
        <v>8</v>
      </c>
      <c r="F167" s="6">
        <f t="shared" si="50"/>
        <v>0</v>
      </c>
      <c r="G167" s="6">
        <f t="shared" si="50"/>
        <v>0</v>
      </c>
      <c r="H167" s="13">
        <f t="shared" si="50"/>
        <v>0</v>
      </c>
      <c r="I167" s="8">
        <f t="shared" si="50"/>
        <v>0</v>
      </c>
      <c r="J167" s="6">
        <f t="shared" si="50"/>
        <v>0</v>
      </c>
      <c r="K167" s="6">
        <f t="shared" si="50"/>
        <v>0</v>
      </c>
      <c r="L167" s="6">
        <f t="shared" si="50"/>
        <v>0</v>
      </c>
      <c r="M167" s="13">
        <f t="shared" si="50"/>
        <v>0</v>
      </c>
      <c r="N167" s="8">
        <f t="shared" si="50"/>
        <v>0</v>
      </c>
      <c r="O167" s="6">
        <f t="shared" si="50"/>
        <v>0</v>
      </c>
      <c r="P167" s="6">
        <f t="shared" si="50"/>
        <v>0</v>
      </c>
      <c r="Q167" s="6">
        <f t="shared" si="50"/>
        <v>0</v>
      </c>
      <c r="R167" s="13">
        <f t="shared" si="50"/>
        <v>0</v>
      </c>
      <c r="S167" s="8">
        <f t="shared" si="50"/>
        <v>0</v>
      </c>
      <c r="T167" s="6">
        <f t="shared" si="50"/>
        <v>0</v>
      </c>
      <c r="U167" s="6">
        <f t="shared" si="50"/>
        <v>0</v>
      </c>
      <c r="V167" s="6">
        <f t="shared" si="50"/>
        <v>0</v>
      </c>
      <c r="W167" s="13">
        <f t="shared" si="50"/>
        <v>0</v>
      </c>
      <c r="X167" s="8">
        <f t="shared" si="50"/>
        <v>0</v>
      </c>
      <c r="Y167" s="6">
        <f t="shared" si="50"/>
        <v>0</v>
      </c>
      <c r="Z167" s="6">
        <f t="shared" si="50"/>
        <v>0</v>
      </c>
      <c r="AA167" s="6">
        <f t="shared" si="50"/>
        <v>0</v>
      </c>
      <c r="AB167" s="13">
        <f t="shared" si="50"/>
        <v>0</v>
      </c>
      <c r="AC167" s="8">
        <f t="shared" si="50"/>
        <v>0</v>
      </c>
      <c r="AD167" s="6">
        <f t="shared" si="50"/>
        <v>0</v>
      </c>
      <c r="AE167" s="6">
        <f t="shared" si="50"/>
        <v>0</v>
      </c>
      <c r="AF167" s="6">
        <f t="shared" si="50"/>
        <v>0</v>
      </c>
      <c r="AG167" s="13">
        <f t="shared" si="50"/>
        <v>0</v>
      </c>
      <c r="AH167" s="16">
        <f>SUM(D167:AG167)*A167</f>
        <v>12000</v>
      </c>
      <c r="AI167" s="16">
        <f t="shared" si="53"/>
        <v>8</v>
      </c>
    </row>
    <row r="168" spans="1:52" ht="13.7" customHeight="1" x14ac:dyDescent="0.25">
      <c r="A168" s="15">
        <v>2000</v>
      </c>
      <c r="B168" s="11">
        <f t="shared" si="51"/>
        <v>0</v>
      </c>
      <c r="C168" s="11">
        <f t="shared" si="51"/>
        <v>0</v>
      </c>
      <c r="D168" s="8">
        <f t="shared" si="52"/>
        <v>0</v>
      </c>
      <c r="E168" s="6">
        <f t="shared" si="50"/>
        <v>0</v>
      </c>
      <c r="F168" s="6">
        <f t="shared" si="50"/>
        <v>0</v>
      </c>
      <c r="G168" s="6">
        <f t="shared" si="50"/>
        <v>0</v>
      </c>
      <c r="H168" s="13">
        <f t="shared" si="50"/>
        <v>0</v>
      </c>
      <c r="I168" s="8">
        <f t="shared" si="50"/>
        <v>0</v>
      </c>
      <c r="J168" s="6">
        <f t="shared" si="50"/>
        <v>0</v>
      </c>
      <c r="K168" s="6">
        <f t="shared" si="50"/>
        <v>0</v>
      </c>
      <c r="L168" s="6">
        <f t="shared" si="50"/>
        <v>0</v>
      </c>
      <c r="M168" s="13">
        <f t="shared" si="50"/>
        <v>0</v>
      </c>
      <c r="N168" s="8">
        <f t="shared" si="50"/>
        <v>0</v>
      </c>
      <c r="O168" s="6">
        <f t="shared" si="50"/>
        <v>0</v>
      </c>
      <c r="P168" s="6">
        <f t="shared" si="50"/>
        <v>0</v>
      </c>
      <c r="Q168" s="6">
        <f t="shared" si="50"/>
        <v>0</v>
      </c>
      <c r="R168" s="13">
        <f t="shared" si="50"/>
        <v>0</v>
      </c>
      <c r="S168" s="8">
        <f t="shared" si="50"/>
        <v>0</v>
      </c>
      <c r="T168" s="6">
        <f t="shared" si="50"/>
        <v>0</v>
      </c>
      <c r="U168" s="6">
        <f t="shared" si="50"/>
        <v>0</v>
      </c>
      <c r="V168" s="6">
        <f t="shared" si="50"/>
        <v>0</v>
      </c>
      <c r="W168" s="13">
        <f t="shared" si="50"/>
        <v>0</v>
      </c>
      <c r="X168" s="8">
        <f t="shared" si="50"/>
        <v>0</v>
      </c>
      <c r="Y168" s="6">
        <f t="shared" si="50"/>
        <v>0</v>
      </c>
      <c r="Z168" s="6">
        <f t="shared" si="50"/>
        <v>0</v>
      </c>
      <c r="AA168" s="6">
        <f t="shared" si="50"/>
        <v>0</v>
      </c>
      <c r="AB168" s="13">
        <f t="shared" si="50"/>
        <v>0</v>
      </c>
      <c r="AC168" s="8">
        <f t="shared" si="50"/>
        <v>0</v>
      </c>
      <c r="AD168" s="6">
        <f t="shared" si="50"/>
        <v>0</v>
      </c>
      <c r="AE168" s="6">
        <f t="shared" si="50"/>
        <v>0</v>
      </c>
      <c r="AF168" s="6">
        <f t="shared" si="50"/>
        <v>0</v>
      </c>
      <c r="AG168" s="13">
        <f t="shared" si="50"/>
        <v>0</v>
      </c>
      <c r="AH168" s="16">
        <f>SUM(D168:AG168)*A168</f>
        <v>0</v>
      </c>
      <c r="AI168" s="16">
        <f t="shared" si="53"/>
        <v>0</v>
      </c>
    </row>
    <row r="169" spans="1:52" ht="13.7" customHeight="1" x14ac:dyDescent="0.25">
      <c r="A169" s="15">
        <v>3000</v>
      </c>
      <c r="B169" s="11">
        <f t="shared" si="51"/>
        <v>0</v>
      </c>
      <c r="C169" s="11">
        <f t="shared" si="51"/>
        <v>0</v>
      </c>
      <c r="D169" s="8">
        <f t="shared" si="52"/>
        <v>0</v>
      </c>
      <c r="E169" s="6">
        <f t="shared" si="50"/>
        <v>0</v>
      </c>
      <c r="F169" s="6">
        <f t="shared" si="50"/>
        <v>0</v>
      </c>
      <c r="G169" s="6">
        <f t="shared" si="50"/>
        <v>0</v>
      </c>
      <c r="H169" s="13">
        <f t="shared" si="50"/>
        <v>0</v>
      </c>
      <c r="I169" s="8">
        <f t="shared" si="50"/>
        <v>0</v>
      </c>
      <c r="J169" s="6">
        <f t="shared" si="50"/>
        <v>0</v>
      </c>
      <c r="K169" s="6">
        <f t="shared" si="50"/>
        <v>0</v>
      </c>
      <c r="L169" s="6">
        <f t="shared" si="50"/>
        <v>0</v>
      </c>
      <c r="M169" s="13">
        <f t="shared" si="50"/>
        <v>0</v>
      </c>
      <c r="N169" s="8">
        <f t="shared" si="50"/>
        <v>0</v>
      </c>
      <c r="O169" s="6">
        <f t="shared" si="50"/>
        <v>0</v>
      </c>
      <c r="P169" s="6">
        <f t="shared" si="50"/>
        <v>0</v>
      </c>
      <c r="Q169" s="6">
        <f t="shared" si="50"/>
        <v>0</v>
      </c>
      <c r="R169" s="13">
        <f t="shared" si="50"/>
        <v>0</v>
      </c>
      <c r="S169" s="8">
        <f t="shared" si="50"/>
        <v>0</v>
      </c>
      <c r="T169" s="6">
        <f t="shared" si="50"/>
        <v>0</v>
      </c>
      <c r="U169" s="6">
        <f t="shared" si="50"/>
        <v>0</v>
      </c>
      <c r="V169" s="6">
        <f t="shared" si="50"/>
        <v>0</v>
      </c>
      <c r="W169" s="13">
        <f t="shared" si="50"/>
        <v>0</v>
      </c>
      <c r="X169" s="8">
        <f t="shared" si="50"/>
        <v>0</v>
      </c>
      <c r="Y169" s="6">
        <f t="shared" si="50"/>
        <v>0</v>
      </c>
      <c r="Z169" s="6">
        <f t="shared" si="50"/>
        <v>0</v>
      </c>
      <c r="AA169" s="6">
        <f t="shared" si="50"/>
        <v>0</v>
      </c>
      <c r="AB169" s="13">
        <f t="shared" si="50"/>
        <v>0</v>
      </c>
      <c r="AC169" s="8">
        <f t="shared" si="50"/>
        <v>0</v>
      </c>
      <c r="AD169" s="6">
        <f t="shared" si="50"/>
        <v>0</v>
      </c>
      <c r="AE169" s="6">
        <f t="shared" si="50"/>
        <v>0</v>
      </c>
      <c r="AF169" s="6">
        <f t="shared" si="50"/>
        <v>0</v>
      </c>
      <c r="AG169" s="13">
        <f t="shared" si="50"/>
        <v>0</v>
      </c>
      <c r="AH169" s="16">
        <f>SUM(D169:AG169)*A169</f>
        <v>0</v>
      </c>
      <c r="AI169" s="16">
        <f t="shared" si="53"/>
        <v>0</v>
      </c>
    </row>
    <row r="170" spans="1:52" ht="13.7" customHeight="1" x14ac:dyDescent="0.25">
      <c r="A170" s="15">
        <v>5000</v>
      </c>
      <c r="B170" s="11">
        <f t="shared" si="51"/>
        <v>0</v>
      </c>
      <c r="C170" s="11">
        <f t="shared" si="51"/>
        <v>0</v>
      </c>
      <c r="D170" s="8">
        <f t="shared" si="52"/>
        <v>0</v>
      </c>
      <c r="E170" s="6">
        <f t="shared" si="50"/>
        <v>0</v>
      </c>
      <c r="F170" s="6">
        <f t="shared" si="50"/>
        <v>0</v>
      </c>
      <c r="G170" s="6">
        <f t="shared" si="50"/>
        <v>0</v>
      </c>
      <c r="H170" s="13">
        <f t="shared" si="50"/>
        <v>0</v>
      </c>
      <c r="I170" s="8">
        <f t="shared" si="50"/>
        <v>0</v>
      </c>
      <c r="J170" s="6">
        <f t="shared" si="50"/>
        <v>0</v>
      </c>
      <c r="K170" s="6">
        <f t="shared" si="50"/>
        <v>0</v>
      </c>
      <c r="L170" s="6">
        <f t="shared" si="50"/>
        <v>0</v>
      </c>
      <c r="M170" s="13">
        <f t="shared" si="50"/>
        <v>0</v>
      </c>
      <c r="N170" s="8">
        <f t="shared" si="50"/>
        <v>0</v>
      </c>
      <c r="O170" s="6">
        <f t="shared" si="50"/>
        <v>0</v>
      </c>
      <c r="P170" s="6">
        <f t="shared" si="50"/>
        <v>0</v>
      </c>
      <c r="Q170" s="6">
        <f t="shared" si="50"/>
        <v>0</v>
      </c>
      <c r="R170" s="13">
        <f t="shared" si="50"/>
        <v>0</v>
      </c>
      <c r="S170" s="8">
        <f t="shared" si="50"/>
        <v>0</v>
      </c>
      <c r="T170" s="6">
        <f t="shared" si="50"/>
        <v>0</v>
      </c>
      <c r="U170" s="6">
        <f t="shared" si="50"/>
        <v>0</v>
      </c>
      <c r="V170" s="6">
        <f t="shared" si="50"/>
        <v>0</v>
      </c>
      <c r="W170" s="13">
        <f t="shared" si="50"/>
        <v>0</v>
      </c>
      <c r="X170" s="8">
        <f t="shared" si="50"/>
        <v>0</v>
      </c>
      <c r="Y170" s="6">
        <f t="shared" si="50"/>
        <v>0</v>
      </c>
      <c r="Z170" s="6">
        <f t="shared" si="50"/>
        <v>0</v>
      </c>
      <c r="AA170" s="6">
        <f t="shared" si="50"/>
        <v>0</v>
      </c>
      <c r="AB170" s="13">
        <f t="shared" si="50"/>
        <v>0</v>
      </c>
      <c r="AC170" s="8">
        <f t="shared" si="50"/>
        <v>0</v>
      </c>
      <c r="AD170" s="6">
        <f t="shared" si="50"/>
        <v>0</v>
      </c>
      <c r="AE170" s="6">
        <f t="shared" si="50"/>
        <v>0</v>
      </c>
      <c r="AF170" s="6">
        <f t="shared" si="50"/>
        <v>0</v>
      </c>
      <c r="AG170" s="13">
        <f t="shared" si="50"/>
        <v>0</v>
      </c>
      <c r="AH170" s="16">
        <f>SUM(D170:AG170)*A170</f>
        <v>0</v>
      </c>
      <c r="AI170" s="16">
        <f t="shared" si="53"/>
        <v>0</v>
      </c>
    </row>
    <row r="171" spans="1:52" ht="15" customHeight="1" thickBot="1" x14ac:dyDescent="0.3">
      <c r="A171" s="59">
        <v>10000</v>
      </c>
      <c r="B171" s="11">
        <f t="shared" si="51"/>
        <v>0</v>
      </c>
      <c r="C171" s="11">
        <f t="shared" si="51"/>
        <v>0</v>
      </c>
      <c r="D171" s="31">
        <f t="shared" si="52"/>
        <v>0</v>
      </c>
      <c r="E171" s="32">
        <f t="shared" si="50"/>
        <v>0</v>
      </c>
      <c r="F171" s="32">
        <f t="shared" si="50"/>
        <v>0</v>
      </c>
      <c r="G171" s="32">
        <f t="shared" si="50"/>
        <v>0</v>
      </c>
      <c r="H171" s="33">
        <f t="shared" si="50"/>
        <v>0</v>
      </c>
      <c r="I171" s="31">
        <f t="shared" si="50"/>
        <v>0</v>
      </c>
      <c r="J171" s="32">
        <f t="shared" si="50"/>
        <v>0</v>
      </c>
      <c r="K171" s="32">
        <f t="shared" si="50"/>
        <v>0</v>
      </c>
      <c r="L171" s="32">
        <f t="shared" si="50"/>
        <v>0</v>
      </c>
      <c r="M171" s="33">
        <f t="shared" si="50"/>
        <v>0</v>
      </c>
      <c r="N171" s="31">
        <f t="shared" si="50"/>
        <v>0</v>
      </c>
      <c r="O171" s="32">
        <f t="shared" si="50"/>
        <v>0</v>
      </c>
      <c r="P171" s="32">
        <f t="shared" si="50"/>
        <v>0</v>
      </c>
      <c r="Q171" s="32">
        <f t="shared" si="50"/>
        <v>0</v>
      </c>
      <c r="R171" s="33">
        <f t="shared" si="50"/>
        <v>0</v>
      </c>
      <c r="S171" s="31">
        <f t="shared" si="50"/>
        <v>0</v>
      </c>
      <c r="T171" s="32">
        <f t="shared" si="50"/>
        <v>0</v>
      </c>
      <c r="U171" s="32">
        <f t="shared" si="50"/>
        <v>0</v>
      </c>
      <c r="V171" s="32">
        <f t="shared" si="50"/>
        <v>0</v>
      </c>
      <c r="W171" s="33">
        <f t="shared" si="50"/>
        <v>0</v>
      </c>
      <c r="X171" s="31">
        <f t="shared" si="50"/>
        <v>0</v>
      </c>
      <c r="Y171" s="32">
        <f t="shared" si="50"/>
        <v>0</v>
      </c>
      <c r="Z171" s="32">
        <f t="shared" si="50"/>
        <v>0</v>
      </c>
      <c r="AA171" s="32">
        <f t="shared" si="50"/>
        <v>0</v>
      </c>
      <c r="AB171" s="33">
        <f t="shared" ref="AB171:AG171" si="54">Z127+Z141</f>
        <v>0</v>
      </c>
      <c r="AC171" s="31">
        <f t="shared" si="54"/>
        <v>0</v>
      </c>
      <c r="AD171" s="32">
        <f t="shared" si="54"/>
        <v>0</v>
      </c>
      <c r="AE171" s="32">
        <f t="shared" si="54"/>
        <v>0</v>
      </c>
      <c r="AF171" s="32">
        <f t="shared" si="54"/>
        <v>0</v>
      </c>
      <c r="AG171" s="33">
        <f t="shared" si="54"/>
        <v>0</v>
      </c>
      <c r="AH171" s="16">
        <f>SUM(D171:AG171)*A171</f>
        <v>0</v>
      </c>
      <c r="AI171" s="43">
        <f t="shared" si="53"/>
        <v>0</v>
      </c>
    </row>
    <row r="172" spans="1:52" ht="15" customHeight="1" thickBot="1" x14ac:dyDescent="0.3">
      <c r="A172" s="35"/>
      <c r="B172" s="61">
        <f>SUM(B163:B171)</f>
        <v>0</v>
      </c>
      <c r="C172" s="61">
        <f t="shared" ref="C172" si="55">SUM(C163:C171)</f>
        <v>0</v>
      </c>
      <c r="D172" s="60">
        <f t="shared" ref="D172:AI172" si="56">SUM(D163:D171)</f>
        <v>0</v>
      </c>
      <c r="E172" s="61">
        <f t="shared" si="56"/>
        <v>48</v>
      </c>
      <c r="F172" s="61">
        <f t="shared" si="56"/>
        <v>0</v>
      </c>
      <c r="G172" s="61">
        <f t="shared" si="56"/>
        <v>0</v>
      </c>
      <c r="H172" s="62">
        <f t="shared" si="56"/>
        <v>0</v>
      </c>
      <c r="I172" s="60">
        <f t="shared" si="56"/>
        <v>0</v>
      </c>
      <c r="J172" s="61">
        <f t="shared" si="56"/>
        <v>0</v>
      </c>
      <c r="K172" s="61">
        <f t="shared" si="56"/>
        <v>0</v>
      </c>
      <c r="L172" s="61">
        <f t="shared" si="56"/>
        <v>0</v>
      </c>
      <c r="M172" s="62">
        <f t="shared" si="56"/>
        <v>0</v>
      </c>
      <c r="N172" s="60">
        <f t="shared" si="56"/>
        <v>0</v>
      </c>
      <c r="O172" s="61">
        <f t="shared" si="56"/>
        <v>0</v>
      </c>
      <c r="P172" s="61">
        <f t="shared" si="56"/>
        <v>0</v>
      </c>
      <c r="Q172" s="61">
        <f t="shared" si="56"/>
        <v>0</v>
      </c>
      <c r="R172" s="62">
        <f t="shared" si="56"/>
        <v>0</v>
      </c>
      <c r="S172" s="60">
        <f t="shared" si="56"/>
        <v>0</v>
      </c>
      <c r="T172" s="61">
        <f t="shared" si="56"/>
        <v>0</v>
      </c>
      <c r="U172" s="61">
        <f t="shared" si="56"/>
        <v>0</v>
      </c>
      <c r="V172" s="61">
        <f t="shared" si="56"/>
        <v>0</v>
      </c>
      <c r="W172" s="62">
        <f t="shared" si="56"/>
        <v>0</v>
      </c>
      <c r="X172" s="60">
        <f t="shared" si="56"/>
        <v>0</v>
      </c>
      <c r="Y172" s="61">
        <f t="shared" si="56"/>
        <v>0</v>
      </c>
      <c r="Z172" s="61">
        <f t="shared" si="56"/>
        <v>0</v>
      </c>
      <c r="AA172" s="61">
        <f t="shared" si="56"/>
        <v>0</v>
      </c>
      <c r="AB172" s="62">
        <f t="shared" si="56"/>
        <v>0</v>
      </c>
      <c r="AC172" s="60">
        <f t="shared" si="56"/>
        <v>0</v>
      </c>
      <c r="AD172" s="61">
        <f t="shared" si="56"/>
        <v>0</v>
      </c>
      <c r="AE172" s="61">
        <f t="shared" si="56"/>
        <v>0</v>
      </c>
      <c r="AF172" s="61">
        <f t="shared" si="56"/>
        <v>0</v>
      </c>
      <c r="AG172" s="62">
        <f t="shared" si="56"/>
        <v>0</v>
      </c>
      <c r="AH172" s="35">
        <f>SUM(AH163:AH171)</f>
        <v>39500</v>
      </c>
      <c r="AI172" s="35">
        <f t="shared" si="53"/>
        <v>48</v>
      </c>
    </row>
    <row r="173" spans="1:52" ht="15.75" customHeight="1" x14ac:dyDescent="0.25"/>
    <row r="174" spans="1:52" ht="15.75" customHeight="1" x14ac:dyDescent="0.25"/>
    <row r="175" spans="1:52" ht="15" customHeight="1" x14ac:dyDescent="0.25">
      <c r="AX175" s="44"/>
      <c r="AY175" s="44"/>
      <c r="AZ175" s="44"/>
    </row>
    <row r="176" spans="1:52" ht="15" customHeight="1" x14ac:dyDescent="0.25">
      <c r="AX176" s="44"/>
      <c r="AY176" s="44"/>
      <c r="AZ176" s="44"/>
    </row>
    <row r="177" spans="50:54" ht="15" customHeight="1" x14ac:dyDescent="0.25">
      <c r="AX177" s="44"/>
      <c r="AY177" s="44"/>
      <c r="AZ177" s="44"/>
    </row>
    <row r="178" spans="50:54" ht="15" customHeight="1" x14ac:dyDescent="0.25">
      <c r="AX178" s="44"/>
      <c r="AY178" s="44"/>
      <c r="AZ178" s="44"/>
    </row>
    <row r="179" spans="50:54" ht="15" customHeight="1" x14ac:dyDescent="0.25">
      <c r="AX179" s="44"/>
      <c r="AY179" s="44"/>
      <c r="AZ179" s="44"/>
    </row>
    <row r="180" spans="50:54" ht="15" customHeight="1" x14ac:dyDescent="0.25">
      <c r="AX180" s="44"/>
      <c r="AY180" s="44"/>
      <c r="AZ180" s="44"/>
    </row>
    <row r="181" spans="50:54" ht="15" customHeight="1" x14ac:dyDescent="0.25">
      <c r="AX181" s="44"/>
    </row>
    <row r="182" spans="50:54" ht="15" customHeight="1" x14ac:dyDescent="0.25">
      <c r="AX182" s="44"/>
    </row>
    <row r="183" spans="50:54" ht="15" customHeight="1" x14ac:dyDescent="0.25">
      <c r="AX183" s="44"/>
    </row>
    <row r="184" spans="50:54" ht="15.75" customHeight="1" x14ac:dyDescent="0.25"/>
    <row r="186" spans="50:54" x14ac:dyDescent="0.25">
      <c r="BB186" s="44"/>
    </row>
    <row r="187" spans="50:54" ht="15" customHeight="1" x14ac:dyDescent="0.25"/>
    <row r="188" spans="50:54" ht="15" customHeight="1" x14ac:dyDescent="0.25"/>
    <row r="189" spans="50:54" ht="15" customHeight="1" x14ac:dyDescent="0.25"/>
  </sheetData>
  <mergeCells count="134">
    <mergeCell ref="AK158:AM158"/>
    <mergeCell ref="AN158:AO158"/>
    <mergeCell ref="AP158:AR158"/>
    <mergeCell ref="AS158:AT158"/>
    <mergeCell ref="AU158:AW158"/>
    <mergeCell ref="A161:A162"/>
    <mergeCell ref="B161:C161"/>
    <mergeCell ref="D161:H161"/>
    <mergeCell ref="I161:M161"/>
    <mergeCell ref="N161:R161"/>
    <mergeCell ref="S161:W161"/>
    <mergeCell ref="X161:AB161"/>
    <mergeCell ref="AC161:AG161"/>
    <mergeCell ref="AH161:AH162"/>
    <mergeCell ref="AI161:AI162"/>
    <mergeCell ref="AK152:AL152"/>
    <mergeCell ref="AO152:AP152"/>
    <mergeCell ref="AQ152:AR152"/>
    <mergeCell ref="AU152:AV152"/>
    <mergeCell ref="AW152:AX152"/>
    <mergeCell ref="BA152:BB152"/>
    <mergeCell ref="BC152:BD152"/>
    <mergeCell ref="BG152:BH152"/>
    <mergeCell ref="BI152:BJ152"/>
    <mergeCell ref="AK151:AL151"/>
    <mergeCell ref="AO151:AP151"/>
    <mergeCell ref="AQ151:AR151"/>
    <mergeCell ref="AU151:AV151"/>
    <mergeCell ref="AW151:AX151"/>
    <mergeCell ref="BA151:BB151"/>
    <mergeCell ref="BC151:BD151"/>
    <mergeCell ref="BG151:BH151"/>
    <mergeCell ref="BI151:BJ151"/>
    <mergeCell ref="A144:B144"/>
    <mergeCell ref="G144:H144"/>
    <mergeCell ref="J144:K147"/>
    <mergeCell ref="M144:N147"/>
    <mergeCell ref="P144:Q147"/>
    <mergeCell ref="S144:S145"/>
    <mergeCell ref="V144:V145"/>
    <mergeCell ref="W144:W145"/>
    <mergeCell ref="AA147:AC147"/>
    <mergeCell ref="AH138:AL138"/>
    <mergeCell ref="AN138:AR138"/>
    <mergeCell ref="AT138:AX138"/>
    <mergeCell ref="AZ138:BD138"/>
    <mergeCell ref="BF138:BJ138"/>
    <mergeCell ref="AH139:AL139"/>
    <mergeCell ref="AN139:AR139"/>
    <mergeCell ref="AT139:AX139"/>
    <mergeCell ref="AZ139:BD139"/>
    <mergeCell ref="BF139:BJ139"/>
    <mergeCell ref="BG131:BH131"/>
    <mergeCell ref="BI131:BJ131"/>
    <mergeCell ref="AH137:AI137"/>
    <mergeCell ref="AJ137:AL137"/>
    <mergeCell ref="AN137:AO137"/>
    <mergeCell ref="AP137:AR137"/>
    <mergeCell ref="AT137:AU137"/>
    <mergeCell ref="AV137:AX137"/>
    <mergeCell ref="AZ137:BA137"/>
    <mergeCell ref="BB137:BD137"/>
    <mergeCell ref="BF137:BG137"/>
    <mergeCell ref="BH137:BJ137"/>
    <mergeCell ref="AO130:AP130"/>
    <mergeCell ref="AQ130:AR130"/>
    <mergeCell ref="AU130:AV130"/>
    <mergeCell ref="AW130:AX130"/>
    <mergeCell ref="BA130:BB130"/>
    <mergeCell ref="BC130:BD130"/>
    <mergeCell ref="BG130:BH130"/>
    <mergeCell ref="BI130:BJ130"/>
    <mergeCell ref="A131:A132"/>
    <mergeCell ref="B131:F131"/>
    <mergeCell ref="L131:P131"/>
    <mergeCell ref="Q131:U131"/>
    <mergeCell ref="V131:Z131"/>
    <mergeCell ref="AA131:AE131"/>
    <mergeCell ref="AF131:AF132"/>
    <mergeCell ref="AG131:AG132"/>
    <mergeCell ref="AI131:AJ131"/>
    <mergeCell ref="AK131:AL131"/>
    <mergeCell ref="AO131:AP131"/>
    <mergeCell ref="AQ131:AR131"/>
    <mergeCell ref="AU131:AV131"/>
    <mergeCell ref="AW131:AX131"/>
    <mergeCell ref="BA131:BB131"/>
    <mergeCell ref="BC131:BD131"/>
    <mergeCell ref="AN117:AR117"/>
    <mergeCell ref="AT117:AX117"/>
    <mergeCell ref="AZ117:BD117"/>
    <mergeCell ref="BF117:BJ117"/>
    <mergeCell ref="AH118:AL118"/>
    <mergeCell ref="AN118:AR118"/>
    <mergeCell ref="AT118:AX118"/>
    <mergeCell ref="AZ118:BD118"/>
    <mergeCell ref="BF118:BJ118"/>
    <mergeCell ref="AJ116:AL116"/>
    <mergeCell ref="AN116:AO116"/>
    <mergeCell ref="AP116:AR116"/>
    <mergeCell ref="AT116:AU116"/>
    <mergeCell ref="AV116:AX116"/>
    <mergeCell ref="AZ116:BA116"/>
    <mergeCell ref="BB116:BD116"/>
    <mergeCell ref="BF116:BG116"/>
    <mergeCell ref="BH116:BJ116"/>
    <mergeCell ref="D144:E144"/>
    <mergeCell ref="A116:AG116"/>
    <mergeCell ref="A114:C114"/>
    <mergeCell ref="D114:G114"/>
    <mergeCell ref="G131:K131"/>
    <mergeCell ref="A117:A118"/>
    <mergeCell ref="B117:F117"/>
    <mergeCell ref="G117:K117"/>
    <mergeCell ref="L117:P117"/>
    <mergeCell ref="Q117:U117"/>
    <mergeCell ref="A130:AG130"/>
    <mergeCell ref="T144:U144"/>
    <mergeCell ref="AD147:AF147"/>
    <mergeCell ref="AA148:AC148"/>
    <mergeCell ref="AD148:AF148"/>
    <mergeCell ref="AA149:AC149"/>
    <mergeCell ref="AD149:AF149"/>
    <mergeCell ref="AH116:AI116"/>
    <mergeCell ref="V117:Z117"/>
    <mergeCell ref="AA117:AE117"/>
    <mergeCell ref="AF117:AF118"/>
    <mergeCell ref="AG117:AG118"/>
    <mergeCell ref="AH117:AL117"/>
    <mergeCell ref="AI130:AJ130"/>
    <mergeCell ref="AK130:AL130"/>
    <mergeCell ref="AI151:AJ151"/>
    <mergeCell ref="AI152:AJ152"/>
    <mergeCell ref="AH158:AJ158"/>
  </mergeCells>
  <pageMargins left="0" right="0" top="0" bottom="0" header="0.2" footer="0.2"/>
  <pageSetup paperSize="9" scale="85" orientation="landscape" verticalDpi="300" r:id="rId1"/>
  <headerFooter>
    <oddFooter>&amp;LPRINTED ON &amp;D AT &amp;T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Y189"/>
  <sheetViews>
    <sheetView showZeros="0" zoomScaleNormal="100" workbookViewId="0">
      <selection sqref="A1:XFD1048576"/>
    </sheetView>
  </sheetViews>
  <sheetFormatPr defaultColWidth="9.140625" defaultRowHeight="15" x14ac:dyDescent="0.25"/>
  <cols>
    <col min="1" max="1" width="6.28515625" style="28" customWidth="1"/>
    <col min="2" max="2" width="5.85546875" style="28" customWidth="1"/>
    <col min="3" max="3" width="4.42578125" style="28" customWidth="1"/>
    <col min="4" max="4" width="6.28515625" style="28" customWidth="1"/>
    <col min="5" max="5" width="5.85546875" style="28" customWidth="1"/>
    <col min="6" max="6" width="4.42578125" style="28" customWidth="1"/>
    <col min="7" max="7" width="6.28515625" style="28" customWidth="1"/>
    <col min="8" max="8" width="5.85546875" style="28" customWidth="1"/>
    <col min="9" max="9" width="4.42578125" style="28" customWidth="1"/>
    <col min="10" max="10" width="6.28515625" style="28" customWidth="1"/>
    <col min="11" max="12" width="4.42578125" style="28" customWidth="1"/>
    <col min="13" max="13" width="6.28515625" style="28" customWidth="1"/>
    <col min="14" max="15" width="4.42578125" style="28" customWidth="1"/>
    <col min="16" max="16" width="6.28515625" style="28" customWidth="1"/>
    <col min="17" max="18" width="4.42578125" style="28" customWidth="1"/>
    <col min="19" max="19" width="6.28515625" style="28" customWidth="1"/>
    <col min="20" max="21" width="4.7109375" style="28" customWidth="1"/>
    <col min="22" max="22" width="6.28515625" style="28" customWidth="1"/>
    <col min="23" max="23" width="5.42578125" style="28" customWidth="1"/>
    <col min="24" max="31" width="4.42578125" style="28" customWidth="1"/>
    <col min="32" max="33" width="6.28515625" style="28" customWidth="1"/>
    <col min="34" max="62" width="5.85546875" style="28" customWidth="1"/>
    <col min="63" max="63" width="5.140625" style="28" bestFit="1" customWidth="1"/>
    <col min="64" max="64" width="5.7109375" style="28" bestFit="1" customWidth="1"/>
    <col min="65" max="65" width="5" style="28" bestFit="1" customWidth="1"/>
    <col min="66" max="67" width="4.140625" style="28" bestFit="1" customWidth="1"/>
    <col min="68" max="68" width="4.28515625" style="28" bestFit="1" customWidth="1"/>
    <col min="69" max="69" width="5.140625" style="28" bestFit="1" customWidth="1"/>
    <col min="70" max="70" width="7.42578125" style="28" bestFit="1" customWidth="1"/>
    <col min="71" max="71" width="12.5703125" style="28" bestFit="1" customWidth="1"/>
    <col min="72" max="72" width="6.140625" style="28" bestFit="1" customWidth="1"/>
    <col min="73" max="16384" width="9.140625" style="28"/>
  </cols>
  <sheetData>
    <row r="1" spans="1:77" ht="16.5" customHeight="1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15</v>
      </c>
      <c r="J1" s="24" t="s">
        <v>133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133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133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12</v>
      </c>
      <c r="AB1" s="24" t="s">
        <v>133</v>
      </c>
      <c r="AC1" s="24" t="s">
        <v>8</v>
      </c>
      <c r="AD1" s="24" t="s">
        <v>9</v>
      </c>
      <c r="AE1" s="24" t="s">
        <v>10</v>
      </c>
      <c r="AF1" s="24" t="s">
        <v>11</v>
      </c>
      <c r="AG1" s="24" t="s">
        <v>12</v>
      </c>
      <c r="AH1" s="24" t="s">
        <v>133</v>
      </c>
      <c r="AI1" s="24" t="s">
        <v>8</v>
      </c>
      <c r="AJ1" s="24" t="s">
        <v>9</v>
      </c>
      <c r="AK1" s="24" t="s">
        <v>10</v>
      </c>
      <c r="AL1" s="24" t="s">
        <v>11</v>
      </c>
      <c r="AM1" s="24" t="s">
        <v>12</v>
      </c>
      <c r="AN1" s="24" t="s">
        <v>133</v>
      </c>
      <c r="AO1" s="24" t="s">
        <v>8</v>
      </c>
      <c r="AP1" s="24" t="s">
        <v>9</v>
      </c>
      <c r="AQ1" s="24" t="s">
        <v>10</v>
      </c>
      <c r="AR1" s="24" t="s">
        <v>11</v>
      </c>
      <c r="AS1" s="24" t="s">
        <v>12</v>
      </c>
      <c r="AT1" s="24" t="s">
        <v>133</v>
      </c>
      <c r="AU1" s="24" t="s">
        <v>8</v>
      </c>
      <c r="AV1" s="24" t="s">
        <v>9</v>
      </c>
      <c r="AW1" s="24" t="s">
        <v>10</v>
      </c>
      <c r="AX1" s="24" t="s">
        <v>11</v>
      </c>
      <c r="AY1" s="24" t="s">
        <v>12</v>
      </c>
      <c r="AZ1" s="24" t="s">
        <v>133</v>
      </c>
      <c r="BA1" s="24" t="s">
        <v>8</v>
      </c>
      <c r="BB1" s="24" t="s">
        <v>9</v>
      </c>
      <c r="BC1" s="24" t="s">
        <v>10</v>
      </c>
      <c r="BD1" s="24" t="s">
        <v>11</v>
      </c>
      <c r="BE1" s="24" t="s">
        <v>12</v>
      </c>
      <c r="BF1" s="24" t="s">
        <v>133</v>
      </c>
      <c r="BG1" s="24" t="s">
        <v>8</v>
      </c>
      <c r="BH1" s="24" t="s">
        <v>9</v>
      </c>
      <c r="BI1" s="24" t="s">
        <v>10</v>
      </c>
      <c r="BJ1" s="24" t="s">
        <v>11</v>
      </c>
      <c r="BK1" s="24" t="s">
        <v>12</v>
      </c>
      <c r="BL1" s="24" t="s">
        <v>133</v>
      </c>
      <c r="BM1" s="24" t="s">
        <v>8</v>
      </c>
      <c r="BN1" s="24" t="s">
        <v>9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36</v>
      </c>
      <c r="BU1" s="26"/>
      <c r="BV1" s="27"/>
      <c r="BW1" s="27"/>
      <c r="BX1" s="27"/>
      <c r="BY1" s="27"/>
    </row>
    <row r="2" spans="1:77" s="56" customFormat="1" ht="78" thickBot="1" x14ac:dyDescent="0.3">
      <c r="A2" s="188">
        <v>21420</v>
      </c>
      <c r="B2" s="189">
        <v>46031</v>
      </c>
      <c r="C2" s="41" t="s">
        <v>239</v>
      </c>
      <c r="D2" s="41" t="s">
        <v>90</v>
      </c>
      <c r="E2" s="41" t="s">
        <v>42</v>
      </c>
      <c r="F2" s="41" t="s">
        <v>121</v>
      </c>
      <c r="G2" s="41" t="s">
        <v>122</v>
      </c>
      <c r="H2" s="41" t="s">
        <v>123</v>
      </c>
      <c r="I2" s="41"/>
      <c r="J2" s="41" t="s">
        <v>134</v>
      </c>
      <c r="K2" s="188">
        <v>1500</v>
      </c>
      <c r="L2" s="188">
        <v>8</v>
      </c>
      <c r="M2" s="41" t="s">
        <v>17</v>
      </c>
      <c r="N2" s="41" t="s">
        <v>22</v>
      </c>
      <c r="O2" s="188">
        <v>3.5</v>
      </c>
      <c r="P2" s="41" t="s">
        <v>134</v>
      </c>
      <c r="Q2" s="188">
        <v>1000</v>
      </c>
      <c r="R2" s="188">
        <v>10</v>
      </c>
      <c r="S2" s="41" t="s">
        <v>17</v>
      </c>
      <c r="T2" s="41" t="s">
        <v>22</v>
      </c>
      <c r="U2" s="188">
        <v>3.5</v>
      </c>
      <c r="V2" s="41" t="s">
        <v>134</v>
      </c>
      <c r="W2" s="188">
        <v>750</v>
      </c>
      <c r="X2" s="188">
        <v>10</v>
      </c>
      <c r="Y2" s="41" t="s">
        <v>17</v>
      </c>
      <c r="Z2" s="41" t="s">
        <v>22</v>
      </c>
      <c r="AA2" s="188">
        <v>3.5</v>
      </c>
      <c r="AB2" s="41" t="s">
        <v>134</v>
      </c>
      <c r="AC2" s="188">
        <v>500</v>
      </c>
      <c r="AD2" s="188">
        <v>20</v>
      </c>
      <c r="AE2" s="41" t="s">
        <v>17</v>
      </c>
      <c r="AF2" s="41" t="s">
        <v>22</v>
      </c>
      <c r="AG2" s="188">
        <v>3.5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 t="s">
        <v>91</v>
      </c>
      <c r="BS2" s="41" t="s">
        <v>253</v>
      </c>
      <c r="BT2" s="108">
        <f t="shared" ref="BT2" si="0">K2*L2+Q2*R2+W2*X2+AC2*AD2+AI2*AJ2+AO2*AP2+AU2*AV2+BA2*BB2+BG2*BH2+BM2*BN2</f>
        <v>39500</v>
      </c>
    </row>
    <row r="3" spans="1:77" s="56" customFormat="1" ht="15.75" thickBot="1" x14ac:dyDescent="0.3">
      <c r="A3" s="80"/>
      <c r="B3" s="49"/>
      <c r="C3" s="20"/>
      <c r="D3" s="20"/>
      <c r="E3" s="20"/>
      <c r="F3" s="20"/>
      <c r="G3" s="20"/>
      <c r="H3" s="20"/>
      <c r="I3" s="20"/>
      <c r="J3" s="48"/>
      <c r="K3" s="48"/>
      <c r="L3" s="48"/>
      <c r="M3" s="20"/>
      <c r="N3" s="20"/>
      <c r="O3" s="48"/>
      <c r="P3" s="48"/>
      <c r="Q3" s="48"/>
      <c r="R3" s="48"/>
      <c r="S3" s="20"/>
      <c r="T3" s="20"/>
      <c r="U3" s="48"/>
      <c r="V3" s="48"/>
      <c r="W3" s="48"/>
      <c r="X3" s="48"/>
      <c r="Y3" s="48"/>
      <c r="Z3" s="20"/>
      <c r="AA3" s="48"/>
      <c r="AB3" s="48"/>
      <c r="AC3" s="48"/>
      <c r="AD3" s="48"/>
      <c r="AE3" s="20"/>
      <c r="AF3" s="20"/>
      <c r="AG3" s="48"/>
      <c r="AH3" s="48"/>
      <c r="AI3" s="48"/>
      <c r="AJ3" s="48"/>
      <c r="AK3" s="20"/>
      <c r="AL3" s="20"/>
      <c r="AM3" s="48"/>
      <c r="AN3" s="48"/>
      <c r="AO3" s="48"/>
      <c r="AP3" s="48"/>
      <c r="AQ3" s="20"/>
      <c r="AR3" s="20"/>
      <c r="AS3" s="48"/>
      <c r="AT3" s="48"/>
      <c r="AU3" s="48"/>
      <c r="AV3" s="48"/>
      <c r="AW3" s="20"/>
      <c r="AX3" s="20"/>
      <c r="AY3" s="48"/>
      <c r="AZ3" s="48"/>
      <c r="BA3" s="48"/>
      <c r="BB3" s="48"/>
      <c r="BC3" s="20"/>
      <c r="BD3" s="20"/>
      <c r="BE3" s="48"/>
      <c r="BF3" s="48"/>
      <c r="BG3" s="48"/>
      <c r="BH3" s="48"/>
      <c r="BI3" s="20"/>
      <c r="BJ3" s="20"/>
      <c r="BK3" s="48"/>
      <c r="BL3" s="48"/>
      <c r="BM3" s="48"/>
      <c r="BN3" s="48"/>
      <c r="BO3" s="20"/>
      <c r="BP3" s="20"/>
      <c r="BQ3" s="48"/>
      <c r="BR3" s="20"/>
      <c r="BS3" s="20"/>
      <c r="BT3" s="55"/>
      <c r="BU3" s="20"/>
      <c r="BV3" s="20"/>
      <c r="BW3" s="20"/>
      <c r="BX3" s="20"/>
      <c r="BY3" s="20"/>
    </row>
    <row r="4" spans="1:77" s="56" customFormat="1" ht="15.75" thickBot="1" x14ac:dyDescent="0.3">
      <c r="A4" s="80"/>
      <c r="B4" s="49"/>
      <c r="C4" s="20"/>
      <c r="D4" s="20"/>
      <c r="E4" s="20"/>
      <c r="F4" s="20"/>
      <c r="G4" s="20"/>
      <c r="H4" s="20"/>
      <c r="I4" s="20"/>
      <c r="J4" s="48"/>
      <c r="K4" s="48"/>
      <c r="L4" s="48"/>
      <c r="M4" s="20"/>
      <c r="N4" s="20"/>
      <c r="O4" s="48"/>
      <c r="P4" s="48"/>
      <c r="Q4" s="48"/>
      <c r="R4" s="48"/>
      <c r="S4" s="20"/>
      <c r="T4" s="20"/>
      <c r="U4" s="48"/>
      <c r="V4" s="48"/>
      <c r="W4" s="48"/>
      <c r="X4" s="48"/>
      <c r="Y4" s="48"/>
      <c r="Z4" s="20"/>
      <c r="AA4" s="48"/>
      <c r="AB4" s="48"/>
      <c r="AC4" s="48"/>
      <c r="AD4" s="48"/>
      <c r="AE4" s="20"/>
      <c r="AF4" s="20"/>
      <c r="AG4" s="48"/>
      <c r="AH4" s="48"/>
      <c r="AI4" s="48"/>
      <c r="AJ4" s="48"/>
      <c r="AK4" s="20"/>
      <c r="AL4" s="20"/>
      <c r="AM4" s="48"/>
      <c r="AN4" s="48"/>
      <c r="AO4" s="48"/>
      <c r="AP4" s="48"/>
      <c r="AQ4" s="20"/>
      <c r="AR4" s="20"/>
      <c r="AS4" s="48"/>
      <c r="AT4" s="48"/>
      <c r="AU4" s="48"/>
      <c r="AV4" s="48"/>
      <c r="AW4" s="20"/>
      <c r="AX4" s="20"/>
      <c r="AY4" s="48"/>
      <c r="AZ4" s="48"/>
      <c r="BA4" s="48"/>
      <c r="BB4" s="48"/>
      <c r="BC4" s="20"/>
      <c r="BD4" s="20"/>
      <c r="BE4" s="48"/>
      <c r="BF4" s="48"/>
      <c r="BG4" s="48"/>
      <c r="BH4" s="48"/>
      <c r="BI4" s="20"/>
      <c r="BJ4" s="20"/>
      <c r="BK4" s="48"/>
      <c r="BL4" s="48"/>
      <c r="BM4" s="48"/>
      <c r="BN4" s="48"/>
      <c r="BO4" s="20"/>
      <c r="BP4" s="20"/>
      <c r="BQ4" s="48"/>
      <c r="BR4" s="20"/>
      <c r="BS4" s="20"/>
      <c r="BT4" s="55"/>
      <c r="BU4" s="20"/>
      <c r="BV4" s="20"/>
      <c r="BW4" s="20"/>
      <c r="BX4" s="20"/>
      <c r="BY4" s="20"/>
    </row>
    <row r="5" spans="1:77" s="56" customFormat="1" ht="15.75" thickBot="1" x14ac:dyDescent="0.3">
      <c r="A5" s="80"/>
      <c r="B5" s="49"/>
      <c r="C5" s="20"/>
      <c r="D5" s="20"/>
      <c r="E5" s="20"/>
      <c r="F5" s="20"/>
      <c r="G5" s="20"/>
      <c r="H5" s="20"/>
      <c r="I5" s="20"/>
      <c r="J5" s="48"/>
      <c r="K5" s="48"/>
      <c r="L5" s="48"/>
      <c r="M5" s="20"/>
      <c r="N5" s="20"/>
      <c r="O5" s="48"/>
      <c r="P5" s="48"/>
      <c r="Q5" s="48"/>
      <c r="R5" s="48"/>
      <c r="S5" s="20"/>
      <c r="T5" s="20"/>
      <c r="U5" s="48"/>
      <c r="V5" s="48"/>
      <c r="W5" s="48"/>
      <c r="X5" s="48"/>
      <c r="Y5" s="48"/>
      <c r="Z5" s="20"/>
      <c r="AA5" s="48"/>
      <c r="AB5" s="48"/>
      <c r="AC5" s="48"/>
      <c r="AD5" s="48"/>
      <c r="AE5" s="20"/>
      <c r="AF5" s="20"/>
      <c r="AG5" s="48"/>
      <c r="AH5" s="48"/>
      <c r="AI5" s="48"/>
      <c r="AJ5" s="48"/>
      <c r="AK5" s="20"/>
      <c r="AL5" s="20"/>
      <c r="AM5" s="48"/>
      <c r="AN5" s="48"/>
      <c r="AO5" s="48"/>
      <c r="AP5" s="48"/>
      <c r="AQ5" s="20"/>
      <c r="AR5" s="20"/>
      <c r="AS5" s="48"/>
      <c r="AT5" s="48"/>
      <c r="AU5" s="48"/>
      <c r="AV5" s="48"/>
      <c r="AW5" s="20"/>
      <c r="AX5" s="20"/>
      <c r="AY5" s="48"/>
      <c r="AZ5" s="48"/>
      <c r="BA5" s="48"/>
      <c r="BB5" s="48"/>
      <c r="BC5" s="20"/>
      <c r="BD5" s="20"/>
      <c r="BE5" s="48"/>
      <c r="BF5" s="48"/>
      <c r="BG5" s="48"/>
      <c r="BH5" s="48"/>
      <c r="BI5" s="20"/>
      <c r="BJ5" s="20"/>
      <c r="BK5" s="48"/>
      <c r="BL5" s="48"/>
      <c r="BM5" s="48"/>
      <c r="BN5" s="48"/>
      <c r="BO5" s="20"/>
      <c r="BP5" s="20"/>
      <c r="BQ5" s="48"/>
      <c r="BR5" s="20"/>
      <c r="BS5" s="20"/>
      <c r="BT5" s="55"/>
      <c r="BU5" s="20"/>
      <c r="BV5" s="20"/>
      <c r="BW5" s="20"/>
      <c r="BX5" s="20"/>
      <c r="BY5" s="20"/>
    </row>
    <row r="6" spans="1:77" s="56" customFormat="1" ht="15.75" thickBot="1" x14ac:dyDescent="0.3">
      <c r="A6" s="80"/>
      <c r="B6" s="49"/>
      <c r="C6" s="20"/>
      <c r="D6" s="20"/>
      <c r="E6" s="20"/>
      <c r="F6" s="20"/>
      <c r="G6" s="20"/>
      <c r="H6" s="20"/>
      <c r="I6" s="20"/>
      <c r="J6" s="48"/>
      <c r="K6" s="48"/>
      <c r="L6" s="48"/>
      <c r="M6" s="20"/>
      <c r="N6" s="20"/>
      <c r="O6" s="48"/>
      <c r="P6" s="48"/>
      <c r="Q6" s="48"/>
      <c r="R6" s="48"/>
      <c r="S6" s="20"/>
      <c r="T6" s="20"/>
      <c r="U6" s="48"/>
      <c r="V6" s="48"/>
      <c r="W6" s="48"/>
      <c r="X6" s="48"/>
      <c r="Y6" s="48"/>
      <c r="Z6" s="20"/>
      <c r="AA6" s="48"/>
      <c r="AB6" s="48"/>
      <c r="AC6" s="48"/>
      <c r="AD6" s="48"/>
      <c r="AE6" s="20"/>
      <c r="AF6" s="20"/>
      <c r="AG6" s="48"/>
      <c r="AH6" s="48"/>
      <c r="AI6" s="48"/>
      <c r="AJ6" s="48"/>
      <c r="AK6" s="20"/>
      <c r="AL6" s="20"/>
      <c r="AM6" s="48"/>
      <c r="AN6" s="48"/>
      <c r="AO6" s="48"/>
      <c r="AP6" s="48"/>
      <c r="AQ6" s="20"/>
      <c r="AR6" s="20"/>
      <c r="AS6" s="48"/>
      <c r="AT6" s="48"/>
      <c r="AU6" s="48"/>
      <c r="AV6" s="48"/>
      <c r="AW6" s="20"/>
      <c r="AX6" s="20"/>
      <c r="AY6" s="48"/>
      <c r="AZ6" s="48"/>
      <c r="BA6" s="48"/>
      <c r="BB6" s="48"/>
      <c r="BC6" s="20"/>
      <c r="BD6" s="20"/>
      <c r="BE6" s="48"/>
      <c r="BF6" s="48"/>
      <c r="BG6" s="48"/>
      <c r="BH6" s="48"/>
      <c r="BI6" s="20"/>
      <c r="BJ6" s="20"/>
      <c r="BK6" s="48"/>
      <c r="BL6" s="48"/>
      <c r="BM6" s="48"/>
      <c r="BN6" s="48"/>
      <c r="BO6" s="20"/>
      <c r="BP6" s="20"/>
      <c r="BQ6" s="48"/>
      <c r="BR6" s="20"/>
      <c r="BS6" s="20"/>
      <c r="BT6" s="55"/>
      <c r="BU6" s="20"/>
      <c r="BV6" s="20"/>
      <c r="BW6" s="20"/>
      <c r="BX6" s="20"/>
      <c r="BY6" s="20"/>
    </row>
    <row r="7" spans="1:77" s="56" customFormat="1" ht="15.75" thickBot="1" x14ac:dyDescent="0.3">
      <c r="A7" s="80"/>
      <c r="B7" s="49"/>
      <c r="C7" s="20"/>
      <c r="D7" s="20"/>
      <c r="E7" s="20"/>
      <c r="F7" s="20"/>
      <c r="G7" s="20"/>
      <c r="H7" s="20"/>
      <c r="I7" s="20"/>
      <c r="J7" s="48"/>
      <c r="K7" s="48"/>
      <c r="L7" s="48"/>
      <c r="M7" s="20"/>
      <c r="N7" s="20"/>
      <c r="O7" s="48"/>
      <c r="P7" s="48"/>
      <c r="Q7" s="48"/>
      <c r="R7" s="48"/>
      <c r="S7" s="20"/>
      <c r="T7" s="20"/>
      <c r="U7" s="48"/>
      <c r="V7" s="48"/>
      <c r="W7" s="48"/>
      <c r="X7" s="48"/>
      <c r="Y7" s="48"/>
      <c r="Z7" s="20"/>
      <c r="AA7" s="48"/>
      <c r="AB7" s="48"/>
      <c r="AC7" s="48"/>
      <c r="AD7" s="48"/>
      <c r="AE7" s="20"/>
      <c r="AF7" s="20"/>
      <c r="AG7" s="48"/>
      <c r="AH7" s="48"/>
      <c r="AI7" s="48"/>
      <c r="AJ7" s="48"/>
      <c r="AK7" s="20"/>
      <c r="AL7" s="20"/>
      <c r="AM7" s="48"/>
      <c r="AN7" s="48"/>
      <c r="AO7" s="48"/>
      <c r="AP7" s="48"/>
      <c r="AQ7" s="20"/>
      <c r="AR7" s="20"/>
      <c r="AS7" s="48"/>
      <c r="AT7" s="48"/>
      <c r="AU7" s="48"/>
      <c r="AV7" s="48"/>
      <c r="AW7" s="20"/>
      <c r="AX7" s="20"/>
      <c r="AY7" s="48"/>
      <c r="AZ7" s="48"/>
      <c r="BA7" s="48"/>
      <c r="BB7" s="48"/>
      <c r="BC7" s="20"/>
      <c r="BD7" s="20"/>
      <c r="BE7" s="48"/>
      <c r="BF7" s="48"/>
      <c r="BG7" s="48"/>
      <c r="BH7" s="48"/>
      <c r="BI7" s="20"/>
      <c r="BJ7" s="20"/>
      <c r="BK7" s="48"/>
      <c r="BL7" s="48"/>
      <c r="BM7" s="48"/>
      <c r="BN7" s="48"/>
      <c r="BO7" s="20"/>
      <c r="BP7" s="20"/>
      <c r="BQ7" s="48"/>
      <c r="BR7" s="20"/>
      <c r="BS7" s="20"/>
      <c r="BT7" s="55"/>
      <c r="BU7" s="20"/>
      <c r="BV7" s="20"/>
      <c r="BW7" s="20"/>
      <c r="BX7" s="20"/>
      <c r="BY7" s="20"/>
    </row>
    <row r="8" spans="1:77" s="56" customFormat="1" ht="15.75" thickBot="1" x14ac:dyDescent="0.3">
      <c r="A8" s="80"/>
      <c r="B8" s="49"/>
      <c r="C8" s="20"/>
      <c r="D8" s="20"/>
      <c r="E8" s="20"/>
      <c r="F8" s="20"/>
      <c r="G8" s="20"/>
      <c r="H8" s="20"/>
      <c r="I8" s="20"/>
      <c r="J8" s="48"/>
      <c r="K8" s="48"/>
      <c r="L8" s="48"/>
      <c r="M8" s="20"/>
      <c r="N8" s="20"/>
      <c r="O8" s="48"/>
      <c r="P8" s="48"/>
      <c r="Q8" s="48"/>
      <c r="R8" s="48"/>
      <c r="S8" s="20"/>
      <c r="T8" s="20"/>
      <c r="U8" s="48"/>
      <c r="V8" s="48"/>
      <c r="W8" s="48"/>
      <c r="X8" s="48"/>
      <c r="Y8" s="48"/>
      <c r="Z8" s="20"/>
      <c r="AA8" s="48"/>
      <c r="AB8" s="48"/>
      <c r="AC8" s="48"/>
      <c r="AD8" s="48"/>
      <c r="AE8" s="20"/>
      <c r="AF8" s="20"/>
      <c r="AG8" s="48"/>
      <c r="AH8" s="48"/>
      <c r="AI8" s="48"/>
      <c r="AJ8" s="48"/>
      <c r="AK8" s="20"/>
      <c r="AL8" s="20"/>
      <c r="AM8" s="48"/>
      <c r="AN8" s="48"/>
      <c r="AO8" s="48"/>
      <c r="AP8" s="48"/>
      <c r="AQ8" s="20"/>
      <c r="AR8" s="20"/>
      <c r="AS8" s="48"/>
      <c r="AT8" s="48"/>
      <c r="AU8" s="48"/>
      <c r="AV8" s="48"/>
      <c r="AW8" s="20"/>
      <c r="AX8" s="20"/>
      <c r="AY8" s="48"/>
      <c r="AZ8" s="48"/>
      <c r="BA8" s="48"/>
      <c r="BB8" s="48"/>
      <c r="BC8" s="20"/>
      <c r="BD8" s="20"/>
      <c r="BE8" s="48"/>
      <c r="BF8" s="48"/>
      <c r="BG8" s="48"/>
      <c r="BH8" s="48"/>
      <c r="BI8" s="20"/>
      <c r="BJ8" s="20"/>
      <c r="BK8" s="48"/>
      <c r="BL8" s="48"/>
      <c r="BM8" s="48"/>
      <c r="BN8" s="48"/>
      <c r="BO8" s="20"/>
      <c r="BP8" s="20"/>
      <c r="BQ8" s="48"/>
      <c r="BR8" s="20"/>
      <c r="BS8" s="20"/>
      <c r="BT8" s="55"/>
      <c r="BU8" s="20"/>
      <c r="BV8" s="20"/>
      <c r="BW8" s="20"/>
      <c r="BX8" s="20"/>
      <c r="BY8" s="20"/>
    </row>
    <row r="9" spans="1:77" s="56" customFormat="1" ht="15.75" thickBot="1" x14ac:dyDescent="0.3">
      <c r="A9" s="80"/>
      <c r="B9" s="49"/>
      <c r="C9" s="20"/>
      <c r="D9" s="20"/>
      <c r="E9" s="20"/>
      <c r="F9" s="20"/>
      <c r="G9" s="20"/>
      <c r="H9" s="20"/>
      <c r="I9" s="20"/>
      <c r="J9" s="48"/>
      <c r="K9" s="48"/>
      <c r="L9" s="48"/>
      <c r="M9" s="20"/>
      <c r="N9" s="20"/>
      <c r="O9" s="48"/>
      <c r="P9" s="48"/>
      <c r="Q9" s="48"/>
      <c r="R9" s="48"/>
      <c r="S9" s="20"/>
      <c r="T9" s="20"/>
      <c r="U9" s="48"/>
      <c r="V9" s="48"/>
      <c r="W9" s="48"/>
      <c r="X9" s="48"/>
      <c r="Y9" s="48"/>
      <c r="Z9" s="20"/>
      <c r="AA9" s="48"/>
      <c r="AB9" s="48"/>
      <c r="AC9" s="48"/>
      <c r="AD9" s="48"/>
      <c r="AE9" s="20"/>
      <c r="AF9" s="20"/>
      <c r="AG9" s="48"/>
      <c r="AH9" s="48"/>
      <c r="AI9" s="48"/>
      <c r="AJ9" s="48"/>
      <c r="AK9" s="20"/>
      <c r="AL9" s="20"/>
      <c r="AM9" s="48"/>
      <c r="AN9" s="48"/>
      <c r="AO9" s="48"/>
      <c r="AP9" s="48"/>
      <c r="AQ9" s="20"/>
      <c r="AR9" s="20"/>
      <c r="AS9" s="48"/>
      <c r="AT9" s="48"/>
      <c r="AU9" s="48"/>
      <c r="AV9" s="48"/>
      <c r="AW9" s="20"/>
      <c r="AX9" s="20"/>
      <c r="AY9" s="48"/>
      <c r="AZ9" s="48"/>
      <c r="BA9" s="48"/>
      <c r="BB9" s="48"/>
      <c r="BC9" s="20"/>
      <c r="BD9" s="20"/>
      <c r="BE9" s="48"/>
      <c r="BF9" s="48"/>
      <c r="BG9" s="48"/>
      <c r="BH9" s="48"/>
      <c r="BI9" s="20"/>
      <c r="BJ9" s="20"/>
      <c r="BK9" s="48"/>
      <c r="BL9" s="48"/>
      <c r="BM9" s="48"/>
      <c r="BN9" s="48"/>
      <c r="BO9" s="20"/>
      <c r="BP9" s="20"/>
      <c r="BQ9" s="48"/>
      <c r="BR9" s="20"/>
      <c r="BS9" s="20"/>
      <c r="BT9" s="55"/>
      <c r="BU9" s="20"/>
      <c r="BV9" s="20"/>
      <c r="BW9" s="20"/>
      <c r="BX9" s="20"/>
      <c r="BY9" s="20"/>
    </row>
    <row r="10" spans="1:77" s="56" customFormat="1" ht="15.75" thickBot="1" x14ac:dyDescent="0.3">
      <c r="A10" s="80"/>
      <c r="B10" s="49"/>
      <c r="C10" s="20"/>
      <c r="D10" s="20"/>
      <c r="E10" s="20"/>
      <c r="F10" s="20"/>
      <c r="G10" s="20"/>
      <c r="H10" s="20"/>
      <c r="I10" s="20"/>
      <c r="J10" s="48"/>
      <c r="K10" s="48"/>
      <c r="L10" s="48"/>
      <c r="M10" s="20"/>
      <c r="N10" s="20"/>
      <c r="O10" s="48"/>
      <c r="P10" s="48"/>
      <c r="Q10" s="48"/>
      <c r="R10" s="48"/>
      <c r="S10" s="20"/>
      <c r="T10" s="20"/>
      <c r="U10" s="48"/>
      <c r="V10" s="48"/>
      <c r="W10" s="48"/>
      <c r="X10" s="48"/>
      <c r="Y10" s="48"/>
      <c r="Z10" s="20"/>
      <c r="AA10" s="48"/>
      <c r="AB10" s="48"/>
      <c r="AC10" s="48"/>
      <c r="AD10" s="48"/>
      <c r="AE10" s="20"/>
      <c r="AF10" s="20"/>
      <c r="AG10" s="48"/>
      <c r="AH10" s="48"/>
      <c r="AI10" s="48"/>
      <c r="AJ10" s="48"/>
      <c r="AK10" s="20"/>
      <c r="AL10" s="20"/>
      <c r="AM10" s="48"/>
      <c r="AN10" s="48"/>
      <c r="AO10" s="48"/>
      <c r="AP10" s="48"/>
      <c r="AQ10" s="20"/>
      <c r="AR10" s="20"/>
      <c r="AS10" s="48"/>
      <c r="AT10" s="48"/>
      <c r="AU10" s="48"/>
      <c r="AV10" s="48"/>
      <c r="AW10" s="20"/>
      <c r="AX10" s="20"/>
      <c r="AY10" s="48"/>
      <c r="AZ10" s="48"/>
      <c r="BA10" s="48"/>
      <c r="BB10" s="48"/>
      <c r="BC10" s="20"/>
      <c r="BD10" s="20"/>
      <c r="BE10" s="48"/>
      <c r="BF10" s="48"/>
      <c r="BG10" s="48"/>
      <c r="BH10" s="48"/>
      <c r="BI10" s="20"/>
      <c r="BJ10" s="20"/>
      <c r="BK10" s="48"/>
      <c r="BL10" s="48"/>
      <c r="BM10" s="48"/>
      <c r="BN10" s="48"/>
      <c r="BO10" s="20"/>
      <c r="BP10" s="20"/>
      <c r="BQ10" s="48"/>
      <c r="BR10" s="20"/>
      <c r="BS10" s="20"/>
      <c r="BT10" s="55"/>
      <c r="BU10" s="20"/>
      <c r="BV10" s="20"/>
      <c r="BW10" s="20"/>
      <c r="BX10" s="20"/>
      <c r="BY10" s="20"/>
    </row>
    <row r="11" spans="1:77" s="56" customFormat="1" ht="15.75" thickBot="1" x14ac:dyDescent="0.3">
      <c r="A11" s="80"/>
      <c r="B11" s="49"/>
      <c r="C11" s="20"/>
      <c r="D11" s="20"/>
      <c r="E11" s="20"/>
      <c r="F11" s="20"/>
      <c r="G11" s="20"/>
      <c r="H11" s="20"/>
      <c r="I11" s="20"/>
      <c r="J11" s="48"/>
      <c r="K11" s="48"/>
      <c r="L11" s="48"/>
      <c r="M11" s="20"/>
      <c r="N11" s="20"/>
      <c r="O11" s="48"/>
      <c r="P11" s="48"/>
      <c r="Q11" s="48"/>
      <c r="R11" s="48"/>
      <c r="S11" s="20"/>
      <c r="T11" s="20"/>
      <c r="U11" s="48"/>
      <c r="V11" s="48"/>
      <c r="W11" s="48"/>
      <c r="X11" s="48"/>
      <c r="Y11" s="48"/>
      <c r="Z11" s="20"/>
      <c r="AA11" s="48"/>
      <c r="AB11" s="48"/>
      <c r="AC11" s="48"/>
      <c r="AD11" s="48"/>
      <c r="AE11" s="20"/>
      <c r="AF11" s="20"/>
      <c r="AG11" s="48"/>
      <c r="AH11" s="48"/>
      <c r="AI11" s="48"/>
      <c r="AJ11" s="48"/>
      <c r="AK11" s="20"/>
      <c r="AL11" s="20"/>
      <c r="AM11" s="48"/>
      <c r="AN11" s="48"/>
      <c r="AO11" s="48"/>
      <c r="AP11" s="48"/>
      <c r="AQ11" s="20"/>
      <c r="AR11" s="20"/>
      <c r="AS11" s="48"/>
      <c r="AT11" s="48"/>
      <c r="AU11" s="48"/>
      <c r="AV11" s="48"/>
      <c r="AW11" s="20"/>
      <c r="AX11" s="20"/>
      <c r="AY11" s="48"/>
      <c r="AZ11" s="48"/>
      <c r="BA11" s="48"/>
      <c r="BB11" s="48"/>
      <c r="BC11" s="20"/>
      <c r="BD11" s="20"/>
      <c r="BE11" s="48"/>
      <c r="BF11" s="48"/>
      <c r="BG11" s="48"/>
      <c r="BH11" s="48"/>
      <c r="BI11" s="20"/>
      <c r="BJ11" s="20"/>
      <c r="BK11" s="48"/>
      <c r="BL11" s="48"/>
      <c r="BM11" s="48"/>
      <c r="BN11" s="48"/>
      <c r="BO11" s="20"/>
      <c r="BP11" s="20"/>
      <c r="BQ11" s="48"/>
      <c r="BR11" s="20"/>
      <c r="BS11" s="20"/>
      <c r="BT11" s="55"/>
      <c r="BU11" s="20"/>
      <c r="BV11" s="20"/>
      <c r="BW11" s="20"/>
      <c r="BX11" s="20"/>
      <c r="BY11" s="20"/>
    </row>
    <row r="12" spans="1:77" s="40" customFormat="1" ht="15.75" thickBot="1" x14ac:dyDescent="0.3">
      <c r="A12" s="75"/>
      <c r="B12" s="2"/>
      <c r="C12" s="1"/>
      <c r="D12" s="1"/>
      <c r="E12" s="1"/>
      <c r="F12" s="25"/>
      <c r="G12" s="1"/>
      <c r="H12" s="1"/>
      <c r="I12" s="1"/>
      <c r="J12" s="3"/>
      <c r="K12" s="3"/>
      <c r="L12" s="3"/>
      <c r="M12" s="1"/>
      <c r="N12" s="1"/>
      <c r="O12" s="3"/>
      <c r="P12" s="3"/>
      <c r="Q12" s="3"/>
      <c r="R12" s="3"/>
      <c r="S12" s="1"/>
      <c r="T12" s="1"/>
      <c r="U12" s="3"/>
      <c r="V12" s="3"/>
      <c r="W12" s="1"/>
      <c r="X12" s="1"/>
      <c r="Y12" s="1"/>
      <c r="Z12" s="1"/>
      <c r="AA12" s="1"/>
      <c r="AB12" s="3"/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3"/>
      <c r="AO12" s="1"/>
      <c r="AP12" s="1"/>
      <c r="AQ12" s="1"/>
      <c r="AR12" s="1"/>
      <c r="AS12" s="1"/>
      <c r="AT12" s="3"/>
      <c r="AU12" s="1"/>
      <c r="AV12" s="1"/>
      <c r="AW12" s="1"/>
      <c r="AX12" s="1"/>
      <c r="AY12" s="1"/>
      <c r="AZ12" s="3"/>
      <c r="BA12" s="1"/>
      <c r="BB12" s="1"/>
      <c r="BC12" s="1"/>
      <c r="BD12" s="1"/>
      <c r="BE12" s="1"/>
      <c r="BF12" s="3"/>
      <c r="BG12" s="1"/>
      <c r="BH12" s="1"/>
      <c r="BI12" s="1"/>
      <c r="BJ12" s="1"/>
      <c r="BK12" s="1"/>
      <c r="BL12" s="3"/>
      <c r="BM12" s="1"/>
      <c r="BN12" s="1"/>
      <c r="BO12" s="1"/>
      <c r="BP12" s="1"/>
      <c r="BQ12" s="1"/>
      <c r="BR12" s="19"/>
      <c r="BS12" s="1"/>
      <c r="BT12" s="37"/>
      <c r="BU12" s="1"/>
      <c r="BV12" s="1"/>
      <c r="BW12" s="1"/>
      <c r="BX12" s="1"/>
      <c r="BY12" s="39"/>
    </row>
    <row r="13" spans="1:77" s="40" customFormat="1" ht="15.75" thickBot="1" x14ac:dyDescent="0.3">
      <c r="A13" s="48"/>
      <c r="B13" s="49"/>
      <c r="C13" s="20"/>
      <c r="D13" s="20"/>
      <c r="E13" s="20"/>
      <c r="F13" s="20"/>
      <c r="G13" s="20"/>
      <c r="H13" s="20"/>
      <c r="I13" s="20"/>
      <c r="J13" s="48"/>
      <c r="K13" s="48"/>
      <c r="L13" s="48"/>
      <c r="M13" s="20"/>
      <c r="N13" s="20"/>
      <c r="O13" s="48"/>
      <c r="P13" s="48"/>
      <c r="Q13" s="20"/>
      <c r="R13" s="20"/>
      <c r="S13" s="20"/>
      <c r="T13" s="20"/>
      <c r="U13" s="20"/>
      <c r="V13" s="48"/>
      <c r="W13" s="20"/>
      <c r="X13" s="20"/>
      <c r="Y13" s="20"/>
      <c r="Z13" s="20"/>
      <c r="AA13" s="20"/>
      <c r="AB13" s="48"/>
      <c r="AC13" s="20"/>
      <c r="AD13" s="20"/>
      <c r="AE13" s="20"/>
      <c r="AF13" s="20"/>
      <c r="AG13" s="20"/>
      <c r="AH13" s="48"/>
      <c r="AI13" s="20"/>
      <c r="AJ13" s="20"/>
      <c r="AK13" s="20"/>
      <c r="AL13" s="20"/>
      <c r="AM13" s="20"/>
      <c r="AN13" s="48"/>
      <c r="AO13" s="20"/>
      <c r="AP13" s="20"/>
      <c r="AQ13" s="20"/>
      <c r="AR13" s="20"/>
      <c r="AS13" s="20"/>
      <c r="AT13" s="48"/>
      <c r="AU13" s="20"/>
      <c r="AV13" s="20"/>
      <c r="AW13" s="20"/>
      <c r="AX13" s="20"/>
      <c r="AY13" s="20"/>
      <c r="AZ13" s="48"/>
      <c r="BA13" s="20"/>
      <c r="BB13" s="20"/>
      <c r="BC13" s="20"/>
      <c r="BD13" s="20"/>
      <c r="BE13" s="20"/>
      <c r="BF13" s="48"/>
      <c r="BG13" s="20"/>
      <c r="BH13" s="20"/>
      <c r="BI13" s="20"/>
      <c r="BJ13" s="20"/>
      <c r="BK13" s="20"/>
      <c r="BL13" s="48"/>
      <c r="BM13" s="20"/>
      <c r="BN13" s="20"/>
      <c r="BO13" s="20"/>
      <c r="BP13" s="20"/>
      <c r="BQ13" s="20"/>
      <c r="BR13" s="20"/>
      <c r="BS13" s="20"/>
      <c r="BT13" s="50"/>
      <c r="BU13" s="20"/>
      <c r="BV13" s="20"/>
      <c r="BW13" s="20"/>
      <c r="BX13" s="20"/>
      <c r="BY13" s="39"/>
    </row>
    <row r="14" spans="1:77" hidden="1" x14ac:dyDescent="0.25">
      <c r="H14" s="4" t="str">
        <f t="shared" ref="H14:L23" si="1">J2</f>
        <v>AG</v>
      </c>
      <c r="I14" s="4">
        <f t="shared" si="1"/>
        <v>1500</v>
      </c>
      <c r="J14" s="4">
        <f t="shared" si="1"/>
        <v>8</v>
      </c>
      <c r="K14" s="4" t="str">
        <f t="shared" si="1"/>
        <v>Y</v>
      </c>
      <c r="L14" s="4" t="str">
        <f t="shared" si="1"/>
        <v>3L</v>
      </c>
      <c r="O14" s="28" t="str">
        <f>J2</f>
        <v>AG</v>
      </c>
      <c r="P14" s="4" t="str">
        <f t="shared" ref="P14:R23" si="2">N2</f>
        <v>3L</v>
      </c>
      <c r="Q14" s="4">
        <f t="shared" si="2"/>
        <v>3.5</v>
      </c>
      <c r="R14" s="4" t="str">
        <f t="shared" si="2"/>
        <v>AG</v>
      </c>
      <c r="S14" s="4" t="str">
        <f t="shared" ref="S14:U23" si="3">T2</f>
        <v>3L</v>
      </c>
      <c r="T14" s="4">
        <f t="shared" si="3"/>
        <v>3.5</v>
      </c>
      <c r="U14" s="4" t="str">
        <f t="shared" si="3"/>
        <v>AG</v>
      </c>
      <c r="V14" s="4" t="str">
        <f t="shared" ref="V14:X23" si="4">Z2</f>
        <v>3L</v>
      </c>
      <c r="W14" s="4">
        <f t="shared" si="4"/>
        <v>3.5</v>
      </c>
      <c r="X14" s="4" t="str">
        <f t="shared" si="4"/>
        <v>AG</v>
      </c>
      <c r="Y14" s="4" t="str">
        <f t="shared" ref="Y14:AA23" si="5">AF2</f>
        <v>3L</v>
      </c>
      <c r="Z14" s="4">
        <f t="shared" si="5"/>
        <v>3.5</v>
      </c>
      <c r="AA14" s="4">
        <f t="shared" si="5"/>
        <v>0</v>
      </c>
      <c r="AB14" s="4">
        <f t="shared" ref="AB14:AD23" si="6">AL2</f>
        <v>0</v>
      </c>
      <c r="AC14" s="4">
        <f t="shared" si="6"/>
        <v>0</v>
      </c>
      <c r="AD14" s="4">
        <f t="shared" si="6"/>
        <v>0</v>
      </c>
      <c r="AE14" s="4">
        <f t="shared" ref="AE14:AG23" si="7">AR2</f>
        <v>0</v>
      </c>
      <c r="AF14" s="4">
        <f t="shared" si="7"/>
        <v>0</v>
      </c>
      <c r="AG14" s="4">
        <f t="shared" si="7"/>
        <v>0</v>
      </c>
      <c r="AH14" s="4">
        <f t="shared" ref="AH14:AJ23" si="8">AX2</f>
        <v>0</v>
      </c>
      <c r="AI14" s="4">
        <f t="shared" si="8"/>
        <v>0</v>
      </c>
      <c r="AJ14" s="4">
        <f t="shared" si="8"/>
        <v>0</v>
      </c>
      <c r="AK14" s="4">
        <f t="shared" ref="AK14:AM23" si="9">BD2</f>
        <v>0</v>
      </c>
      <c r="AL14" s="4">
        <f t="shared" si="9"/>
        <v>0</v>
      </c>
      <c r="AM14" s="4">
        <f t="shared" si="9"/>
        <v>0</v>
      </c>
      <c r="AN14" s="4">
        <f t="shared" ref="AN14:AP23" si="10">BJ2</f>
        <v>0</v>
      </c>
      <c r="AO14" s="4">
        <f t="shared" si="10"/>
        <v>0</v>
      </c>
      <c r="AP14" s="4">
        <f t="shared" si="10"/>
        <v>0</v>
      </c>
      <c r="AQ14" s="4">
        <f t="shared" ref="AQ14:AR23" si="11">BP2</f>
        <v>0</v>
      </c>
      <c r="AR14" s="4">
        <f t="shared" si="11"/>
        <v>0</v>
      </c>
      <c r="AT14" s="28">
        <v>1</v>
      </c>
      <c r="AU14" s="29">
        <f>IF($P$14="3L",$Q$14,IF($S$14="3L",$T$14,IF($V$14="3L",$W$14,IF($Y$14="3L",$Z$14,IF($AB$14="3L",$AC$14,IF($AE$14="3L",$AF$14,IF($AH$14="3L",$AI$14,IF($AK$14="3L",$AL$14,IF($AN$14="3L",$AO$14,IF($AQ$14="3L",$AR$14,""))))))))))</f>
        <v>3.5</v>
      </c>
      <c r="AV14" s="29" t="str">
        <f>IF($P$14="4L",$Q$14,IF($S$14="4L",$T$14,IF($V$14="4L",$W$14,IF($Y$14="4L",$Z$14,IF($AB$14="4L",$AC$14,IF($AE$14="4L",$AF$14,IF($AH$14="4L",$AI$14,IF($AK$14="4L",$AL$14,IF($AN$14="4L",$AO$14,IF($AQ$14="4L",$AR$14,""))))))))))</f>
        <v/>
      </c>
      <c r="AW14" s="29" t="str">
        <f>IF($P$14="5L",$Q$14,IF($S$14="5L",$T$14,IF($V$14="5L",$W$14,IF($Y$14="5L",$Z$14,IF($AB$14="5L",$AC$14,IF($AE$14="5L",$AF$14,IF($AH$14="5L",$AI$14,IF($AK$14="5L",$AL$14,IF($AN$14="5L",$AO$14,IF($AQ$14="5L",$AR$14,""))))))))))</f>
        <v/>
      </c>
      <c r="AX14" s="29" t="str">
        <f>IF($P$14="6L",$Q$14,IF($S$14="6L",$T$14,IF($V$14="6L",$W$14,IF($Y$14="6L",$Z$14,IF($AB$14="6L",$AC$14,IF($AE$14="6L",$AF$14,IF($AH$14="6L",$AI$14,IF($AK$14="6L",$AL$14,IF($AN$14="6L",$AO$14,IF($AQ$14="6L",$AR$14,""))))))))))</f>
        <v/>
      </c>
      <c r="AY14" s="29" t="str">
        <f>IF($P$14="7L",$Q$14,IF($S$14="7L",$T$14,IF($V$14="7L",$W$14,IF($Y$14="7L",$Z$14,IF($AB$14="7L",$AC$14,IF($AE$14="7L",$AF$14,IF($AH$14="7L",$AI$14,IF($AK$14="7L",$AL$14,IF($AN$14="7L",$AO$14,IF($AQ$14="7L",$AR$14,""))))))))))</f>
        <v/>
      </c>
      <c r="AZ14" s="29" t="str">
        <f t="shared" ref="AZ14:AZ23" si="12">IF($O$14="LOFT",$Q$14,IF($R$14="LOFT",$T$14,IF($U$14="LOFT",$W$14,IF($X$14="LOFT",$Z$14,IF($AA$14="LOFT",$AC$14,IF($AD$14="LOFT",$AF$14,IF($AG$14="LOFT",$AI$14,IF($AJ$14="LOFT",$AL$14,IF($AM$14="LOFT",$AO$14,IF($AP$14="LOFT",$AR$14,""))))))))))</f>
        <v/>
      </c>
      <c r="BA14" s="29" t="str">
        <f t="shared" ref="BA14:BA23" si="13">IF($O$14="UT",$Q$14,IF($R$14="UT",$T$14,IF($U$14="UT",$W$14,IF($X$14="UT",$Z$14,IF($AA$14="UT",$AC$14,IF($AD$14="UT",$AF$14,IF($AG$14="UT",$AI$14,IF($AJ$14="UT",$AL$14,IF($AM$14="UT",$AO$14,IF($AP$14="UT",$AR$14,""))))))))))</f>
        <v/>
      </c>
      <c r="BB14" s="29" t="str">
        <f t="shared" ref="BB14:BB23" si="14">IF($O$14="HT",$Q$14,IF($R$14="HT",$T$14,IF($U$14="HT",$W$14,IF($X$14="HT",$Z$14,IF($AA$14="HT",$AC$14,IF($AD$14="HT",$AF$14,IF($AG$14="HT",$AI$14,IF($AJ$14="HT",$AL$14,IF($AM$14="HT",$AO$14,IF($AP$14="HT",$AR$14,""))))))))))</f>
        <v/>
      </c>
      <c r="BC14" s="29" t="str">
        <f t="shared" ref="BC14:BC23" si="15">IF($O$14="PURE",$Q$14,IF($R$14="PURE",$T$14,IF($U$14="PURE",$W$14,IF($X$14="PURE",$Z$14,IF($AA$14="PURE",$AC$14,IF($AD$14="PURE",$AF$14,IF($AG$14="PURE",$AI$14,IF($AJ$14="PURE",$AL$14,IF($AM$14="PURE",$AO$14,IF($AP$14="PURE",$AR$14,""))))))))))</f>
        <v/>
      </c>
      <c r="BD14" s="29" t="str">
        <f>IF($P$14="FUM",$Q$14,IF($S$14="FUM",$T$14,IF($V$14="FUM",$W$14,IF($Y$14="FUM",$Z$14,IF($AB$14="FUM",$AC$14,IF($AE$14="FUM",$AF$14,IF($AH$14="FUM",$AI$14,IF($AK$14="FUM",$AL$14,IF($AN$14="FUM",$AO$14,IF($AQ$14="FUM",$AR$14,""))))))))))</f>
        <v/>
      </c>
    </row>
    <row r="15" spans="1:77" hidden="1" x14ac:dyDescent="0.25">
      <c r="H15" s="4">
        <f t="shared" si="1"/>
        <v>0</v>
      </c>
      <c r="I15" s="4">
        <f t="shared" si="1"/>
        <v>0</v>
      </c>
      <c r="J15" s="4">
        <f t="shared" si="1"/>
        <v>0</v>
      </c>
      <c r="K15" s="4">
        <f t="shared" si="1"/>
        <v>0</v>
      </c>
      <c r="L15" s="4">
        <f t="shared" si="1"/>
        <v>0</v>
      </c>
      <c r="O15" s="28">
        <f t="shared" ref="O15:O23" si="16">J3</f>
        <v>0</v>
      </c>
      <c r="P15" s="4">
        <f t="shared" si="2"/>
        <v>0</v>
      </c>
      <c r="Q15" s="4">
        <f t="shared" si="2"/>
        <v>0</v>
      </c>
      <c r="R15" s="4">
        <f t="shared" si="2"/>
        <v>0</v>
      </c>
      <c r="S15" s="4">
        <f t="shared" si="3"/>
        <v>0</v>
      </c>
      <c r="T15" s="4">
        <f t="shared" si="3"/>
        <v>0</v>
      </c>
      <c r="U15" s="4">
        <f t="shared" si="3"/>
        <v>0</v>
      </c>
      <c r="V15" s="4">
        <f t="shared" si="4"/>
        <v>0</v>
      </c>
      <c r="W15" s="4">
        <f t="shared" si="4"/>
        <v>0</v>
      </c>
      <c r="X15" s="4">
        <f t="shared" si="4"/>
        <v>0</v>
      </c>
      <c r="Y15" s="4">
        <f t="shared" si="5"/>
        <v>0</v>
      </c>
      <c r="Z15" s="4">
        <f t="shared" si="5"/>
        <v>0</v>
      </c>
      <c r="AA15" s="4">
        <f t="shared" si="5"/>
        <v>0</v>
      </c>
      <c r="AB15" s="4">
        <f t="shared" si="6"/>
        <v>0</v>
      </c>
      <c r="AC15" s="4">
        <f t="shared" si="6"/>
        <v>0</v>
      </c>
      <c r="AD15" s="4">
        <f t="shared" si="6"/>
        <v>0</v>
      </c>
      <c r="AE15" s="4">
        <f t="shared" si="7"/>
        <v>0</v>
      </c>
      <c r="AF15" s="4">
        <f t="shared" si="7"/>
        <v>0</v>
      </c>
      <c r="AG15" s="4">
        <f t="shared" si="7"/>
        <v>0</v>
      </c>
      <c r="AH15" s="4">
        <f t="shared" si="8"/>
        <v>0</v>
      </c>
      <c r="AI15" s="4">
        <f t="shared" si="8"/>
        <v>0</v>
      </c>
      <c r="AJ15" s="4">
        <f t="shared" si="8"/>
        <v>0</v>
      </c>
      <c r="AK15" s="4">
        <f t="shared" si="9"/>
        <v>0</v>
      </c>
      <c r="AL15" s="4">
        <f t="shared" si="9"/>
        <v>0</v>
      </c>
      <c r="AM15" s="4">
        <f t="shared" si="9"/>
        <v>0</v>
      </c>
      <c r="AN15" s="4">
        <f t="shared" si="10"/>
        <v>0</v>
      </c>
      <c r="AO15" s="4">
        <f t="shared" si="10"/>
        <v>0</v>
      </c>
      <c r="AP15" s="4">
        <f t="shared" si="10"/>
        <v>0</v>
      </c>
      <c r="AQ15" s="4">
        <f t="shared" si="11"/>
        <v>0</v>
      </c>
      <c r="AR15" s="4">
        <f t="shared" si="11"/>
        <v>0</v>
      </c>
      <c r="AT15" s="28">
        <v>2</v>
      </c>
      <c r="AU15" s="29" t="str">
        <f>IF($P$15="3L",$Q$15,IF($S$15="3L",$T$15,IF($V$15="3L",$W$15,IF($Y$15="3L",$Z$15,IF($AB$15="3L",$AC$15,IF($AE$15="3L",$AF$15,IF($AH$15="3L",$AI$15,IF($AK$15="3L",$AL$15,IF($AN$15="3L",$AO$15,IF($AQ$15="3L",$AR$15,""))))))))))</f>
        <v/>
      </c>
      <c r="AV15" s="29" t="str">
        <f>IF($P$15="4L",$Q$15,IF($S$15="4L",$T$15,IF($V$15="4L",$W$15,IF($Y$15="4L",$Z$15,IF($AB$15="4L",$AC$15,IF($AE$15="4L",$AF$15,IF($AH$15="4L",$AI$15,IF($AK$15="4L",$AL$15,IF($AN$15="4L",$AO$15,IF($AQ$15="4L",$AR$15,""))))))))))</f>
        <v/>
      </c>
      <c r="AW15" s="29" t="str">
        <f>IF($P$15="5L",$Q$15,IF($S$15="5L",$T$15,IF($V$15="5L",$W$15,IF($Y$15="5L",$Z$15,IF($AB$15="5L",$AC$15,IF($AE$15="5L",$AF$15,IF($AH$15="5L",$AI$15,IF($AK$15="5L",$AL$15,IF($AN$15="5L",$AO$15,IF($AQ$15="5L",$AR$15,""))))))))))</f>
        <v/>
      </c>
      <c r="AX15" s="29" t="str">
        <f>IF($P$15="6L",$Q$15,IF($S$15="6L",$T$15,IF($V$15="6L",$W$15,IF($Y$15="6L",$Z$15,IF($AB$15="6L",$AC$15,IF($AE$15="6L",$AF$15,IF($AH$15="6L",$AI$15,IF($AK$15="6L",$AL$15,IF($AN$15="6L",$AO$15,IF($AQ$15="6L",$AR$15,""))))))))))</f>
        <v/>
      </c>
      <c r="AY15" s="29" t="str">
        <f>IF($P$15="7L",$Q$15,IF($S$15="7L",$T$15,IF($V$15="7L",$W$15,IF($Y$15="7L",$Z$15,IF($AB$15="7L",$AC$15,IF($AE$15="7L",$AF$15,IF($AH$15="7L",$AI$15,IF($AK$15="7L",$AL$15,IF($AN$15="7L",$AO$15,IF($AQ$15="7L",$AR$15,""))))))))))</f>
        <v/>
      </c>
      <c r="AZ15" s="29" t="str">
        <f t="shared" si="12"/>
        <v/>
      </c>
      <c r="BA15" s="29" t="str">
        <f t="shared" si="13"/>
        <v/>
      </c>
      <c r="BB15" s="29" t="str">
        <f t="shared" si="14"/>
        <v/>
      </c>
      <c r="BC15" s="29" t="str">
        <f t="shared" si="15"/>
        <v/>
      </c>
      <c r="BD15" s="29" t="str">
        <f>IF($P$15="FUM",$Q$15,IF($S$15="FUM",$T$15,IF($V$15="FUM",$W$15,IF($Y$15="FUM",$Z$15,IF($AB$15="FUM",$AC$15,IF($AE$15="FUM",$AF$15,IF($AH$15="FUM",$AI$15,IF($AK$15="FUM",$AL$15,IF($AN$15="FUM",$AO$15,IF($AQ$15="FUM",$AR$15,""))))))))))</f>
        <v/>
      </c>
    </row>
    <row r="16" spans="1:77" hidden="1" x14ac:dyDescent="0.25">
      <c r="H16" s="4">
        <f t="shared" si="1"/>
        <v>0</v>
      </c>
      <c r="I16" s="4">
        <f t="shared" si="1"/>
        <v>0</v>
      </c>
      <c r="J16" s="4">
        <f t="shared" si="1"/>
        <v>0</v>
      </c>
      <c r="K16" s="4">
        <f t="shared" si="1"/>
        <v>0</v>
      </c>
      <c r="L16" s="4">
        <f t="shared" si="1"/>
        <v>0</v>
      </c>
      <c r="O16" s="28">
        <f t="shared" si="16"/>
        <v>0</v>
      </c>
      <c r="P16" s="4">
        <f t="shared" si="2"/>
        <v>0</v>
      </c>
      <c r="Q16" s="4">
        <f t="shared" si="2"/>
        <v>0</v>
      </c>
      <c r="R16" s="4">
        <f t="shared" si="2"/>
        <v>0</v>
      </c>
      <c r="S16" s="4">
        <f t="shared" si="3"/>
        <v>0</v>
      </c>
      <c r="T16" s="4">
        <f t="shared" si="3"/>
        <v>0</v>
      </c>
      <c r="U16" s="4">
        <f t="shared" si="3"/>
        <v>0</v>
      </c>
      <c r="V16" s="4">
        <f t="shared" si="4"/>
        <v>0</v>
      </c>
      <c r="W16" s="4">
        <f t="shared" si="4"/>
        <v>0</v>
      </c>
      <c r="X16" s="4">
        <f t="shared" si="4"/>
        <v>0</v>
      </c>
      <c r="Y16" s="4">
        <f t="shared" si="5"/>
        <v>0</v>
      </c>
      <c r="Z16" s="4">
        <f t="shared" si="5"/>
        <v>0</v>
      </c>
      <c r="AA16" s="4">
        <f t="shared" si="5"/>
        <v>0</v>
      </c>
      <c r="AB16" s="4">
        <f t="shared" si="6"/>
        <v>0</v>
      </c>
      <c r="AC16" s="4">
        <f t="shared" si="6"/>
        <v>0</v>
      </c>
      <c r="AD16" s="4">
        <f t="shared" si="6"/>
        <v>0</v>
      </c>
      <c r="AE16" s="4">
        <f t="shared" si="7"/>
        <v>0</v>
      </c>
      <c r="AF16" s="4">
        <f t="shared" si="7"/>
        <v>0</v>
      </c>
      <c r="AG16" s="4">
        <f t="shared" si="7"/>
        <v>0</v>
      </c>
      <c r="AH16" s="4">
        <f t="shared" si="8"/>
        <v>0</v>
      </c>
      <c r="AI16" s="4">
        <f t="shared" si="8"/>
        <v>0</v>
      </c>
      <c r="AJ16" s="4">
        <f t="shared" si="8"/>
        <v>0</v>
      </c>
      <c r="AK16" s="4">
        <f t="shared" si="9"/>
        <v>0</v>
      </c>
      <c r="AL16" s="4">
        <f t="shared" si="9"/>
        <v>0</v>
      </c>
      <c r="AM16" s="4">
        <f t="shared" si="9"/>
        <v>0</v>
      </c>
      <c r="AN16" s="4">
        <f t="shared" si="10"/>
        <v>0</v>
      </c>
      <c r="AO16" s="4">
        <f t="shared" si="10"/>
        <v>0</v>
      </c>
      <c r="AP16" s="4">
        <f t="shared" si="10"/>
        <v>0</v>
      </c>
      <c r="AQ16" s="4">
        <f t="shared" si="11"/>
        <v>0</v>
      </c>
      <c r="AR16" s="4">
        <f t="shared" si="11"/>
        <v>0</v>
      </c>
      <c r="AT16" s="28">
        <v>3</v>
      </c>
      <c r="AU16" s="29" t="str">
        <f>IF($P$16="3L",$Q$16,IF($S$16="3L",$T$16,IF($V$16="3L",$W$16,IF($Y$16="3L",$Z$16,IF($AB$16="3L",$AC$16,IF($AE$16="3L",$AF$16,IF($AH$16="3L",$AI$16,IF($AK$16="3L",$AL$16,IF($AN$16="3L",$AO$16,IF($AQ$16="3L",$AR$16,""))))))))))</f>
        <v/>
      </c>
      <c r="AV16" s="29" t="str">
        <f>IF($P$16="4L",$Q$16,IF($S$16="4L",$T$16,IF($V$16="4L",$W$16,IF($Y$16="4L",$Z$16,IF($AB$16="4L",$AC$16,IF($AE$16="4L",$AF$16,IF($AH$16="4L",$AI$16,IF($AK$16="4L",$AL$16,IF($AN$16="4L",$AO$16,IF($AQ$16="4L",$AR$16,""))))))))))</f>
        <v/>
      </c>
      <c r="AW16" s="29" t="str">
        <f>IF($P$16="5L",$Q$16,IF($S$16="5L",$T$16,IF($V$16="5L",$W$16,IF($Y$16="5L",$Z$16,IF($AB$16="5L",$AC$16,IF($AE$16="5L",$AF$16,IF($AH$16="5L",$AI$16,IF($AK$16="5L",$AL$16,IF($AN$16="5L",$AO$16,IF($AQ$16="5L",$AR$16,""))))))))))</f>
        <v/>
      </c>
      <c r="AX16" s="29" t="str">
        <f>IF($P$16="6L",$Q$16,IF($S$16="6L",$T$16,IF($V$16="6L",$W$16,IF($Y$16="6L",$Z$16,IF($AB$16="6L",$AC$16,IF($AE$16="6L",$AF$16,IF($AH$16="6L",$AI$16,IF($AK$16="6L",$AL$16,IF($AN$16="6L",$AO$16,IF($AQ$16="6L",$AR$16,""))))))))))</f>
        <v/>
      </c>
      <c r="AY16" s="29" t="str">
        <f>IF($P$16="7L",$Q$16,IF($S$16="7L",$T$16,IF($V$16="7L",$W$16,IF($Y$16="7L",$Z$16,IF($AB$16="7L",$AC$16,IF($AE$16="7L",$AF$16,IF($AH$16="7L",$AI$16,IF($AK$16="7L",$AL$16,IF($AN$16="7L",$AO$16,IF($AQ$16="7L",$AR$16,""))))))))))</f>
        <v/>
      </c>
      <c r="AZ16" s="29" t="str">
        <f t="shared" si="12"/>
        <v/>
      </c>
      <c r="BA16" s="29" t="str">
        <f t="shared" si="13"/>
        <v/>
      </c>
      <c r="BB16" s="29" t="str">
        <f t="shared" si="14"/>
        <v/>
      </c>
      <c r="BC16" s="29" t="str">
        <f t="shared" si="15"/>
        <v/>
      </c>
      <c r="BD16" s="29" t="str">
        <f>IF($P$16="FUM",$Q$16,IF($S$16="FUM",$T$16,IF($V$16="FUM",$W$16,IF($Y$16="FUM",$Z$16,IF($AB$16="FUM",$AC$16,IF($AE$16="FUM",$AF$16,IF($AH$16="FUM",$AI$16,IF($AK$16="FUM",$AL$16,IF($AN$16="FUM",$AO$16,IF($AQ$16="FUM",$AR$16,""))))))))))</f>
        <v/>
      </c>
    </row>
    <row r="17" spans="8:56" hidden="1" x14ac:dyDescent="0.25">
      <c r="H17" s="4">
        <f t="shared" si="1"/>
        <v>0</v>
      </c>
      <c r="I17" s="4">
        <f t="shared" si="1"/>
        <v>0</v>
      </c>
      <c r="J17" s="4">
        <f t="shared" si="1"/>
        <v>0</v>
      </c>
      <c r="K17" s="4">
        <f t="shared" si="1"/>
        <v>0</v>
      </c>
      <c r="L17" s="4">
        <f t="shared" si="1"/>
        <v>0</v>
      </c>
      <c r="O17" s="28">
        <f t="shared" si="16"/>
        <v>0</v>
      </c>
      <c r="P17" s="4">
        <f t="shared" si="2"/>
        <v>0</v>
      </c>
      <c r="Q17" s="4">
        <f t="shared" si="2"/>
        <v>0</v>
      </c>
      <c r="R17" s="4">
        <f t="shared" si="2"/>
        <v>0</v>
      </c>
      <c r="S17" s="4">
        <f t="shared" si="3"/>
        <v>0</v>
      </c>
      <c r="T17" s="4">
        <f t="shared" si="3"/>
        <v>0</v>
      </c>
      <c r="U17" s="4">
        <f t="shared" si="3"/>
        <v>0</v>
      </c>
      <c r="V17" s="4">
        <f t="shared" si="4"/>
        <v>0</v>
      </c>
      <c r="W17" s="4">
        <f t="shared" si="4"/>
        <v>0</v>
      </c>
      <c r="X17" s="4">
        <f t="shared" si="4"/>
        <v>0</v>
      </c>
      <c r="Y17" s="4">
        <f t="shared" si="5"/>
        <v>0</v>
      </c>
      <c r="Z17" s="4">
        <f t="shared" si="5"/>
        <v>0</v>
      </c>
      <c r="AA17" s="4">
        <f t="shared" si="5"/>
        <v>0</v>
      </c>
      <c r="AB17" s="4">
        <f t="shared" si="6"/>
        <v>0</v>
      </c>
      <c r="AC17" s="4">
        <f t="shared" si="6"/>
        <v>0</v>
      </c>
      <c r="AD17" s="4">
        <f t="shared" si="6"/>
        <v>0</v>
      </c>
      <c r="AE17" s="4">
        <f t="shared" si="7"/>
        <v>0</v>
      </c>
      <c r="AF17" s="4">
        <f t="shared" si="7"/>
        <v>0</v>
      </c>
      <c r="AG17" s="4">
        <f t="shared" si="7"/>
        <v>0</v>
      </c>
      <c r="AH17" s="4">
        <f t="shared" si="8"/>
        <v>0</v>
      </c>
      <c r="AI17" s="4">
        <f t="shared" si="8"/>
        <v>0</v>
      </c>
      <c r="AJ17" s="4">
        <f t="shared" si="8"/>
        <v>0</v>
      </c>
      <c r="AK17" s="4">
        <f t="shared" si="9"/>
        <v>0</v>
      </c>
      <c r="AL17" s="4">
        <f t="shared" si="9"/>
        <v>0</v>
      </c>
      <c r="AM17" s="4">
        <f t="shared" si="9"/>
        <v>0</v>
      </c>
      <c r="AN17" s="4">
        <f t="shared" si="10"/>
        <v>0</v>
      </c>
      <c r="AO17" s="4">
        <f t="shared" si="10"/>
        <v>0</v>
      </c>
      <c r="AP17" s="4">
        <f t="shared" si="10"/>
        <v>0</v>
      </c>
      <c r="AQ17" s="4">
        <f t="shared" si="11"/>
        <v>0</v>
      </c>
      <c r="AR17" s="4">
        <f t="shared" si="11"/>
        <v>0</v>
      </c>
      <c r="AT17" s="28">
        <v>4</v>
      </c>
      <c r="AU17" s="29" t="str">
        <f>IF($P$17="3L",$Q$17,IF($S$17="3L",$T$17,IF($V$17="3L",$W$17,IF($Y$17="3L",$Z$17,IF($AB$17="3L",$AC$17,IF($AE$17="3L",$AF$17,IF($AH$17="3L",$AI$17,IF($AK$17="3L",$AL$17,IF($AN$17="3L",$AO$17,IF($AQ$17="3L",$AR$17,""))))))))))</f>
        <v/>
      </c>
      <c r="AV17" s="29" t="str">
        <f>IF($P$17="4L",$Q$17,IF($S$17="4L",$T$17,IF($V$17="4L",$W$17,IF($Y$17="4L",$Z$17,IF($AB$17="4L",$AC$17,IF($AE$17="4L",$AF$17,IF($AH$17="4L",$AI$17,IF($AK$17="4L",$AL$17,IF($AN$17="4L",$AO$17,IF($AQ$17="4L",$AR$17,""))))))))))</f>
        <v/>
      </c>
      <c r="AW17" s="29" t="str">
        <f>IF($P$17="5L",$Q$17,IF($S$17="5L",$T$17,IF($V$17="5L",$W$17,IF($Y$17="5L",$Z$17,IF($AB$17="5L",$AC$17,IF($AE$17="5L",$AF$17,IF($AH$17="5L",$AI$17,IF($AK$17="5L",$AL$17,IF($AN$17="5L",$AO$17,IF($AQ$17="5L",$AR$17,""))))))))))</f>
        <v/>
      </c>
      <c r="AX17" s="29" t="str">
        <f>IF($P$17="6L",$Q$17,IF($S$17="6L",$T$17,IF($V$17="6L",$W$17,IF($Y$17="6L",$Z$17,IF($AB$17="6L",$AC$17,IF($AE$17="6L",$AF$17,IF($AH$17="6L",$AI$17,IF($AK$17="6L",$AL$17,IF($AN$17="6L",$AO$17,IF($AQ$17="6L",$AR$17,""))))))))))</f>
        <v/>
      </c>
      <c r="AY17" s="29" t="str">
        <f>IF($P$17="7L",$Q$17,IF($S$17="7L",$T$17,IF($V$17="7L",$W$17,IF($Y$17="7L",$Z$17,IF($AB$17="7L",$AC$17,IF($AE$17="7L",$AF$17,IF($AH$17="7L",$AI$17,IF($AK$17="7L",$AL$17,IF($AN$17="7L",$AO$17,IF($AQ$17="7L",$AR$17,""))))))))))</f>
        <v/>
      </c>
      <c r="AZ17" s="29" t="str">
        <f t="shared" si="12"/>
        <v/>
      </c>
      <c r="BA17" s="29" t="str">
        <f t="shared" si="13"/>
        <v/>
      </c>
      <c r="BB17" s="29" t="str">
        <f t="shared" si="14"/>
        <v/>
      </c>
      <c r="BC17" s="29" t="str">
        <f t="shared" si="15"/>
        <v/>
      </c>
      <c r="BD17" s="29" t="str">
        <f>IF($P$17="FUM",$Q$17,IF($S$17="FUM",$T$17,IF($V$17="FUM",$W$17,IF($Y$17="FUM",$Z$17,IF($AB$17="FUM",$AC$17,IF($AE$17="FUM",$AF$17,IF($AH$17="FUM",$AI$17,IF($AK$17="FUM",$AL$17,IF($AN$17="FUM",$AO$17,IF($AQ$17="FUM",$AR$17,""))))))))))</f>
        <v/>
      </c>
    </row>
    <row r="18" spans="8:56" hidden="1" x14ac:dyDescent="0.25">
      <c r="H18" s="4">
        <f t="shared" si="1"/>
        <v>0</v>
      </c>
      <c r="I18" s="4">
        <f t="shared" si="1"/>
        <v>0</v>
      </c>
      <c r="J18" s="4">
        <f t="shared" si="1"/>
        <v>0</v>
      </c>
      <c r="K18" s="4">
        <f t="shared" si="1"/>
        <v>0</v>
      </c>
      <c r="L18" s="4">
        <f t="shared" si="1"/>
        <v>0</v>
      </c>
      <c r="O18" s="28">
        <f t="shared" si="16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3"/>
        <v>0</v>
      </c>
      <c r="T18" s="4">
        <f t="shared" si="3"/>
        <v>0</v>
      </c>
      <c r="U18" s="4">
        <f t="shared" si="3"/>
        <v>0</v>
      </c>
      <c r="V18" s="4">
        <f t="shared" si="4"/>
        <v>0</v>
      </c>
      <c r="W18" s="4">
        <f t="shared" si="4"/>
        <v>0</v>
      </c>
      <c r="X18" s="4">
        <f t="shared" si="4"/>
        <v>0</v>
      </c>
      <c r="Y18" s="4">
        <f t="shared" si="5"/>
        <v>0</v>
      </c>
      <c r="Z18" s="4">
        <f t="shared" si="5"/>
        <v>0</v>
      </c>
      <c r="AA18" s="4">
        <f t="shared" si="5"/>
        <v>0</v>
      </c>
      <c r="AB18" s="4">
        <f t="shared" si="6"/>
        <v>0</v>
      </c>
      <c r="AC18" s="4">
        <f t="shared" si="6"/>
        <v>0</v>
      </c>
      <c r="AD18" s="4">
        <f t="shared" si="6"/>
        <v>0</v>
      </c>
      <c r="AE18" s="4">
        <f t="shared" si="7"/>
        <v>0</v>
      </c>
      <c r="AF18" s="4">
        <f t="shared" si="7"/>
        <v>0</v>
      </c>
      <c r="AG18" s="4">
        <f t="shared" si="7"/>
        <v>0</v>
      </c>
      <c r="AH18" s="4">
        <f t="shared" si="8"/>
        <v>0</v>
      </c>
      <c r="AI18" s="4">
        <f t="shared" si="8"/>
        <v>0</v>
      </c>
      <c r="AJ18" s="4">
        <f t="shared" si="8"/>
        <v>0</v>
      </c>
      <c r="AK18" s="4">
        <f t="shared" si="9"/>
        <v>0</v>
      </c>
      <c r="AL18" s="4">
        <f t="shared" si="9"/>
        <v>0</v>
      </c>
      <c r="AM18" s="4">
        <f t="shared" si="9"/>
        <v>0</v>
      </c>
      <c r="AN18" s="4">
        <f t="shared" si="10"/>
        <v>0</v>
      </c>
      <c r="AO18" s="4">
        <f t="shared" si="10"/>
        <v>0</v>
      </c>
      <c r="AP18" s="4">
        <f t="shared" si="10"/>
        <v>0</v>
      </c>
      <c r="AQ18" s="4">
        <f t="shared" si="11"/>
        <v>0</v>
      </c>
      <c r="AR18" s="4">
        <f t="shared" si="11"/>
        <v>0</v>
      </c>
      <c r="AT18" s="28">
        <v>5</v>
      </c>
      <c r="AU18" s="29" t="str">
        <f>IF($P$18="3L",$Q$18,IF($S$18="3L",$T$18,IF($V$18="3L",$W$18,IF($Y$18="3L",$Z$18,IF($AB$18="3L",$AC$18,IF($AE$18="3L",$AF$18,IF($AH$18="3L",$AI$18,IF($AK$18="3L",$AL$18,IF($AN$18="3L",$AO$18,IF($AQ$18="3L",$AR$18,""))))))))))</f>
        <v/>
      </c>
      <c r="AV18" s="29" t="str">
        <f>IF($P$18="4L",$Q$18,IF($S$18="4L",$T$18,IF($V$18="4L",$W$18,IF($Y$18="4L",$Z$18,IF($AB$18="4L",$AC$18,IF($AE$18="4L",$AF$18,IF($AH$18="4L",$AI$18,IF($AK$18="4L",$AL$18,IF($AN$18="4L",$AO$18,IF($AQ$18="4L",$AR$18,""))))))))))</f>
        <v/>
      </c>
      <c r="AW18" s="29" t="str">
        <f>IF($P$18="5L",$Q$18,IF($S$18="5L",$T$18,IF($V$18="5L",$W$18,IF($Y$18="5L",$Z$18,IF($AB$18="5L",$AC$18,IF($AE$18="5L",$AF$18,IF($AH$18="5L",$AI$18,IF($AK$18="5L",$AL$18,IF($AN$18="5L",$AO$18,IF($AQ$18="5L",$AR$18,""))))))))))</f>
        <v/>
      </c>
      <c r="AX18" s="29" t="str">
        <f>IF($P$18="6L",$Q$18,IF($S$18="6L",$T$18,IF($V$18="6L",$W$18,IF($Y$18="6L",$Z$18,IF($AB$18="6L",$AC$18,IF($AE$18="6L",$AF$18,IF($AH$18="6L",$AI$18,IF($AK$18="6L",$AL$18,IF($AN$18="6L",$AO$18,IF($AQ$18="6L",$AR$18,""))))))))))</f>
        <v/>
      </c>
      <c r="AY18" s="29" t="str">
        <f>IF($P$18="7L",$Q$18,IF($S$18="7L",$T$18,IF($V$18="7L",$W$18,IF($Y$18="7L",$Z$18,IF($AB$18="7L",$AC$18,IF($AE$18="7L",$AF$18,IF($AH$18="7L",$AI$18,IF($AK$18="7L",$AL$18,IF($AN$18="7L",$AO$18,IF($AQ$18="7L",$AR$18,""))))))))))</f>
        <v/>
      </c>
      <c r="AZ18" s="29" t="str">
        <f t="shared" si="12"/>
        <v/>
      </c>
      <c r="BA18" s="29" t="str">
        <f t="shared" si="13"/>
        <v/>
      </c>
      <c r="BB18" s="29" t="str">
        <f t="shared" si="14"/>
        <v/>
      </c>
      <c r="BC18" s="29" t="str">
        <f t="shared" si="15"/>
        <v/>
      </c>
      <c r="BD18" s="29" t="str">
        <f>IF($P$18="FUM",$Q$18,IF($S$18="FUM",$T$18,IF($V$18="FUM",$W$18,IF($Y$18="FUM",$Z$18,IF($AB$18="FUM",$AC$18,IF($AE$18="FUM",$AF$18,IF($AH$18="FUM",$AI$18,IF($AK$18="FUM",$AL$18,IF($AN$18="FUM",$AO$18,IF($AQ$18="FUM",$AR$18,""))))))))))</f>
        <v/>
      </c>
    </row>
    <row r="19" spans="8:56" hidden="1" x14ac:dyDescent="0.25"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0</v>
      </c>
      <c r="L19" s="4">
        <f t="shared" si="1"/>
        <v>0</v>
      </c>
      <c r="O19" s="28">
        <f t="shared" si="16"/>
        <v>0</v>
      </c>
      <c r="P19" s="4">
        <f t="shared" si="2"/>
        <v>0</v>
      </c>
      <c r="Q19" s="4">
        <f t="shared" si="2"/>
        <v>0</v>
      </c>
      <c r="R19" s="4">
        <f t="shared" si="2"/>
        <v>0</v>
      </c>
      <c r="S19" s="4">
        <f t="shared" si="3"/>
        <v>0</v>
      </c>
      <c r="T19" s="4">
        <f t="shared" si="3"/>
        <v>0</v>
      </c>
      <c r="U19" s="4">
        <f t="shared" si="3"/>
        <v>0</v>
      </c>
      <c r="V19" s="4">
        <f t="shared" si="4"/>
        <v>0</v>
      </c>
      <c r="W19" s="4">
        <f t="shared" si="4"/>
        <v>0</v>
      </c>
      <c r="X19" s="4">
        <f t="shared" si="4"/>
        <v>0</v>
      </c>
      <c r="Y19" s="4">
        <f t="shared" si="5"/>
        <v>0</v>
      </c>
      <c r="Z19" s="4">
        <f t="shared" si="5"/>
        <v>0</v>
      </c>
      <c r="AA19" s="4">
        <f t="shared" si="5"/>
        <v>0</v>
      </c>
      <c r="AB19" s="4">
        <f t="shared" si="6"/>
        <v>0</v>
      </c>
      <c r="AC19" s="4">
        <f t="shared" si="6"/>
        <v>0</v>
      </c>
      <c r="AD19" s="4">
        <f t="shared" si="6"/>
        <v>0</v>
      </c>
      <c r="AE19" s="4">
        <f t="shared" si="7"/>
        <v>0</v>
      </c>
      <c r="AF19" s="4">
        <f t="shared" si="7"/>
        <v>0</v>
      </c>
      <c r="AG19" s="4">
        <f t="shared" si="7"/>
        <v>0</v>
      </c>
      <c r="AH19" s="4">
        <f t="shared" si="8"/>
        <v>0</v>
      </c>
      <c r="AI19" s="4">
        <f t="shared" si="8"/>
        <v>0</v>
      </c>
      <c r="AJ19" s="4">
        <f t="shared" si="8"/>
        <v>0</v>
      </c>
      <c r="AK19" s="4">
        <f t="shared" si="9"/>
        <v>0</v>
      </c>
      <c r="AL19" s="4">
        <f t="shared" si="9"/>
        <v>0</v>
      </c>
      <c r="AM19" s="4">
        <f t="shared" si="9"/>
        <v>0</v>
      </c>
      <c r="AN19" s="4">
        <f t="shared" si="10"/>
        <v>0</v>
      </c>
      <c r="AO19" s="4">
        <f t="shared" si="10"/>
        <v>0</v>
      </c>
      <c r="AP19" s="4">
        <f t="shared" si="10"/>
        <v>0</v>
      </c>
      <c r="AQ19" s="4">
        <f t="shared" si="11"/>
        <v>0</v>
      </c>
      <c r="AR19" s="4">
        <f t="shared" si="11"/>
        <v>0</v>
      </c>
      <c r="AT19" s="28">
        <v>6</v>
      </c>
      <c r="AU19" s="29" t="str">
        <f>IF($P$19="3L",$Q$19,IF($S$19="3L",$T$19,IF($V$19="3L",$W$19,IF($Y$19="3L",$Z$19,IF($AB$19="3L",$AC$19,IF($AE$19="3L",$AF$19,IF($AH$19="3L",$AI$19,IF($AK$19="3L",$AL$19,IF($AN$19="3L",$AO$19,IF($AQ$19="3L",$AR$19,""))))))))))</f>
        <v/>
      </c>
      <c r="AV19" s="29" t="str">
        <f>IF($P$19="4L",$Q$19,IF($S$19="4L",$T$19,IF($V$19="4L",$W$19,IF($Y$19="4L",$Z$19,IF($AB$19="4L",$AC$19,IF($AE$19="4L",$AF$19,IF($AH$19="4L",$AI$19,IF($AK$19="4L",$AL$19,IF($AN$19="4L",$AO$19,IF($AQ$19="4L",$AR$19,""))))))))))</f>
        <v/>
      </c>
      <c r="AW19" s="29" t="str">
        <f>IF($P$19="5L",$Q$19,IF($S$19="5L",$T$19,IF($V$19="5L",$W$19,IF($Y$19="5L",$Z$19,IF($AB$19="5L",$AC$19,IF($AE$19="5L",$AF$19,IF($AH$19="5L",$AI$19,IF($AK$19="5L",$AL$19,IF($AN$19="5L",$AO$19,IF($AQ$19="5L",$AR$19,""))))))))))</f>
        <v/>
      </c>
      <c r="AX19" s="29" t="str">
        <f>IF($P$19="6L",$Q$19,IF($S$19="6L",$T$19,IF($V$19="6L",$W$19,IF($Y$19="6L",$Z$19,IF($AB$19="6L",$AC$19,IF($AE$19="6L",$AF$19,IF($AH$19="6L",$AI$19,IF($AK$19="6L",$AL$19,IF($AN$19="6L",$AO$19,IF($AQ$19="6L",$AR$19,""))))))))))</f>
        <v/>
      </c>
      <c r="AY19" s="29" t="str">
        <f>IF($P$19="7L",$Q$19,IF($S$19="7L",$T$19,IF($V$19="7L",$W$19,IF($Y$19="7L",$Z$19,IF($AB$19="7L",$AC$19,IF($AE$19="7L",$AF$19,IF($AH$19="7L",$AI$19,IF($AK$19="7L",$AL$19,IF($AN$19="7L",$AO$19,IF($AQ$19="7L",$AR$19,""))))))))))</f>
        <v/>
      </c>
      <c r="AZ19" s="29" t="str">
        <f t="shared" si="12"/>
        <v/>
      </c>
      <c r="BA19" s="29" t="str">
        <f t="shared" si="13"/>
        <v/>
      </c>
      <c r="BB19" s="29" t="str">
        <f t="shared" si="14"/>
        <v/>
      </c>
      <c r="BC19" s="29" t="str">
        <f t="shared" si="15"/>
        <v/>
      </c>
      <c r="BD19" s="29" t="str">
        <f>IF($P$19="FUM",$Q$19,IF($S$19="FUM",$T$19,IF($V$19="FUM",$W$19,IF($Y$19="FUM",$Z$19,IF($AB$19="FUM",$AC$19,IF($AE$19="FUM",$AF$19,IF($AH$19="FUM",$AI$19,IF($AK$19="FUM",$AL$19,IF($AN$19="FUM",$AO$19,IF($AQ$19="FUM",$AR$19,""))))))))))</f>
        <v/>
      </c>
    </row>
    <row r="20" spans="8:56" hidden="1" x14ac:dyDescent="0.25"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0</v>
      </c>
      <c r="O20" s="28">
        <f t="shared" si="16"/>
        <v>0</v>
      </c>
      <c r="P20" s="4">
        <f t="shared" si="2"/>
        <v>0</v>
      </c>
      <c r="Q20" s="4">
        <f t="shared" si="2"/>
        <v>0</v>
      </c>
      <c r="R20" s="4">
        <f t="shared" si="2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4"/>
        <v>0</v>
      </c>
      <c r="W20" s="4">
        <f t="shared" si="4"/>
        <v>0</v>
      </c>
      <c r="X20" s="4">
        <f t="shared" si="4"/>
        <v>0</v>
      </c>
      <c r="Y20" s="4">
        <f t="shared" si="5"/>
        <v>0</v>
      </c>
      <c r="Z20" s="4">
        <f t="shared" si="5"/>
        <v>0</v>
      </c>
      <c r="AA20" s="4">
        <f t="shared" si="5"/>
        <v>0</v>
      </c>
      <c r="AB20" s="4">
        <f t="shared" si="6"/>
        <v>0</v>
      </c>
      <c r="AC20" s="4">
        <f t="shared" si="6"/>
        <v>0</v>
      </c>
      <c r="AD20" s="4">
        <f t="shared" si="6"/>
        <v>0</v>
      </c>
      <c r="AE20" s="4">
        <f t="shared" si="7"/>
        <v>0</v>
      </c>
      <c r="AF20" s="4">
        <f t="shared" si="7"/>
        <v>0</v>
      </c>
      <c r="AG20" s="4">
        <f t="shared" si="7"/>
        <v>0</v>
      </c>
      <c r="AH20" s="4">
        <f t="shared" si="8"/>
        <v>0</v>
      </c>
      <c r="AI20" s="4">
        <f t="shared" si="8"/>
        <v>0</v>
      </c>
      <c r="AJ20" s="4">
        <f t="shared" si="8"/>
        <v>0</v>
      </c>
      <c r="AK20" s="4">
        <f t="shared" si="9"/>
        <v>0</v>
      </c>
      <c r="AL20" s="4">
        <f t="shared" si="9"/>
        <v>0</v>
      </c>
      <c r="AM20" s="4">
        <f t="shared" si="9"/>
        <v>0</v>
      </c>
      <c r="AN20" s="4">
        <f t="shared" si="10"/>
        <v>0</v>
      </c>
      <c r="AO20" s="4">
        <f t="shared" si="10"/>
        <v>0</v>
      </c>
      <c r="AP20" s="4">
        <f t="shared" si="10"/>
        <v>0</v>
      </c>
      <c r="AQ20" s="4">
        <f t="shared" si="11"/>
        <v>0</v>
      </c>
      <c r="AR20" s="4">
        <f t="shared" si="11"/>
        <v>0</v>
      </c>
      <c r="AT20" s="28">
        <v>7</v>
      </c>
      <c r="AU20" s="29" t="str">
        <f>IF($P$20="3L",$Q$20,IF($S$20="3L",$T$20,IF($V$20="3L",$W$20,IF($Y$20="3L",$Z$20,IF($AB$20="3L",$AC$20,IF($AE$20="3L",$AF$20,IF($AH$20="3L",$AI$20,IF($AK$20="3L",$AL$20,IF($AN$20="3L",$AO$20,IF($AQ$20="3L",$AR$20,""))))))))))</f>
        <v/>
      </c>
      <c r="AV20" s="29" t="str">
        <f>IF($P$20="4L",$Q$20,IF($S$20="4L",$T$20,IF($V$20="4L",$W$20,IF($Y$20="4L",$Z$20,IF($AB$20="4L",$AC$20,IF($AE$20="4L",$AF$20,IF($AH$20="4L",$AI$20,IF($AK$20="4L",$AL$20,IF($AN$20="4L",$AO$20,IF($AQ$20="4L",$AR$20,""))))))))))</f>
        <v/>
      </c>
      <c r="AW20" s="29" t="str">
        <f>IF($P$20="5L",$Q$20,IF($S$20="5L",$T$20,IF($V$20="5L",$W$20,IF($Y$20="5L",$Z$20,IF($AB$20="5L",$AC$20,IF($AE$20="5L",$AF$20,IF($AH$20="5L",$AI$20,IF($AK$20="5L",$AL$20,IF($AN$20="5L",$AO$20,IF($AQ$20="5L",$AR$20,""))))))))))</f>
        <v/>
      </c>
      <c r="AX20" s="29" t="str">
        <f>IF($P$20="6L",$Q$20,IF($S$20="6L",$T$20,IF($V$20="6L",$W$20,IF($Y$20="6L",$Z$20,IF($AB$20="6L",$AC$20,IF($AE$20="6L",$AF$20,IF($AH$20="6L",$AI$20,IF($AK$20="6L",$AL$20,IF($AN$20="6L",$AO$20,IF($AQ$20="6L",$AR$20,""))))))))))</f>
        <v/>
      </c>
      <c r="AY20" s="29" t="str">
        <f>IF($P$20="7L",$Q$20,IF($S$20="7L",$T$20,IF($V$20="7L",$W$20,IF($Y$20="7L",$Z$20,IF($AB$20="7L",$AC$20,IF($AE$20="7L",$AF$20,IF($AH$20="7L",$AI$20,IF($AK$20="7L",$AL$20,IF($AN$20="7L",$AO$20,IF($AQ$20="7L",$AR$20,""))))))))))</f>
        <v/>
      </c>
      <c r="AZ20" s="29" t="str">
        <f t="shared" si="12"/>
        <v/>
      </c>
      <c r="BA20" s="29" t="str">
        <f t="shared" si="13"/>
        <v/>
      </c>
      <c r="BB20" s="29" t="str">
        <f t="shared" si="14"/>
        <v/>
      </c>
      <c r="BC20" s="29" t="str">
        <f t="shared" si="15"/>
        <v/>
      </c>
      <c r="BD20" s="29" t="str">
        <f>IF($P$20="FUM",$Q$20,IF($S$20="FUM",$T$20,IF($V$20="FUM",$W$20,IF($Y$20="FUM",$Z$20,IF($AB$20="FUM",$AC$20,IF($AE$20="FUM",$AF$20,IF($AH$20="FUM",$AI$20,IF($AK$20="FUM",$AL$20,IF($AN$20="FUM",$AO$20,IF($AQ$20="FUM",$AR$20,""))))))))))</f>
        <v/>
      </c>
    </row>
    <row r="21" spans="8:56" hidden="1" x14ac:dyDescent="0.25">
      <c r="H21" s="4">
        <f t="shared" si="1"/>
        <v>0</v>
      </c>
      <c r="I21" s="4">
        <f t="shared" si="1"/>
        <v>0</v>
      </c>
      <c r="J21" s="4">
        <f t="shared" si="1"/>
        <v>0</v>
      </c>
      <c r="K21" s="4">
        <f t="shared" si="1"/>
        <v>0</v>
      </c>
      <c r="L21" s="4">
        <f t="shared" si="1"/>
        <v>0</v>
      </c>
      <c r="O21" s="28">
        <f t="shared" si="16"/>
        <v>0</v>
      </c>
      <c r="P21" s="4">
        <f t="shared" si="2"/>
        <v>0</v>
      </c>
      <c r="Q21" s="4">
        <f t="shared" si="2"/>
        <v>0</v>
      </c>
      <c r="R21" s="4">
        <f t="shared" si="2"/>
        <v>0</v>
      </c>
      <c r="S21" s="4">
        <f t="shared" si="3"/>
        <v>0</v>
      </c>
      <c r="T21" s="4">
        <f t="shared" si="3"/>
        <v>0</v>
      </c>
      <c r="U21" s="4">
        <f t="shared" si="3"/>
        <v>0</v>
      </c>
      <c r="V21" s="4">
        <f t="shared" si="4"/>
        <v>0</v>
      </c>
      <c r="W21" s="4">
        <f t="shared" si="4"/>
        <v>0</v>
      </c>
      <c r="X21" s="4">
        <f t="shared" si="4"/>
        <v>0</v>
      </c>
      <c r="Y21" s="4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6"/>
        <v>0</v>
      </c>
      <c r="AC21" s="4">
        <f t="shared" si="6"/>
        <v>0</v>
      </c>
      <c r="AD21" s="4">
        <f t="shared" si="6"/>
        <v>0</v>
      </c>
      <c r="AE21" s="4">
        <f t="shared" si="7"/>
        <v>0</v>
      </c>
      <c r="AF21" s="4">
        <f t="shared" si="7"/>
        <v>0</v>
      </c>
      <c r="AG21" s="4">
        <f t="shared" si="7"/>
        <v>0</v>
      </c>
      <c r="AH21" s="4">
        <f t="shared" si="8"/>
        <v>0</v>
      </c>
      <c r="AI21" s="4">
        <f t="shared" si="8"/>
        <v>0</v>
      </c>
      <c r="AJ21" s="4">
        <f t="shared" si="8"/>
        <v>0</v>
      </c>
      <c r="AK21" s="4">
        <f t="shared" si="9"/>
        <v>0</v>
      </c>
      <c r="AL21" s="4">
        <f t="shared" si="9"/>
        <v>0</v>
      </c>
      <c r="AM21" s="4">
        <f t="shared" si="9"/>
        <v>0</v>
      </c>
      <c r="AN21" s="4">
        <f t="shared" si="10"/>
        <v>0</v>
      </c>
      <c r="AO21" s="4">
        <f t="shared" si="10"/>
        <v>0</v>
      </c>
      <c r="AP21" s="4">
        <f t="shared" si="10"/>
        <v>0</v>
      </c>
      <c r="AQ21" s="4">
        <f t="shared" si="11"/>
        <v>0</v>
      </c>
      <c r="AR21" s="4">
        <f t="shared" si="11"/>
        <v>0</v>
      </c>
      <c r="AT21" s="28">
        <v>8</v>
      </c>
      <c r="AU21" s="29" t="str">
        <f>IF($P$21="3L",$Q$21,IF($S$21="3L",$T$21,IF($V$21="3L",$W$21,IF($Y$21="3L",$Z$21,IF($AB$21="3L",$AC$21,IF($AE$21="3L",$AF$21,IF($AH$21="3L",$AI$21,IF($AK$21="3L",$AL$21,IF($AN$21="3L",$AO$21,IF($AQ$21="3L",$AR$21,""))))))))))</f>
        <v/>
      </c>
      <c r="AV21" s="29" t="str">
        <f>IF($P$21="4L",$Q$21,IF($S$21="4L",$T$21,IF($V$21="4L",$W$21,IF($Y$21="4L",$Z$21,IF($AB$21="4L",$AC$21,IF($AE$21="4L",$AF$21,IF($AH$21="4L",$AI$21,IF($AK$21="4L",$AL$21,IF($AN$21="4L",$AO$21,IF($AQ$21="4L",$AR$21,""))))))))))</f>
        <v/>
      </c>
      <c r="AW21" s="29" t="str">
        <f>IF($P$21="5L",$Q$21,IF($S$21="5L",$T$21,IF($V$21="5L",$W$21,IF($Y$21="5L",$Z$21,IF($AB$21="5L",$AC$21,IF($AE$21="5L",$AF$21,IF($AH$21="5L",$AI$21,IF($AK$21="5L",$AL$21,IF($AN$21="5L",$AO$21,IF($AQ$21="5L",$AR$21,""))))))))))</f>
        <v/>
      </c>
      <c r="AX21" s="29" t="str">
        <f>IF($P$21="6L",$Q$21,IF($S$21="6L",$T$21,IF($V$21="6L",$W$21,IF($Y$21="6L",$Z$21,IF($AB$21="6L",$AC$21,IF($AE$21="6L",$AF$21,IF($AH$21="6L",$AI$21,IF($AK$21="6L",$AL$21,IF($AN$21="6L",$AO$21,IF($AQ$21="6L",$AR$21,""))))))))))</f>
        <v/>
      </c>
      <c r="AY21" s="29" t="str">
        <f>IF($P$21="7L",$Q$21,IF($S$21="7L",$T$21,IF($V$21="7L",$W$21,IF($Y$21="7L",$Z$21,IF($AB$21="7L",$AC$21,IF($AE$21="7L",$AF$21,IF($AH$21="7L",$AI$21,IF($AK$21="7L",$AL$21,IF($AN$21="7L",$AO$21,IF($AQ$21="7L",$AR$21,""))))))))))</f>
        <v/>
      </c>
      <c r="AZ21" s="29" t="str">
        <f t="shared" si="12"/>
        <v/>
      </c>
      <c r="BA21" s="29" t="str">
        <f t="shared" si="13"/>
        <v/>
      </c>
      <c r="BB21" s="29" t="str">
        <f t="shared" si="14"/>
        <v/>
      </c>
      <c r="BC21" s="29" t="str">
        <f t="shared" si="15"/>
        <v/>
      </c>
      <c r="BD21" s="29" t="str">
        <f>IF($P$21="FUM",$Q$21,IF($S$21="FUM",$T$21,IF($V$21="FUM",$W$21,IF($Y$21="FUM",$Z$21,IF($AB$21="FUM",$AC$21,IF($AE$21="FUM",$AF$21,IF($AH$21="FUM",$AI$21,IF($AK$21="FUM",$AL$21,IF($AN$21="FUM",$AO$21,IF($AQ$21="FUM",$AR$21,""))))))))))</f>
        <v/>
      </c>
    </row>
    <row r="22" spans="8:56" hidden="1" x14ac:dyDescent="0.25">
      <c r="H22" s="4">
        <f t="shared" si="1"/>
        <v>0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O22" s="28">
        <f t="shared" si="16"/>
        <v>0</v>
      </c>
      <c r="P22" s="4">
        <f t="shared" si="2"/>
        <v>0</v>
      </c>
      <c r="Q22" s="4">
        <f t="shared" si="2"/>
        <v>0</v>
      </c>
      <c r="R22" s="4">
        <f t="shared" si="2"/>
        <v>0</v>
      </c>
      <c r="S22" s="4">
        <f t="shared" si="3"/>
        <v>0</v>
      </c>
      <c r="T22" s="4">
        <f t="shared" si="3"/>
        <v>0</v>
      </c>
      <c r="U22" s="4">
        <f t="shared" si="3"/>
        <v>0</v>
      </c>
      <c r="V22" s="4">
        <f t="shared" si="4"/>
        <v>0</v>
      </c>
      <c r="W22" s="4">
        <f t="shared" si="4"/>
        <v>0</v>
      </c>
      <c r="X22" s="4">
        <f t="shared" si="4"/>
        <v>0</v>
      </c>
      <c r="Y22" s="4">
        <f t="shared" si="5"/>
        <v>0</v>
      </c>
      <c r="Z22" s="4">
        <f t="shared" si="5"/>
        <v>0</v>
      </c>
      <c r="AA22" s="4">
        <f t="shared" si="5"/>
        <v>0</v>
      </c>
      <c r="AB22" s="4">
        <f t="shared" si="6"/>
        <v>0</v>
      </c>
      <c r="AC22" s="4">
        <f t="shared" si="6"/>
        <v>0</v>
      </c>
      <c r="AD22" s="4">
        <f t="shared" si="6"/>
        <v>0</v>
      </c>
      <c r="AE22" s="4">
        <f t="shared" si="7"/>
        <v>0</v>
      </c>
      <c r="AF22" s="4">
        <f t="shared" si="7"/>
        <v>0</v>
      </c>
      <c r="AG22" s="4">
        <f t="shared" si="7"/>
        <v>0</v>
      </c>
      <c r="AH22" s="4">
        <f t="shared" si="8"/>
        <v>0</v>
      </c>
      <c r="AI22" s="4">
        <f t="shared" si="8"/>
        <v>0</v>
      </c>
      <c r="AJ22" s="4">
        <f t="shared" si="8"/>
        <v>0</v>
      </c>
      <c r="AK22" s="4">
        <f t="shared" si="9"/>
        <v>0</v>
      </c>
      <c r="AL22" s="4">
        <f t="shared" si="9"/>
        <v>0</v>
      </c>
      <c r="AM22" s="4">
        <f t="shared" si="9"/>
        <v>0</v>
      </c>
      <c r="AN22" s="4">
        <f t="shared" si="10"/>
        <v>0</v>
      </c>
      <c r="AO22" s="4">
        <f t="shared" si="10"/>
        <v>0</v>
      </c>
      <c r="AP22" s="4">
        <f t="shared" si="10"/>
        <v>0</v>
      </c>
      <c r="AQ22" s="4">
        <f t="shared" si="11"/>
        <v>0</v>
      </c>
      <c r="AR22" s="4">
        <f t="shared" si="11"/>
        <v>0</v>
      </c>
      <c r="AT22" s="28">
        <v>9</v>
      </c>
      <c r="AU22" s="29" t="str">
        <f>IF($P$22="3L",$Q$22,IF($S$22="3L",$T$22,IF($V$22="3L",$W$22,IF($Y$22="3L",$Z$22,IF($AB$22="3L",$AC$22,IF($AE$22="3L",$AF$22,IF($AH$22="3L",$AI$22,IF($AK$22="3L",$AL$22,IF($AN$22="3L",$AO$22,IF($AQ$22="3L",$AR$22,""))))))))))</f>
        <v/>
      </c>
      <c r="AV22" s="29" t="str">
        <f>IF($P$22="4L",$Q$22,IF($S$22="4L",$T$22,IF($V$22="4L",$W$22,IF($Y$22="4L",$Z$22,IF($AB$22="4L",$AC$22,IF($AE$22="4L",$AF$22,IF($AH$22="4L",$AI$22,IF($AK$22="4L",$AL$22,IF($AN$22="4L",$AO$22,IF($AQ$22="4L",$AR$22,""))))))))))</f>
        <v/>
      </c>
      <c r="AW22" s="29" t="str">
        <f>IF($P$22="5L",$Q$22,IF($S$22="5L",$T$22,IF($V$22="5L",$W$22,IF($Y$22="5L",$Z$22,IF($AB$22="5L",$AC$22,IF($AE$22="5L",$AF$22,IF($AH$22="5L",$AI$22,IF($AK$22="5L",$AL$22,IF($AN$22="5L",$AO$22,IF($AQ$22="5L",$AR$22,""))))))))))</f>
        <v/>
      </c>
      <c r="AX22" s="29" t="str">
        <f>IF($P$22="6L",$Q$22,IF($S$22="6L",$T$22,IF($V$22="6L",$W$22,IF($Y$22="6L",$Z$22,IF($AB$22="6L",$AC$22,IF($AE$22="6L",$AF$22,IF($AH$22="6L",$AI$22,IF($AK$22="6L",$AL$22,IF($AN$22="6L",$AO$22,IF($AQ$22="6L",$AR$22,""))))))))))</f>
        <v/>
      </c>
      <c r="AY22" s="29" t="str">
        <f>IF($P$22="7L",$Q$22,IF($S$22="7L",$T$22,IF($V$22="7L",$W$22,IF($Y$22="7L",$Z$22,IF($AB$22="7L",$AC$22,IF($AE$22="7L",$AF$22,IF($AH$22="7L",$AI$22,IF($AK$22="7L",$AL$22,IF($AN$22="7L",$AO$22,IF($AQ$22="7L",$AR$22,""))))))))))</f>
        <v/>
      </c>
      <c r="AZ22" s="29" t="str">
        <f t="shared" si="12"/>
        <v/>
      </c>
      <c r="BA22" s="29" t="str">
        <f t="shared" si="13"/>
        <v/>
      </c>
      <c r="BB22" s="29" t="str">
        <f t="shared" si="14"/>
        <v/>
      </c>
      <c r="BC22" s="29" t="str">
        <f t="shared" si="15"/>
        <v/>
      </c>
      <c r="BD22" s="29" t="str">
        <f>IF($P$22="FUM",$Q$22,IF($S$22="FUM",$T$22,IF($V$22="FUM",$W$22,IF($Y$22="FUM",$Z$22,IF($AB$22="FUM",$AC$22,IF($AE$22="FUM",$AF$22,IF($AH$22="FUM",$AI$22,IF($AK$22="FUM",$AL$22,IF($AN$22="FUM",$AO$22,IF($AQ$22="FUM",$AR$22,""))))))))))</f>
        <v/>
      </c>
    </row>
    <row r="23" spans="8:56" hidden="1" x14ac:dyDescent="0.25">
      <c r="H23" s="4">
        <f t="shared" si="1"/>
        <v>0</v>
      </c>
      <c r="I23" s="4">
        <f t="shared" si="1"/>
        <v>0</v>
      </c>
      <c r="J23" s="4">
        <f t="shared" si="1"/>
        <v>0</v>
      </c>
      <c r="K23" s="4">
        <f t="shared" si="1"/>
        <v>0</v>
      </c>
      <c r="L23" s="4">
        <f t="shared" si="1"/>
        <v>0</v>
      </c>
      <c r="O23" s="28">
        <f t="shared" si="16"/>
        <v>0</v>
      </c>
      <c r="P23" s="4">
        <f t="shared" si="2"/>
        <v>0</v>
      </c>
      <c r="Q23" s="4">
        <f t="shared" si="2"/>
        <v>0</v>
      </c>
      <c r="R23" s="4">
        <f t="shared" si="2"/>
        <v>0</v>
      </c>
      <c r="S23" s="4">
        <f t="shared" si="3"/>
        <v>0</v>
      </c>
      <c r="T23" s="4">
        <f t="shared" si="3"/>
        <v>0</v>
      </c>
      <c r="U23" s="4">
        <f t="shared" si="3"/>
        <v>0</v>
      </c>
      <c r="V23" s="4">
        <f t="shared" si="4"/>
        <v>0</v>
      </c>
      <c r="W23" s="4">
        <f t="shared" si="4"/>
        <v>0</v>
      </c>
      <c r="X23" s="4">
        <f t="shared" si="4"/>
        <v>0</v>
      </c>
      <c r="Y23" s="4">
        <f t="shared" si="5"/>
        <v>0</v>
      </c>
      <c r="Z23" s="4">
        <f t="shared" si="5"/>
        <v>0</v>
      </c>
      <c r="AA23" s="4">
        <f t="shared" si="5"/>
        <v>0</v>
      </c>
      <c r="AB23" s="4">
        <f t="shared" si="6"/>
        <v>0</v>
      </c>
      <c r="AC23" s="4">
        <f t="shared" si="6"/>
        <v>0</v>
      </c>
      <c r="AD23" s="4">
        <f t="shared" si="6"/>
        <v>0</v>
      </c>
      <c r="AE23" s="4">
        <f t="shared" si="7"/>
        <v>0</v>
      </c>
      <c r="AF23" s="4">
        <f t="shared" si="7"/>
        <v>0</v>
      </c>
      <c r="AG23" s="4">
        <f t="shared" si="7"/>
        <v>0</v>
      </c>
      <c r="AH23" s="4">
        <f t="shared" si="8"/>
        <v>0</v>
      </c>
      <c r="AI23" s="4">
        <f t="shared" si="8"/>
        <v>0</v>
      </c>
      <c r="AJ23" s="4">
        <f t="shared" si="8"/>
        <v>0</v>
      </c>
      <c r="AK23" s="4">
        <f t="shared" si="9"/>
        <v>0</v>
      </c>
      <c r="AL23" s="4">
        <f t="shared" si="9"/>
        <v>0</v>
      </c>
      <c r="AM23" s="4">
        <f t="shared" si="9"/>
        <v>0</v>
      </c>
      <c r="AN23" s="4">
        <f t="shared" si="10"/>
        <v>0</v>
      </c>
      <c r="AO23" s="4">
        <f t="shared" si="10"/>
        <v>0</v>
      </c>
      <c r="AP23" s="4">
        <f t="shared" si="10"/>
        <v>0</v>
      </c>
      <c r="AQ23" s="4">
        <f t="shared" si="11"/>
        <v>0</v>
      </c>
      <c r="AR23" s="4">
        <f t="shared" si="11"/>
        <v>0</v>
      </c>
      <c r="AT23" s="28">
        <v>10</v>
      </c>
      <c r="AU23" s="29" t="str">
        <f>IF($P$23="3L",$Q$23,IF($S$23="3L",$T$23,IF($V$23="3L",$W$23,IF($Y$23="3L",$Z$23,IF($AB$23="3L",$AC$23,IF($AE$23="3L",$AF$23,IF($AH$23="3L",$AI$23,IF($AK$23="3L",$AL$23,IF($AN$23="3L",$AO$23,IF($AQ$23="3L",$AR$23,""))))))))))</f>
        <v/>
      </c>
      <c r="AV23" s="29" t="str">
        <f>IF($P$23="4L",$Q$23,IF($S$23="4L",$T$23,IF($V$23="4L",$W$23,IF($Y$23="4L",$Z$23,IF($AB$23="4L",$AC$23,IF($AE$23="4L",$AF$23,IF($AH$23="4L",$AI$23,IF($AK$23="4L",$AL$23,IF($AN$23="4L",$AO$23,IF($AQ$23="4L",$AR$23,""))))))))))</f>
        <v/>
      </c>
      <c r="AW23" s="29" t="str">
        <f>IF($P$23="5L",$Q$23,IF($S$23="5L",$T$23,IF($V$23="5L",$W$23,IF($Y$23="5L",$Z$23,IF($AB$23="5L",$AC$23,IF($AE$23="5L",$AF$23,IF($AH$23="5L",$AI$23,IF($AK$23="5L",$AL$23,IF($AN$23="5L",$AO$23,IF($AQ$23="5L",$AR$23,""))))))))))</f>
        <v/>
      </c>
      <c r="AX23" s="29" t="str">
        <f>IF($P$23="6L",$Q$23,IF($S$23="6L",$T$23,IF($V$23="6L",$W$23,IF($Y$23="6L",$Z$23,IF($AB$23="6L",$AC$23,IF($AE$23="6L",$AF$23,IF($AH$23="6L",$AI$23,IF($AK$23="6L",$AL$23,IF($AN$23="6L",$AO$23,IF($AQ$23="6L",$AR$23,""))))))))))</f>
        <v/>
      </c>
      <c r="AY23" s="29" t="str">
        <f>IF($P$23="7L",$Q$23,IF($S$23="7L",$T$23,IF($V$23="7L",$W$23,IF($Y$23="7L",$Z$23,IF($AB$23="7L",$AC$23,IF($AE$23="7L",$AF$23,IF($AH$23="7L",$AI$23,IF($AK$23="7L",$AL$23,IF($AN$23="7L",$AO$23,IF($AQ$23="7L",$AR$23,""))))))))))</f>
        <v/>
      </c>
      <c r="AZ23" s="29" t="str">
        <f t="shared" si="12"/>
        <v/>
      </c>
      <c r="BA23" s="29" t="str">
        <f t="shared" si="13"/>
        <v/>
      </c>
      <c r="BB23" s="29" t="str">
        <f t="shared" si="14"/>
        <v/>
      </c>
      <c r="BC23" s="29" t="str">
        <f t="shared" si="15"/>
        <v/>
      </c>
      <c r="BD23" s="29" t="str">
        <f>IF($P$23="FUM",$Q$23,IF($S$23="FUM",$T$23,IF($V$23="FUM",$W$23,IF($Y$23="FUM",$Z$23,IF($AB$23="FUM",$AC$23,IF($AE$23="FUM",$AF$23,IF($AH$23="FUM",$AI$23,IF($AK$23="FUM",$AL$23,IF($AN$23="FUM",$AO$23,IF($AQ$23="FUM",$AR$23,""))))))))))</f>
        <v/>
      </c>
    </row>
    <row r="24" spans="8:56" hidden="1" x14ac:dyDescent="0.25">
      <c r="H24" s="4" t="str">
        <f t="shared" ref="H24:L33" si="17">P2</f>
        <v>AG</v>
      </c>
      <c r="I24" s="4">
        <f t="shared" si="17"/>
        <v>1000</v>
      </c>
      <c r="J24" s="4">
        <f t="shared" si="17"/>
        <v>10</v>
      </c>
      <c r="K24" s="4" t="str">
        <f t="shared" si="17"/>
        <v>Y</v>
      </c>
      <c r="L24" s="4" t="str">
        <f t="shared" si="17"/>
        <v>3L</v>
      </c>
    </row>
    <row r="25" spans="8:56" hidden="1" x14ac:dyDescent="0.25">
      <c r="H25" s="4">
        <f t="shared" si="17"/>
        <v>0</v>
      </c>
      <c r="I25" s="4">
        <f t="shared" si="17"/>
        <v>0</v>
      </c>
      <c r="J25" s="4">
        <f t="shared" si="17"/>
        <v>0</v>
      </c>
      <c r="K25" s="4">
        <f t="shared" si="17"/>
        <v>0</v>
      </c>
      <c r="L25" s="4">
        <f t="shared" si="17"/>
        <v>0</v>
      </c>
    </row>
    <row r="26" spans="8:56" hidden="1" x14ac:dyDescent="0.25">
      <c r="H26" s="4">
        <f t="shared" si="17"/>
        <v>0</v>
      </c>
      <c r="I26" s="4">
        <f t="shared" si="17"/>
        <v>0</v>
      </c>
      <c r="J26" s="4">
        <f t="shared" si="17"/>
        <v>0</v>
      </c>
      <c r="K26" s="4">
        <f t="shared" si="17"/>
        <v>0</v>
      </c>
      <c r="L26" s="4">
        <f t="shared" si="17"/>
        <v>0</v>
      </c>
    </row>
    <row r="27" spans="8:56" hidden="1" x14ac:dyDescent="0.25">
      <c r="H27" s="4">
        <f t="shared" si="17"/>
        <v>0</v>
      </c>
      <c r="I27" s="4">
        <f t="shared" si="17"/>
        <v>0</v>
      </c>
      <c r="J27" s="4">
        <f t="shared" si="17"/>
        <v>0</v>
      </c>
      <c r="K27" s="4">
        <f t="shared" si="17"/>
        <v>0</v>
      </c>
      <c r="L27" s="4">
        <f t="shared" si="17"/>
        <v>0</v>
      </c>
    </row>
    <row r="28" spans="8:56" hidden="1" x14ac:dyDescent="0.25">
      <c r="H28" s="4">
        <f t="shared" si="17"/>
        <v>0</v>
      </c>
      <c r="I28" s="4">
        <f t="shared" si="17"/>
        <v>0</v>
      </c>
      <c r="J28" s="4">
        <f t="shared" si="17"/>
        <v>0</v>
      </c>
      <c r="K28" s="4">
        <f t="shared" si="17"/>
        <v>0</v>
      </c>
      <c r="L28" s="4">
        <f t="shared" si="17"/>
        <v>0</v>
      </c>
    </row>
    <row r="29" spans="8:56" hidden="1" x14ac:dyDescent="0.25"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</row>
    <row r="30" spans="8:56" hidden="1" x14ac:dyDescent="0.25">
      <c r="H30" s="4">
        <f t="shared" si="17"/>
        <v>0</v>
      </c>
      <c r="I30" s="4">
        <f t="shared" si="17"/>
        <v>0</v>
      </c>
      <c r="J30" s="4">
        <f t="shared" si="17"/>
        <v>0</v>
      </c>
      <c r="K30" s="4">
        <f t="shared" si="17"/>
        <v>0</v>
      </c>
      <c r="L30" s="4">
        <f t="shared" si="17"/>
        <v>0</v>
      </c>
    </row>
    <row r="31" spans="8:56" hidden="1" x14ac:dyDescent="0.25">
      <c r="H31" s="4">
        <f t="shared" si="17"/>
        <v>0</v>
      </c>
      <c r="I31" s="4">
        <f t="shared" si="17"/>
        <v>0</v>
      </c>
      <c r="J31" s="4">
        <f t="shared" si="17"/>
        <v>0</v>
      </c>
      <c r="K31" s="4">
        <f t="shared" si="17"/>
        <v>0</v>
      </c>
      <c r="L31" s="4">
        <f t="shared" si="17"/>
        <v>0</v>
      </c>
    </row>
    <row r="32" spans="8:56" hidden="1" x14ac:dyDescent="0.25">
      <c r="H32" s="4">
        <f t="shared" si="17"/>
        <v>0</v>
      </c>
      <c r="I32" s="4">
        <f t="shared" si="17"/>
        <v>0</v>
      </c>
      <c r="J32" s="4">
        <f t="shared" si="17"/>
        <v>0</v>
      </c>
      <c r="K32" s="4">
        <f t="shared" si="17"/>
        <v>0</v>
      </c>
      <c r="L32" s="4">
        <f t="shared" si="17"/>
        <v>0</v>
      </c>
    </row>
    <row r="33" spans="8:12" hidden="1" x14ac:dyDescent="0.25">
      <c r="H33" s="4">
        <f t="shared" si="17"/>
        <v>0</v>
      </c>
      <c r="I33" s="4">
        <f t="shared" si="17"/>
        <v>0</v>
      </c>
      <c r="J33" s="4">
        <f t="shared" si="17"/>
        <v>0</v>
      </c>
      <c r="K33" s="4">
        <f t="shared" si="17"/>
        <v>0</v>
      </c>
      <c r="L33" s="4">
        <f t="shared" si="17"/>
        <v>0</v>
      </c>
    </row>
    <row r="34" spans="8:12" hidden="1" x14ac:dyDescent="0.25">
      <c r="H34" s="4" t="str">
        <f t="shared" ref="H34:L43" si="18">V2</f>
        <v>AG</v>
      </c>
      <c r="I34" s="4">
        <f t="shared" si="18"/>
        <v>750</v>
      </c>
      <c r="J34" s="4">
        <f t="shared" si="18"/>
        <v>10</v>
      </c>
      <c r="K34" s="4" t="str">
        <f t="shared" si="18"/>
        <v>Y</v>
      </c>
      <c r="L34" s="4" t="str">
        <f t="shared" si="18"/>
        <v>3L</v>
      </c>
    </row>
    <row r="35" spans="8:12" hidden="1" x14ac:dyDescent="0.25">
      <c r="H35" s="4">
        <f t="shared" si="18"/>
        <v>0</v>
      </c>
      <c r="I35" s="4">
        <f t="shared" si="18"/>
        <v>0</v>
      </c>
      <c r="J35" s="4">
        <f t="shared" si="18"/>
        <v>0</v>
      </c>
      <c r="K35" s="4">
        <f t="shared" si="18"/>
        <v>0</v>
      </c>
      <c r="L35" s="4">
        <f t="shared" si="18"/>
        <v>0</v>
      </c>
    </row>
    <row r="36" spans="8:12" hidden="1" x14ac:dyDescent="0.25">
      <c r="H36" s="4">
        <f t="shared" si="18"/>
        <v>0</v>
      </c>
      <c r="I36" s="4">
        <f t="shared" si="18"/>
        <v>0</v>
      </c>
      <c r="J36" s="4">
        <f t="shared" si="18"/>
        <v>0</v>
      </c>
      <c r="K36" s="4">
        <f t="shared" si="18"/>
        <v>0</v>
      </c>
      <c r="L36" s="4">
        <f t="shared" si="18"/>
        <v>0</v>
      </c>
    </row>
    <row r="37" spans="8:12" hidden="1" x14ac:dyDescent="0.25">
      <c r="H37" s="4">
        <f t="shared" si="18"/>
        <v>0</v>
      </c>
      <c r="I37" s="4">
        <f t="shared" si="18"/>
        <v>0</v>
      </c>
      <c r="J37" s="4">
        <f t="shared" si="18"/>
        <v>0</v>
      </c>
      <c r="K37" s="4">
        <f t="shared" si="18"/>
        <v>0</v>
      </c>
      <c r="L37" s="4">
        <f t="shared" si="18"/>
        <v>0</v>
      </c>
    </row>
    <row r="38" spans="8:12" hidden="1" x14ac:dyDescent="0.25">
      <c r="H38" s="4">
        <f t="shared" si="18"/>
        <v>0</v>
      </c>
      <c r="I38" s="4">
        <f t="shared" si="18"/>
        <v>0</v>
      </c>
      <c r="J38" s="4">
        <f t="shared" si="18"/>
        <v>0</v>
      </c>
      <c r="K38" s="4">
        <f t="shared" si="18"/>
        <v>0</v>
      </c>
      <c r="L38" s="4">
        <f t="shared" si="18"/>
        <v>0</v>
      </c>
    </row>
    <row r="39" spans="8:12" hidden="1" x14ac:dyDescent="0.25">
      <c r="H39" s="4">
        <f t="shared" si="18"/>
        <v>0</v>
      </c>
      <c r="I39" s="4">
        <f t="shared" si="18"/>
        <v>0</v>
      </c>
      <c r="J39" s="4">
        <f t="shared" si="18"/>
        <v>0</v>
      </c>
      <c r="K39" s="4">
        <f t="shared" si="18"/>
        <v>0</v>
      </c>
      <c r="L39" s="4">
        <f t="shared" si="18"/>
        <v>0</v>
      </c>
    </row>
    <row r="40" spans="8:12" hidden="1" x14ac:dyDescent="0.25">
      <c r="H40" s="4">
        <f t="shared" si="18"/>
        <v>0</v>
      </c>
      <c r="I40" s="4">
        <f t="shared" si="18"/>
        <v>0</v>
      </c>
      <c r="J40" s="4">
        <f t="shared" si="18"/>
        <v>0</v>
      </c>
      <c r="K40" s="4">
        <f t="shared" si="18"/>
        <v>0</v>
      </c>
      <c r="L40" s="4">
        <f t="shared" si="18"/>
        <v>0</v>
      </c>
    </row>
    <row r="41" spans="8:12" hidden="1" x14ac:dyDescent="0.25">
      <c r="H41" s="4">
        <f t="shared" si="18"/>
        <v>0</v>
      </c>
      <c r="I41" s="4">
        <f t="shared" si="18"/>
        <v>0</v>
      </c>
      <c r="J41" s="4">
        <f t="shared" si="18"/>
        <v>0</v>
      </c>
      <c r="K41" s="4">
        <f t="shared" si="18"/>
        <v>0</v>
      </c>
      <c r="L41" s="4">
        <f t="shared" si="18"/>
        <v>0</v>
      </c>
    </row>
    <row r="42" spans="8:12" hidden="1" x14ac:dyDescent="0.25">
      <c r="H42" s="4">
        <f t="shared" si="18"/>
        <v>0</v>
      </c>
      <c r="I42" s="4">
        <f t="shared" si="18"/>
        <v>0</v>
      </c>
      <c r="J42" s="4">
        <f t="shared" si="18"/>
        <v>0</v>
      </c>
      <c r="K42" s="4">
        <f t="shared" si="18"/>
        <v>0</v>
      </c>
      <c r="L42" s="4">
        <f t="shared" si="18"/>
        <v>0</v>
      </c>
    </row>
    <row r="43" spans="8:12" hidden="1" x14ac:dyDescent="0.25">
      <c r="H43" s="4">
        <f t="shared" si="18"/>
        <v>0</v>
      </c>
      <c r="I43" s="4">
        <f t="shared" si="18"/>
        <v>0</v>
      </c>
      <c r="J43" s="4">
        <f t="shared" si="18"/>
        <v>0</v>
      </c>
      <c r="K43" s="4">
        <f t="shared" si="18"/>
        <v>0</v>
      </c>
      <c r="L43" s="4">
        <f t="shared" si="18"/>
        <v>0</v>
      </c>
    </row>
    <row r="44" spans="8:12" hidden="1" x14ac:dyDescent="0.25">
      <c r="H44" s="4" t="str">
        <f t="shared" ref="H44:L53" si="19">AB2</f>
        <v>AG</v>
      </c>
      <c r="I44" s="4">
        <f t="shared" si="19"/>
        <v>500</v>
      </c>
      <c r="J44" s="4">
        <f t="shared" si="19"/>
        <v>20</v>
      </c>
      <c r="K44" s="4" t="str">
        <f t="shared" si="19"/>
        <v>Y</v>
      </c>
      <c r="L44" s="4" t="str">
        <f t="shared" si="19"/>
        <v>3L</v>
      </c>
    </row>
    <row r="45" spans="8:12" hidden="1" x14ac:dyDescent="0.25">
      <c r="H45" s="4">
        <f t="shared" si="19"/>
        <v>0</v>
      </c>
      <c r="I45" s="4">
        <f t="shared" si="19"/>
        <v>0</v>
      </c>
      <c r="J45" s="4">
        <f t="shared" si="19"/>
        <v>0</v>
      </c>
      <c r="K45" s="4">
        <f t="shared" si="19"/>
        <v>0</v>
      </c>
      <c r="L45" s="4">
        <f t="shared" si="19"/>
        <v>0</v>
      </c>
    </row>
    <row r="46" spans="8:12" hidden="1" x14ac:dyDescent="0.25">
      <c r="H46" s="4">
        <f t="shared" si="19"/>
        <v>0</v>
      </c>
      <c r="I46" s="4">
        <f t="shared" si="19"/>
        <v>0</v>
      </c>
      <c r="J46" s="4">
        <f t="shared" si="19"/>
        <v>0</v>
      </c>
      <c r="K46" s="4">
        <f t="shared" si="19"/>
        <v>0</v>
      </c>
      <c r="L46" s="4">
        <f t="shared" si="19"/>
        <v>0</v>
      </c>
    </row>
    <row r="47" spans="8:12" hidden="1" x14ac:dyDescent="0.25">
      <c r="H47" s="4">
        <f t="shared" si="19"/>
        <v>0</v>
      </c>
      <c r="I47" s="4">
        <f t="shared" si="19"/>
        <v>0</v>
      </c>
      <c r="J47" s="4">
        <f t="shared" si="19"/>
        <v>0</v>
      </c>
      <c r="K47" s="4">
        <f t="shared" si="19"/>
        <v>0</v>
      </c>
      <c r="L47" s="4">
        <f t="shared" si="19"/>
        <v>0</v>
      </c>
    </row>
    <row r="48" spans="8:12" hidden="1" x14ac:dyDescent="0.25">
      <c r="H48" s="4">
        <f t="shared" si="19"/>
        <v>0</v>
      </c>
      <c r="I48" s="4">
        <f t="shared" si="19"/>
        <v>0</v>
      </c>
      <c r="J48" s="4">
        <f t="shared" si="19"/>
        <v>0</v>
      </c>
      <c r="K48" s="4">
        <f t="shared" si="19"/>
        <v>0</v>
      </c>
      <c r="L48" s="4">
        <f t="shared" si="19"/>
        <v>0</v>
      </c>
    </row>
    <row r="49" spans="8:12" hidden="1" x14ac:dyDescent="0.25">
      <c r="H49" s="4">
        <f t="shared" si="19"/>
        <v>0</v>
      </c>
      <c r="I49" s="4">
        <f t="shared" si="19"/>
        <v>0</v>
      </c>
      <c r="J49" s="4">
        <f t="shared" si="19"/>
        <v>0</v>
      </c>
      <c r="K49" s="4">
        <f t="shared" si="19"/>
        <v>0</v>
      </c>
      <c r="L49" s="4">
        <f t="shared" si="19"/>
        <v>0</v>
      </c>
    </row>
    <row r="50" spans="8:12" hidden="1" x14ac:dyDescent="0.25">
      <c r="H50" s="4">
        <f t="shared" si="19"/>
        <v>0</v>
      </c>
      <c r="I50" s="4">
        <f t="shared" si="19"/>
        <v>0</v>
      </c>
      <c r="J50" s="4">
        <f t="shared" si="19"/>
        <v>0</v>
      </c>
      <c r="K50" s="4">
        <f t="shared" si="19"/>
        <v>0</v>
      </c>
      <c r="L50" s="4">
        <f t="shared" si="19"/>
        <v>0</v>
      </c>
    </row>
    <row r="51" spans="8:12" hidden="1" x14ac:dyDescent="0.25">
      <c r="H51" s="4">
        <f t="shared" si="19"/>
        <v>0</v>
      </c>
      <c r="I51" s="4">
        <f t="shared" si="19"/>
        <v>0</v>
      </c>
      <c r="J51" s="4">
        <f t="shared" si="19"/>
        <v>0</v>
      </c>
      <c r="K51" s="4">
        <f t="shared" si="19"/>
        <v>0</v>
      </c>
      <c r="L51" s="4">
        <f t="shared" si="19"/>
        <v>0</v>
      </c>
    </row>
    <row r="52" spans="8:12" hidden="1" x14ac:dyDescent="0.25">
      <c r="H52" s="4">
        <f t="shared" si="19"/>
        <v>0</v>
      </c>
      <c r="I52" s="4">
        <f t="shared" si="19"/>
        <v>0</v>
      </c>
      <c r="J52" s="4">
        <f t="shared" si="19"/>
        <v>0</v>
      </c>
      <c r="K52" s="4">
        <f t="shared" si="19"/>
        <v>0</v>
      </c>
      <c r="L52" s="4">
        <f t="shared" si="19"/>
        <v>0</v>
      </c>
    </row>
    <row r="53" spans="8:12" hidden="1" x14ac:dyDescent="0.25">
      <c r="H53" s="4">
        <f t="shared" si="19"/>
        <v>0</v>
      </c>
      <c r="I53" s="4">
        <f t="shared" si="19"/>
        <v>0</v>
      </c>
      <c r="J53" s="4">
        <f t="shared" si="19"/>
        <v>0</v>
      </c>
      <c r="K53" s="4">
        <f t="shared" si="19"/>
        <v>0</v>
      </c>
      <c r="L53" s="4">
        <f t="shared" si="19"/>
        <v>0</v>
      </c>
    </row>
    <row r="54" spans="8:12" hidden="1" x14ac:dyDescent="0.25">
      <c r="H54" s="4">
        <f t="shared" ref="H54:L63" si="20">AH2</f>
        <v>0</v>
      </c>
      <c r="I54" s="4">
        <f t="shared" si="20"/>
        <v>0</v>
      </c>
      <c r="J54" s="4">
        <f t="shared" si="20"/>
        <v>0</v>
      </c>
      <c r="K54" s="4">
        <f t="shared" si="20"/>
        <v>0</v>
      </c>
      <c r="L54" s="4">
        <f t="shared" si="20"/>
        <v>0</v>
      </c>
    </row>
    <row r="55" spans="8:12" hidden="1" x14ac:dyDescent="0.25">
      <c r="H55" s="4">
        <f t="shared" si="20"/>
        <v>0</v>
      </c>
      <c r="I55" s="4">
        <f t="shared" si="20"/>
        <v>0</v>
      </c>
      <c r="J55" s="4">
        <f t="shared" si="20"/>
        <v>0</v>
      </c>
      <c r="K55" s="4">
        <f t="shared" si="20"/>
        <v>0</v>
      </c>
      <c r="L55" s="4">
        <f t="shared" si="20"/>
        <v>0</v>
      </c>
    </row>
    <row r="56" spans="8:12" hidden="1" x14ac:dyDescent="0.25">
      <c r="H56" s="4">
        <f t="shared" si="20"/>
        <v>0</v>
      </c>
      <c r="I56" s="4">
        <f t="shared" si="20"/>
        <v>0</v>
      </c>
      <c r="J56" s="4">
        <f t="shared" si="20"/>
        <v>0</v>
      </c>
      <c r="K56" s="4">
        <f t="shared" si="20"/>
        <v>0</v>
      </c>
      <c r="L56" s="4">
        <f t="shared" si="20"/>
        <v>0</v>
      </c>
    </row>
    <row r="57" spans="8:12" hidden="1" x14ac:dyDescent="0.25">
      <c r="H57" s="4">
        <f t="shared" si="20"/>
        <v>0</v>
      </c>
      <c r="I57" s="4">
        <f t="shared" si="20"/>
        <v>0</v>
      </c>
      <c r="J57" s="4">
        <f t="shared" si="20"/>
        <v>0</v>
      </c>
      <c r="K57" s="4">
        <f t="shared" si="20"/>
        <v>0</v>
      </c>
      <c r="L57" s="4">
        <f t="shared" si="20"/>
        <v>0</v>
      </c>
    </row>
    <row r="58" spans="8:12" hidden="1" x14ac:dyDescent="0.25">
      <c r="H58" s="4">
        <f t="shared" si="20"/>
        <v>0</v>
      </c>
      <c r="I58" s="4">
        <f t="shared" si="20"/>
        <v>0</v>
      </c>
      <c r="J58" s="4">
        <f t="shared" si="20"/>
        <v>0</v>
      </c>
      <c r="K58" s="4">
        <f t="shared" si="20"/>
        <v>0</v>
      </c>
      <c r="L58" s="4">
        <f t="shared" si="20"/>
        <v>0</v>
      </c>
    </row>
    <row r="59" spans="8:12" hidden="1" x14ac:dyDescent="0.25">
      <c r="H59" s="4">
        <f t="shared" si="20"/>
        <v>0</v>
      </c>
      <c r="I59" s="4">
        <f t="shared" si="20"/>
        <v>0</v>
      </c>
      <c r="J59" s="4">
        <f t="shared" si="20"/>
        <v>0</v>
      </c>
      <c r="K59" s="4">
        <f t="shared" si="20"/>
        <v>0</v>
      </c>
      <c r="L59" s="4">
        <f t="shared" si="20"/>
        <v>0</v>
      </c>
    </row>
    <row r="60" spans="8:12" hidden="1" x14ac:dyDescent="0.25">
      <c r="H60" s="4">
        <f t="shared" si="20"/>
        <v>0</v>
      </c>
      <c r="I60" s="4">
        <f t="shared" si="20"/>
        <v>0</v>
      </c>
      <c r="J60" s="4">
        <f t="shared" si="20"/>
        <v>0</v>
      </c>
      <c r="K60" s="4">
        <f t="shared" si="20"/>
        <v>0</v>
      </c>
      <c r="L60" s="4">
        <f t="shared" si="20"/>
        <v>0</v>
      </c>
    </row>
    <row r="61" spans="8:12" hidden="1" x14ac:dyDescent="0.25">
      <c r="H61" s="4">
        <f t="shared" si="20"/>
        <v>0</v>
      </c>
      <c r="I61" s="4">
        <f t="shared" si="20"/>
        <v>0</v>
      </c>
      <c r="J61" s="4">
        <f t="shared" si="20"/>
        <v>0</v>
      </c>
      <c r="K61" s="4">
        <f t="shared" si="20"/>
        <v>0</v>
      </c>
      <c r="L61" s="4">
        <f t="shared" si="20"/>
        <v>0</v>
      </c>
    </row>
    <row r="62" spans="8:12" hidden="1" x14ac:dyDescent="0.25">
      <c r="H62" s="4">
        <f t="shared" si="20"/>
        <v>0</v>
      </c>
      <c r="I62" s="4">
        <f t="shared" si="20"/>
        <v>0</v>
      </c>
      <c r="J62" s="4">
        <f t="shared" si="20"/>
        <v>0</v>
      </c>
      <c r="K62" s="4">
        <f t="shared" si="20"/>
        <v>0</v>
      </c>
      <c r="L62" s="4">
        <f t="shared" si="20"/>
        <v>0</v>
      </c>
    </row>
    <row r="63" spans="8:12" hidden="1" x14ac:dyDescent="0.25">
      <c r="H63" s="4">
        <f t="shared" si="20"/>
        <v>0</v>
      </c>
      <c r="I63" s="4">
        <f t="shared" si="20"/>
        <v>0</v>
      </c>
      <c r="J63" s="4">
        <f t="shared" si="20"/>
        <v>0</v>
      </c>
      <c r="K63" s="4">
        <f t="shared" si="20"/>
        <v>0</v>
      </c>
      <c r="L63" s="4">
        <f t="shared" si="20"/>
        <v>0</v>
      </c>
    </row>
    <row r="64" spans="8:12" hidden="1" x14ac:dyDescent="0.25">
      <c r="H64" s="4">
        <f t="shared" ref="H64:L73" si="21">AN2</f>
        <v>0</v>
      </c>
      <c r="I64" s="4">
        <f t="shared" si="21"/>
        <v>0</v>
      </c>
      <c r="J64" s="4">
        <f t="shared" si="21"/>
        <v>0</v>
      </c>
      <c r="K64" s="4">
        <f t="shared" si="21"/>
        <v>0</v>
      </c>
      <c r="L64" s="4">
        <f t="shared" si="21"/>
        <v>0</v>
      </c>
    </row>
    <row r="65" spans="8:12" hidden="1" x14ac:dyDescent="0.25">
      <c r="H65" s="4">
        <f t="shared" si="21"/>
        <v>0</v>
      </c>
      <c r="I65" s="4">
        <f t="shared" si="21"/>
        <v>0</v>
      </c>
      <c r="J65" s="4">
        <f t="shared" si="21"/>
        <v>0</v>
      </c>
      <c r="K65" s="4">
        <f t="shared" si="21"/>
        <v>0</v>
      </c>
      <c r="L65" s="4">
        <f t="shared" si="21"/>
        <v>0</v>
      </c>
    </row>
    <row r="66" spans="8:12" hidden="1" x14ac:dyDescent="0.25">
      <c r="H66" s="4">
        <f t="shared" si="21"/>
        <v>0</v>
      </c>
      <c r="I66" s="4">
        <f t="shared" si="21"/>
        <v>0</v>
      </c>
      <c r="J66" s="4">
        <f t="shared" si="21"/>
        <v>0</v>
      </c>
      <c r="K66" s="4">
        <f t="shared" si="21"/>
        <v>0</v>
      </c>
      <c r="L66" s="4">
        <f t="shared" si="21"/>
        <v>0</v>
      </c>
    </row>
    <row r="67" spans="8:12" hidden="1" x14ac:dyDescent="0.25">
      <c r="H67" s="4">
        <f t="shared" si="21"/>
        <v>0</v>
      </c>
      <c r="I67" s="4">
        <f t="shared" si="21"/>
        <v>0</v>
      </c>
      <c r="J67" s="4">
        <f t="shared" si="21"/>
        <v>0</v>
      </c>
      <c r="K67" s="4">
        <f t="shared" si="21"/>
        <v>0</v>
      </c>
      <c r="L67" s="4">
        <f t="shared" si="21"/>
        <v>0</v>
      </c>
    </row>
    <row r="68" spans="8:12" hidden="1" x14ac:dyDescent="0.25">
      <c r="H68" s="4">
        <f t="shared" si="21"/>
        <v>0</v>
      </c>
      <c r="I68" s="4">
        <f t="shared" si="21"/>
        <v>0</v>
      </c>
      <c r="J68" s="4">
        <f t="shared" si="21"/>
        <v>0</v>
      </c>
      <c r="K68" s="4">
        <f t="shared" si="21"/>
        <v>0</v>
      </c>
      <c r="L68" s="4">
        <f t="shared" si="21"/>
        <v>0</v>
      </c>
    </row>
    <row r="69" spans="8:12" hidden="1" x14ac:dyDescent="0.25">
      <c r="H69" s="4">
        <f t="shared" si="21"/>
        <v>0</v>
      </c>
      <c r="I69" s="4">
        <f t="shared" si="21"/>
        <v>0</v>
      </c>
      <c r="J69" s="4">
        <f t="shared" si="21"/>
        <v>0</v>
      </c>
      <c r="K69" s="4">
        <f t="shared" si="21"/>
        <v>0</v>
      </c>
      <c r="L69" s="4">
        <f t="shared" si="21"/>
        <v>0</v>
      </c>
    </row>
    <row r="70" spans="8:12" hidden="1" x14ac:dyDescent="0.25">
      <c r="H70" s="4">
        <f t="shared" si="21"/>
        <v>0</v>
      </c>
      <c r="I70" s="4">
        <f t="shared" si="21"/>
        <v>0</v>
      </c>
      <c r="J70" s="4">
        <f t="shared" si="21"/>
        <v>0</v>
      </c>
      <c r="K70" s="4">
        <f t="shared" si="21"/>
        <v>0</v>
      </c>
      <c r="L70" s="4">
        <f t="shared" si="21"/>
        <v>0</v>
      </c>
    </row>
    <row r="71" spans="8:12" hidden="1" x14ac:dyDescent="0.25">
      <c r="H71" s="4">
        <f t="shared" si="21"/>
        <v>0</v>
      </c>
      <c r="I71" s="4">
        <f t="shared" si="21"/>
        <v>0</v>
      </c>
      <c r="J71" s="4">
        <f t="shared" si="21"/>
        <v>0</v>
      </c>
      <c r="K71" s="4">
        <f t="shared" si="21"/>
        <v>0</v>
      </c>
      <c r="L71" s="4">
        <f t="shared" si="21"/>
        <v>0</v>
      </c>
    </row>
    <row r="72" spans="8:12" hidden="1" x14ac:dyDescent="0.25">
      <c r="H72" s="4">
        <f t="shared" si="21"/>
        <v>0</v>
      </c>
      <c r="I72" s="4">
        <f t="shared" si="21"/>
        <v>0</v>
      </c>
      <c r="J72" s="4">
        <f t="shared" si="21"/>
        <v>0</v>
      </c>
      <c r="K72" s="4">
        <f t="shared" si="21"/>
        <v>0</v>
      </c>
      <c r="L72" s="4">
        <f t="shared" si="21"/>
        <v>0</v>
      </c>
    </row>
    <row r="73" spans="8:12" hidden="1" x14ac:dyDescent="0.25">
      <c r="H73" s="4">
        <f t="shared" si="21"/>
        <v>0</v>
      </c>
      <c r="I73" s="4">
        <f t="shared" si="21"/>
        <v>0</v>
      </c>
      <c r="J73" s="4">
        <f t="shared" si="21"/>
        <v>0</v>
      </c>
      <c r="K73" s="4">
        <f t="shared" si="21"/>
        <v>0</v>
      </c>
      <c r="L73" s="4">
        <f t="shared" si="21"/>
        <v>0</v>
      </c>
    </row>
    <row r="74" spans="8:12" hidden="1" x14ac:dyDescent="0.25">
      <c r="H74" s="4">
        <f t="shared" ref="H74:L83" si="22">AT2</f>
        <v>0</v>
      </c>
      <c r="I74" s="4">
        <f t="shared" si="22"/>
        <v>0</v>
      </c>
      <c r="J74" s="4">
        <f t="shared" si="22"/>
        <v>0</v>
      </c>
      <c r="K74" s="4">
        <f t="shared" si="22"/>
        <v>0</v>
      </c>
      <c r="L74" s="4">
        <f t="shared" si="22"/>
        <v>0</v>
      </c>
    </row>
    <row r="75" spans="8:12" hidden="1" x14ac:dyDescent="0.25">
      <c r="H75" s="4">
        <f t="shared" si="22"/>
        <v>0</v>
      </c>
      <c r="I75" s="4">
        <f t="shared" si="22"/>
        <v>0</v>
      </c>
      <c r="J75" s="4">
        <f t="shared" si="22"/>
        <v>0</v>
      </c>
      <c r="K75" s="4">
        <f t="shared" si="22"/>
        <v>0</v>
      </c>
      <c r="L75" s="4">
        <f t="shared" si="22"/>
        <v>0</v>
      </c>
    </row>
    <row r="76" spans="8:12" hidden="1" x14ac:dyDescent="0.25"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0</v>
      </c>
    </row>
    <row r="77" spans="8:12" hidden="1" x14ac:dyDescent="0.25">
      <c r="H77" s="4">
        <f t="shared" si="22"/>
        <v>0</v>
      </c>
      <c r="I77" s="4">
        <f t="shared" si="22"/>
        <v>0</v>
      </c>
      <c r="J77" s="4">
        <f t="shared" si="22"/>
        <v>0</v>
      </c>
      <c r="K77" s="4">
        <f t="shared" si="22"/>
        <v>0</v>
      </c>
      <c r="L77" s="4">
        <f t="shared" si="22"/>
        <v>0</v>
      </c>
    </row>
    <row r="78" spans="8:12" hidden="1" x14ac:dyDescent="0.25">
      <c r="H78" s="4">
        <f t="shared" si="22"/>
        <v>0</v>
      </c>
      <c r="I78" s="4">
        <f t="shared" si="22"/>
        <v>0</v>
      </c>
      <c r="J78" s="4">
        <f t="shared" si="22"/>
        <v>0</v>
      </c>
      <c r="K78" s="4">
        <f t="shared" si="22"/>
        <v>0</v>
      </c>
      <c r="L78" s="4">
        <f t="shared" si="22"/>
        <v>0</v>
      </c>
    </row>
    <row r="79" spans="8:12" hidden="1" x14ac:dyDescent="0.25">
      <c r="H79" s="4">
        <f t="shared" si="22"/>
        <v>0</v>
      </c>
      <c r="I79" s="4">
        <f t="shared" si="22"/>
        <v>0</v>
      </c>
      <c r="J79" s="4">
        <f t="shared" si="22"/>
        <v>0</v>
      </c>
      <c r="K79" s="4">
        <f t="shared" si="22"/>
        <v>0</v>
      </c>
      <c r="L79" s="4">
        <f t="shared" si="22"/>
        <v>0</v>
      </c>
    </row>
    <row r="80" spans="8:12" hidden="1" x14ac:dyDescent="0.25">
      <c r="H80" s="4">
        <f t="shared" si="22"/>
        <v>0</v>
      </c>
      <c r="I80" s="4">
        <f t="shared" si="22"/>
        <v>0</v>
      </c>
      <c r="J80" s="4">
        <f t="shared" si="22"/>
        <v>0</v>
      </c>
      <c r="K80" s="4">
        <f t="shared" si="22"/>
        <v>0</v>
      </c>
      <c r="L80" s="4">
        <f t="shared" si="22"/>
        <v>0</v>
      </c>
    </row>
    <row r="81" spans="8:12" hidden="1" x14ac:dyDescent="0.25">
      <c r="H81" s="4">
        <f t="shared" si="22"/>
        <v>0</v>
      </c>
      <c r="I81" s="4">
        <f t="shared" si="22"/>
        <v>0</v>
      </c>
      <c r="J81" s="4">
        <f t="shared" si="22"/>
        <v>0</v>
      </c>
      <c r="K81" s="4">
        <f t="shared" si="22"/>
        <v>0</v>
      </c>
      <c r="L81" s="4">
        <f t="shared" si="22"/>
        <v>0</v>
      </c>
    </row>
    <row r="82" spans="8:12" hidden="1" x14ac:dyDescent="0.25"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</row>
    <row r="83" spans="8:12" hidden="1" x14ac:dyDescent="0.25">
      <c r="H83" s="4">
        <f t="shared" si="22"/>
        <v>0</v>
      </c>
      <c r="I83" s="4">
        <f t="shared" si="22"/>
        <v>0</v>
      </c>
      <c r="J83" s="4">
        <f t="shared" si="22"/>
        <v>0</v>
      </c>
      <c r="K83" s="4">
        <f t="shared" si="22"/>
        <v>0</v>
      </c>
      <c r="L83" s="4">
        <f t="shared" si="22"/>
        <v>0</v>
      </c>
    </row>
    <row r="84" spans="8:12" hidden="1" x14ac:dyDescent="0.25">
      <c r="H84" s="4">
        <f t="shared" ref="H84:L93" si="23">AZ2</f>
        <v>0</v>
      </c>
      <c r="I84" s="4">
        <f t="shared" si="23"/>
        <v>0</v>
      </c>
      <c r="J84" s="4">
        <f t="shared" si="23"/>
        <v>0</v>
      </c>
      <c r="K84" s="4">
        <f t="shared" si="23"/>
        <v>0</v>
      </c>
      <c r="L84" s="4">
        <f t="shared" si="23"/>
        <v>0</v>
      </c>
    </row>
    <row r="85" spans="8:12" hidden="1" x14ac:dyDescent="0.25">
      <c r="H85" s="4">
        <f t="shared" si="23"/>
        <v>0</v>
      </c>
      <c r="I85" s="4">
        <f t="shared" si="23"/>
        <v>0</v>
      </c>
      <c r="J85" s="4">
        <f t="shared" si="23"/>
        <v>0</v>
      </c>
      <c r="K85" s="4">
        <f t="shared" si="23"/>
        <v>0</v>
      </c>
      <c r="L85" s="4">
        <f t="shared" si="23"/>
        <v>0</v>
      </c>
    </row>
    <row r="86" spans="8:12" hidden="1" x14ac:dyDescent="0.25">
      <c r="H86" s="4">
        <f t="shared" si="23"/>
        <v>0</v>
      </c>
      <c r="I86" s="4">
        <f t="shared" si="23"/>
        <v>0</v>
      </c>
      <c r="J86" s="4">
        <f t="shared" si="23"/>
        <v>0</v>
      </c>
      <c r="K86" s="4">
        <f t="shared" si="23"/>
        <v>0</v>
      </c>
      <c r="L86" s="4">
        <f t="shared" si="23"/>
        <v>0</v>
      </c>
    </row>
    <row r="87" spans="8:12" hidden="1" x14ac:dyDescent="0.25">
      <c r="H87" s="4">
        <f t="shared" si="23"/>
        <v>0</v>
      </c>
      <c r="I87" s="4">
        <f t="shared" si="23"/>
        <v>0</v>
      </c>
      <c r="J87" s="4">
        <f t="shared" si="23"/>
        <v>0</v>
      </c>
      <c r="K87" s="4">
        <f t="shared" si="23"/>
        <v>0</v>
      </c>
      <c r="L87" s="4">
        <f t="shared" si="23"/>
        <v>0</v>
      </c>
    </row>
    <row r="88" spans="8:12" hidden="1" x14ac:dyDescent="0.25">
      <c r="H88" s="4">
        <f t="shared" si="23"/>
        <v>0</v>
      </c>
      <c r="I88" s="4">
        <f t="shared" si="23"/>
        <v>0</v>
      </c>
      <c r="J88" s="4">
        <f t="shared" si="23"/>
        <v>0</v>
      </c>
      <c r="K88" s="4">
        <f t="shared" si="23"/>
        <v>0</v>
      </c>
      <c r="L88" s="4">
        <f t="shared" si="23"/>
        <v>0</v>
      </c>
    </row>
    <row r="89" spans="8:12" hidden="1" x14ac:dyDescent="0.25">
      <c r="H89" s="4">
        <f t="shared" si="23"/>
        <v>0</v>
      </c>
      <c r="I89" s="4">
        <f t="shared" si="23"/>
        <v>0</v>
      </c>
      <c r="J89" s="4">
        <f t="shared" si="23"/>
        <v>0</v>
      </c>
      <c r="K89" s="4">
        <f t="shared" si="23"/>
        <v>0</v>
      </c>
      <c r="L89" s="4">
        <f t="shared" si="23"/>
        <v>0</v>
      </c>
    </row>
    <row r="90" spans="8:12" hidden="1" x14ac:dyDescent="0.25">
      <c r="H90" s="4">
        <f t="shared" si="23"/>
        <v>0</v>
      </c>
      <c r="I90" s="4">
        <f t="shared" si="23"/>
        <v>0</v>
      </c>
      <c r="J90" s="4">
        <f t="shared" si="23"/>
        <v>0</v>
      </c>
      <c r="K90" s="4">
        <f t="shared" si="23"/>
        <v>0</v>
      </c>
      <c r="L90" s="4">
        <f t="shared" si="23"/>
        <v>0</v>
      </c>
    </row>
    <row r="91" spans="8:12" hidden="1" x14ac:dyDescent="0.25">
      <c r="H91" s="4">
        <f t="shared" si="23"/>
        <v>0</v>
      </c>
      <c r="I91" s="4">
        <f t="shared" si="23"/>
        <v>0</v>
      </c>
      <c r="J91" s="4">
        <f t="shared" si="23"/>
        <v>0</v>
      </c>
      <c r="K91" s="4">
        <f t="shared" si="23"/>
        <v>0</v>
      </c>
      <c r="L91" s="4">
        <f t="shared" si="23"/>
        <v>0</v>
      </c>
    </row>
    <row r="92" spans="8:12" hidden="1" x14ac:dyDescent="0.25">
      <c r="H92" s="4">
        <f t="shared" si="23"/>
        <v>0</v>
      </c>
      <c r="I92" s="4">
        <f t="shared" si="23"/>
        <v>0</v>
      </c>
      <c r="J92" s="4">
        <f t="shared" si="23"/>
        <v>0</v>
      </c>
      <c r="K92" s="4">
        <f t="shared" si="23"/>
        <v>0</v>
      </c>
      <c r="L92" s="4">
        <f t="shared" si="23"/>
        <v>0</v>
      </c>
    </row>
    <row r="93" spans="8:12" hidden="1" x14ac:dyDescent="0.25">
      <c r="H93" s="4">
        <f t="shared" si="23"/>
        <v>0</v>
      </c>
      <c r="I93" s="4">
        <f t="shared" si="23"/>
        <v>0</v>
      </c>
      <c r="J93" s="4">
        <f t="shared" si="23"/>
        <v>0</v>
      </c>
      <c r="K93" s="4">
        <f t="shared" si="23"/>
        <v>0</v>
      </c>
      <c r="L93" s="4">
        <f t="shared" si="23"/>
        <v>0</v>
      </c>
    </row>
    <row r="94" spans="8:12" hidden="1" x14ac:dyDescent="0.25">
      <c r="H94" s="4">
        <f t="shared" ref="H94:L103" si="24">BF2</f>
        <v>0</v>
      </c>
      <c r="I94" s="4">
        <f t="shared" si="24"/>
        <v>0</v>
      </c>
      <c r="J94" s="4">
        <f t="shared" si="24"/>
        <v>0</v>
      </c>
      <c r="K94" s="4">
        <f t="shared" si="24"/>
        <v>0</v>
      </c>
      <c r="L94" s="4">
        <f t="shared" si="24"/>
        <v>0</v>
      </c>
    </row>
    <row r="95" spans="8:12" hidden="1" x14ac:dyDescent="0.25">
      <c r="H95" s="4">
        <f t="shared" si="24"/>
        <v>0</v>
      </c>
      <c r="I95" s="4">
        <f t="shared" si="24"/>
        <v>0</v>
      </c>
      <c r="J95" s="4">
        <f t="shared" si="24"/>
        <v>0</v>
      </c>
      <c r="K95" s="4">
        <f t="shared" si="24"/>
        <v>0</v>
      </c>
      <c r="L95" s="4">
        <f t="shared" si="24"/>
        <v>0</v>
      </c>
    </row>
    <row r="96" spans="8:12" hidden="1" x14ac:dyDescent="0.25">
      <c r="H96" s="4">
        <f t="shared" si="24"/>
        <v>0</v>
      </c>
      <c r="I96" s="4">
        <f t="shared" si="24"/>
        <v>0</v>
      </c>
      <c r="J96" s="4">
        <f t="shared" si="24"/>
        <v>0</v>
      </c>
      <c r="K96" s="4">
        <f t="shared" si="24"/>
        <v>0</v>
      </c>
      <c r="L96" s="4">
        <f t="shared" si="24"/>
        <v>0</v>
      </c>
    </row>
    <row r="97" spans="8:12" hidden="1" x14ac:dyDescent="0.25">
      <c r="H97" s="4">
        <f t="shared" si="24"/>
        <v>0</v>
      </c>
      <c r="I97" s="4">
        <f t="shared" si="24"/>
        <v>0</v>
      </c>
      <c r="J97" s="4">
        <f t="shared" si="24"/>
        <v>0</v>
      </c>
      <c r="K97" s="4">
        <f t="shared" si="24"/>
        <v>0</v>
      </c>
      <c r="L97" s="4">
        <f t="shared" si="24"/>
        <v>0</v>
      </c>
    </row>
    <row r="98" spans="8:12" hidden="1" x14ac:dyDescent="0.25">
      <c r="H98" s="4">
        <f t="shared" si="24"/>
        <v>0</v>
      </c>
      <c r="I98" s="4">
        <f t="shared" si="24"/>
        <v>0</v>
      </c>
      <c r="J98" s="4">
        <f t="shared" si="24"/>
        <v>0</v>
      </c>
      <c r="K98" s="4">
        <f t="shared" si="24"/>
        <v>0</v>
      </c>
      <c r="L98" s="4">
        <f t="shared" si="24"/>
        <v>0</v>
      </c>
    </row>
    <row r="99" spans="8:12" hidden="1" x14ac:dyDescent="0.25">
      <c r="H99" s="4">
        <f t="shared" si="24"/>
        <v>0</v>
      </c>
      <c r="I99" s="4">
        <f t="shared" si="24"/>
        <v>0</v>
      </c>
      <c r="J99" s="4">
        <f t="shared" si="24"/>
        <v>0</v>
      </c>
      <c r="K99" s="4">
        <f t="shared" si="24"/>
        <v>0</v>
      </c>
      <c r="L99" s="4">
        <f t="shared" si="24"/>
        <v>0</v>
      </c>
    </row>
    <row r="100" spans="8:12" hidden="1" x14ac:dyDescent="0.25">
      <c r="H100" s="4">
        <f t="shared" si="24"/>
        <v>0</v>
      </c>
      <c r="I100" s="4">
        <f t="shared" si="24"/>
        <v>0</v>
      </c>
      <c r="J100" s="4">
        <f t="shared" si="24"/>
        <v>0</v>
      </c>
      <c r="K100" s="4">
        <f t="shared" si="24"/>
        <v>0</v>
      </c>
      <c r="L100" s="4">
        <f t="shared" si="24"/>
        <v>0</v>
      </c>
    </row>
    <row r="101" spans="8:12" hidden="1" x14ac:dyDescent="0.25">
      <c r="H101" s="4">
        <f t="shared" si="24"/>
        <v>0</v>
      </c>
      <c r="I101" s="4">
        <f t="shared" si="24"/>
        <v>0</v>
      </c>
      <c r="J101" s="4">
        <f t="shared" si="24"/>
        <v>0</v>
      </c>
      <c r="K101" s="4">
        <f t="shared" si="24"/>
        <v>0</v>
      </c>
      <c r="L101" s="4">
        <f t="shared" si="24"/>
        <v>0</v>
      </c>
    </row>
    <row r="102" spans="8:12" hidden="1" x14ac:dyDescent="0.25">
      <c r="H102" s="4">
        <f t="shared" si="24"/>
        <v>0</v>
      </c>
      <c r="I102" s="4">
        <f t="shared" si="24"/>
        <v>0</v>
      </c>
      <c r="J102" s="4">
        <f t="shared" si="24"/>
        <v>0</v>
      </c>
      <c r="K102" s="4">
        <f t="shared" si="24"/>
        <v>0</v>
      </c>
      <c r="L102" s="4">
        <f t="shared" si="24"/>
        <v>0</v>
      </c>
    </row>
    <row r="103" spans="8:12" hidden="1" x14ac:dyDescent="0.25">
      <c r="H103" s="4">
        <f t="shared" si="24"/>
        <v>0</v>
      </c>
      <c r="I103" s="4">
        <f t="shared" si="24"/>
        <v>0</v>
      </c>
      <c r="J103" s="4">
        <f t="shared" si="24"/>
        <v>0</v>
      </c>
      <c r="K103" s="4">
        <f t="shared" si="24"/>
        <v>0</v>
      </c>
      <c r="L103" s="4">
        <f t="shared" si="24"/>
        <v>0</v>
      </c>
    </row>
    <row r="104" spans="8:12" hidden="1" x14ac:dyDescent="0.25">
      <c r="H104" s="4">
        <f t="shared" ref="H104:L113" si="25">BL2</f>
        <v>0</v>
      </c>
      <c r="I104" s="4">
        <f t="shared" si="25"/>
        <v>0</v>
      </c>
      <c r="J104" s="4">
        <f t="shared" si="25"/>
        <v>0</v>
      </c>
      <c r="K104" s="4">
        <f t="shared" si="25"/>
        <v>0</v>
      </c>
      <c r="L104" s="4">
        <f t="shared" si="25"/>
        <v>0</v>
      </c>
    </row>
    <row r="105" spans="8:12" hidden="1" x14ac:dyDescent="0.25">
      <c r="H105" s="4">
        <f t="shared" si="25"/>
        <v>0</v>
      </c>
      <c r="I105" s="4">
        <f t="shared" si="25"/>
        <v>0</v>
      </c>
      <c r="J105" s="4">
        <f t="shared" si="25"/>
        <v>0</v>
      </c>
      <c r="K105" s="4">
        <f t="shared" si="25"/>
        <v>0</v>
      </c>
      <c r="L105" s="4">
        <f t="shared" si="25"/>
        <v>0</v>
      </c>
    </row>
    <row r="106" spans="8:12" hidden="1" x14ac:dyDescent="0.25">
      <c r="H106" s="4">
        <f t="shared" si="25"/>
        <v>0</v>
      </c>
      <c r="I106" s="4">
        <f t="shared" si="25"/>
        <v>0</v>
      </c>
      <c r="J106" s="4">
        <f t="shared" si="25"/>
        <v>0</v>
      </c>
      <c r="K106" s="4">
        <f t="shared" si="25"/>
        <v>0</v>
      </c>
      <c r="L106" s="4">
        <f t="shared" si="25"/>
        <v>0</v>
      </c>
    </row>
    <row r="107" spans="8:12" hidden="1" x14ac:dyDescent="0.25">
      <c r="H107" s="4">
        <f t="shared" si="25"/>
        <v>0</v>
      </c>
      <c r="I107" s="4">
        <f t="shared" si="25"/>
        <v>0</v>
      </c>
      <c r="J107" s="4">
        <f t="shared" si="25"/>
        <v>0</v>
      </c>
      <c r="K107" s="4">
        <f t="shared" si="25"/>
        <v>0</v>
      </c>
      <c r="L107" s="4">
        <f t="shared" si="25"/>
        <v>0</v>
      </c>
    </row>
    <row r="108" spans="8:12" hidden="1" x14ac:dyDescent="0.25">
      <c r="H108" s="4">
        <f t="shared" si="25"/>
        <v>0</v>
      </c>
      <c r="I108" s="4">
        <f t="shared" si="25"/>
        <v>0</v>
      </c>
      <c r="J108" s="4">
        <f t="shared" si="25"/>
        <v>0</v>
      </c>
      <c r="K108" s="4">
        <f t="shared" si="25"/>
        <v>0</v>
      </c>
      <c r="L108" s="4">
        <f t="shared" si="25"/>
        <v>0</v>
      </c>
    </row>
    <row r="109" spans="8:12" hidden="1" x14ac:dyDescent="0.25">
      <c r="H109" s="4">
        <f t="shared" si="25"/>
        <v>0</v>
      </c>
      <c r="I109" s="4">
        <f t="shared" si="25"/>
        <v>0</v>
      </c>
      <c r="J109" s="4">
        <f t="shared" si="25"/>
        <v>0</v>
      </c>
      <c r="K109" s="4">
        <f t="shared" si="25"/>
        <v>0</v>
      </c>
      <c r="L109" s="4">
        <f t="shared" si="25"/>
        <v>0</v>
      </c>
    </row>
    <row r="110" spans="8:12" hidden="1" x14ac:dyDescent="0.25">
      <c r="H110" s="4">
        <f t="shared" si="25"/>
        <v>0</v>
      </c>
      <c r="I110" s="4">
        <f t="shared" si="25"/>
        <v>0</v>
      </c>
      <c r="J110" s="4">
        <f t="shared" si="25"/>
        <v>0</v>
      </c>
      <c r="K110" s="4">
        <f t="shared" si="25"/>
        <v>0</v>
      </c>
      <c r="L110" s="4">
        <f t="shared" si="25"/>
        <v>0</v>
      </c>
    </row>
    <row r="111" spans="8:12" hidden="1" x14ac:dyDescent="0.25">
      <c r="H111" s="4">
        <f t="shared" si="25"/>
        <v>0</v>
      </c>
      <c r="I111" s="4">
        <f t="shared" si="25"/>
        <v>0</v>
      </c>
      <c r="J111" s="4">
        <f t="shared" si="25"/>
        <v>0</v>
      </c>
      <c r="K111" s="4">
        <f t="shared" si="25"/>
        <v>0</v>
      </c>
      <c r="L111" s="4">
        <f t="shared" si="25"/>
        <v>0</v>
      </c>
    </row>
    <row r="112" spans="8:12" hidden="1" x14ac:dyDescent="0.25">
      <c r="H112" s="4">
        <f t="shared" si="25"/>
        <v>0</v>
      </c>
      <c r="I112" s="4">
        <f t="shared" si="25"/>
        <v>0</v>
      </c>
      <c r="J112" s="4">
        <f t="shared" si="25"/>
        <v>0</v>
      </c>
      <c r="K112" s="4">
        <f t="shared" si="25"/>
        <v>0</v>
      </c>
      <c r="L112" s="4">
        <f t="shared" si="25"/>
        <v>0</v>
      </c>
    </row>
    <row r="113" spans="1:62" hidden="1" x14ac:dyDescent="0.25">
      <c r="H113" s="45">
        <f t="shared" si="25"/>
        <v>0</v>
      </c>
      <c r="I113" s="45">
        <f t="shared" si="25"/>
        <v>0</v>
      </c>
      <c r="J113" s="4">
        <f t="shared" si="25"/>
        <v>0</v>
      </c>
      <c r="K113" s="4">
        <f t="shared" si="25"/>
        <v>0</v>
      </c>
      <c r="L113" s="4">
        <f t="shared" si="25"/>
        <v>0</v>
      </c>
    </row>
    <row r="114" spans="1:62" x14ac:dyDescent="0.25">
      <c r="A114" s="168" t="s">
        <v>85</v>
      </c>
      <c r="B114" s="169"/>
      <c r="C114" s="170"/>
      <c r="D114" s="171">
        <v>46008</v>
      </c>
      <c r="E114" s="172"/>
      <c r="F114" s="172"/>
      <c r="G114" s="172"/>
      <c r="H114" s="46"/>
      <c r="I114" s="54"/>
    </row>
    <row r="115" spans="1:62" ht="15.75" thickBot="1" x14ac:dyDescent="0.3">
      <c r="A115" s="110"/>
      <c r="B115" s="110"/>
      <c r="C115" s="110"/>
      <c r="D115" s="110"/>
      <c r="E115" s="110"/>
      <c r="F115" s="110"/>
      <c r="G115" s="110"/>
      <c r="H115" s="54"/>
      <c r="I115" s="54"/>
    </row>
    <row r="116" spans="1:62" ht="16.5" thickBot="1" x14ac:dyDescent="0.3">
      <c r="A116" s="173" t="s">
        <v>248</v>
      </c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5"/>
      <c r="AH116" s="118" t="s">
        <v>35</v>
      </c>
      <c r="AI116" s="118"/>
      <c r="AJ116" s="118" t="str">
        <f>F2</f>
        <v>AP08</v>
      </c>
      <c r="AK116" s="118"/>
      <c r="AL116" s="118"/>
      <c r="AN116" s="118" t="s">
        <v>35</v>
      </c>
      <c r="AO116" s="118"/>
      <c r="AP116" s="118">
        <f>F3</f>
        <v>0</v>
      </c>
      <c r="AQ116" s="118"/>
      <c r="AR116" s="118"/>
      <c r="AT116" s="118" t="s">
        <v>35</v>
      </c>
      <c r="AU116" s="118"/>
      <c r="AV116" s="118">
        <f>F4</f>
        <v>0</v>
      </c>
      <c r="AW116" s="118"/>
      <c r="AX116" s="118"/>
      <c r="AZ116" s="118" t="s">
        <v>35</v>
      </c>
      <c r="BA116" s="118"/>
      <c r="BB116" s="118">
        <f>F5</f>
        <v>0</v>
      </c>
      <c r="BC116" s="118"/>
      <c r="BD116" s="118"/>
      <c r="BF116" s="118" t="s">
        <v>35</v>
      </c>
      <c r="BG116" s="118"/>
      <c r="BH116" s="118">
        <f>F6</f>
        <v>0</v>
      </c>
      <c r="BI116" s="118"/>
      <c r="BJ116" s="118"/>
    </row>
    <row r="117" spans="1:62" x14ac:dyDescent="0.25">
      <c r="A117" s="123" t="s">
        <v>31</v>
      </c>
      <c r="B117" s="113" t="s">
        <v>22</v>
      </c>
      <c r="C117" s="114"/>
      <c r="D117" s="114"/>
      <c r="E117" s="114"/>
      <c r="F117" s="115"/>
      <c r="G117" s="113" t="s">
        <v>20</v>
      </c>
      <c r="H117" s="114"/>
      <c r="I117" s="114"/>
      <c r="J117" s="114"/>
      <c r="K117" s="115"/>
      <c r="L117" s="113" t="s">
        <v>34</v>
      </c>
      <c r="M117" s="114"/>
      <c r="N117" s="114"/>
      <c r="O117" s="114"/>
      <c r="P117" s="115"/>
      <c r="Q117" s="113" t="s">
        <v>127</v>
      </c>
      <c r="R117" s="114"/>
      <c r="S117" s="114"/>
      <c r="T117" s="114"/>
      <c r="U117" s="115"/>
      <c r="V117" s="113" t="s">
        <v>129</v>
      </c>
      <c r="W117" s="114"/>
      <c r="X117" s="114"/>
      <c r="Y117" s="114"/>
      <c r="Z117" s="115"/>
      <c r="AA117" s="113" t="s">
        <v>26</v>
      </c>
      <c r="AB117" s="114"/>
      <c r="AC117" s="114"/>
      <c r="AD117" s="114"/>
      <c r="AE117" s="115"/>
      <c r="AF117" s="116" t="s">
        <v>24</v>
      </c>
      <c r="AG117" s="116" t="s">
        <v>86</v>
      </c>
      <c r="AH117" s="118" t="str">
        <f>G2</f>
        <v>PAWAN PUTRA AGENCY</v>
      </c>
      <c r="AI117" s="118"/>
      <c r="AJ117" s="118"/>
      <c r="AK117" s="118"/>
      <c r="AL117" s="118"/>
      <c r="AN117" s="118">
        <f>G3</f>
        <v>0</v>
      </c>
      <c r="AO117" s="118"/>
      <c r="AP117" s="118"/>
      <c r="AQ117" s="118"/>
      <c r="AR117" s="118"/>
      <c r="AT117" s="118">
        <f>G4</f>
        <v>0</v>
      </c>
      <c r="AU117" s="118"/>
      <c r="AV117" s="118"/>
      <c r="AW117" s="118"/>
      <c r="AX117" s="118"/>
      <c r="AZ117" s="118">
        <f>G5</f>
        <v>0</v>
      </c>
      <c r="BA117" s="118"/>
      <c r="BB117" s="118"/>
      <c r="BC117" s="118"/>
      <c r="BD117" s="118"/>
      <c r="BF117" s="118">
        <f>G6</f>
        <v>0</v>
      </c>
      <c r="BG117" s="118"/>
      <c r="BH117" s="118"/>
      <c r="BI117" s="118"/>
      <c r="BJ117" s="118"/>
    </row>
    <row r="118" spans="1:62" ht="15.75" thickBot="1" x14ac:dyDescent="0.3">
      <c r="A118" s="124"/>
      <c r="B118" s="9" t="s">
        <v>32</v>
      </c>
      <c r="C118" s="12" t="s">
        <v>17</v>
      </c>
      <c r="D118" s="12" t="s">
        <v>19</v>
      </c>
      <c r="E118" s="12" t="s">
        <v>33</v>
      </c>
      <c r="F118" s="14" t="s">
        <v>80</v>
      </c>
      <c r="G118" s="9" t="s">
        <v>32</v>
      </c>
      <c r="H118" s="12" t="s">
        <v>17</v>
      </c>
      <c r="I118" s="12" t="s">
        <v>19</v>
      </c>
      <c r="J118" s="12" t="s">
        <v>33</v>
      </c>
      <c r="K118" s="14" t="s">
        <v>80</v>
      </c>
      <c r="L118" s="9" t="s">
        <v>32</v>
      </c>
      <c r="M118" s="12" t="s">
        <v>17</v>
      </c>
      <c r="N118" s="12" t="s">
        <v>19</v>
      </c>
      <c r="O118" s="12" t="s">
        <v>33</v>
      </c>
      <c r="P118" s="14" t="s">
        <v>80</v>
      </c>
      <c r="Q118" s="9" t="s">
        <v>32</v>
      </c>
      <c r="R118" s="12" t="s">
        <v>17</v>
      </c>
      <c r="S118" s="12" t="s">
        <v>19</v>
      </c>
      <c r="T118" s="12" t="s">
        <v>33</v>
      </c>
      <c r="U118" s="14" t="s">
        <v>80</v>
      </c>
      <c r="V118" s="9" t="s">
        <v>32</v>
      </c>
      <c r="W118" s="12" t="s">
        <v>17</v>
      </c>
      <c r="X118" s="12" t="s">
        <v>19</v>
      </c>
      <c r="Y118" s="12" t="s">
        <v>33</v>
      </c>
      <c r="Z118" s="14" t="s">
        <v>80</v>
      </c>
      <c r="AA118" s="9" t="s">
        <v>32</v>
      </c>
      <c r="AB118" s="12" t="s">
        <v>17</v>
      </c>
      <c r="AC118" s="12" t="s">
        <v>19</v>
      </c>
      <c r="AD118" s="12" t="s">
        <v>33</v>
      </c>
      <c r="AE118" s="14" t="s">
        <v>80</v>
      </c>
      <c r="AF118" s="117"/>
      <c r="AG118" s="117"/>
      <c r="AH118" s="118" t="str">
        <f>H2</f>
        <v>TIRUPATHI</v>
      </c>
      <c r="AI118" s="118"/>
      <c r="AJ118" s="118"/>
      <c r="AK118" s="118"/>
      <c r="AL118" s="118"/>
      <c r="AN118" s="118">
        <f>H3</f>
        <v>0</v>
      </c>
      <c r="AO118" s="118"/>
      <c r="AP118" s="118"/>
      <c r="AQ118" s="118"/>
      <c r="AR118" s="118"/>
      <c r="AT118" s="118">
        <f>H4</f>
        <v>0</v>
      </c>
      <c r="AU118" s="118"/>
      <c r="AV118" s="118"/>
      <c r="AW118" s="118"/>
      <c r="AX118" s="118"/>
      <c r="AZ118" s="118">
        <f>H5</f>
        <v>0</v>
      </c>
      <c r="BA118" s="118"/>
      <c r="BB118" s="118"/>
      <c r="BC118" s="118"/>
      <c r="BD118" s="118"/>
      <c r="BF118" s="118">
        <f>H6</f>
        <v>0</v>
      </c>
      <c r="BG118" s="118"/>
      <c r="BH118" s="118"/>
      <c r="BI118" s="118"/>
      <c r="BJ118" s="118"/>
    </row>
    <row r="119" spans="1:62" ht="15.75" thickBot="1" x14ac:dyDescent="0.3">
      <c r="A119" s="16">
        <v>300</v>
      </c>
      <c r="B119" s="10">
        <f t="shared" ref="B119:F127" si="26">SUMIFS($J$14:$J$113,$I$14:$I$113,$A119,$K$14:$K$113,B$118,$L$14:$L$113,$B$117,$H$14:$H$113,"AG")</f>
        <v>0</v>
      </c>
      <c r="C119" s="11">
        <f t="shared" si="26"/>
        <v>0</v>
      </c>
      <c r="D119" s="11">
        <f t="shared" si="26"/>
        <v>0</v>
      </c>
      <c r="E119" s="11">
        <f t="shared" si="26"/>
        <v>0</v>
      </c>
      <c r="F119" s="17">
        <f t="shared" si="26"/>
        <v>0</v>
      </c>
      <c r="G119" s="10">
        <f t="shared" ref="G119:K127" si="27">SUMIFS($J$14:$J$113,$I$14:$I$113,$A119,$K$14:$K$113,G$118,$L$14:$L$113,$G$117,$H$14:$H$113,"AG")</f>
        <v>0</v>
      </c>
      <c r="H119" s="11">
        <f t="shared" si="27"/>
        <v>0</v>
      </c>
      <c r="I119" s="11">
        <f t="shared" si="27"/>
        <v>0</v>
      </c>
      <c r="J119" s="11">
        <f t="shared" si="27"/>
        <v>0</v>
      </c>
      <c r="K119" s="17">
        <f t="shared" si="27"/>
        <v>0</v>
      </c>
      <c r="L119" s="10">
        <f t="shared" ref="L119:P127" si="28">SUMIFS($J$14:$J$113,$I$14:$I$113,$A119,$K$14:$K$113,L$118,$L$14:$L$113,$L$117,$H$14:$H$113,"AG")</f>
        <v>0</v>
      </c>
      <c r="M119" s="11">
        <f t="shared" si="28"/>
        <v>0</v>
      </c>
      <c r="N119" s="11">
        <f t="shared" si="28"/>
        <v>0</v>
      </c>
      <c r="O119" s="11">
        <f t="shared" si="28"/>
        <v>0</v>
      </c>
      <c r="P119" s="17">
        <f t="shared" si="28"/>
        <v>0</v>
      </c>
      <c r="Q119" s="10">
        <f t="shared" ref="Q119:U127" si="29">SUMIFS($J$14:$J$113,$I$14:$I$113,$A119,$K$14:$K$113,Q$118,$L$14:$L$113,$Q$117,$H$14:$H$113,"AG")</f>
        <v>0</v>
      </c>
      <c r="R119" s="11">
        <f t="shared" si="29"/>
        <v>0</v>
      </c>
      <c r="S119" s="11">
        <f t="shared" si="29"/>
        <v>0</v>
      </c>
      <c r="T119" s="11">
        <f t="shared" si="29"/>
        <v>0</v>
      </c>
      <c r="U119" s="17">
        <f t="shared" si="29"/>
        <v>0</v>
      </c>
      <c r="V119" s="10">
        <f t="shared" ref="V119:AE127" si="30">SUMIFS($J$14:$J$113,$I$14:$I$113,$A119,$K$14:$K$113,V$118,$L$14:$L$113,$L$117,$H$14:$H$113,"AG")</f>
        <v>0</v>
      </c>
      <c r="W119" s="11">
        <f t="shared" si="30"/>
        <v>0</v>
      </c>
      <c r="X119" s="11">
        <f t="shared" si="30"/>
        <v>0</v>
      </c>
      <c r="Y119" s="11">
        <f t="shared" si="30"/>
        <v>0</v>
      </c>
      <c r="Z119" s="17">
        <f t="shared" si="30"/>
        <v>0</v>
      </c>
      <c r="AA119" s="10">
        <f t="shared" si="30"/>
        <v>0</v>
      </c>
      <c r="AB119" s="11">
        <f t="shared" si="30"/>
        <v>0</v>
      </c>
      <c r="AC119" s="11">
        <f t="shared" si="30"/>
        <v>0</v>
      </c>
      <c r="AD119" s="11">
        <f t="shared" si="30"/>
        <v>0</v>
      </c>
      <c r="AE119" s="17">
        <f t="shared" si="30"/>
        <v>0</v>
      </c>
      <c r="AF119" s="16">
        <f>SUM(B119:AE119)*A119</f>
        <v>0</v>
      </c>
      <c r="AG119" s="16">
        <f>SUM(B119:AE119)</f>
        <v>0</v>
      </c>
      <c r="AH119" s="30" t="s">
        <v>136</v>
      </c>
      <c r="AI119" s="30" t="s">
        <v>27</v>
      </c>
      <c r="AJ119" s="30" t="s">
        <v>28</v>
      </c>
      <c r="AK119" s="30" t="s">
        <v>29</v>
      </c>
      <c r="AL119" s="30" t="s">
        <v>30</v>
      </c>
      <c r="AN119" s="30" t="s">
        <v>136</v>
      </c>
      <c r="AO119" s="30" t="s">
        <v>27</v>
      </c>
      <c r="AP119" s="30" t="s">
        <v>28</v>
      </c>
      <c r="AQ119" s="30" t="s">
        <v>29</v>
      </c>
      <c r="AR119" s="30" t="s">
        <v>30</v>
      </c>
      <c r="AT119" s="30" t="s">
        <v>136</v>
      </c>
      <c r="AU119" s="30" t="s">
        <v>27</v>
      </c>
      <c r="AV119" s="30" t="s">
        <v>28</v>
      </c>
      <c r="AW119" s="30" t="s">
        <v>29</v>
      </c>
      <c r="AX119" s="30" t="s">
        <v>30</v>
      </c>
      <c r="AZ119" s="30" t="s">
        <v>136</v>
      </c>
      <c r="BA119" s="30" t="s">
        <v>27</v>
      </c>
      <c r="BB119" s="30" t="s">
        <v>28</v>
      </c>
      <c r="BC119" s="30" t="s">
        <v>29</v>
      </c>
      <c r="BD119" s="30" t="s">
        <v>30</v>
      </c>
      <c r="BF119" s="30" t="s">
        <v>136</v>
      </c>
      <c r="BG119" s="30" t="s">
        <v>27</v>
      </c>
      <c r="BH119" s="30" t="s">
        <v>28</v>
      </c>
      <c r="BI119" s="30" t="s">
        <v>29</v>
      </c>
      <c r="BJ119" s="30" t="s">
        <v>30</v>
      </c>
    </row>
    <row r="120" spans="1:62" x14ac:dyDescent="0.25">
      <c r="A120" s="16">
        <v>500</v>
      </c>
      <c r="B120" s="10">
        <f t="shared" si="26"/>
        <v>0</v>
      </c>
      <c r="C120" s="11">
        <f t="shared" si="26"/>
        <v>20</v>
      </c>
      <c r="D120" s="11">
        <f t="shared" si="26"/>
        <v>0</v>
      </c>
      <c r="E120" s="11">
        <f t="shared" si="26"/>
        <v>0</v>
      </c>
      <c r="F120" s="17">
        <f t="shared" si="26"/>
        <v>0</v>
      </c>
      <c r="G120" s="10">
        <f t="shared" si="27"/>
        <v>0</v>
      </c>
      <c r="H120" s="11">
        <f t="shared" si="27"/>
        <v>0</v>
      </c>
      <c r="I120" s="11">
        <f t="shared" si="27"/>
        <v>0</v>
      </c>
      <c r="J120" s="11">
        <f t="shared" si="27"/>
        <v>0</v>
      </c>
      <c r="K120" s="17">
        <f t="shared" si="27"/>
        <v>0</v>
      </c>
      <c r="L120" s="10">
        <f t="shared" si="28"/>
        <v>0</v>
      </c>
      <c r="M120" s="11">
        <f t="shared" si="28"/>
        <v>0</v>
      </c>
      <c r="N120" s="11">
        <f t="shared" si="28"/>
        <v>0</v>
      </c>
      <c r="O120" s="11">
        <f t="shared" si="28"/>
        <v>0</v>
      </c>
      <c r="P120" s="17">
        <f t="shared" si="28"/>
        <v>0</v>
      </c>
      <c r="Q120" s="10">
        <f t="shared" si="29"/>
        <v>0</v>
      </c>
      <c r="R120" s="11">
        <f t="shared" si="29"/>
        <v>0</v>
      </c>
      <c r="S120" s="11">
        <f t="shared" si="29"/>
        <v>0</v>
      </c>
      <c r="T120" s="11">
        <f t="shared" si="29"/>
        <v>0</v>
      </c>
      <c r="U120" s="17">
        <f t="shared" si="29"/>
        <v>0</v>
      </c>
      <c r="V120" s="10">
        <f t="shared" si="30"/>
        <v>0</v>
      </c>
      <c r="W120" s="11">
        <f t="shared" si="30"/>
        <v>0</v>
      </c>
      <c r="X120" s="11">
        <f t="shared" si="30"/>
        <v>0</v>
      </c>
      <c r="Y120" s="11">
        <f t="shared" si="30"/>
        <v>0</v>
      </c>
      <c r="Z120" s="17">
        <f t="shared" si="30"/>
        <v>0</v>
      </c>
      <c r="AA120" s="10">
        <f t="shared" si="30"/>
        <v>0</v>
      </c>
      <c r="AB120" s="11">
        <f t="shared" si="30"/>
        <v>0</v>
      </c>
      <c r="AC120" s="11">
        <f t="shared" si="30"/>
        <v>0</v>
      </c>
      <c r="AD120" s="11">
        <f t="shared" si="30"/>
        <v>0</v>
      </c>
      <c r="AE120" s="17">
        <f t="shared" si="30"/>
        <v>0</v>
      </c>
      <c r="AF120" s="16">
        <f t="shared" ref="AF120:AF127" si="31">SUM(B120:AE120)*A120</f>
        <v>10000</v>
      </c>
      <c r="AG120" s="16">
        <f t="shared" ref="AG120:AG128" si="32">SUM(B120:AE120)</f>
        <v>20</v>
      </c>
      <c r="AH120" s="16" t="str">
        <f>J2</f>
        <v>AG</v>
      </c>
      <c r="AI120" s="10">
        <f>K2</f>
        <v>1500</v>
      </c>
      <c r="AJ120" s="11">
        <f>L2</f>
        <v>8</v>
      </c>
      <c r="AK120" s="11" t="str">
        <f>M2</f>
        <v>Y</v>
      </c>
      <c r="AL120" s="17" t="str">
        <f>N2</f>
        <v>3L</v>
      </c>
      <c r="AN120" s="16">
        <f>J3</f>
        <v>0</v>
      </c>
      <c r="AO120" s="10">
        <f>K3</f>
        <v>0</v>
      </c>
      <c r="AP120" s="11">
        <f>L3</f>
        <v>0</v>
      </c>
      <c r="AQ120" s="11">
        <f>M3</f>
        <v>0</v>
      </c>
      <c r="AR120" s="17">
        <f>N3</f>
        <v>0</v>
      </c>
      <c r="AT120" s="16">
        <f>J4</f>
        <v>0</v>
      </c>
      <c r="AU120" s="10">
        <f>K4</f>
        <v>0</v>
      </c>
      <c r="AV120" s="11">
        <f>L4</f>
        <v>0</v>
      </c>
      <c r="AW120" s="11">
        <f>M4</f>
        <v>0</v>
      </c>
      <c r="AX120" s="17">
        <f>N4</f>
        <v>0</v>
      </c>
      <c r="AZ120" s="16">
        <f>J5</f>
        <v>0</v>
      </c>
      <c r="BA120" s="10">
        <f>K5</f>
        <v>0</v>
      </c>
      <c r="BB120" s="11">
        <f>L5</f>
        <v>0</v>
      </c>
      <c r="BC120" s="11">
        <f>M5</f>
        <v>0</v>
      </c>
      <c r="BD120" s="17">
        <f>N5</f>
        <v>0</v>
      </c>
      <c r="BF120" s="16">
        <f>J6</f>
        <v>0</v>
      </c>
      <c r="BG120" s="10">
        <f>K6</f>
        <v>0</v>
      </c>
      <c r="BH120" s="11">
        <f>L6</f>
        <v>0</v>
      </c>
      <c r="BI120" s="11">
        <f>M6</f>
        <v>0</v>
      </c>
      <c r="BJ120" s="17">
        <f>N6</f>
        <v>0</v>
      </c>
    </row>
    <row r="121" spans="1:62" x14ac:dyDescent="0.25">
      <c r="A121" s="15">
        <v>750</v>
      </c>
      <c r="B121" s="8">
        <f t="shared" si="26"/>
        <v>0</v>
      </c>
      <c r="C121" s="6">
        <f t="shared" si="26"/>
        <v>10</v>
      </c>
      <c r="D121" s="6">
        <f t="shared" si="26"/>
        <v>0</v>
      </c>
      <c r="E121" s="6">
        <f t="shared" si="26"/>
        <v>0</v>
      </c>
      <c r="F121" s="13">
        <f t="shared" si="26"/>
        <v>0</v>
      </c>
      <c r="G121" s="8">
        <f t="shared" si="27"/>
        <v>0</v>
      </c>
      <c r="H121" s="6">
        <f t="shared" si="27"/>
        <v>0</v>
      </c>
      <c r="I121" s="6">
        <f t="shared" si="27"/>
        <v>0</v>
      </c>
      <c r="J121" s="6">
        <f t="shared" si="27"/>
        <v>0</v>
      </c>
      <c r="K121" s="13">
        <f t="shared" si="27"/>
        <v>0</v>
      </c>
      <c r="L121" s="8">
        <f t="shared" si="28"/>
        <v>0</v>
      </c>
      <c r="M121" s="6">
        <f t="shared" si="28"/>
        <v>0</v>
      </c>
      <c r="N121" s="6">
        <f t="shared" si="28"/>
        <v>0</v>
      </c>
      <c r="O121" s="6">
        <f t="shared" si="28"/>
        <v>0</v>
      </c>
      <c r="P121" s="13">
        <f t="shared" si="28"/>
        <v>0</v>
      </c>
      <c r="Q121" s="8">
        <f t="shared" si="29"/>
        <v>0</v>
      </c>
      <c r="R121" s="6">
        <f t="shared" si="29"/>
        <v>0</v>
      </c>
      <c r="S121" s="6">
        <f t="shared" si="29"/>
        <v>0</v>
      </c>
      <c r="T121" s="6">
        <f t="shared" si="29"/>
        <v>0</v>
      </c>
      <c r="U121" s="13">
        <f t="shared" si="29"/>
        <v>0</v>
      </c>
      <c r="V121" s="8">
        <f t="shared" si="30"/>
        <v>0</v>
      </c>
      <c r="W121" s="6">
        <f t="shared" si="30"/>
        <v>0</v>
      </c>
      <c r="X121" s="6">
        <f t="shared" si="30"/>
        <v>0</v>
      </c>
      <c r="Y121" s="6">
        <f t="shared" si="30"/>
        <v>0</v>
      </c>
      <c r="Z121" s="13">
        <f t="shared" si="30"/>
        <v>0</v>
      </c>
      <c r="AA121" s="8">
        <f t="shared" si="30"/>
        <v>0</v>
      </c>
      <c r="AB121" s="6">
        <f t="shared" si="30"/>
        <v>0</v>
      </c>
      <c r="AC121" s="6">
        <f t="shared" si="30"/>
        <v>0</v>
      </c>
      <c r="AD121" s="6">
        <f t="shared" si="30"/>
        <v>0</v>
      </c>
      <c r="AE121" s="13">
        <f t="shared" si="30"/>
        <v>0</v>
      </c>
      <c r="AF121" s="16">
        <f t="shared" si="31"/>
        <v>7500</v>
      </c>
      <c r="AG121" s="16">
        <f t="shared" si="32"/>
        <v>10</v>
      </c>
      <c r="AH121" s="15" t="str">
        <f>P2</f>
        <v>AG</v>
      </c>
      <c r="AI121" s="8">
        <f>Q2</f>
        <v>1000</v>
      </c>
      <c r="AJ121" s="6">
        <f>R2</f>
        <v>10</v>
      </c>
      <c r="AK121" s="6" t="str">
        <f>S2</f>
        <v>Y</v>
      </c>
      <c r="AL121" s="13" t="str">
        <f>T2</f>
        <v>3L</v>
      </c>
      <c r="AN121" s="15">
        <f>P3</f>
        <v>0</v>
      </c>
      <c r="AO121" s="8">
        <f>Q3</f>
        <v>0</v>
      </c>
      <c r="AP121" s="6">
        <f>R3</f>
        <v>0</v>
      </c>
      <c r="AQ121" s="6">
        <f>S3</f>
        <v>0</v>
      </c>
      <c r="AR121" s="13">
        <f>T3</f>
        <v>0</v>
      </c>
      <c r="AT121" s="15">
        <f>P4</f>
        <v>0</v>
      </c>
      <c r="AU121" s="8">
        <f>Q4</f>
        <v>0</v>
      </c>
      <c r="AV121" s="6">
        <f>R4</f>
        <v>0</v>
      </c>
      <c r="AW121" s="6">
        <f>S4</f>
        <v>0</v>
      </c>
      <c r="AX121" s="13">
        <f>T4</f>
        <v>0</v>
      </c>
      <c r="AZ121" s="15">
        <f>P5</f>
        <v>0</v>
      </c>
      <c r="BA121" s="8">
        <f>Q5</f>
        <v>0</v>
      </c>
      <c r="BB121" s="6">
        <f>R5</f>
        <v>0</v>
      </c>
      <c r="BC121" s="6">
        <f>S5</f>
        <v>0</v>
      </c>
      <c r="BD121" s="13">
        <f>T5</f>
        <v>0</v>
      </c>
      <c r="BF121" s="15">
        <f>P6</f>
        <v>0</v>
      </c>
      <c r="BG121" s="8">
        <f>Q6</f>
        <v>0</v>
      </c>
      <c r="BH121" s="6">
        <f>R6</f>
        <v>0</v>
      </c>
      <c r="BI121" s="6">
        <f>S6</f>
        <v>0</v>
      </c>
      <c r="BJ121" s="13">
        <f>T6</f>
        <v>0</v>
      </c>
    </row>
    <row r="122" spans="1:62" x14ac:dyDescent="0.25">
      <c r="A122" s="15">
        <v>1000</v>
      </c>
      <c r="B122" s="8">
        <f t="shared" si="26"/>
        <v>0</v>
      </c>
      <c r="C122" s="6">
        <f t="shared" si="26"/>
        <v>10</v>
      </c>
      <c r="D122" s="6">
        <f t="shared" si="26"/>
        <v>0</v>
      </c>
      <c r="E122" s="6">
        <f t="shared" si="26"/>
        <v>0</v>
      </c>
      <c r="F122" s="13">
        <f t="shared" si="26"/>
        <v>0</v>
      </c>
      <c r="G122" s="8">
        <f t="shared" si="27"/>
        <v>0</v>
      </c>
      <c r="H122" s="6">
        <f t="shared" si="27"/>
        <v>0</v>
      </c>
      <c r="I122" s="6">
        <f t="shared" si="27"/>
        <v>0</v>
      </c>
      <c r="J122" s="6">
        <f t="shared" si="27"/>
        <v>0</v>
      </c>
      <c r="K122" s="13">
        <f t="shared" si="27"/>
        <v>0</v>
      </c>
      <c r="L122" s="8">
        <f t="shared" si="28"/>
        <v>0</v>
      </c>
      <c r="M122" s="6">
        <f t="shared" si="28"/>
        <v>0</v>
      </c>
      <c r="N122" s="6">
        <f t="shared" si="28"/>
        <v>0</v>
      </c>
      <c r="O122" s="6">
        <f t="shared" si="28"/>
        <v>0</v>
      </c>
      <c r="P122" s="13">
        <f t="shared" si="28"/>
        <v>0</v>
      </c>
      <c r="Q122" s="8">
        <f t="shared" si="29"/>
        <v>0</v>
      </c>
      <c r="R122" s="6">
        <f t="shared" si="29"/>
        <v>0</v>
      </c>
      <c r="S122" s="6">
        <f t="shared" si="29"/>
        <v>0</v>
      </c>
      <c r="T122" s="6">
        <f t="shared" si="29"/>
        <v>0</v>
      </c>
      <c r="U122" s="13">
        <f t="shared" si="29"/>
        <v>0</v>
      </c>
      <c r="V122" s="8">
        <f t="shared" si="30"/>
        <v>0</v>
      </c>
      <c r="W122" s="6">
        <f t="shared" si="30"/>
        <v>0</v>
      </c>
      <c r="X122" s="6">
        <f t="shared" si="30"/>
        <v>0</v>
      </c>
      <c r="Y122" s="6">
        <f t="shared" si="30"/>
        <v>0</v>
      </c>
      <c r="Z122" s="13">
        <f t="shared" si="30"/>
        <v>0</v>
      </c>
      <c r="AA122" s="8">
        <f t="shared" si="30"/>
        <v>0</v>
      </c>
      <c r="AB122" s="6">
        <f t="shared" si="30"/>
        <v>0</v>
      </c>
      <c r="AC122" s="6">
        <f t="shared" si="30"/>
        <v>0</v>
      </c>
      <c r="AD122" s="6">
        <f t="shared" si="30"/>
        <v>0</v>
      </c>
      <c r="AE122" s="13">
        <f t="shared" si="30"/>
        <v>0</v>
      </c>
      <c r="AF122" s="16">
        <f t="shared" si="31"/>
        <v>10000</v>
      </c>
      <c r="AG122" s="16">
        <f t="shared" si="32"/>
        <v>10</v>
      </c>
      <c r="AH122" s="15" t="str">
        <f>V2</f>
        <v>AG</v>
      </c>
      <c r="AI122" s="8">
        <f>W2</f>
        <v>750</v>
      </c>
      <c r="AJ122" s="6">
        <f>X2</f>
        <v>10</v>
      </c>
      <c r="AK122" s="6" t="str">
        <f>Y2</f>
        <v>Y</v>
      </c>
      <c r="AL122" s="13" t="str">
        <f>Z2</f>
        <v>3L</v>
      </c>
      <c r="AN122" s="15">
        <f>V3</f>
        <v>0</v>
      </c>
      <c r="AO122" s="8">
        <f>W3</f>
        <v>0</v>
      </c>
      <c r="AP122" s="6">
        <f>X3</f>
        <v>0</v>
      </c>
      <c r="AQ122" s="6">
        <f>Y3</f>
        <v>0</v>
      </c>
      <c r="AR122" s="13">
        <f>Z3</f>
        <v>0</v>
      </c>
      <c r="AT122" s="15">
        <f>V4</f>
        <v>0</v>
      </c>
      <c r="AU122" s="8">
        <f>W4</f>
        <v>0</v>
      </c>
      <c r="AV122" s="6">
        <f>X4</f>
        <v>0</v>
      </c>
      <c r="AW122" s="6">
        <f>Y4</f>
        <v>0</v>
      </c>
      <c r="AX122" s="13">
        <f>Z4</f>
        <v>0</v>
      </c>
      <c r="AZ122" s="15">
        <f>V5</f>
        <v>0</v>
      </c>
      <c r="BA122" s="8">
        <f>W5</f>
        <v>0</v>
      </c>
      <c r="BB122" s="6">
        <f>X5</f>
        <v>0</v>
      </c>
      <c r="BC122" s="6">
        <f>Y5</f>
        <v>0</v>
      </c>
      <c r="BD122" s="13">
        <f>Z5</f>
        <v>0</v>
      </c>
      <c r="BF122" s="15">
        <f>V6</f>
        <v>0</v>
      </c>
      <c r="BG122" s="8">
        <f>W6</f>
        <v>0</v>
      </c>
      <c r="BH122" s="6">
        <f>X6</f>
        <v>0</v>
      </c>
      <c r="BI122" s="6">
        <f>Y6</f>
        <v>0</v>
      </c>
      <c r="BJ122" s="13">
        <f>Z6</f>
        <v>0</v>
      </c>
    </row>
    <row r="123" spans="1:62" x14ac:dyDescent="0.25">
      <c r="A123" s="15">
        <v>1500</v>
      </c>
      <c r="B123" s="8">
        <f t="shared" si="26"/>
        <v>0</v>
      </c>
      <c r="C123" s="6">
        <f t="shared" si="26"/>
        <v>8</v>
      </c>
      <c r="D123" s="6">
        <f t="shared" si="26"/>
        <v>0</v>
      </c>
      <c r="E123" s="6">
        <f t="shared" si="26"/>
        <v>0</v>
      </c>
      <c r="F123" s="13">
        <f t="shared" si="26"/>
        <v>0</v>
      </c>
      <c r="G123" s="8">
        <f t="shared" si="27"/>
        <v>0</v>
      </c>
      <c r="H123" s="6">
        <f t="shared" si="27"/>
        <v>0</v>
      </c>
      <c r="I123" s="6">
        <f t="shared" si="27"/>
        <v>0</v>
      </c>
      <c r="J123" s="6">
        <f t="shared" si="27"/>
        <v>0</v>
      </c>
      <c r="K123" s="13">
        <f t="shared" si="27"/>
        <v>0</v>
      </c>
      <c r="L123" s="8">
        <f t="shared" si="28"/>
        <v>0</v>
      </c>
      <c r="M123" s="6">
        <f t="shared" si="28"/>
        <v>0</v>
      </c>
      <c r="N123" s="6">
        <f t="shared" si="28"/>
        <v>0</v>
      </c>
      <c r="O123" s="6">
        <f t="shared" si="28"/>
        <v>0</v>
      </c>
      <c r="P123" s="13">
        <f t="shared" si="28"/>
        <v>0</v>
      </c>
      <c r="Q123" s="8">
        <f t="shared" si="29"/>
        <v>0</v>
      </c>
      <c r="R123" s="6">
        <f t="shared" si="29"/>
        <v>0</v>
      </c>
      <c r="S123" s="6">
        <f t="shared" si="29"/>
        <v>0</v>
      </c>
      <c r="T123" s="6">
        <f t="shared" si="29"/>
        <v>0</v>
      </c>
      <c r="U123" s="13">
        <f t="shared" si="29"/>
        <v>0</v>
      </c>
      <c r="V123" s="8">
        <f t="shared" si="30"/>
        <v>0</v>
      </c>
      <c r="W123" s="6">
        <f t="shared" si="30"/>
        <v>0</v>
      </c>
      <c r="X123" s="6">
        <f t="shared" si="30"/>
        <v>0</v>
      </c>
      <c r="Y123" s="6">
        <f t="shared" si="30"/>
        <v>0</v>
      </c>
      <c r="Z123" s="13">
        <f t="shared" si="30"/>
        <v>0</v>
      </c>
      <c r="AA123" s="8">
        <f t="shared" si="30"/>
        <v>0</v>
      </c>
      <c r="AB123" s="6">
        <f t="shared" si="30"/>
        <v>0</v>
      </c>
      <c r="AC123" s="6">
        <f t="shared" si="30"/>
        <v>0</v>
      </c>
      <c r="AD123" s="6">
        <f t="shared" si="30"/>
        <v>0</v>
      </c>
      <c r="AE123" s="13">
        <f t="shared" si="30"/>
        <v>0</v>
      </c>
      <c r="AF123" s="16">
        <f t="shared" si="31"/>
        <v>12000</v>
      </c>
      <c r="AG123" s="16">
        <f t="shared" si="32"/>
        <v>8</v>
      </c>
      <c r="AH123" s="15" t="str">
        <f>AB2</f>
        <v>AG</v>
      </c>
      <c r="AI123" s="8">
        <f>AC2</f>
        <v>500</v>
      </c>
      <c r="AJ123" s="6">
        <f>AD2</f>
        <v>20</v>
      </c>
      <c r="AK123" s="6" t="str">
        <f>AE2</f>
        <v>Y</v>
      </c>
      <c r="AL123" s="13" t="str">
        <f>AF2</f>
        <v>3L</v>
      </c>
      <c r="AN123" s="15">
        <f>AB3</f>
        <v>0</v>
      </c>
      <c r="AO123" s="8">
        <f>AC3</f>
        <v>0</v>
      </c>
      <c r="AP123" s="6">
        <f>AD3</f>
        <v>0</v>
      </c>
      <c r="AQ123" s="6">
        <f>AE3</f>
        <v>0</v>
      </c>
      <c r="AR123" s="13">
        <f>AF3</f>
        <v>0</v>
      </c>
      <c r="AT123" s="15">
        <f>AB4</f>
        <v>0</v>
      </c>
      <c r="AU123" s="8">
        <f>AC4</f>
        <v>0</v>
      </c>
      <c r="AV123" s="6">
        <f>AD4</f>
        <v>0</v>
      </c>
      <c r="AW123" s="6">
        <f>AE4</f>
        <v>0</v>
      </c>
      <c r="AX123" s="13">
        <f>AF4</f>
        <v>0</v>
      </c>
      <c r="AZ123" s="15">
        <f>AB5</f>
        <v>0</v>
      </c>
      <c r="BA123" s="8">
        <f>AC5</f>
        <v>0</v>
      </c>
      <c r="BB123" s="6">
        <f>AD5</f>
        <v>0</v>
      </c>
      <c r="BC123" s="6">
        <f>AE5</f>
        <v>0</v>
      </c>
      <c r="BD123" s="13">
        <f>AF5</f>
        <v>0</v>
      </c>
      <c r="BF123" s="15">
        <f>AB6</f>
        <v>0</v>
      </c>
      <c r="BG123" s="8">
        <f>AC6</f>
        <v>0</v>
      </c>
      <c r="BH123" s="6">
        <f>AD6</f>
        <v>0</v>
      </c>
      <c r="BI123" s="6">
        <f>AE6</f>
        <v>0</v>
      </c>
      <c r="BJ123" s="13">
        <f>AF6</f>
        <v>0</v>
      </c>
    </row>
    <row r="124" spans="1:62" x14ac:dyDescent="0.25">
      <c r="A124" s="15">
        <v>2000</v>
      </c>
      <c r="B124" s="8">
        <f t="shared" si="26"/>
        <v>0</v>
      </c>
      <c r="C124" s="6">
        <f t="shared" si="26"/>
        <v>0</v>
      </c>
      <c r="D124" s="6">
        <f t="shared" si="26"/>
        <v>0</v>
      </c>
      <c r="E124" s="6">
        <f t="shared" si="26"/>
        <v>0</v>
      </c>
      <c r="F124" s="13">
        <f t="shared" si="26"/>
        <v>0</v>
      </c>
      <c r="G124" s="8">
        <f t="shared" si="27"/>
        <v>0</v>
      </c>
      <c r="H124" s="6">
        <f t="shared" si="27"/>
        <v>0</v>
      </c>
      <c r="I124" s="6">
        <f t="shared" si="27"/>
        <v>0</v>
      </c>
      <c r="J124" s="6">
        <f t="shared" si="27"/>
        <v>0</v>
      </c>
      <c r="K124" s="13">
        <f t="shared" si="27"/>
        <v>0</v>
      </c>
      <c r="L124" s="8">
        <f t="shared" si="28"/>
        <v>0</v>
      </c>
      <c r="M124" s="6">
        <f t="shared" si="28"/>
        <v>0</v>
      </c>
      <c r="N124" s="6">
        <f t="shared" si="28"/>
        <v>0</v>
      </c>
      <c r="O124" s="6">
        <f t="shared" si="28"/>
        <v>0</v>
      </c>
      <c r="P124" s="13">
        <f t="shared" si="28"/>
        <v>0</v>
      </c>
      <c r="Q124" s="8">
        <f t="shared" si="29"/>
        <v>0</v>
      </c>
      <c r="R124" s="6">
        <f t="shared" si="29"/>
        <v>0</v>
      </c>
      <c r="S124" s="6">
        <f t="shared" si="29"/>
        <v>0</v>
      </c>
      <c r="T124" s="6">
        <f t="shared" si="29"/>
        <v>0</v>
      </c>
      <c r="U124" s="13">
        <f t="shared" si="29"/>
        <v>0</v>
      </c>
      <c r="V124" s="8">
        <f t="shared" si="30"/>
        <v>0</v>
      </c>
      <c r="W124" s="6">
        <f t="shared" si="30"/>
        <v>0</v>
      </c>
      <c r="X124" s="6">
        <f t="shared" si="30"/>
        <v>0</v>
      </c>
      <c r="Y124" s="6">
        <f t="shared" si="30"/>
        <v>0</v>
      </c>
      <c r="Z124" s="13">
        <f t="shared" si="30"/>
        <v>0</v>
      </c>
      <c r="AA124" s="8">
        <f t="shared" si="30"/>
        <v>0</v>
      </c>
      <c r="AB124" s="6">
        <f t="shared" si="30"/>
        <v>0</v>
      </c>
      <c r="AC124" s="6">
        <f t="shared" si="30"/>
        <v>0</v>
      </c>
      <c r="AD124" s="6">
        <f t="shared" si="30"/>
        <v>0</v>
      </c>
      <c r="AE124" s="13">
        <f t="shared" si="30"/>
        <v>0</v>
      </c>
      <c r="AF124" s="16">
        <f t="shared" si="31"/>
        <v>0</v>
      </c>
      <c r="AG124" s="16">
        <f t="shared" si="32"/>
        <v>0</v>
      </c>
      <c r="AH124" s="15">
        <f>AH2</f>
        <v>0</v>
      </c>
      <c r="AI124" s="8">
        <f>AI2</f>
        <v>0</v>
      </c>
      <c r="AJ124" s="6">
        <f>AJ2</f>
        <v>0</v>
      </c>
      <c r="AK124" s="6">
        <f>AK2</f>
        <v>0</v>
      </c>
      <c r="AL124" s="13">
        <f>AL2</f>
        <v>0</v>
      </c>
      <c r="AN124" s="15">
        <f>AH3</f>
        <v>0</v>
      </c>
      <c r="AO124" s="8">
        <f>AI3</f>
        <v>0</v>
      </c>
      <c r="AP124" s="6">
        <f>AJ3</f>
        <v>0</v>
      </c>
      <c r="AQ124" s="6">
        <f>AK3</f>
        <v>0</v>
      </c>
      <c r="AR124" s="13">
        <f>AL3</f>
        <v>0</v>
      </c>
      <c r="AT124" s="15">
        <f>AH4</f>
        <v>0</v>
      </c>
      <c r="AU124" s="8">
        <f>AI4</f>
        <v>0</v>
      </c>
      <c r="AV124" s="6">
        <f>AJ4</f>
        <v>0</v>
      </c>
      <c r="AW124" s="6">
        <f>AK4</f>
        <v>0</v>
      </c>
      <c r="AX124" s="13">
        <f>AL4</f>
        <v>0</v>
      </c>
      <c r="AZ124" s="15">
        <f>AH5</f>
        <v>0</v>
      </c>
      <c r="BA124" s="8">
        <f>AI5</f>
        <v>0</v>
      </c>
      <c r="BB124" s="6">
        <f>AJ5</f>
        <v>0</v>
      </c>
      <c r="BC124" s="6">
        <f>AK5</f>
        <v>0</v>
      </c>
      <c r="BD124" s="13">
        <f>AL5</f>
        <v>0</v>
      </c>
      <c r="BF124" s="15">
        <f>AH6</f>
        <v>0</v>
      </c>
      <c r="BG124" s="8">
        <f>AI6</f>
        <v>0</v>
      </c>
      <c r="BH124" s="6">
        <f>AJ6</f>
        <v>0</v>
      </c>
      <c r="BI124" s="6">
        <f>AK6</f>
        <v>0</v>
      </c>
      <c r="BJ124" s="13">
        <f>AL6</f>
        <v>0</v>
      </c>
    </row>
    <row r="125" spans="1:62" x14ac:dyDescent="0.25">
      <c r="A125" s="15">
        <v>3000</v>
      </c>
      <c r="B125" s="8">
        <f t="shared" si="26"/>
        <v>0</v>
      </c>
      <c r="C125" s="6">
        <f t="shared" si="26"/>
        <v>0</v>
      </c>
      <c r="D125" s="6">
        <f t="shared" si="26"/>
        <v>0</v>
      </c>
      <c r="E125" s="6">
        <f t="shared" si="26"/>
        <v>0</v>
      </c>
      <c r="F125" s="13">
        <f t="shared" si="26"/>
        <v>0</v>
      </c>
      <c r="G125" s="8">
        <f t="shared" si="27"/>
        <v>0</v>
      </c>
      <c r="H125" s="6">
        <f t="shared" si="27"/>
        <v>0</v>
      </c>
      <c r="I125" s="6">
        <f t="shared" si="27"/>
        <v>0</v>
      </c>
      <c r="J125" s="6">
        <f t="shared" si="27"/>
        <v>0</v>
      </c>
      <c r="K125" s="13">
        <f t="shared" si="27"/>
        <v>0</v>
      </c>
      <c r="L125" s="8">
        <f t="shared" si="28"/>
        <v>0</v>
      </c>
      <c r="M125" s="6">
        <f t="shared" si="28"/>
        <v>0</v>
      </c>
      <c r="N125" s="6">
        <f t="shared" si="28"/>
        <v>0</v>
      </c>
      <c r="O125" s="6">
        <f t="shared" si="28"/>
        <v>0</v>
      </c>
      <c r="P125" s="13">
        <f t="shared" si="28"/>
        <v>0</v>
      </c>
      <c r="Q125" s="8">
        <f t="shared" si="29"/>
        <v>0</v>
      </c>
      <c r="R125" s="6">
        <f t="shared" si="29"/>
        <v>0</v>
      </c>
      <c r="S125" s="6">
        <f t="shared" si="29"/>
        <v>0</v>
      </c>
      <c r="T125" s="6">
        <f t="shared" si="29"/>
        <v>0</v>
      </c>
      <c r="U125" s="13">
        <f t="shared" si="29"/>
        <v>0</v>
      </c>
      <c r="V125" s="8">
        <f t="shared" si="30"/>
        <v>0</v>
      </c>
      <c r="W125" s="6">
        <f t="shared" si="30"/>
        <v>0</v>
      </c>
      <c r="X125" s="6">
        <f t="shared" si="30"/>
        <v>0</v>
      </c>
      <c r="Y125" s="6">
        <f t="shared" si="30"/>
        <v>0</v>
      </c>
      <c r="Z125" s="13">
        <f t="shared" si="30"/>
        <v>0</v>
      </c>
      <c r="AA125" s="8">
        <f t="shared" si="30"/>
        <v>0</v>
      </c>
      <c r="AB125" s="6">
        <f t="shared" si="30"/>
        <v>0</v>
      </c>
      <c r="AC125" s="6">
        <f t="shared" si="30"/>
        <v>0</v>
      </c>
      <c r="AD125" s="6">
        <f t="shared" si="30"/>
        <v>0</v>
      </c>
      <c r="AE125" s="13">
        <f t="shared" si="30"/>
        <v>0</v>
      </c>
      <c r="AF125" s="16">
        <f t="shared" si="31"/>
        <v>0</v>
      </c>
      <c r="AG125" s="16">
        <f t="shared" si="32"/>
        <v>0</v>
      </c>
      <c r="AH125" s="15">
        <f>AN2</f>
        <v>0</v>
      </c>
      <c r="AI125" s="8">
        <f>AO2</f>
        <v>0</v>
      </c>
      <c r="AJ125" s="6">
        <f>AP2</f>
        <v>0</v>
      </c>
      <c r="AK125" s="6">
        <f>AQ2</f>
        <v>0</v>
      </c>
      <c r="AL125" s="13">
        <f>AR2</f>
        <v>0</v>
      </c>
      <c r="AN125" s="15">
        <f>AN3</f>
        <v>0</v>
      </c>
      <c r="AO125" s="8">
        <f>AO3</f>
        <v>0</v>
      </c>
      <c r="AP125" s="6">
        <f>AP3</f>
        <v>0</v>
      </c>
      <c r="AQ125" s="6">
        <f>AQ3</f>
        <v>0</v>
      </c>
      <c r="AR125" s="13">
        <f>AR3</f>
        <v>0</v>
      </c>
      <c r="AT125" s="15">
        <f>AN4</f>
        <v>0</v>
      </c>
      <c r="AU125" s="8">
        <f>AO4</f>
        <v>0</v>
      </c>
      <c r="AV125" s="6">
        <f>AP4</f>
        <v>0</v>
      </c>
      <c r="AW125" s="6">
        <f>AQ4</f>
        <v>0</v>
      </c>
      <c r="AX125" s="13">
        <f>AR4</f>
        <v>0</v>
      </c>
      <c r="AZ125" s="15">
        <f>AN5</f>
        <v>0</v>
      </c>
      <c r="BA125" s="8">
        <f>AO5</f>
        <v>0</v>
      </c>
      <c r="BB125" s="6">
        <f>AP5</f>
        <v>0</v>
      </c>
      <c r="BC125" s="6">
        <f>AQ5</f>
        <v>0</v>
      </c>
      <c r="BD125" s="13">
        <f>AR5</f>
        <v>0</v>
      </c>
      <c r="BF125" s="15">
        <f>AN6</f>
        <v>0</v>
      </c>
      <c r="BG125" s="8">
        <f>AO6</f>
        <v>0</v>
      </c>
      <c r="BH125" s="6">
        <f>AP6</f>
        <v>0</v>
      </c>
      <c r="BI125" s="6">
        <f>AQ6</f>
        <v>0</v>
      </c>
      <c r="BJ125" s="13">
        <f>AR6</f>
        <v>0</v>
      </c>
    </row>
    <row r="126" spans="1:62" x14ac:dyDescent="0.25">
      <c r="A126" s="15">
        <v>5000</v>
      </c>
      <c r="B126" s="8">
        <f t="shared" si="26"/>
        <v>0</v>
      </c>
      <c r="C126" s="6">
        <f t="shared" si="26"/>
        <v>0</v>
      </c>
      <c r="D126" s="6">
        <f t="shared" si="26"/>
        <v>0</v>
      </c>
      <c r="E126" s="6">
        <f t="shared" si="26"/>
        <v>0</v>
      </c>
      <c r="F126" s="13">
        <f t="shared" si="26"/>
        <v>0</v>
      </c>
      <c r="G126" s="8">
        <f t="shared" si="27"/>
        <v>0</v>
      </c>
      <c r="H126" s="6">
        <f t="shared" si="27"/>
        <v>0</v>
      </c>
      <c r="I126" s="6">
        <f t="shared" si="27"/>
        <v>0</v>
      </c>
      <c r="J126" s="6">
        <f t="shared" si="27"/>
        <v>0</v>
      </c>
      <c r="K126" s="13">
        <f t="shared" si="27"/>
        <v>0</v>
      </c>
      <c r="L126" s="8">
        <f t="shared" si="28"/>
        <v>0</v>
      </c>
      <c r="M126" s="6">
        <f t="shared" si="28"/>
        <v>0</v>
      </c>
      <c r="N126" s="6">
        <f t="shared" si="28"/>
        <v>0</v>
      </c>
      <c r="O126" s="6">
        <f t="shared" si="28"/>
        <v>0</v>
      </c>
      <c r="P126" s="13">
        <f t="shared" si="28"/>
        <v>0</v>
      </c>
      <c r="Q126" s="8">
        <f t="shared" si="29"/>
        <v>0</v>
      </c>
      <c r="R126" s="6">
        <f t="shared" si="29"/>
        <v>0</v>
      </c>
      <c r="S126" s="6">
        <f t="shared" si="29"/>
        <v>0</v>
      </c>
      <c r="T126" s="6">
        <f t="shared" si="29"/>
        <v>0</v>
      </c>
      <c r="U126" s="13">
        <f t="shared" si="29"/>
        <v>0</v>
      </c>
      <c r="V126" s="8">
        <f t="shared" si="30"/>
        <v>0</v>
      </c>
      <c r="W126" s="6">
        <f t="shared" si="30"/>
        <v>0</v>
      </c>
      <c r="X126" s="6">
        <f t="shared" si="30"/>
        <v>0</v>
      </c>
      <c r="Y126" s="6">
        <f t="shared" si="30"/>
        <v>0</v>
      </c>
      <c r="Z126" s="13">
        <f t="shared" si="30"/>
        <v>0</v>
      </c>
      <c r="AA126" s="8">
        <f t="shared" si="30"/>
        <v>0</v>
      </c>
      <c r="AB126" s="6">
        <f t="shared" si="30"/>
        <v>0</v>
      </c>
      <c r="AC126" s="6">
        <f t="shared" si="30"/>
        <v>0</v>
      </c>
      <c r="AD126" s="6">
        <f t="shared" si="30"/>
        <v>0</v>
      </c>
      <c r="AE126" s="13">
        <f t="shared" si="30"/>
        <v>0</v>
      </c>
      <c r="AF126" s="16">
        <f t="shared" si="31"/>
        <v>0</v>
      </c>
      <c r="AG126" s="16">
        <f t="shared" si="32"/>
        <v>0</v>
      </c>
      <c r="AH126" s="15">
        <f>AT2</f>
        <v>0</v>
      </c>
      <c r="AI126" s="8">
        <f>AU2</f>
        <v>0</v>
      </c>
      <c r="AJ126" s="6">
        <f>AV2</f>
        <v>0</v>
      </c>
      <c r="AK126" s="6">
        <f>AW2</f>
        <v>0</v>
      </c>
      <c r="AL126" s="13">
        <f>AX2</f>
        <v>0</v>
      </c>
      <c r="AN126" s="15">
        <f>AT3</f>
        <v>0</v>
      </c>
      <c r="AO126" s="8">
        <f>AU3</f>
        <v>0</v>
      </c>
      <c r="AP126" s="6">
        <f>AV3</f>
        <v>0</v>
      </c>
      <c r="AQ126" s="6">
        <f>AW3</f>
        <v>0</v>
      </c>
      <c r="AR126" s="13">
        <f>AX3</f>
        <v>0</v>
      </c>
      <c r="AT126" s="15">
        <f>AT4</f>
        <v>0</v>
      </c>
      <c r="AU126" s="8">
        <f>AU4</f>
        <v>0</v>
      </c>
      <c r="AV126" s="6">
        <f>AV4</f>
        <v>0</v>
      </c>
      <c r="AW126" s="6">
        <f>AW4</f>
        <v>0</v>
      </c>
      <c r="AX126" s="13">
        <f>AX4</f>
        <v>0</v>
      </c>
      <c r="AZ126" s="15">
        <f>AT5</f>
        <v>0</v>
      </c>
      <c r="BA126" s="8">
        <f>AU5</f>
        <v>0</v>
      </c>
      <c r="BB126" s="6">
        <f>AV5</f>
        <v>0</v>
      </c>
      <c r="BC126" s="6">
        <f>AW5</f>
        <v>0</v>
      </c>
      <c r="BD126" s="13">
        <f>AX5</f>
        <v>0</v>
      </c>
      <c r="BF126" s="15">
        <f>AT6</f>
        <v>0</v>
      </c>
      <c r="BG126" s="8">
        <f>AU6</f>
        <v>0</v>
      </c>
      <c r="BH126" s="6">
        <f>AV6</f>
        <v>0</v>
      </c>
      <c r="BI126" s="6">
        <f>AW6</f>
        <v>0</v>
      </c>
      <c r="BJ126" s="13">
        <f>AX6</f>
        <v>0</v>
      </c>
    </row>
    <row r="127" spans="1:62" ht="15.75" thickBot="1" x14ac:dyDescent="0.3">
      <c r="A127" s="59">
        <v>10000</v>
      </c>
      <c r="B127" s="31">
        <f t="shared" si="26"/>
        <v>0</v>
      </c>
      <c r="C127" s="32">
        <f t="shared" si="26"/>
        <v>0</v>
      </c>
      <c r="D127" s="32">
        <f t="shared" si="26"/>
        <v>0</v>
      </c>
      <c r="E127" s="32">
        <f t="shared" si="26"/>
        <v>0</v>
      </c>
      <c r="F127" s="33">
        <f t="shared" si="26"/>
        <v>0</v>
      </c>
      <c r="G127" s="31">
        <f t="shared" si="27"/>
        <v>0</v>
      </c>
      <c r="H127" s="32">
        <f t="shared" si="27"/>
        <v>0</v>
      </c>
      <c r="I127" s="32">
        <f t="shared" si="27"/>
        <v>0</v>
      </c>
      <c r="J127" s="32">
        <f t="shared" si="27"/>
        <v>0</v>
      </c>
      <c r="K127" s="33">
        <f t="shared" si="27"/>
        <v>0</v>
      </c>
      <c r="L127" s="31">
        <f t="shared" si="28"/>
        <v>0</v>
      </c>
      <c r="M127" s="32">
        <f t="shared" si="28"/>
        <v>0</v>
      </c>
      <c r="N127" s="32">
        <f t="shared" si="28"/>
        <v>0</v>
      </c>
      <c r="O127" s="32">
        <f t="shared" si="28"/>
        <v>0</v>
      </c>
      <c r="P127" s="33">
        <f t="shared" si="28"/>
        <v>0</v>
      </c>
      <c r="Q127" s="31">
        <f t="shared" si="29"/>
        <v>0</v>
      </c>
      <c r="R127" s="32">
        <f t="shared" si="29"/>
        <v>0</v>
      </c>
      <c r="S127" s="32">
        <f t="shared" si="29"/>
        <v>0</v>
      </c>
      <c r="T127" s="32">
        <f t="shared" si="29"/>
        <v>0</v>
      </c>
      <c r="U127" s="33">
        <f t="shared" si="29"/>
        <v>0</v>
      </c>
      <c r="V127" s="31">
        <f t="shared" si="30"/>
        <v>0</v>
      </c>
      <c r="W127" s="32">
        <f t="shared" si="30"/>
        <v>0</v>
      </c>
      <c r="X127" s="32">
        <f t="shared" si="30"/>
        <v>0</v>
      </c>
      <c r="Y127" s="32">
        <f t="shared" si="30"/>
        <v>0</v>
      </c>
      <c r="Z127" s="33">
        <f t="shared" si="30"/>
        <v>0</v>
      </c>
      <c r="AA127" s="31">
        <f t="shared" si="30"/>
        <v>0</v>
      </c>
      <c r="AB127" s="32">
        <f t="shared" si="30"/>
        <v>0</v>
      </c>
      <c r="AC127" s="32">
        <f t="shared" si="30"/>
        <v>0</v>
      </c>
      <c r="AD127" s="32">
        <f t="shared" si="30"/>
        <v>0</v>
      </c>
      <c r="AE127" s="33">
        <f t="shared" si="30"/>
        <v>0</v>
      </c>
      <c r="AF127" s="16">
        <f t="shared" si="31"/>
        <v>0</v>
      </c>
      <c r="AG127" s="43">
        <f t="shared" si="32"/>
        <v>0</v>
      </c>
      <c r="AH127" s="15">
        <f>AZ2</f>
        <v>0</v>
      </c>
      <c r="AI127" s="8">
        <f>BA2</f>
        <v>0</v>
      </c>
      <c r="AJ127" s="6">
        <f>BB2</f>
        <v>0</v>
      </c>
      <c r="AK127" s="6">
        <f>BC2</f>
        <v>0</v>
      </c>
      <c r="AL127" s="13">
        <f>BD2</f>
        <v>0</v>
      </c>
      <c r="AN127" s="15">
        <f>AZ3</f>
        <v>0</v>
      </c>
      <c r="AO127" s="8">
        <f>BA3</f>
        <v>0</v>
      </c>
      <c r="AP127" s="6">
        <f>BB3</f>
        <v>0</v>
      </c>
      <c r="AQ127" s="6">
        <f>BC3</f>
        <v>0</v>
      </c>
      <c r="AR127" s="13">
        <f>BD3</f>
        <v>0</v>
      </c>
      <c r="AT127" s="15">
        <f>AZ4</f>
        <v>0</v>
      </c>
      <c r="AU127" s="8">
        <f>BA4</f>
        <v>0</v>
      </c>
      <c r="AV127" s="6">
        <f>BB4</f>
        <v>0</v>
      </c>
      <c r="AW127" s="6">
        <f>BC4</f>
        <v>0</v>
      </c>
      <c r="AX127" s="13">
        <f>BD4</f>
        <v>0</v>
      </c>
      <c r="AZ127" s="15">
        <f>AZ5</f>
        <v>0</v>
      </c>
      <c r="BA127" s="8">
        <f>BA5</f>
        <v>0</v>
      </c>
      <c r="BB127" s="6">
        <f>BB5</f>
        <v>0</v>
      </c>
      <c r="BC127" s="6">
        <f>BC5</f>
        <v>0</v>
      </c>
      <c r="BD127" s="13">
        <f>BD5</f>
        <v>0</v>
      </c>
      <c r="BF127" s="15">
        <f>AZ6</f>
        <v>0</v>
      </c>
      <c r="BG127" s="8">
        <f>BA6</f>
        <v>0</v>
      </c>
      <c r="BH127" s="6">
        <f>BB6</f>
        <v>0</v>
      </c>
      <c r="BI127" s="6">
        <f>BC6</f>
        <v>0</v>
      </c>
      <c r="BJ127" s="13">
        <f>BD6</f>
        <v>0</v>
      </c>
    </row>
    <row r="128" spans="1:62" ht="15.75" thickBot="1" x14ac:dyDescent="0.3">
      <c r="A128" s="35"/>
      <c r="B128" s="60">
        <f t="shared" ref="B128:AG128" si="33">SUM(B119:B127)</f>
        <v>0</v>
      </c>
      <c r="C128" s="61">
        <f t="shared" si="33"/>
        <v>48</v>
      </c>
      <c r="D128" s="61">
        <f t="shared" si="33"/>
        <v>0</v>
      </c>
      <c r="E128" s="61">
        <f t="shared" si="33"/>
        <v>0</v>
      </c>
      <c r="F128" s="62">
        <f t="shared" si="33"/>
        <v>0</v>
      </c>
      <c r="G128" s="60">
        <f t="shared" si="33"/>
        <v>0</v>
      </c>
      <c r="H128" s="61">
        <f t="shared" si="33"/>
        <v>0</v>
      </c>
      <c r="I128" s="61">
        <f t="shared" si="33"/>
        <v>0</v>
      </c>
      <c r="J128" s="61">
        <f t="shared" si="33"/>
        <v>0</v>
      </c>
      <c r="K128" s="62">
        <f t="shared" si="33"/>
        <v>0</v>
      </c>
      <c r="L128" s="60">
        <f t="shared" si="33"/>
        <v>0</v>
      </c>
      <c r="M128" s="61">
        <f t="shared" si="33"/>
        <v>0</v>
      </c>
      <c r="N128" s="61">
        <f t="shared" si="33"/>
        <v>0</v>
      </c>
      <c r="O128" s="61">
        <f t="shared" si="33"/>
        <v>0</v>
      </c>
      <c r="P128" s="62">
        <f t="shared" si="33"/>
        <v>0</v>
      </c>
      <c r="Q128" s="60">
        <f t="shared" si="33"/>
        <v>0</v>
      </c>
      <c r="R128" s="61">
        <f t="shared" si="33"/>
        <v>0</v>
      </c>
      <c r="S128" s="61">
        <f t="shared" si="33"/>
        <v>0</v>
      </c>
      <c r="T128" s="61">
        <f t="shared" si="33"/>
        <v>0</v>
      </c>
      <c r="U128" s="62">
        <f t="shared" si="33"/>
        <v>0</v>
      </c>
      <c r="V128" s="60">
        <f t="shared" si="33"/>
        <v>0</v>
      </c>
      <c r="W128" s="61">
        <f t="shared" si="33"/>
        <v>0</v>
      </c>
      <c r="X128" s="61">
        <f t="shared" si="33"/>
        <v>0</v>
      </c>
      <c r="Y128" s="61">
        <f t="shared" si="33"/>
        <v>0</v>
      </c>
      <c r="Z128" s="62">
        <f t="shared" si="33"/>
        <v>0</v>
      </c>
      <c r="AA128" s="60">
        <f t="shared" si="33"/>
        <v>0</v>
      </c>
      <c r="AB128" s="61">
        <f t="shared" si="33"/>
        <v>0</v>
      </c>
      <c r="AC128" s="61">
        <f t="shared" si="33"/>
        <v>0</v>
      </c>
      <c r="AD128" s="61">
        <f t="shared" si="33"/>
        <v>0</v>
      </c>
      <c r="AE128" s="62">
        <f t="shared" si="33"/>
        <v>0</v>
      </c>
      <c r="AF128" s="35">
        <f>SUM(AF119:AF127)</f>
        <v>39500</v>
      </c>
      <c r="AG128" s="35">
        <f t="shared" si="32"/>
        <v>48</v>
      </c>
      <c r="AH128" s="15">
        <f>BF2</f>
        <v>0</v>
      </c>
      <c r="AI128" s="8">
        <f>BG2</f>
        <v>0</v>
      </c>
      <c r="AJ128" s="6">
        <f>BH2</f>
        <v>0</v>
      </c>
      <c r="AK128" s="6">
        <f>BI2</f>
        <v>0</v>
      </c>
      <c r="AL128" s="13">
        <f>BJ2</f>
        <v>0</v>
      </c>
      <c r="AN128" s="15">
        <f>BF3</f>
        <v>0</v>
      </c>
      <c r="AO128" s="8">
        <f>BG3</f>
        <v>0</v>
      </c>
      <c r="AP128" s="6">
        <f>BH3</f>
        <v>0</v>
      </c>
      <c r="AQ128" s="6">
        <f>BI3</f>
        <v>0</v>
      </c>
      <c r="AR128" s="13">
        <f>BJ3</f>
        <v>0</v>
      </c>
      <c r="AT128" s="15">
        <f>BF4</f>
        <v>0</v>
      </c>
      <c r="AU128" s="8">
        <f>BG4</f>
        <v>0</v>
      </c>
      <c r="AV128" s="6">
        <f>BH4</f>
        <v>0</v>
      </c>
      <c r="AW128" s="6">
        <f>BI4</f>
        <v>0</v>
      </c>
      <c r="AX128" s="13">
        <f>BJ4</f>
        <v>0</v>
      </c>
      <c r="AZ128" s="15">
        <f>BF5</f>
        <v>0</v>
      </c>
      <c r="BA128" s="8">
        <f>BG5</f>
        <v>0</v>
      </c>
      <c r="BB128" s="6">
        <f>BH5</f>
        <v>0</v>
      </c>
      <c r="BC128" s="6">
        <f>BI5</f>
        <v>0</v>
      </c>
      <c r="BD128" s="13">
        <f>BJ5</f>
        <v>0</v>
      </c>
      <c r="BF128" s="15">
        <f>BF6</f>
        <v>0</v>
      </c>
      <c r="BG128" s="8">
        <f>BG6</f>
        <v>0</v>
      </c>
      <c r="BH128" s="6">
        <f>BH6</f>
        <v>0</v>
      </c>
      <c r="BI128" s="6">
        <f>BI6</f>
        <v>0</v>
      </c>
      <c r="BJ128" s="13">
        <f>BJ6</f>
        <v>0</v>
      </c>
    </row>
    <row r="129" spans="1:62" ht="15.75" thickBo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9">
        <f>BL2</f>
        <v>0</v>
      </c>
      <c r="AI129" s="31">
        <f>BM2</f>
        <v>0</v>
      </c>
      <c r="AJ129" s="32">
        <f>BN2</f>
        <v>0</v>
      </c>
      <c r="AK129" s="32">
        <f>BO2</f>
        <v>0</v>
      </c>
      <c r="AL129" s="33">
        <f>BP2</f>
        <v>0</v>
      </c>
      <c r="AN129" s="59">
        <f>BL3</f>
        <v>0</v>
      </c>
      <c r="AO129" s="31">
        <f>BM3</f>
        <v>0</v>
      </c>
      <c r="AP129" s="32">
        <f>BN3</f>
        <v>0</v>
      </c>
      <c r="AQ129" s="32">
        <f>BO3</f>
        <v>0</v>
      </c>
      <c r="AR129" s="33">
        <f>BP3</f>
        <v>0</v>
      </c>
      <c r="AT129" s="59">
        <f>BL4</f>
        <v>0</v>
      </c>
      <c r="AU129" s="31">
        <f>BM4</f>
        <v>0</v>
      </c>
      <c r="AV129" s="32">
        <f>BN4</f>
        <v>0</v>
      </c>
      <c r="AW129" s="32">
        <f>BO4</f>
        <v>0</v>
      </c>
      <c r="AX129" s="33">
        <f>BP4</f>
        <v>0</v>
      </c>
      <c r="AZ129" s="59">
        <f>BL5</f>
        <v>0</v>
      </c>
      <c r="BA129" s="31">
        <f>BM5</f>
        <v>0</v>
      </c>
      <c r="BB129" s="32">
        <f>BN5</f>
        <v>0</v>
      </c>
      <c r="BC129" s="32">
        <f>BO5</f>
        <v>0</v>
      </c>
      <c r="BD129" s="33">
        <f>BP5</f>
        <v>0</v>
      </c>
      <c r="BF129" s="59">
        <f>BL6</f>
        <v>0</v>
      </c>
      <c r="BG129" s="31">
        <f>BM6</f>
        <v>0</v>
      </c>
      <c r="BH129" s="32">
        <f>BN6</f>
        <v>0</v>
      </c>
      <c r="BI129" s="32">
        <f>BO6</f>
        <v>0</v>
      </c>
      <c r="BJ129" s="33">
        <f>BP6</f>
        <v>0</v>
      </c>
    </row>
    <row r="130" spans="1:62" ht="16.5" thickBot="1" x14ac:dyDescent="0.3">
      <c r="A130" s="173" t="s">
        <v>249</v>
      </c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5"/>
      <c r="AH130" s="35" t="str">
        <f>C2</f>
        <v>A/C</v>
      </c>
      <c r="AI130" s="158">
        <f>SUM(AJ120:AJ129)</f>
        <v>48</v>
      </c>
      <c r="AJ130" s="159"/>
      <c r="AK130" s="158">
        <f>BT2</f>
        <v>39500</v>
      </c>
      <c r="AL130" s="159"/>
      <c r="AN130" s="35">
        <f>C3</f>
        <v>0</v>
      </c>
      <c r="AO130" s="158">
        <f>SUM(AP120:AP129)</f>
        <v>0</v>
      </c>
      <c r="AP130" s="159"/>
      <c r="AQ130" s="158">
        <f>BT3</f>
        <v>0</v>
      </c>
      <c r="AR130" s="159"/>
      <c r="AT130" s="35">
        <f>C4</f>
        <v>0</v>
      </c>
      <c r="AU130" s="158">
        <f>SUM(AV120:AV129)</f>
        <v>0</v>
      </c>
      <c r="AV130" s="159"/>
      <c r="AW130" s="158">
        <f>BT4</f>
        <v>0</v>
      </c>
      <c r="AX130" s="159"/>
      <c r="AZ130" s="35">
        <f>C5</f>
        <v>0</v>
      </c>
      <c r="BA130" s="158">
        <f>SUM(BB120:BB129)</f>
        <v>0</v>
      </c>
      <c r="BB130" s="159"/>
      <c r="BC130" s="158">
        <f>BT5</f>
        <v>0</v>
      </c>
      <c r="BD130" s="159"/>
      <c r="BF130" s="35">
        <f>C6</f>
        <v>0</v>
      </c>
      <c r="BG130" s="158">
        <f>SUM(BG120:BG129)</f>
        <v>0</v>
      </c>
      <c r="BH130" s="159"/>
      <c r="BI130" s="158">
        <f>BT6</f>
        <v>0</v>
      </c>
      <c r="BJ130" s="159"/>
    </row>
    <row r="131" spans="1:62" ht="15.75" thickBot="1" x14ac:dyDescent="0.3">
      <c r="A131" s="123" t="s">
        <v>31</v>
      </c>
      <c r="B131" s="113" t="s">
        <v>22</v>
      </c>
      <c r="C131" s="114"/>
      <c r="D131" s="114"/>
      <c r="E131" s="114"/>
      <c r="F131" s="115"/>
      <c r="G131" s="113" t="s">
        <v>20</v>
      </c>
      <c r="H131" s="114"/>
      <c r="I131" s="114"/>
      <c r="J131" s="114"/>
      <c r="K131" s="115"/>
      <c r="L131" s="113" t="s">
        <v>34</v>
      </c>
      <c r="M131" s="114"/>
      <c r="N131" s="114"/>
      <c r="O131" s="114"/>
      <c r="P131" s="115"/>
      <c r="Q131" s="113" t="s">
        <v>127</v>
      </c>
      <c r="R131" s="114"/>
      <c r="S131" s="114"/>
      <c r="T131" s="114"/>
      <c r="U131" s="115"/>
      <c r="V131" s="113" t="s">
        <v>129</v>
      </c>
      <c r="W131" s="114"/>
      <c r="X131" s="114"/>
      <c r="Y131" s="114"/>
      <c r="Z131" s="115"/>
      <c r="AA131" s="113" t="s">
        <v>26</v>
      </c>
      <c r="AB131" s="114"/>
      <c r="AC131" s="114"/>
      <c r="AD131" s="114"/>
      <c r="AE131" s="115"/>
      <c r="AF131" s="116" t="s">
        <v>24</v>
      </c>
      <c r="AG131" s="116" t="s">
        <v>86</v>
      </c>
      <c r="AH131" s="35" t="s">
        <v>25</v>
      </c>
      <c r="AI131" s="158">
        <f>A2</f>
        <v>21420</v>
      </c>
      <c r="AJ131" s="160"/>
      <c r="AK131" s="158" t="str">
        <f>BR2</f>
        <v>COD</v>
      </c>
      <c r="AL131" s="159"/>
      <c r="AN131" s="35" t="s">
        <v>25</v>
      </c>
      <c r="AO131" s="158">
        <f>A3</f>
        <v>0</v>
      </c>
      <c r="AP131" s="160"/>
      <c r="AQ131" s="158">
        <f>BR3</f>
        <v>0</v>
      </c>
      <c r="AR131" s="159"/>
      <c r="AT131" s="35" t="s">
        <v>25</v>
      </c>
      <c r="AU131" s="158">
        <f>A4</f>
        <v>0</v>
      </c>
      <c r="AV131" s="160"/>
      <c r="AW131" s="158">
        <f>BR4</f>
        <v>0</v>
      </c>
      <c r="AX131" s="159"/>
      <c r="AZ131" s="35" t="s">
        <v>25</v>
      </c>
      <c r="BA131" s="158">
        <f>A5</f>
        <v>0</v>
      </c>
      <c r="BB131" s="160"/>
      <c r="BC131" s="158">
        <f>BR5</f>
        <v>0</v>
      </c>
      <c r="BD131" s="159"/>
      <c r="BF131" s="35" t="s">
        <v>25</v>
      </c>
      <c r="BG131" s="158">
        <f>A6</f>
        <v>0</v>
      </c>
      <c r="BH131" s="160"/>
      <c r="BI131" s="158">
        <f>BR6</f>
        <v>0</v>
      </c>
      <c r="BJ131" s="159"/>
    </row>
    <row r="132" spans="1:62" ht="15.75" thickBot="1" x14ac:dyDescent="0.3">
      <c r="A132" s="124"/>
      <c r="B132" s="9" t="s">
        <v>32</v>
      </c>
      <c r="C132" s="12" t="s">
        <v>17</v>
      </c>
      <c r="D132" s="12" t="s">
        <v>19</v>
      </c>
      <c r="E132" s="12" t="s">
        <v>33</v>
      </c>
      <c r="F132" s="14" t="s">
        <v>80</v>
      </c>
      <c r="G132" s="9" t="s">
        <v>32</v>
      </c>
      <c r="H132" s="12" t="s">
        <v>17</v>
      </c>
      <c r="I132" s="12" t="s">
        <v>19</v>
      </c>
      <c r="J132" s="12" t="s">
        <v>33</v>
      </c>
      <c r="K132" s="14" t="s">
        <v>80</v>
      </c>
      <c r="L132" s="9" t="s">
        <v>32</v>
      </c>
      <c r="M132" s="12" t="s">
        <v>17</v>
      </c>
      <c r="N132" s="12" t="s">
        <v>19</v>
      </c>
      <c r="O132" s="12" t="s">
        <v>33</v>
      </c>
      <c r="P132" s="14" t="s">
        <v>80</v>
      </c>
      <c r="Q132" s="9" t="s">
        <v>32</v>
      </c>
      <c r="R132" s="12" t="s">
        <v>17</v>
      </c>
      <c r="S132" s="12" t="s">
        <v>19</v>
      </c>
      <c r="T132" s="12" t="s">
        <v>33</v>
      </c>
      <c r="U132" s="14" t="s">
        <v>80</v>
      </c>
      <c r="V132" s="9" t="s">
        <v>32</v>
      </c>
      <c r="W132" s="12" t="s">
        <v>17</v>
      </c>
      <c r="X132" s="12" t="s">
        <v>19</v>
      </c>
      <c r="Y132" s="12" t="s">
        <v>33</v>
      </c>
      <c r="Z132" s="14" t="s">
        <v>80</v>
      </c>
      <c r="AA132" s="9" t="s">
        <v>32</v>
      </c>
      <c r="AB132" s="12" t="s">
        <v>17</v>
      </c>
      <c r="AC132" s="12" t="s">
        <v>19</v>
      </c>
      <c r="AD132" s="12" t="s">
        <v>33</v>
      </c>
      <c r="AE132" s="14" t="s">
        <v>80</v>
      </c>
      <c r="AF132" s="117"/>
      <c r="AG132" s="117"/>
      <c r="AH132" s="58" t="s">
        <v>130</v>
      </c>
      <c r="AI132" s="58" t="s">
        <v>131</v>
      </c>
      <c r="AJ132" s="58" t="s">
        <v>132</v>
      </c>
      <c r="AK132" s="58" t="s">
        <v>166</v>
      </c>
      <c r="AL132" s="58" t="s">
        <v>33</v>
      </c>
      <c r="AN132" s="58" t="s">
        <v>130</v>
      </c>
      <c r="AO132" s="58" t="s">
        <v>131</v>
      </c>
      <c r="AP132" s="58" t="s">
        <v>132</v>
      </c>
      <c r="AQ132" s="58" t="s">
        <v>166</v>
      </c>
      <c r="AR132" s="58" t="s">
        <v>33</v>
      </c>
      <c r="AT132" s="58" t="s">
        <v>130</v>
      </c>
      <c r="AU132" s="58" t="s">
        <v>131</v>
      </c>
      <c r="AV132" s="58" t="s">
        <v>132</v>
      </c>
      <c r="AW132" s="58" t="s">
        <v>166</v>
      </c>
      <c r="AX132" s="58" t="s">
        <v>33</v>
      </c>
      <c r="AZ132" s="58" t="s">
        <v>130</v>
      </c>
      <c r="BA132" s="58" t="s">
        <v>131</v>
      </c>
      <c r="BB132" s="58" t="s">
        <v>132</v>
      </c>
      <c r="BC132" s="58" t="s">
        <v>166</v>
      </c>
      <c r="BD132" s="58" t="s">
        <v>33</v>
      </c>
      <c r="BF132" s="58" t="s">
        <v>130</v>
      </c>
      <c r="BG132" s="58" t="s">
        <v>131</v>
      </c>
      <c r="BH132" s="58" t="s">
        <v>132</v>
      </c>
      <c r="BI132" s="58" t="s">
        <v>166</v>
      </c>
      <c r="BJ132" s="58" t="s">
        <v>33</v>
      </c>
    </row>
    <row r="133" spans="1:62" ht="15.75" thickBot="1" x14ac:dyDescent="0.3">
      <c r="A133" s="16">
        <v>300</v>
      </c>
      <c r="B133" s="10">
        <f t="shared" ref="B133:F141" si="34">SUMIFS($J$14:$J$113,$I$14:$I$113,$A133,$K$14:$K$113,B$118,$L$14:$L$113,$B$117,$H$14:$H$113,"NG")</f>
        <v>0</v>
      </c>
      <c r="C133" s="11">
        <f t="shared" si="34"/>
        <v>0</v>
      </c>
      <c r="D133" s="11">
        <f t="shared" si="34"/>
        <v>0</v>
      </c>
      <c r="E133" s="11">
        <f t="shared" si="34"/>
        <v>0</v>
      </c>
      <c r="F133" s="17">
        <f t="shared" si="34"/>
        <v>0</v>
      </c>
      <c r="G133" s="10">
        <f t="shared" ref="G133:K141" si="35">SUMIFS($J$14:$J$113,$I$14:$I$113,$A133,$K$14:$K$113,G$118,$L$14:$L$113,$G$117,$H$14:$H$113,"NG")</f>
        <v>0</v>
      </c>
      <c r="H133" s="11">
        <f t="shared" si="35"/>
        <v>0</v>
      </c>
      <c r="I133" s="11">
        <f t="shared" si="35"/>
        <v>0</v>
      </c>
      <c r="J133" s="11">
        <f t="shared" si="35"/>
        <v>0</v>
      </c>
      <c r="K133" s="17">
        <f t="shared" si="35"/>
        <v>0</v>
      </c>
      <c r="L133" s="10">
        <f t="shared" ref="L133:P141" si="36">SUMIFS($J$14:$J$113,$I$14:$I$113,$A133,$K$14:$K$113,L$118,$L$14:$L$113,$L$117,$H$14:$H$113,"NG")</f>
        <v>0</v>
      </c>
      <c r="M133" s="11">
        <f t="shared" si="36"/>
        <v>0</v>
      </c>
      <c r="N133" s="11">
        <f t="shared" si="36"/>
        <v>0</v>
      </c>
      <c r="O133" s="11">
        <f t="shared" si="36"/>
        <v>0</v>
      </c>
      <c r="P133" s="17">
        <f t="shared" si="36"/>
        <v>0</v>
      </c>
      <c r="Q133" s="10">
        <f t="shared" ref="Q133:U141" si="37">SUMIFS($J$14:$J$113,$I$14:$I$113,$A133,$K$14:$K$113,Q$118,$L$14:$L$113,$Q$117,$H$14:$H$113,"NG")</f>
        <v>0</v>
      </c>
      <c r="R133" s="11">
        <f t="shared" si="37"/>
        <v>0</v>
      </c>
      <c r="S133" s="11">
        <f t="shared" si="37"/>
        <v>0</v>
      </c>
      <c r="T133" s="11">
        <f t="shared" si="37"/>
        <v>0</v>
      </c>
      <c r="U133" s="17">
        <f t="shared" si="37"/>
        <v>0</v>
      </c>
      <c r="V133" s="10">
        <f t="shared" ref="V133:AE141" si="38">SUMIFS($J$14:$J$113,$I$14:$I$113,$A133,$K$14:$K$113,V$118,$L$14:$L$113,$L$117,$H$14:$H$113,"NG")</f>
        <v>0</v>
      </c>
      <c r="W133" s="11">
        <f t="shared" si="38"/>
        <v>0</v>
      </c>
      <c r="X133" s="11">
        <f t="shared" si="38"/>
        <v>0</v>
      </c>
      <c r="Y133" s="11">
        <f t="shared" si="38"/>
        <v>0</v>
      </c>
      <c r="Z133" s="17">
        <f t="shared" si="38"/>
        <v>0</v>
      </c>
      <c r="AA133" s="10">
        <f t="shared" si="38"/>
        <v>0</v>
      </c>
      <c r="AB133" s="11">
        <f t="shared" si="38"/>
        <v>0</v>
      </c>
      <c r="AC133" s="11">
        <f t="shared" si="38"/>
        <v>0</v>
      </c>
      <c r="AD133" s="11">
        <f t="shared" si="38"/>
        <v>0</v>
      </c>
      <c r="AE133" s="17">
        <f t="shared" si="38"/>
        <v>0</v>
      </c>
      <c r="AF133" s="16">
        <f>SUM(B133:AE133)*A133</f>
        <v>0</v>
      </c>
      <c r="AG133" s="16">
        <f>SUM(B133:AE133)</f>
        <v>0</v>
      </c>
      <c r="AH133" s="34" t="str">
        <f>AZ14</f>
        <v/>
      </c>
      <c r="AI133" s="34" t="str">
        <f>BA14</f>
        <v/>
      </c>
      <c r="AJ133" s="34" t="str">
        <f>BB14</f>
        <v/>
      </c>
      <c r="AK133" s="35" t="str">
        <f>BC14</f>
        <v/>
      </c>
      <c r="AL133" s="35" t="str">
        <f>BD14</f>
        <v/>
      </c>
      <c r="AN133" s="34" t="str">
        <f>AZ15</f>
        <v/>
      </c>
      <c r="AO133" s="34" t="str">
        <f>BA15</f>
        <v/>
      </c>
      <c r="AP133" s="34" t="str">
        <f>BB15</f>
        <v/>
      </c>
      <c r="AQ133" s="35" t="str">
        <f>BC15</f>
        <v/>
      </c>
      <c r="AR133" s="35" t="str">
        <f>BD15</f>
        <v/>
      </c>
      <c r="AT133" s="34" t="str">
        <f>AZ16</f>
        <v/>
      </c>
      <c r="AU133" s="34" t="str">
        <f>BA16</f>
        <v/>
      </c>
      <c r="AV133" s="34" t="str">
        <f>BB16</f>
        <v/>
      </c>
      <c r="AW133" s="35" t="str">
        <f>BC16</f>
        <v/>
      </c>
      <c r="AX133" s="35" t="str">
        <f>BD16</f>
        <v/>
      </c>
      <c r="AZ133" s="34" t="str">
        <f>AZ17</f>
        <v/>
      </c>
      <c r="BA133" s="34" t="str">
        <f>BA17</f>
        <v/>
      </c>
      <c r="BB133" s="34" t="str">
        <f>BB17</f>
        <v/>
      </c>
      <c r="BC133" s="35" t="str">
        <f>BC17</f>
        <v/>
      </c>
      <c r="BD133" s="35" t="str">
        <f>BD17</f>
        <v/>
      </c>
      <c r="BF133" s="34" t="str">
        <f>AZ18</f>
        <v/>
      </c>
      <c r="BG133" s="34" t="str">
        <f>BA18</f>
        <v/>
      </c>
      <c r="BH133" s="34" t="str">
        <f>BB18</f>
        <v/>
      </c>
      <c r="BI133" s="35" t="str">
        <f>BC18</f>
        <v/>
      </c>
      <c r="BJ133" s="35" t="str">
        <f>BD18</f>
        <v/>
      </c>
    </row>
    <row r="134" spans="1:62" ht="15.75" thickBot="1" x14ac:dyDescent="0.3">
      <c r="A134" s="16">
        <v>500</v>
      </c>
      <c r="B134" s="10">
        <f t="shared" si="34"/>
        <v>0</v>
      </c>
      <c r="C134" s="11">
        <f t="shared" si="34"/>
        <v>0</v>
      </c>
      <c r="D134" s="11">
        <f t="shared" si="34"/>
        <v>0</v>
      </c>
      <c r="E134" s="11">
        <f t="shared" si="34"/>
        <v>0</v>
      </c>
      <c r="F134" s="17">
        <f t="shared" si="34"/>
        <v>0</v>
      </c>
      <c r="G134" s="10">
        <f t="shared" si="35"/>
        <v>0</v>
      </c>
      <c r="H134" s="11">
        <f t="shared" si="35"/>
        <v>0</v>
      </c>
      <c r="I134" s="11">
        <f t="shared" si="35"/>
        <v>0</v>
      </c>
      <c r="J134" s="11">
        <f t="shared" si="35"/>
        <v>0</v>
      </c>
      <c r="K134" s="17">
        <f t="shared" si="35"/>
        <v>0</v>
      </c>
      <c r="L134" s="10">
        <f t="shared" si="36"/>
        <v>0</v>
      </c>
      <c r="M134" s="11">
        <f t="shared" si="36"/>
        <v>0</v>
      </c>
      <c r="N134" s="11">
        <f t="shared" si="36"/>
        <v>0</v>
      </c>
      <c r="O134" s="11">
        <f t="shared" si="36"/>
        <v>0</v>
      </c>
      <c r="P134" s="17">
        <f t="shared" si="36"/>
        <v>0</v>
      </c>
      <c r="Q134" s="10">
        <f t="shared" si="37"/>
        <v>0</v>
      </c>
      <c r="R134" s="11">
        <f t="shared" si="37"/>
        <v>0</v>
      </c>
      <c r="S134" s="11">
        <f t="shared" si="37"/>
        <v>0</v>
      </c>
      <c r="T134" s="11">
        <f t="shared" si="37"/>
        <v>0</v>
      </c>
      <c r="U134" s="17">
        <f t="shared" si="37"/>
        <v>0</v>
      </c>
      <c r="V134" s="10">
        <f t="shared" si="38"/>
        <v>0</v>
      </c>
      <c r="W134" s="11">
        <f t="shared" si="38"/>
        <v>0</v>
      </c>
      <c r="X134" s="11">
        <f t="shared" si="38"/>
        <v>0</v>
      </c>
      <c r="Y134" s="11">
        <f t="shared" si="38"/>
        <v>0</v>
      </c>
      <c r="Z134" s="17">
        <f t="shared" si="38"/>
        <v>0</v>
      </c>
      <c r="AA134" s="10">
        <f t="shared" si="38"/>
        <v>0</v>
      </c>
      <c r="AB134" s="11">
        <f t="shared" si="38"/>
        <v>0</v>
      </c>
      <c r="AC134" s="11">
        <f t="shared" si="38"/>
        <v>0</v>
      </c>
      <c r="AD134" s="11">
        <f t="shared" si="38"/>
        <v>0</v>
      </c>
      <c r="AE134" s="17">
        <f t="shared" si="38"/>
        <v>0</v>
      </c>
      <c r="AF134" s="16">
        <f t="shared" ref="AF134:AF141" si="39">SUM(B134:AE134)*A134</f>
        <v>0</v>
      </c>
      <c r="AG134" s="16">
        <f t="shared" ref="AG134:AG142" si="40">SUM(B134:AE134)</f>
        <v>0</v>
      </c>
      <c r="AH134" s="58" t="s">
        <v>22</v>
      </c>
      <c r="AI134" s="58" t="s">
        <v>20</v>
      </c>
      <c r="AJ134" s="58" t="s">
        <v>34</v>
      </c>
      <c r="AK134" s="58" t="s">
        <v>127</v>
      </c>
      <c r="AL134" s="58" t="s">
        <v>129</v>
      </c>
      <c r="AN134" s="58" t="s">
        <v>22</v>
      </c>
      <c r="AO134" s="58" t="s">
        <v>20</v>
      </c>
      <c r="AP134" s="58" t="s">
        <v>34</v>
      </c>
      <c r="AQ134" s="58" t="s">
        <v>127</v>
      </c>
      <c r="AR134" s="58" t="s">
        <v>129</v>
      </c>
      <c r="AT134" s="58" t="s">
        <v>22</v>
      </c>
      <c r="AU134" s="58" t="s">
        <v>20</v>
      </c>
      <c r="AV134" s="58" t="s">
        <v>34</v>
      </c>
      <c r="AW134" s="58" t="s">
        <v>127</v>
      </c>
      <c r="AX134" s="58" t="s">
        <v>129</v>
      </c>
      <c r="AZ134" s="58" t="s">
        <v>22</v>
      </c>
      <c r="BA134" s="58" t="s">
        <v>20</v>
      </c>
      <c r="BB134" s="58" t="s">
        <v>34</v>
      </c>
      <c r="BC134" s="58" t="s">
        <v>127</v>
      </c>
      <c r="BD134" s="58" t="s">
        <v>129</v>
      </c>
      <c r="BF134" s="58" t="s">
        <v>22</v>
      </c>
      <c r="BG134" s="58" t="s">
        <v>20</v>
      </c>
      <c r="BH134" s="58" t="s">
        <v>34</v>
      </c>
      <c r="BI134" s="58" t="s">
        <v>127</v>
      </c>
      <c r="BJ134" s="58" t="s">
        <v>129</v>
      </c>
    </row>
    <row r="135" spans="1:62" ht="15.75" thickBot="1" x14ac:dyDescent="0.3">
      <c r="A135" s="15">
        <v>750</v>
      </c>
      <c r="B135" s="8">
        <f t="shared" si="34"/>
        <v>0</v>
      </c>
      <c r="C135" s="6">
        <f t="shared" si="34"/>
        <v>0</v>
      </c>
      <c r="D135" s="6">
        <f t="shared" si="34"/>
        <v>0</v>
      </c>
      <c r="E135" s="6">
        <f t="shared" si="34"/>
        <v>0</v>
      </c>
      <c r="F135" s="13">
        <f t="shared" si="34"/>
        <v>0</v>
      </c>
      <c r="G135" s="8">
        <f t="shared" si="35"/>
        <v>0</v>
      </c>
      <c r="H135" s="6">
        <f t="shared" si="35"/>
        <v>0</v>
      </c>
      <c r="I135" s="6">
        <f t="shared" si="35"/>
        <v>0</v>
      </c>
      <c r="J135" s="6">
        <f t="shared" si="35"/>
        <v>0</v>
      </c>
      <c r="K135" s="13">
        <f t="shared" si="35"/>
        <v>0</v>
      </c>
      <c r="L135" s="8">
        <f t="shared" si="36"/>
        <v>0</v>
      </c>
      <c r="M135" s="6">
        <f t="shared" si="36"/>
        <v>0</v>
      </c>
      <c r="N135" s="6">
        <f t="shared" si="36"/>
        <v>0</v>
      </c>
      <c r="O135" s="6">
        <f t="shared" si="36"/>
        <v>0</v>
      </c>
      <c r="P135" s="13">
        <f t="shared" si="36"/>
        <v>0</v>
      </c>
      <c r="Q135" s="8">
        <f t="shared" si="37"/>
        <v>0</v>
      </c>
      <c r="R135" s="6">
        <f t="shared" si="37"/>
        <v>0</v>
      </c>
      <c r="S135" s="6">
        <f t="shared" si="37"/>
        <v>0</v>
      </c>
      <c r="T135" s="6">
        <f t="shared" si="37"/>
        <v>0</v>
      </c>
      <c r="U135" s="13">
        <f t="shared" si="37"/>
        <v>0</v>
      </c>
      <c r="V135" s="8">
        <f t="shared" si="38"/>
        <v>0</v>
      </c>
      <c r="W135" s="6">
        <f t="shared" si="38"/>
        <v>0</v>
      </c>
      <c r="X135" s="6">
        <f t="shared" si="38"/>
        <v>0</v>
      </c>
      <c r="Y135" s="6">
        <f t="shared" si="38"/>
        <v>0</v>
      </c>
      <c r="Z135" s="13">
        <f t="shared" si="38"/>
        <v>0</v>
      </c>
      <c r="AA135" s="8">
        <f t="shared" si="38"/>
        <v>0</v>
      </c>
      <c r="AB135" s="6">
        <f t="shared" si="38"/>
        <v>0</v>
      </c>
      <c r="AC135" s="6">
        <f t="shared" si="38"/>
        <v>0</v>
      </c>
      <c r="AD135" s="6">
        <f t="shared" si="38"/>
        <v>0</v>
      </c>
      <c r="AE135" s="13">
        <f t="shared" si="38"/>
        <v>0</v>
      </c>
      <c r="AF135" s="16">
        <f t="shared" si="39"/>
        <v>0</v>
      </c>
      <c r="AG135" s="16">
        <f t="shared" si="40"/>
        <v>0</v>
      </c>
      <c r="AH135" s="34">
        <f>AU14</f>
        <v>3.5</v>
      </c>
      <c r="AI135" s="34" t="str">
        <f>AV14</f>
        <v/>
      </c>
      <c r="AJ135" s="34" t="str">
        <f>AW14</f>
        <v/>
      </c>
      <c r="AK135" s="35" t="str">
        <f>AX14</f>
        <v/>
      </c>
      <c r="AL135" s="35" t="str">
        <f>AY14</f>
        <v/>
      </c>
      <c r="AN135" s="34" t="str">
        <f>AU15</f>
        <v/>
      </c>
      <c r="AO135" s="34" t="str">
        <f>AV15</f>
        <v/>
      </c>
      <c r="AP135" s="34" t="str">
        <f>AW15</f>
        <v/>
      </c>
      <c r="AQ135" s="35" t="str">
        <f>AX15</f>
        <v/>
      </c>
      <c r="AR135" s="35" t="str">
        <f>AY15</f>
        <v/>
      </c>
      <c r="AT135" s="34" t="str">
        <f>AU16</f>
        <v/>
      </c>
      <c r="AU135" s="34" t="str">
        <f>AV16</f>
        <v/>
      </c>
      <c r="AV135" s="34" t="str">
        <f>AW16</f>
        <v/>
      </c>
      <c r="AW135" s="35" t="str">
        <f>AX16</f>
        <v/>
      </c>
      <c r="AX135" s="35" t="str">
        <f>AY16</f>
        <v/>
      </c>
      <c r="AZ135" s="34" t="str">
        <f>AU17</f>
        <v/>
      </c>
      <c r="BA135" s="34" t="str">
        <f>AV17</f>
        <v/>
      </c>
      <c r="BB135" s="34" t="str">
        <f>AW17</f>
        <v/>
      </c>
      <c r="BC135" s="35" t="str">
        <f>AX17</f>
        <v/>
      </c>
      <c r="BD135" s="35" t="str">
        <f>AY17</f>
        <v/>
      </c>
      <c r="BF135" s="34" t="str">
        <f>AU18</f>
        <v/>
      </c>
      <c r="BG135" s="34" t="str">
        <f>AV18</f>
        <v/>
      </c>
      <c r="BH135" s="34" t="str">
        <f>AW18</f>
        <v/>
      </c>
      <c r="BI135" s="35" t="str">
        <f>AX18</f>
        <v/>
      </c>
      <c r="BJ135" s="35" t="str">
        <f>AY18</f>
        <v/>
      </c>
    </row>
    <row r="136" spans="1:62" x14ac:dyDescent="0.25">
      <c r="A136" s="15">
        <v>1000</v>
      </c>
      <c r="B136" s="8">
        <f t="shared" si="34"/>
        <v>0</v>
      </c>
      <c r="C136" s="6">
        <f t="shared" si="34"/>
        <v>0</v>
      </c>
      <c r="D136" s="6">
        <f t="shared" si="34"/>
        <v>0</v>
      </c>
      <c r="E136" s="6">
        <f t="shared" si="34"/>
        <v>0</v>
      </c>
      <c r="F136" s="13">
        <f t="shared" si="34"/>
        <v>0</v>
      </c>
      <c r="G136" s="8">
        <f t="shared" si="35"/>
        <v>0</v>
      </c>
      <c r="H136" s="6">
        <f t="shared" si="35"/>
        <v>0</v>
      </c>
      <c r="I136" s="6">
        <f t="shared" si="35"/>
        <v>0</v>
      </c>
      <c r="J136" s="6">
        <f t="shared" si="35"/>
        <v>0</v>
      </c>
      <c r="K136" s="13">
        <f t="shared" si="35"/>
        <v>0</v>
      </c>
      <c r="L136" s="8">
        <f t="shared" si="36"/>
        <v>0</v>
      </c>
      <c r="M136" s="6">
        <f t="shared" si="36"/>
        <v>0</v>
      </c>
      <c r="N136" s="6">
        <f t="shared" si="36"/>
        <v>0</v>
      </c>
      <c r="O136" s="6">
        <f t="shared" si="36"/>
        <v>0</v>
      </c>
      <c r="P136" s="13">
        <f t="shared" si="36"/>
        <v>0</v>
      </c>
      <c r="Q136" s="8">
        <f t="shared" si="37"/>
        <v>0</v>
      </c>
      <c r="R136" s="6">
        <f t="shared" si="37"/>
        <v>0</v>
      </c>
      <c r="S136" s="6">
        <f t="shared" si="37"/>
        <v>0</v>
      </c>
      <c r="T136" s="6">
        <f t="shared" si="37"/>
        <v>0</v>
      </c>
      <c r="U136" s="13">
        <f t="shared" si="37"/>
        <v>0</v>
      </c>
      <c r="V136" s="8">
        <f t="shared" si="38"/>
        <v>0</v>
      </c>
      <c r="W136" s="6">
        <f t="shared" si="38"/>
        <v>0</v>
      </c>
      <c r="X136" s="6">
        <f t="shared" si="38"/>
        <v>0</v>
      </c>
      <c r="Y136" s="6">
        <f t="shared" si="38"/>
        <v>0</v>
      </c>
      <c r="Z136" s="13">
        <f t="shared" si="38"/>
        <v>0</v>
      </c>
      <c r="AA136" s="8">
        <f t="shared" si="38"/>
        <v>0</v>
      </c>
      <c r="AB136" s="6">
        <f t="shared" si="38"/>
        <v>0</v>
      </c>
      <c r="AC136" s="6">
        <f t="shared" si="38"/>
        <v>0</v>
      </c>
      <c r="AD136" s="6">
        <f t="shared" si="38"/>
        <v>0</v>
      </c>
      <c r="AE136" s="13">
        <f t="shared" si="38"/>
        <v>0</v>
      </c>
      <c r="AF136" s="16">
        <f t="shared" si="39"/>
        <v>0</v>
      </c>
      <c r="AG136" s="16">
        <f t="shared" si="40"/>
        <v>0</v>
      </c>
    </row>
    <row r="137" spans="1:62" x14ac:dyDescent="0.25">
      <c r="A137" s="15">
        <v>1500</v>
      </c>
      <c r="B137" s="8">
        <f t="shared" si="34"/>
        <v>0</v>
      </c>
      <c r="C137" s="6">
        <f t="shared" si="34"/>
        <v>0</v>
      </c>
      <c r="D137" s="6">
        <f t="shared" si="34"/>
        <v>0</v>
      </c>
      <c r="E137" s="6">
        <f t="shared" si="34"/>
        <v>0</v>
      </c>
      <c r="F137" s="13">
        <f t="shared" si="34"/>
        <v>0</v>
      </c>
      <c r="G137" s="8">
        <f t="shared" si="35"/>
        <v>0</v>
      </c>
      <c r="H137" s="6">
        <f t="shared" si="35"/>
        <v>0</v>
      </c>
      <c r="I137" s="6">
        <f t="shared" si="35"/>
        <v>0</v>
      </c>
      <c r="J137" s="6">
        <f t="shared" si="35"/>
        <v>0</v>
      </c>
      <c r="K137" s="13">
        <f t="shared" si="35"/>
        <v>0</v>
      </c>
      <c r="L137" s="8">
        <f t="shared" si="36"/>
        <v>0</v>
      </c>
      <c r="M137" s="6">
        <f t="shared" si="36"/>
        <v>0</v>
      </c>
      <c r="N137" s="6">
        <f t="shared" si="36"/>
        <v>0</v>
      </c>
      <c r="O137" s="6">
        <f t="shared" si="36"/>
        <v>0</v>
      </c>
      <c r="P137" s="13">
        <f t="shared" si="36"/>
        <v>0</v>
      </c>
      <c r="Q137" s="8">
        <f t="shared" si="37"/>
        <v>0</v>
      </c>
      <c r="R137" s="6">
        <f t="shared" si="37"/>
        <v>0</v>
      </c>
      <c r="S137" s="6">
        <f t="shared" si="37"/>
        <v>0</v>
      </c>
      <c r="T137" s="6">
        <f t="shared" si="37"/>
        <v>0</v>
      </c>
      <c r="U137" s="13">
        <f t="shared" si="37"/>
        <v>0</v>
      </c>
      <c r="V137" s="8">
        <f t="shared" si="38"/>
        <v>0</v>
      </c>
      <c r="W137" s="6">
        <f t="shared" si="38"/>
        <v>0</v>
      </c>
      <c r="X137" s="6">
        <f t="shared" si="38"/>
        <v>0</v>
      </c>
      <c r="Y137" s="6">
        <f t="shared" si="38"/>
        <v>0</v>
      </c>
      <c r="Z137" s="13">
        <f t="shared" si="38"/>
        <v>0</v>
      </c>
      <c r="AA137" s="8">
        <f t="shared" si="38"/>
        <v>0</v>
      </c>
      <c r="AB137" s="6">
        <f t="shared" si="38"/>
        <v>0</v>
      </c>
      <c r="AC137" s="6">
        <f t="shared" si="38"/>
        <v>0</v>
      </c>
      <c r="AD137" s="6">
        <f t="shared" si="38"/>
        <v>0</v>
      </c>
      <c r="AE137" s="13">
        <f t="shared" si="38"/>
        <v>0</v>
      </c>
      <c r="AF137" s="16">
        <f t="shared" si="39"/>
        <v>0</v>
      </c>
      <c r="AG137" s="16">
        <f t="shared" si="40"/>
        <v>0</v>
      </c>
      <c r="AH137" s="118" t="s">
        <v>35</v>
      </c>
      <c r="AI137" s="118"/>
      <c r="AJ137" s="118">
        <f>F7</f>
        <v>0</v>
      </c>
      <c r="AK137" s="118"/>
      <c r="AL137" s="118"/>
      <c r="AN137" s="118" t="s">
        <v>35</v>
      </c>
      <c r="AO137" s="118"/>
      <c r="AP137" s="118">
        <f>F8</f>
        <v>0</v>
      </c>
      <c r="AQ137" s="118"/>
      <c r="AR137" s="118"/>
      <c r="AT137" s="118" t="s">
        <v>35</v>
      </c>
      <c r="AU137" s="118"/>
      <c r="AV137" s="118">
        <f>F9</f>
        <v>0</v>
      </c>
      <c r="AW137" s="118"/>
      <c r="AX137" s="118"/>
      <c r="AZ137" s="118" t="s">
        <v>35</v>
      </c>
      <c r="BA137" s="118"/>
      <c r="BB137" s="118">
        <f>F10</f>
        <v>0</v>
      </c>
      <c r="BC137" s="118"/>
      <c r="BD137" s="118"/>
      <c r="BF137" s="118" t="s">
        <v>35</v>
      </c>
      <c r="BG137" s="118"/>
      <c r="BH137" s="118">
        <f>F11</f>
        <v>0</v>
      </c>
      <c r="BI137" s="118"/>
      <c r="BJ137" s="118"/>
    </row>
    <row r="138" spans="1:62" x14ac:dyDescent="0.25">
      <c r="A138" s="15">
        <v>2000</v>
      </c>
      <c r="B138" s="8">
        <f t="shared" si="34"/>
        <v>0</v>
      </c>
      <c r="C138" s="6">
        <f t="shared" si="34"/>
        <v>0</v>
      </c>
      <c r="D138" s="6">
        <f t="shared" si="34"/>
        <v>0</v>
      </c>
      <c r="E138" s="6">
        <f t="shared" si="34"/>
        <v>0</v>
      </c>
      <c r="F138" s="13">
        <f t="shared" si="34"/>
        <v>0</v>
      </c>
      <c r="G138" s="8">
        <f t="shared" si="35"/>
        <v>0</v>
      </c>
      <c r="H138" s="6">
        <f t="shared" si="35"/>
        <v>0</v>
      </c>
      <c r="I138" s="6">
        <f t="shared" si="35"/>
        <v>0</v>
      </c>
      <c r="J138" s="6">
        <f t="shared" si="35"/>
        <v>0</v>
      </c>
      <c r="K138" s="13">
        <f t="shared" si="35"/>
        <v>0</v>
      </c>
      <c r="L138" s="8">
        <f t="shared" si="36"/>
        <v>0</v>
      </c>
      <c r="M138" s="6">
        <f t="shared" si="36"/>
        <v>0</v>
      </c>
      <c r="N138" s="6">
        <f t="shared" si="36"/>
        <v>0</v>
      </c>
      <c r="O138" s="6">
        <f t="shared" si="36"/>
        <v>0</v>
      </c>
      <c r="P138" s="13">
        <f t="shared" si="36"/>
        <v>0</v>
      </c>
      <c r="Q138" s="8">
        <f t="shared" si="37"/>
        <v>0</v>
      </c>
      <c r="R138" s="6">
        <f t="shared" si="37"/>
        <v>0</v>
      </c>
      <c r="S138" s="6">
        <f t="shared" si="37"/>
        <v>0</v>
      </c>
      <c r="T138" s="6">
        <f t="shared" si="37"/>
        <v>0</v>
      </c>
      <c r="U138" s="13">
        <f t="shared" si="37"/>
        <v>0</v>
      </c>
      <c r="V138" s="8">
        <f t="shared" si="38"/>
        <v>0</v>
      </c>
      <c r="W138" s="6">
        <f t="shared" si="38"/>
        <v>0</v>
      </c>
      <c r="X138" s="6">
        <f t="shared" si="38"/>
        <v>0</v>
      </c>
      <c r="Y138" s="6">
        <f t="shared" si="38"/>
        <v>0</v>
      </c>
      <c r="Z138" s="13">
        <f t="shared" si="38"/>
        <v>0</v>
      </c>
      <c r="AA138" s="8">
        <f t="shared" si="38"/>
        <v>0</v>
      </c>
      <c r="AB138" s="6">
        <f t="shared" si="38"/>
        <v>0</v>
      </c>
      <c r="AC138" s="6">
        <f t="shared" si="38"/>
        <v>0</v>
      </c>
      <c r="AD138" s="6">
        <f t="shared" si="38"/>
        <v>0</v>
      </c>
      <c r="AE138" s="13">
        <f t="shared" si="38"/>
        <v>0</v>
      </c>
      <c r="AF138" s="16">
        <f t="shared" si="39"/>
        <v>0</v>
      </c>
      <c r="AG138" s="16">
        <f t="shared" si="40"/>
        <v>0</v>
      </c>
      <c r="AH138" s="118">
        <f>G7</f>
        <v>0</v>
      </c>
      <c r="AI138" s="118"/>
      <c r="AJ138" s="118"/>
      <c r="AK138" s="118"/>
      <c r="AL138" s="118"/>
      <c r="AN138" s="118">
        <f>G8</f>
        <v>0</v>
      </c>
      <c r="AO138" s="118">
        <f>G8</f>
        <v>0</v>
      </c>
      <c r="AP138" s="118"/>
      <c r="AQ138" s="118"/>
      <c r="AR138" s="118"/>
      <c r="AT138" s="118">
        <f>G9</f>
        <v>0</v>
      </c>
      <c r="AU138" s="118"/>
      <c r="AV138" s="118"/>
      <c r="AW138" s="118"/>
      <c r="AX138" s="118"/>
      <c r="AZ138" s="118">
        <f>G10</f>
        <v>0</v>
      </c>
      <c r="BA138" s="118"/>
      <c r="BB138" s="118"/>
      <c r="BC138" s="118"/>
      <c r="BD138" s="118"/>
      <c r="BF138" s="118">
        <f>G11</f>
        <v>0</v>
      </c>
      <c r="BG138" s="118"/>
      <c r="BH138" s="118"/>
      <c r="BI138" s="118"/>
      <c r="BJ138" s="118"/>
    </row>
    <row r="139" spans="1:62" ht="15.75" thickBot="1" x14ac:dyDescent="0.3">
      <c r="A139" s="15">
        <v>3000</v>
      </c>
      <c r="B139" s="8">
        <f t="shared" si="34"/>
        <v>0</v>
      </c>
      <c r="C139" s="6">
        <f t="shared" si="34"/>
        <v>0</v>
      </c>
      <c r="D139" s="6">
        <f t="shared" si="34"/>
        <v>0</v>
      </c>
      <c r="E139" s="6">
        <f t="shared" si="34"/>
        <v>0</v>
      </c>
      <c r="F139" s="13">
        <f t="shared" si="34"/>
        <v>0</v>
      </c>
      <c r="G139" s="8">
        <f t="shared" si="35"/>
        <v>0</v>
      </c>
      <c r="H139" s="6">
        <f t="shared" si="35"/>
        <v>0</v>
      </c>
      <c r="I139" s="6">
        <f t="shared" si="35"/>
        <v>0</v>
      </c>
      <c r="J139" s="6">
        <f t="shared" si="35"/>
        <v>0</v>
      </c>
      <c r="K139" s="13">
        <f t="shared" si="35"/>
        <v>0</v>
      </c>
      <c r="L139" s="8">
        <f t="shared" si="36"/>
        <v>0</v>
      </c>
      <c r="M139" s="6">
        <f t="shared" si="36"/>
        <v>0</v>
      </c>
      <c r="N139" s="6">
        <f t="shared" si="36"/>
        <v>0</v>
      </c>
      <c r="O139" s="6">
        <f t="shared" si="36"/>
        <v>0</v>
      </c>
      <c r="P139" s="13">
        <f t="shared" si="36"/>
        <v>0</v>
      </c>
      <c r="Q139" s="8">
        <f t="shared" si="37"/>
        <v>0</v>
      </c>
      <c r="R139" s="6">
        <f t="shared" si="37"/>
        <v>0</v>
      </c>
      <c r="S139" s="6">
        <f t="shared" si="37"/>
        <v>0</v>
      </c>
      <c r="T139" s="6">
        <f t="shared" si="37"/>
        <v>0</v>
      </c>
      <c r="U139" s="13">
        <f t="shared" si="37"/>
        <v>0</v>
      </c>
      <c r="V139" s="8">
        <f t="shared" si="38"/>
        <v>0</v>
      </c>
      <c r="W139" s="6">
        <f t="shared" si="38"/>
        <v>0</v>
      </c>
      <c r="X139" s="6">
        <f t="shared" si="38"/>
        <v>0</v>
      </c>
      <c r="Y139" s="6">
        <f t="shared" si="38"/>
        <v>0</v>
      </c>
      <c r="Z139" s="13">
        <f t="shared" si="38"/>
        <v>0</v>
      </c>
      <c r="AA139" s="8">
        <f t="shared" si="38"/>
        <v>0</v>
      </c>
      <c r="AB139" s="6">
        <f t="shared" si="38"/>
        <v>0</v>
      </c>
      <c r="AC139" s="6">
        <f t="shared" si="38"/>
        <v>0</v>
      </c>
      <c r="AD139" s="6">
        <f t="shared" si="38"/>
        <v>0</v>
      </c>
      <c r="AE139" s="13">
        <f t="shared" si="38"/>
        <v>0</v>
      </c>
      <c r="AF139" s="16">
        <f t="shared" si="39"/>
        <v>0</v>
      </c>
      <c r="AG139" s="16">
        <f t="shared" si="40"/>
        <v>0</v>
      </c>
      <c r="AH139" s="118">
        <f>H7</f>
        <v>0</v>
      </c>
      <c r="AI139" s="118"/>
      <c r="AJ139" s="118"/>
      <c r="AK139" s="118"/>
      <c r="AL139" s="118"/>
      <c r="AN139" s="118">
        <f>H8</f>
        <v>0</v>
      </c>
      <c r="AO139" s="118">
        <f>H8</f>
        <v>0</v>
      </c>
      <c r="AP139" s="118"/>
      <c r="AQ139" s="118"/>
      <c r="AR139" s="118"/>
      <c r="AT139" s="118">
        <f>H9</f>
        <v>0</v>
      </c>
      <c r="AU139" s="118"/>
      <c r="AV139" s="118"/>
      <c r="AW139" s="118"/>
      <c r="AX139" s="118"/>
      <c r="AZ139" s="118">
        <f>H10</f>
        <v>0</v>
      </c>
      <c r="BA139" s="118"/>
      <c r="BB139" s="118"/>
      <c r="BC139" s="118"/>
      <c r="BD139" s="118"/>
      <c r="BF139" s="118">
        <f>H11</f>
        <v>0</v>
      </c>
      <c r="BG139" s="118"/>
      <c r="BH139" s="118"/>
      <c r="BI139" s="118"/>
      <c r="BJ139" s="118"/>
    </row>
    <row r="140" spans="1:62" ht="15.75" thickBot="1" x14ac:dyDescent="0.3">
      <c r="A140" s="15">
        <v>5000</v>
      </c>
      <c r="B140" s="8">
        <f t="shared" si="34"/>
        <v>0</v>
      </c>
      <c r="C140" s="6">
        <f t="shared" si="34"/>
        <v>0</v>
      </c>
      <c r="D140" s="6">
        <f t="shared" si="34"/>
        <v>0</v>
      </c>
      <c r="E140" s="6">
        <f t="shared" si="34"/>
        <v>0</v>
      </c>
      <c r="F140" s="13">
        <f t="shared" si="34"/>
        <v>0</v>
      </c>
      <c r="G140" s="8">
        <f t="shared" si="35"/>
        <v>0</v>
      </c>
      <c r="H140" s="6">
        <f t="shared" si="35"/>
        <v>0</v>
      </c>
      <c r="I140" s="6">
        <f t="shared" si="35"/>
        <v>0</v>
      </c>
      <c r="J140" s="6">
        <f t="shared" si="35"/>
        <v>0</v>
      </c>
      <c r="K140" s="13">
        <f t="shared" si="35"/>
        <v>0</v>
      </c>
      <c r="L140" s="8">
        <f t="shared" si="36"/>
        <v>0</v>
      </c>
      <c r="M140" s="6">
        <f t="shared" si="36"/>
        <v>0</v>
      </c>
      <c r="N140" s="6">
        <f t="shared" si="36"/>
        <v>0</v>
      </c>
      <c r="O140" s="6">
        <f t="shared" si="36"/>
        <v>0</v>
      </c>
      <c r="P140" s="13">
        <f t="shared" si="36"/>
        <v>0</v>
      </c>
      <c r="Q140" s="8">
        <f t="shared" si="37"/>
        <v>0</v>
      </c>
      <c r="R140" s="6">
        <f t="shared" si="37"/>
        <v>0</v>
      </c>
      <c r="S140" s="6">
        <f t="shared" si="37"/>
        <v>0</v>
      </c>
      <c r="T140" s="6">
        <f t="shared" si="37"/>
        <v>0</v>
      </c>
      <c r="U140" s="13">
        <f t="shared" si="37"/>
        <v>0</v>
      </c>
      <c r="V140" s="8">
        <f t="shared" si="38"/>
        <v>0</v>
      </c>
      <c r="W140" s="6">
        <f t="shared" si="38"/>
        <v>0</v>
      </c>
      <c r="X140" s="6">
        <f t="shared" si="38"/>
        <v>0</v>
      </c>
      <c r="Y140" s="6">
        <f t="shared" si="38"/>
        <v>0</v>
      </c>
      <c r="Z140" s="13">
        <f t="shared" si="38"/>
        <v>0</v>
      </c>
      <c r="AA140" s="8">
        <f t="shared" si="38"/>
        <v>0</v>
      </c>
      <c r="AB140" s="6">
        <f t="shared" si="38"/>
        <v>0</v>
      </c>
      <c r="AC140" s="6">
        <f t="shared" si="38"/>
        <v>0</v>
      </c>
      <c r="AD140" s="6">
        <f t="shared" si="38"/>
        <v>0</v>
      </c>
      <c r="AE140" s="13">
        <f t="shared" si="38"/>
        <v>0</v>
      </c>
      <c r="AF140" s="16">
        <f t="shared" si="39"/>
        <v>0</v>
      </c>
      <c r="AG140" s="16">
        <f t="shared" si="40"/>
        <v>0</v>
      </c>
      <c r="AH140" s="30" t="s">
        <v>136</v>
      </c>
      <c r="AI140" s="30" t="s">
        <v>27</v>
      </c>
      <c r="AJ140" s="30" t="s">
        <v>28</v>
      </c>
      <c r="AK140" s="30" t="s">
        <v>29</v>
      </c>
      <c r="AL140" s="30" t="s">
        <v>30</v>
      </c>
      <c r="AN140" s="30" t="s">
        <v>136</v>
      </c>
      <c r="AO140" s="30" t="s">
        <v>27</v>
      </c>
      <c r="AP140" s="30" t="s">
        <v>28</v>
      </c>
      <c r="AQ140" s="30" t="s">
        <v>29</v>
      </c>
      <c r="AR140" s="30" t="s">
        <v>30</v>
      </c>
      <c r="AT140" s="30" t="s">
        <v>136</v>
      </c>
      <c r="AU140" s="30" t="s">
        <v>27</v>
      </c>
      <c r="AV140" s="30" t="s">
        <v>28</v>
      </c>
      <c r="AW140" s="30" t="s">
        <v>29</v>
      </c>
      <c r="AX140" s="30" t="s">
        <v>30</v>
      </c>
      <c r="AZ140" s="30" t="s">
        <v>136</v>
      </c>
      <c r="BA140" s="30" t="s">
        <v>27</v>
      </c>
      <c r="BB140" s="30" t="s">
        <v>28</v>
      </c>
      <c r="BC140" s="30" t="s">
        <v>29</v>
      </c>
      <c r="BD140" s="30" t="s">
        <v>30</v>
      </c>
      <c r="BF140" s="30" t="s">
        <v>136</v>
      </c>
      <c r="BG140" s="30" t="s">
        <v>27</v>
      </c>
      <c r="BH140" s="30" t="s">
        <v>28</v>
      </c>
      <c r="BI140" s="30" t="s">
        <v>29</v>
      </c>
      <c r="BJ140" s="30" t="s">
        <v>30</v>
      </c>
    </row>
    <row r="141" spans="1:62" ht="15.75" thickBot="1" x14ac:dyDescent="0.3">
      <c r="A141" s="59">
        <v>10000</v>
      </c>
      <c r="B141" s="31">
        <f t="shared" si="34"/>
        <v>0</v>
      </c>
      <c r="C141" s="32">
        <f t="shared" si="34"/>
        <v>0</v>
      </c>
      <c r="D141" s="32">
        <f t="shared" si="34"/>
        <v>0</v>
      </c>
      <c r="E141" s="32">
        <f t="shared" si="34"/>
        <v>0</v>
      </c>
      <c r="F141" s="33">
        <f t="shared" si="34"/>
        <v>0</v>
      </c>
      <c r="G141" s="31">
        <f t="shared" si="35"/>
        <v>0</v>
      </c>
      <c r="H141" s="32">
        <f t="shared" si="35"/>
        <v>0</v>
      </c>
      <c r="I141" s="32">
        <f t="shared" si="35"/>
        <v>0</v>
      </c>
      <c r="J141" s="32">
        <f t="shared" si="35"/>
        <v>0</v>
      </c>
      <c r="K141" s="33">
        <f t="shared" si="35"/>
        <v>0</v>
      </c>
      <c r="L141" s="31">
        <f t="shared" si="36"/>
        <v>0</v>
      </c>
      <c r="M141" s="32">
        <f t="shared" si="36"/>
        <v>0</v>
      </c>
      <c r="N141" s="32">
        <f t="shared" si="36"/>
        <v>0</v>
      </c>
      <c r="O141" s="32">
        <f t="shared" si="36"/>
        <v>0</v>
      </c>
      <c r="P141" s="33">
        <f t="shared" si="36"/>
        <v>0</v>
      </c>
      <c r="Q141" s="31">
        <f t="shared" si="37"/>
        <v>0</v>
      </c>
      <c r="R141" s="32">
        <f t="shared" si="37"/>
        <v>0</v>
      </c>
      <c r="S141" s="32">
        <f t="shared" si="37"/>
        <v>0</v>
      </c>
      <c r="T141" s="32">
        <f t="shared" si="37"/>
        <v>0</v>
      </c>
      <c r="U141" s="33">
        <f t="shared" si="37"/>
        <v>0</v>
      </c>
      <c r="V141" s="31">
        <f t="shared" si="38"/>
        <v>0</v>
      </c>
      <c r="W141" s="32">
        <f t="shared" si="38"/>
        <v>0</v>
      </c>
      <c r="X141" s="32">
        <f t="shared" si="38"/>
        <v>0</v>
      </c>
      <c r="Y141" s="32">
        <f t="shared" si="38"/>
        <v>0</v>
      </c>
      <c r="Z141" s="33">
        <f t="shared" si="38"/>
        <v>0</v>
      </c>
      <c r="AA141" s="31">
        <f t="shared" si="38"/>
        <v>0</v>
      </c>
      <c r="AB141" s="32">
        <f t="shared" si="38"/>
        <v>0</v>
      </c>
      <c r="AC141" s="32">
        <f t="shared" si="38"/>
        <v>0</v>
      </c>
      <c r="AD141" s="32">
        <f t="shared" si="38"/>
        <v>0</v>
      </c>
      <c r="AE141" s="33">
        <f t="shared" si="38"/>
        <v>0</v>
      </c>
      <c r="AF141" s="16">
        <f t="shared" si="39"/>
        <v>0</v>
      </c>
      <c r="AG141" s="43">
        <f t="shared" si="40"/>
        <v>0</v>
      </c>
      <c r="AH141" s="16">
        <f>J7</f>
        <v>0</v>
      </c>
      <c r="AI141" s="10">
        <f>K7</f>
        <v>0</v>
      </c>
      <c r="AJ141" s="11">
        <f>L7</f>
        <v>0</v>
      </c>
      <c r="AK141" s="11">
        <f>M7</f>
        <v>0</v>
      </c>
      <c r="AL141" s="17">
        <f>N7</f>
        <v>0</v>
      </c>
      <c r="AN141" s="16">
        <f>J8</f>
        <v>0</v>
      </c>
      <c r="AO141" s="10">
        <f>K8</f>
        <v>0</v>
      </c>
      <c r="AP141" s="11">
        <f>L8</f>
        <v>0</v>
      </c>
      <c r="AQ141" s="11">
        <f>M8</f>
        <v>0</v>
      </c>
      <c r="AR141" s="17">
        <f>N8</f>
        <v>0</v>
      </c>
      <c r="AT141" s="16">
        <f>J9</f>
        <v>0</v>
      </c>
      <c r="AU141" s="10">
        <f>K9</f>
        <v>0</v>
      </c>
      <c r="AV141" s="11">
        <f>L9</f>
        <v>0</v>
      </c>
      <c r="AW141" s="11">
        <f>M9</f>
        <v>0</v>
      </c>
      <c r="AX141" s="17">
        <f>N9</f>
        <v>0</v>
      </c>
      <c r="AZ141" s="16">
        <f>J10</f>
        <v>0</v>
      </c>
      <c r="BA141" s="10">
        <f>K10</f>
        <v>0</v>
      </c>
      <c r="BB141" s="11">
        <f>L10</f>
        <v>0</v>
      </c>
      <c r="BC141" s="11">
        <f>M10</f>
        <v>0</v>
      </c>
      <c r="BD141" s="17">
        <f>N10</f>
        <v>0</v>
      </c>
      <c r="BF141" s="16">
        <f>J11</f>
        <v>0</v>
      </c>
      <c r="BG141" s="10">
        <f>K11</f>
        <v>0</v>
      </c>
      <c r="BH141" s="11">
        <f>L11</f>
        <v>0</v>
      </c>
      <c r="BI141" s="11">
        <f>M11</f>
        <v>0</v>
      </c>
      <c r="BJ141" s="17">
        <f>N11</f>
        <v>0</v>
      </c>
    </row>
    <row r="142" spans="1:62" ht="15.75" thickBot="1" x14ac:dyDescent="0.3">
      <c r="A142" s="35"/>
      <c r="B142" s="60">
        <f t="shared" ref="B142:AG142" si="41">SUM(B133:B141)</f>
        <v>0</v>
      </c>
      <c r="C142" s="61">
        <f t="shared" si="41"/>
        <v>0</v>
      </c>
      <c r="D142" s="61">
        <f t="shared" si="41"/>
        <v>0</v>
      </c>
      <c r="E142" s="61">
        <f t="shared" si="41"/>
        <v>0</v>
      </c>
      <c r="F142" s="62">
        <f t="shared" si="41"/>
        <v>0</v>
      </c>
      <c r="G142" s="60">
        <f t="shared" si="41"/>
        <v>0</v>
      </c>
      <c r="H142" s="61">
        <f t="shared" si="41"/>
        <v>0</v>
      </c>
      <c r="I142" s="61">
        <f t="shared" si="41"/>
        <v>0</v>
      </c>
      <c r="J142" s="61">
        <f t="shared" si="41"/>
        <v>0</v>
      </c>
      <c r="K142" s="62">
        <f t="shared" si="41"/>
        <v>0</v>
      </c>
      <c r="L142" s="60">
        <f t="shared" si="41"/>
        <v>0</v>
      </c>
      <c r="M142" s="61">
        <f t="shared" si="41"/>
        <v>0</v>
      </c>
      <c r="N142" s="61">
        <f t="shared" si="41"/>
        <v>0</v>
      </c>
      <c r="O142" s="61">
        <f t="shared" si="41"/>
        <v>0</v>
      </c>
      <c r="P142" s="62">
        <f t="shared" si="41"/>
        <v>0</v>
      </c>
      <c r="Q142" s="60">
        <f t="shared" si="41"/>
        <v>0</v>
      </c>
      <c r="R142" s="61">
        <f t="shared" si="41"/>
        <v>0</v>
      </c>
      <c r="S142" s="61">
        <f t="shared" si="41"/>
        <v>0</v>
      </c>
      <c r="T142" s="61">
        <f t="shared" si="41"/>
        <v>0</v>
      </c>
      <c r="U142" s="62">
        <f t="shared" si="41"/>
        <v>0</v>
      </c>
      <c r="V142" s="60">
        <f t="shared" si="41"/>
        <v>0</v>
      </c>
      <c r="W142" s="61">
        <f t="shared" si="41"/>
        <v>0</v>
      </c>
      <c r="X142" s="61">
        <f t="shared" si="41"/>
        <v>0</v>
      </c>
      <c r="Y142" s="61">
        <f t="shared" si="41"/>
        <v>0</v>
      </c>
      <c r="Z142" s="62">
        <f t="shared" si="41"/>
        <v>0</v>
      </c>
      <c r="AA142" s="60">
        <f t="shared" si="41"/>
        <v>0</v>
      </c>
      <c r="AB142" s="61">
        <f t="shared" si="41"/>
        <v>0</v>
      </c>
      <c r="AC142" s="61">
        <f t="shared" si="41"/>
        <v>0</v>
      </c>
      <c r="AD142" s="61">
        <f t="shared" si="41"/>
        <v>0</v>
      </c>
      <c r="AE142" s="62">
        <f t="shared" si="41"/>
        <v>0</v>
      </c>
      <c r="AF142" s="35">
        <f t="shared" si="41"/>
        <v>0</v>
      </c>
      <c r="AG142" s="35">
        <f t="shared" si="40"/>
        <v>0</v>
      </c>
      <c r="AH142" s="15">
        <f>P7</f>
        <v>0</v>
      </c>
      <c r="AI142" s="8">
        <f>Q7</f>
        <v>0</v>
      </c>
      <c r="AJ142" s="6">
        <f>R7</f>
        <v>0</v>
      </c>
      <c r="AK142" s="6">
        <f>S7</f>
        <v>0</v>
      </c>
      <c r="AL142" s="13">
        <f>T7</f>
        <v>0</v>
      </c>
      <c r="AN142" s="15">
        <f>P8</f>
        <v>0</v>
      </c>
      <c r="AO142" s="8">
        <f>Q8</f>
        <v>0</v>
      </c>
      <c r="AP142" s="6">
        <f>R8</f>
        <v>0</v>
      </c>
      <c r="AQ142" s="6">
        <f>S8</f>
        <v>0</v>
      </c>
      <c r="AR142" s="13">
        <f>T8</f>
        <v>0</v>
      </c>
      <c r="AT142" s="15">
        <f>P9</f>
        <v>0</v>
      </c>
      <c r="AU142" s="8">
        <f>Q9</f>
        <v>0</v>
      </c>
      <c r="AV142" s="6">
        <f>R9</f>
        <v>0</v>
      </c>
      <c r="AW142" s="6">
        <f>S9</f>
        <v>0</v>
      </c>
      <c r="AX142" s="13">
        <f>T9</f>
        <v>0</v>
      </c>
      <c r="AZ142" s="15">
        <f>P10</f>
        <v>0</v>
      </c>
      <c r="BA142" s="8">
        <f>Q10</f>
        <v>0</v>
      </c>
      <c r="BB142" s="6">
        <f>R10</f>
        <v>0</v>
      </c>
      <c r="BC142" s="6">
        <f>S10</f>
        <v>0</v>
      </c>
      <c r="BD142" s="13">
        <f>T10</f>
        <v>0</v>
      </c>
      <c r="BF142" s="15">
        <f>P11</f>
        <v>0</v>
      </c>
      <c r="BG142" s="8">
        <f>Q11</f>
        <v>0</v>
      </c>
      <c r="BH142" s="6">
        <f>R11</f>
        <v>0</v>
      </c>
      <c r="BI142" s="6">
        <f>S11</f>
        <v>0</v>
      </c>
      <c r="BJ142" s="13">
        <f>T11</f>
        <v>0</v>
      </c>
    </row>
    <row r="143" spans="1:62" ht="15.75" thickBot="1" x14ac:dyDescent="0.3">
      <c r="AH143" s="15">
        <f>V7</f>
        <v>0</v>
      </c>
      <c r="AI143" s="8">
        <f>W7</f>
        <v>0</v>
      </c>
      <c r="AJ143" s="6">
        <f>X7</f>
        <v>0</v>
      </c>
      <c r="AK143" s="6">
        <f>Y7</f>
        <v>0</v>
      </c>
      <c r="AL143" s="13">
        <f>Z7</f>
        <v>0</v>
      </c>
      <c r="AN143" s="15">
        <f>V8</f>
        <v>0</v>
      </c>
      <c r="AO143" s="8">
        <f>W8</f>
        <v>0</v>
      </c>
      <c r="AP143" s="6">
        <f>X8</f>
        <v>0</v>
      </c>
      <c r="AQ143" s="6">
        <f>Y8</f>
        <v>0</v>
      </c>
      <c r="AR143" s="13">
        <f>Z8</f>
        <v>0</v>
      </c>
      <c r="AT143" s="15">
        <f>V9</f>
        <v>0</v>
      </c>
      <c r="AU143" s="8">
        <f>W9</f>
        <v>0</v>
      </c>
      <c r="AV143" s="6">
        <f>X9</f>
        <v>0</v>
      </c>
      <c r="AW143" s="6">
        <f>Y9</f>
        <v>0</v>
      </c>
      <c r="AX143" s="13">
        <f>Z9</f>
        <v>0</v>
      </c>
      <c r="AZ143" s="15">
        <f>V10</f>
        <v>0</v>
      </c>
      <c r="BA143" s="8">
        <f>W10</f>
        <v>0</v>
      </c>
      <c r="BB143" s="6">
        <f>X10</f>
        <v>0</v>
      </c>
      <c r="BC143" s="6">
        <f>Y10</f>
        <v>0</v>
      </c>
      <c r="BD143" s="13">
        <f>Z10</f>
        <v>0</v>
      </c>
      <c r="BF143" s="15">
        <f>V11</f>
        <v>0</v>
      </c>
      <c r="BG143" s="8">
        <f>W11</f>
        <v>0</v>
      </c>
      <c r="BH143" s="6">
        <f>X11</f>
        <v>0</v>
      </c>
      <c r="BI143" s="6">
        <f>Y11</f>
        <v>0</v>
      </c>
      <c r="BJ143" s="13">
        <f>Z11</f>
        <v>0</v>
      </c>
    </row>
    <row r="144" spans="1:62" ht="15.75" customHeight="1" thickBot="1" x14ac:dyDescent="0.3">
      <c r="A144" s="111" t="s">
        <v>130</v>
      </c>
      <c r="B144" s="112"/>
      <c r="D144" s="111" t="s">
        <v>131</v>
      </c>
      <c r="E144" s="112"/>
      <c r="G144" s="111" t="s">
        <v>132</v>
      </c>
      <c r="H144" s="112"/>
      <c r="J144" s="161" t="s">
        <v>250</v>
      </c>
      <c r="K144" s="162"/>
      <c r="M144" s="161" t="s">
        <v>251</v>
      </c>
      <c r="N144" s="162"/>
      <c r="P144" s="161" t="s">
        <v>252</v>
      </c>
      <c r="Q144" s="162"/>
      <c r="S144" s="123" t="s">
        <v>31</v>
      </c>
      <c r="T144" s="113" t="s">
        <v>84</v>
      </c>
      <c r="U144" s="115"/>
      <c r="V144" s="116" t="s">
        <v>24</v>
      </c>
      <c r="W144" s="116" t="s">
        <v>86</v>
      </c>
      <c r="AH144" s="15">
        <f>AB7</f>
        <v>0</v>
      </c>
      <c r="AI144" s="8">
        <f>AC7</f>
        <v>0</v>
      </c>
      <c r="AJ144" s="6">
        <f>AD7</f>
        <v>0</v>
      </c>
      <c r="AK144" s="6">
        <f>AE7</f>
        <v>0</v>
      </c>
      <c r="AL144" s="13">
        <f>AF7</f>
        <v>0</v>
      </c>
      <c r="AN144" s="15">
        <f>AB8</f>
        <v>0</v>
      </c>
      <c r="AO144" s="8">
        <f>AC8</f>
        <v>0</v>
      </c>
      <c r="AP144" s="6">
        <f>AD8</f>
        <v>0</v>
      </c>
      <c r="AQ144" s="6">
        <f>AE8</f>
        <v>0</v>
      </c>
      <c r="AR144" s="13">
        <f>AF8</f>
        <v>0</v>
      </c>
      <c r="AT144" s="15">
        <f>AB9</f>
        <v>0</v>
      </c>
      <c r="AU144" s="8">
        <f>AC9</f>
        <v>0</v>
      </c>
      <c r="AV144" s="6">
        <f>AD9</f>
        <v>0</v>
      </c>
      <c r="AW144" s="6">
        <f>AE9</f>
        <v>0</v>
      </c>
      <c r="AX144" s="13">
        <f>AF9</f>
        <v>0</v>
      </c>
      <c r="AZ144" s="15">
        <f>AB10</f>
        <v>0</v>
      </c>
      <c r="BA144" s="8">
        <f>AC10</f>
        <v>0</v>
      </c>
      <c r="BB144" s="6">
        <f>AD10</f>
        <v>0</v>
      </c>
      <c r="BC144" s="6">
        <f>AE10</f>
        <v>0</v>
      </c>
      <c r="BD144" s="13">
        <f>AF10</f>
        <v>0</v>
      </c>
      <c r="BF144" s="15">
        <f>AB11</f>
        <v>0</v>
      </c>
      <c r="BG144" s="8">
        <f>AC11</f>
        <v>0</v>
      </c>
      <c r="BH144" s="6">
        <f>AD11</f>
        <v>0</v>
      </c>
      <c r="BI144" s="6">
        <f>AE11</f>
        <v>0</v>
      </c>
      <c r="BJ144" s="13">
        <f>AF11</f>
        <v>0</v>
      </c>
    </row>
    <row r="145" spans="1:62" ht="15.75" thickBot="1" x14ac:dyDescent="0.3">
      <c r="A145" s="60" t="s">
        <v>27</v>
      </c>
      <c r="B145" s="62" t="s">
        <v>102</v>
      </c>
      <c r="D145" s="34" t="s">
        <v>27</v>
      </c>
      <c r="E145" s="79" t="s">
        <v>102</v>
      </c>
      <c r="G145" s="34" t="s">
        <v>27</v>
      </c>
      <c r="H145" s="79" t="s">
        <v>102</v>
      </c>
      <c r="J145" s="163"/>
      <c r="K145" s="164"/>
      <c r="M145" s="163"/>
      <c r="N145" s="164"/>
      <c r="P145" s="163"/>
      <c r="Q145" s="164"/>
      <c r="S145" s="124"/>
      <c r="T145" s="12" t="s">
        <v>17</v>
      </c>
      <c r="U145" s="12" t="s">
        <v>19</v>
      </c>
      <c r="V145" s="117"/>
      <c r="W145" s="117"/>
      <c r="AH145" s="15">
        <f>AH7</f>
        <v>0</v>
      </c>
      <c r="AI145" s="8">
        <f>AI7</f>
        <v>0</v>
      </c>
      <c r="AJ145" s="6">
        <f>AJ7</f>
        <v>0</v>
      </c>
      <c r="AK145" s="6">
        <f>AK7</f>
        <v>0</v>
      </c>
      <c r="AL145" s="13">
        <f>AL7</f>
        <v>0</v>
      </c>
      <c r="AN145" s="15">
        <f>AH8</f>
        <v>0</v>
      </c>
      <c r="AO145" s="8">
        <f>AI8</f>
        <v>0</v>
      </c>
      <c r="AP145" s="6">
        <f>AJ8</f>
        <v>0</v>
      </c>
      <c r="AQ145" s="6">
        <f>AK8</f>
        <v>0</v>
      </c>
      <c r="AR145" s="13">
        <f>AL8</f>
        <v>0</v>
      </c>
      <c r="AT145" s="15">
        <f>AH9</f>
        <v>0</v>
      </c>
      <c r="AU145" s="8">
        <f>AI9</f>
        <v>0</v>
      </c>
      <c r="AV145" s="6">
        <f>AJ9</f>
        <v>0</v>
      </c>
      <c r="AW145" s="6">
        <f>AK9</f>
        <v>0</v>
      </c>
      <c r="AX145" s="13">
        <f>AL9</f>
        <v>0</v>
      </c>
      <c r="AZ145" s="15">
        <f>AH10</f>
        <v>0</v>
      </c>
      <c r="BA145" s="8">
        <f>AI10</f>
        <v>0</v>
      </c>
      <c r="BB145" s="6">
        <f>AJ10</f>
        <v>0</v>
      </c>
      <c r="BC145" s="6">
        <f>AK10</f>
        <v>0</v>
      </c>
      <c r="BD145" s="13">
        <f>AL10</f>
        <v>0</v>
      </c>
      <c r="BF145" s="15">
        <f>AH11</f>
        <v>0</v>
      </c>
      <c r="BG145" s="8">
        <f>AI11</f>
        <v>0</v>
      </c>
      <c r="BH145" s="6">
        <f>AJ11</f>
        <v>0</v>
      </c>
      <c r="BI145" s="6">
        <f>AK11</f>
        <v>0</v>
      </c>
      <c r="BJ145" s="13">
        <f>AL11</f>
        <v>0</v>
      </c>
    </row>
    <row r="146" spans="1:62" x14ac:dyDescent="0.25">
      <c r="A146" s="10">
        <v>225</v>
      </c>
      <c r="B146" s="17">
        <f t="shared" ref="B146:B151" si="42">SUMIFS($J$14:$J$113,$H$14:$H$113,$A$144,$I$14:$I$113,A146)</f>
        <v>0</v>
      </c>
      <c r="D146" s="10">
        <v>1000</v>
      </c>
      <c r="E146" s="17">
        <f>SUMIFS($J$14:$J$113,$H$14:$H$113,$D$144,$I$14:$I$113,D146)</f>
        <v>0</v>
      </c>
      <c r="G146" s="10">
        <v>1000</v>
      </c>
      <c r="H146" s="17">
        <f>SUMIFS($J$14:$J$113,$H$14:$H$113,$G$144,$I$14:$I$113,G146)</f>
        <v>0</v>
      </c>
      <c r="J146" s="163"/>
      <c r="K146" s="164"/>
      <c r="M146" s="163"/>
      <c r="N146" s="164"/>
      <c r="P146" s="163"/>
      <c r="Q146" s="164"/>
      <c r="S146" s="16">
        <v>300</v>
      </c>
      <c r="T146" s="11">
        <f>SUMIFS($J$14:$J$113,$I$14:$I$113,$S146,$K$14:$K$113,T$145,$H$14:$H$113,$T$144)</f>
        <v>0</v>
      </c>
      <c r="U146" s="11">
        <f>SUMIFS($J$14:$J$113,$I$14:$I$113,$S146,$K$14:$K$113,U$145,$H$14:$H$113,$T$144)</f>
        <v>0</v>
      </c>
      <c r="V146" s="16">
        <f>SUM(T146:U146)*S146</f>
        <v>0</v>
      </c>
      <c r="W146" s="16">
        <f>T146+U146</f>
        <v>0</v>
      </c>
      <c r="AH146" s="15">
        <f>AN7</f>
        <v>0</v>
      </c>
      <c r="AI146" s="8">
        <f>AO7</f>
        <v>0</v>
      </c>
      <c r="AJ146" s="6">
        <f>AP7</f>
        <v>0</v>
      </c>
      <c r="AK146" s="6">
        <f>AQ7</f>
        <v>0</v>
      </c>
      <c r="AL146" s="13">
        <f>AR7</f>
        <v>0</v>
      </c>
      <c r="AN146" s="15">
        <f>AN8</f>
        <v>0</v>
      </c>
      <c r="AO146" s="8">
        <f>AO8</f>
        <v>0</v>
      </c>
      <c r="AP146" s="6">
        <f>AP8</f>
        <v>0</v>
      </c>
      <c r="AQ146" s="6">
        <f>AQ8</f>
        <v>0</v>
      </c>
      <c r="AR146" s="13">
        <f>AR8</f>
        <v>0</v>
      </c>
      <c r="AT146" s="15">
        <f>AN9</f>
        <v>0</v>
      </c>
      <c r="AU146" s="8">
        <f>AO9</f>
        <v>0</v>
      </c>
      <c r="AV146" s="6">
        <f>AP9</f>
        <v>0</v>
      </c>
      <c r="AW146" s="6">
        <f>AQ9</f>
        <v>0</v>
      </c>
      <c r="AX146" s="13">
        <f>AR9</f>
        <v>0</v>
      </c>
      <c r="AZ146" s="15">
        <f>AN10</f>
        <v>0</v>
      </c>
      <c r="BA146" s="8">
        <f>AO10</f>
        <v>0</v>
      </c>
      <c r="BB146" s="6">
        <f>AP10</f>
        <v>0</v>
      </c>
      <c r="BC146" s="6">
        <f>AQ10</f>
        <v>0</v>
      </c>
      <c r="BD146" s="13">
        <f>AR10</f>
        <v>0</v>
      </c>
      <c r="BF146" s="15">
        <f>AN11</f>
        <v>0</v>
      </c>
      <c r="BG146" s="8">
        <f>AO11</f>
        <v>0</v>
      </c>
      <c r="BH146" s="6">
        <f>AP11</f>
        <v>0</v>
      </c>
      <c r="BI146" s="6">
        <f>AQ11</f>
        <v>0</v>
      </c>
      <c r="BJ146" s="13">
        <f>AR11</f>
        <v>0</v>
      </c>
    </row>
    <row r="147" spans="1:62" ht="15.75" thickBot="1" x14ac:dyDescent="0.3">
      <c r="A147" s="8">
        <v>325</v>
      </c>
      <c r="B147" s="17">
        <f t="shared" si="42"/>
        <v>0</v>
      </c>
      <c r="D147" s="9">
        <v>3000</v>
      </c>
      <c r="E147" s="17">
        <f>SUMIFS($J$14:$J$113,$H$14:$H$113,$D$144,$I$14:$I$113,D147)</f>
        <v>0</v>
      </c>
      <c r="G147" s="31">
        <v>2000</v>
      </c>
      <c r="H147" s="17">
        <f>SUMIFS($J$14:$J$113,$H$14:$H$113,$G$144,$I$14:$I$113,G147)</f>
        <v>0</v>
      </c>
      <c r="J147" s="165"/>
      <c r="K147" s="166"/>
      <c r="M147" s="165"/>
      <c r="N147" s="166"/>
      <c r="P147" s="165"/>
      <c r="Q147" s="166"/>
      <c r="S147" s="16">
        <v>500</v>
      </c>
      <c r="T147" s="11">
        <f t="shared" ref="T147:U154" si="43">SUMIFS($J$14:$J$113,$I$14:$I$113,$S147,$K$14:$K$113,T$145,$H$14:$H$113,$T$144)</f>
        <v>0</v>
      </c>
      <c r="U147" s="11">
        <f t="shared" si="43"/>
        <v>0</v>
      </c>
      <c r="V147" s="16">
        <f t="shared" ref="V147:V154" si="44">SUM(T147:U147)*S147</f>
        <v>0</v>
      </c>
      <c r="W147" s="16">
        <f t="shared" ref="W147:W154" si="45">T147+U147</f>
        <v>0</v>
      </c>
      <c r="AA147" s="167" t="s">
        <v>37</v>
      </c>
      <c r="AB147" s="167"/>
      <c r="AC147" s="167"/>
      <c r="AD147" s="167" t="s">
        <v>113</v>
      </c>
      <c r="AE147" s="167"/>
      <c r="AF147" s="167"/>
      <c r="AH147" s="15">
        <f>AT7</f>
        <v>0</v>
      </c>
      <c r="AI147" s="8">
        <f>AU7</f>
        <v>0</v>
      </c>
      <c r="AJ147" s="6">
        <f>AV7</f>
        <v>0</v>
      </c>
      <c r="AK147" s="6">
        <f>AW7</f>
        <v>0</v>
      </c>
      <c r="AL147" s="13">
        <f>AX7</f>
        <v>0</v>
      </c>
      <c r="AN147" s="15">
        <f>AT8</f>
        <v>0</v>
      </c>
      <c r="AO147" s="8">
        <f>AU8</f>
        <v>0</v>
      </c>
      <c r="AP147" s="6">
        <f>AV8</f>
        <v>0</v>
      </c>
      <c r="AQ147" s="6">
        <f>AW8</f>
        <v>0</v>
      </c>
      <c r="AR147" s="13">
        <f>AX8</f>
        <v>0</v>
      </c>
      <c r="AT147" s="15">
        <f>AT9</f>
        <v>0</v>
      </c>
      <c r="AU147" s="8">
        <f>AU9</f>
        <v>0</v>
      </c>
      <c r="AV147" s="6">
        <f>AV9</f>
        <v>0</v>
      </c>
      <c r="AW147" s="6">
        <f>AW9</f>
        <v>0</v>
      </c>
      <c r="AX147" s="13">
        <f>AX9</f>
        <v>0</v>
      </c>
      <c r="AZ147" s="15">
        <f>AT10</f>
        <v>0</v>
      </c>
      <c r="BA147" s="8">
        <f>AU10</f>
        <v>0</v>
      </c>
      <c r="BB147" s="6">
        <f>AV10</f>
        <v>0</v>
      </c>
      <c r="BC147" s="6">
        <f>AW10</f>
        <v>0</v>
      </c>
      <c r="BD147" s="13">
        <f>AX10</f>
        <v>0</v>
      </c>
      <c r="BF147" s="15">
        <f>AT11</f>
        <v>0</v>
      </c>
      <c r="BG147" s="8">
        <f>AU11</f>
        <v>0</v>
      </c>
      <c r="BH147" s="6">
        <f>AV11</f>
        <v>0</v>
      </c>
      <c r="BI147" s="6">
        <f>AW11</f>
        <v>0</v>
      </c>
      <c r="BJ147" s="13">
        <f>AX11</f>
        <v>0</v>
      </c>
    </row>
    <row r="148" spans="1:62" ht="15.75" thickBot="1" x14ac:dyDescent="0.3">
      <c r="A148" s="8">
        <v>400</v>
      </c>
      <c r="B148" s="17">
        <f t="shared" si="42"/>
        <v>0</v>
      </c>
      <c r="D148" s="60" t="s">
        <v>24</v>
      </c>
      <c r="E148" s="62">
        <f>SUMPRODUCT(D146:D147,E146:E147)</f>
        <v>0</v>
      </c>
      <c r="G148" s="60" t="s">
        <v>24</v>
      </c>
      <c r="H148" s="62">
        <f>SUMPRODUCT(G146:G147,H146:H147)</f>
        <v>0</v>
      </c>
      <c r="J148" s="60" t="s">
        <v>29</v>
      </c>
      <c r="K148" s="62" t="s">
        <v>102</v>
      </c>
      <c r="M148" s="60" t="s">
        <v>29</v>
      </c>
      <c r="N148" s="62" t="s">
        <v>102</v>
      </c>
      <c r="P148" s="60" t="s">
        <v>29</v>
      </c>
      <c r="Q148" s="62" t="s">
        <v>102</v>
      </c>
      <c r="S148" s="15">
        <v>750</v>
      </c>
      <c r="T148" s="11">
        <f t="shared" si="43"/>
        <v>0</v>
      </c>
      <c r="U148" s="11">
        <f t="shared" si="43"/>
        <v>0</v>
      </c>
      <c r="V148" s="16">
        <f t="shared" si="44"/>
        <v>0</v>
      </c>
      <c r="W148" s="16">
        <f t="shared" si="45"/>
        <v>0</v>
      </c>
      <c r="AA148" s="167" t="str">
        <f>"TANKS: " &amp; SUM(B128:AE128,B146:B151,E146:E147,H146:H147,B142:AE142,W155)</f>
        <v>TANKS: 48</v>
      </c>
      <c r="AB148" s="167"/>
      <c r="AC148" s="167"/>
      <c r="AD148" s="167" t="str">
        <f>"LTRS: " &amp;SUM(AF128,B152,E148,H148,AF142,V155)</f>
        <v>LTRS: 39500</v>
      </c>
      <c r="AE148" s="167"/>
      <c r="AF148" s="167"/>
      <c r="AH148" s="15">
        <f>AZ7</f>
        <v>0</v>
      </c>
      <c r="AI148" s="8">
        <f>BA7</f>
        <v>0</v>
      </c>
      <c r="AJ148" s="6">
        <f>BB7</f>
        <v>0</v>
      </c>
      <c r="AK148" s="6">
        <f>BC7</f>
        <v>0</v>
      </c>
      <c r="AL148" s="13">
        <f>BD7</f>
        <v>0</v>
      </c>
      <c r="AN148" s="15">
        <f>AZ8</f>
        <v>0</v>
      </c>
      <c r="AO148" s="8">
        <f>BA8</f>
        <v>0</v>
      </c>
      <c r="AP148" s="6">
        <f>BB8</f>
        <v>0</v>
      </c>
      <c r="AQ148" s="6">
        <f>BC8</f>
        <v>0</v>
      </c>
      <c r="AR148" s="13">
        <f>BD8</f>
        <v>0</v>
      </c>
      <c r="AT148" s="15">
        <f>AZ9</f>
        <v>0</v>
      </c>
      <c r="AU148" s="8">
        <f>BA9</f>
        <v>0</v>
      </c>
      <c r="AV148" s="6">
        <f>BB9</f>
        <v>0</v>
      </c>
      <c r="AW148" s="6">
        <f>BC9</f>
        <v>0</v>
      </c>
      <c r="AX148" s="13">
        <f>BD9</f>
        <v>0</v>
      </c>
      <c r="AZ148" s="15">
        <f>AZ10</f>
        <v>0</v>
      </c>
      <c r="BA148" s="8">
        <f>BA10</f>
        <v>0</v>
      </c>
      <c r="BB148" s="6">
        <f>BB10</f>
        <v>0</v>
      </c>
      <c r="BC148" s="6">
        <f>BC10</f>
        <v>0</v>
      </c>
      <c r="BD148" s="13">
        <f>BD10</f>
        <v>0</v>
      </c>
      <c r="BF148" s="15">
        <f>AZ11</f>
        <v>0</v>
      </c>
      <c r="BG148" s="8">
        <f>BA11</f>
        <v>0</v>
      </c>
      <c r="BH148" s="6">
        <f>BB11</f>
        <v>0</v>
      </c>
      <c r="BI148" s="6">
        <f>BC11</f>
        <v>0</v>
      </c>
      <c r="BJ148" s="13">
        <f>BD11</f>
        <v>0</v>
      </c>
    </row>
    <row r="149" spans="1:62" x14ac:dyDescent="0.25">
      <c r="A149" s="8">
        <v>500</v>
      </c>
      <c r="B149" s="17">
        <f t="shared" si="42"/>
        <v>0</v>
      </c>
      <c r="J149" s="10" t="s">
        <v>17</v>
      </c>
      <c r="K149" s="17">
        <f>SUMIFS($J$14:$J$113,$H$14:$H$113,"CAP16_1",$K$14:$K$113,J149)</f>
        <v>0</v>
      </c>
      <c r="M149" s="10" t="s">
        <v>17</v>
      </c>
      <c r="N149" s="17">
        <f>SUMIFS($J$14:$J$113,$H$14:$H$113,"CAP16_2",$K$14:$K$113,M149)</f>
        <v>0</v>
      </c>
      <c r="P149" s="10" t="s">
        <v>17</v>
      </c>
      <c r="Q149" s="17">
        <f>SUMIFS($J$14:$J$113,$H$14:$H$113,"CAP19",$K$14:$K$113,P149)</f>
        <v>0</v>
      </c>
      <c r="S149" s="15">
        <v>1000</v>
      </c>
      <c r="T149" s="11">
        <f t="shared" si="43"/>
        <v>0</v>
      </c>
      <c r="U149" s="11">
        <f t="shared" si="43"/>
        <v>0</v>
      </c>
      <c r="V149" s="16">
        <f t="shared" si="44"/>
        <v>0</v>
      </c>
      <c r="W149" s="16">
        <f t="shared" si="45"/>
        <v>0</v>
      </c>
      <c r="AA149" s="167" t="s">
        <v>76</v>
      </c>
      <c r="AB149" s="167"/>
      <c r="AC149" s="167"/>
      <c r="AD149" s="176">
        <f>D114</f>
        <v>46008</v>
      </c>
      <c r="AE149" s="176"/>
      <c r="AF149" s="176"/>
      <c r="AH149" s="15">
        <f>BF7</f>
        <v>0</v>
      </c>
      <c r="AI149" s="8">
        <f>BG7</f>
        <v>0</v>
      </c>
      <c r="AJ149" s="6">
        <f>BH7</f>
        <v>0</v>
      </c>
      <c r="AK149" s="6">
        <f>BI7</f>
        <v>0</v>
      </c>
      <c r="AL149" s="13">
        <f>BJ7</f>
        <v>0</v>
      </c>
      <c r="AN149" s="15">
        <f>BF8</f>
        <v>0</v>
      </c>
      <c r="AO149" s="8">
        <f>BG8</f>
        <v>0</v>
      </c>
      <c r="AP149" s="6">
        <f>BH8</f>
        <v>0</v>
      </c>
      <c r="AQ149" s="6">
        <f>BI8</f>
        <v>0</v>
      </c>
      <c r="AR149" s="13">
        <f>BJ8</f>
        <v>0</v>
      </c>
      <c r="AT149" s="15">
        <f>BF9</f>
        <v>0</v>
      </c>
      <c r="AU149" s="8">
        <f>BG9</f>
        <v>0</v>
      </c>
      <c r="AV149" s="6">
        <f>BH9</f>
        <v>0</v>
      </c>
      <c r="AW149" s="6">
        <f>BI9</f>
        <v>0</v>
      </c>
      <c r="AX149" s="13">
        <f>BJ9</f>
        <v>0</v>
      </c>
      <c r="AZ149" s="15">
        <f>BF10</f>
        <v>0</v>
      </c>
      <c r="BA149" s="8">
        <f>BG10</f>
        <v>0</v>
      </c>
      <c r="BB149" s="6">
        <f>BH10</f>
        <v>0</v>
      </c>
      <c r="BC149" s="6">
        <f>BI10</f>
        <v>0</v>
      </c>
      <c r="BD149" s="13">
        <f>BJ10</f>
        <v>0</v>
      </c>
      <c r="BF149" s="15">
        <f>BF11</f>
        <v>0</v>
      </c>
      <c r="BG149" s="8">
        <f>BG11</f>
        <v>0</v>
      </c>
      <c r="BH149" s="6">
        <f>BH11</f>
        <v>0</v>
      </c>
      <c r="BI149" s="6">
        <f>BI11</f>
        <v>0</v>
      </c>
      <c r="BJ149" s="13">
        <f>BJ11</f>
        <v>0</v>
      </c>
    </row>
    <row r="150" spans="1:62" ht="15.75" thickBot="1" x14ac:dyDescent="0.3">
      <c r="A150" s="8">
        <v>750</v>
      </c>
      <c r="B150" s="17">
        <f t="shared" si="42"/>
        <v>0</v>
      </c>
      <c r="J150" s="8" t="s">
        <v>19</v>
      </c>
      <c r="K150" s="17">
        <f t="shared" ref="K150:K153" si="46">SUMIFS($J$14:$J$113,$H$14:$H$113,"CAP16_1",$K$14:$K$113,J150)</f>
        <v>0</v>
      </c>
      <c r="M150" s="8" t="s">
        <v>19</v>
      </c>
      <c r="N150" s="17">
        <f t="shared" ref="N150:N153" si="47">SUMIFS($J$14:$J$113,$H$14:$H$113,"CAP16_2",$K$14:$K$113,M150)</f>
        <v>0</v>
      </c>
      <c r="P150" s="8" t="s">
        <v>19</v>
      </c>
      <c r="Q150" s="17">
        <f t="shared" ref="Q150:Q153" si="48">SUMIFS($J$14:$J$113,$H$14:$H$113,"CAP19",$K$14:$K$113,P150)</f>
        <v>0</v>
      </c>
      <c r="S150" s="15">
        <v>1500</v>
      </c>
      <c r="T150" s="11">
        <f t="shared" si="43"/>
        <v>0</v>
      </c>
      <c r="U150" s="11">
        <f t="shared" si="43"/>
        <v>0</v>
      </c>
      <c r="V150" s="16">
        <f t="shared" si="44"/>
        <v>0</v>
      </c>
      <c r="W150" s="16">
        <f t="shared" si="45"/>
        <v>0</v>
      </c>
      <c r="AH150" s="59">
        <f>BL7</f>
        <v>0</v>
      </c>
      <c r="AI150" s="31">
        <f>BM7</f>
        <v>0</v>
      </c>
      <c r="AJ150" s="32">
        <f>BN7</f>
        <v>0</v>
      </c>
      <c r="AK150" s="32">
        <f>BO7</f>
        <v>0</v>
      </c>
      <c r="AL150" s="33">
        <f>BP7</f>
        <v>0</v>
      </c>
      <c r="AN150" s="59">
        <f>BL8</f>
        <v>0</v>
      </c>
      <c r="AO150" s="31">
        <f>BM8</f>
        <v>0</v>
      </c>
      <c r="AP150" s="32">
        <f>BN8</f>
        <v>0</v>
      </c>
      <c r="AQ150" s="32">
        <f>BO8</f>
        <v>0</v>
      </c>
      <c r="AR150" s="33">
        <f>BP8</f>
        <v>0</v>
      </c>
      <c r="AT150" s="59">
        <f>BL9</f>
        <v>0</v>
      </c>
      <c r="AU150" s="31">
        <f>BM9</f>
        <v>0</v>
      </c>
      <c r="AV150" s="32">
        <f>BN9</f>
        <v>0</v>
      </c>
      <c r="AW150" s="32">
        <f>BO9</f>
        <v>0</v>
      </c>
      <c r="AX150" s="33">
        <f>BP9</f>
        <v>0</v>
      </c>
      <c r="AZ150" s="59">
        <f>BL10</f>
        <v>0</v>
      </c>
      <c r="BA150" s="31">
        <f>BM10</f>
        <v>0</v>
      </c>
      <c r="BB150" s="32">
        <f>BN10</f>
        <v>0</v>
      </c>
      <c r="BC150" s="32">
        <f>BO10</f>
        <v>0</v>
      </c>
      <c r="BD150" s="33">
        <f>BP10</f>
        <v>0</v>
      </c>
      <c r="BF150" s="59">
        <f>BL11</f>
        <v>0</v>
      </c>
      <c r="BG150" s="31">
        <f>BM11</f>
        <v>0</v>
      </c>
      <c r="BH150" s="32">
        <f>BN11</f>
        <v>0</v>
      </c>
      <c r="BI150" s="32">
        <f>BO11</f>
        <v>0</v>
      </c>
      <c r="BJ150" s="33">
        <f>BP11</f>
        <v>0</v>
      </c>
    </row>
    <row r="151" spans="1:62" ht="15.75" thickBot="1" x14ac:dyDescent="0.3">
      <c r="A151" s="9">
        <v>1000</v>
      </c>
      <c r="B151" s="17">
        <f t="shared" si="42"/>
        <v>0</v>
      </c>
      <c r="J151" s="8" t="s">
        <v>32</v>
      </c>
      <c r="K151" s="17">
        <f t="shared" si="46"/>
        <v>0</v>
      </c>
      <c r="M151" s="8" t="s">
        <v>32</v>
      </c>
      <c r="N151" s="17">
        <f t="shared" si="47"/>
        <v>0</v>
      </c>
      <c r="P151" s="8" t="s">
        <v>32</v>
      </c>
      <c r="Q151" s="17">
        <f t="shared" si="48"/>
        <v>0</v>
      </c>
      <c r="S151" s="15">
        <v>2000</v>
      </c>
      <c r="T151" s="11">
        <f t="shared" si="43"/>
        <v>0</v>
      </c>
      <c r="U151" s="11">
        <f t="shared" si="43"/>
        <v>0</v>
      </c>
      <c r="V151" s="16">
        <f t="shared" si="44"/>
        <v>0</v>
      </c>
      <c r="W151" s="16">
        <f t="shared" si="45"/>
        <v>0</v>
      </c>
      <c r="AH151" s="35">
        <f>C7</f>
        <v>0</v>
      </c>
      <c r="AI151" s="158">
        <f>SUM(AI141:AI150)</f>
        <v>0</v>
      </c>
      <c r="AJ151" s="159"/>
      <c r="AK151" s="158">
        <f>BT7</f>
        <v>0</v>
      </c>
      <c r="AL151" s="159"/>
      <c r="AN151" s="35">
        <f>C8</f>
        <v>0</v>
      </c>
      <c r="AO151" s="158">
        <f>SUM(AO141:AO150)</f>
        <v>0</v>
      </c>
      <c r="AP151" s="159"/>
      <c r="AQ151" s="158">
        <f>BT8</f>
        <v>0</v>
      </c>
      <c r="AR151" s="159"/>
      <c r="AT151" s="35">
        <f>C9</f>
        <v>0</v>
      </c>
      <c r="AU151" s="158">
        <f>SUM(AU141:AU150)</f>
        <v>0</v>
      </c>
      <c r="AV151" s="159"/>
      <c r="AW151" s="158">
        <f>BT9</f>
        <v>0</v>
      </c>
      <c r="AX151" s="159"/>
      <c r="AZ151" s="35">
        <f>C10</f>
        <v>0</v>
      </c>
      <c r="BA151" s="158">
        <f>SUM(BA141:BA150)</f>
        <v>0</v>
      </c>
      <c r="BB151" s="159"/>
      <c r="BC151" s="158">
        <f>BT10</f>
        <v>0</v>
      </c>
      <c r="BD151" s="159"/>
      <c r="BF151" s="35">
        <f>C11</f>
        <v>0</v>
      </c>
      <c r="BG151" s="158">
        <f>SUM(BG141:BG150)</f>
        <v>0</v>
      </c>
      <c r="BH151" s="159"/>
      <c r="BI151" s="158">
        <f>BT11</f>
        <v>0</v>
      </c>
      <c r="BJ151" s="159"/>
    </row>
    <row r="152" spans="1:62" ht="15.75" thickBot="1" x14ac:dyDescent="0.3">
      <c r="A152" s="60" t="s">
        <v>24</v>
      </c>
      <c r="B152" s="62">
        <f>SUMPRODUCT(A146:A151,B146:B151)</f>
        <v>0</v>
      </c>
      <c r="J152" s="8" t="s">
        <v>33</v>
      </c>
      <c r="K152" s="17">
        <f t="shared" si="46"/>
        <v>0</v>
      </c>
      <c r="M152" s="8" t="s">
        <v>33</v>
      </c>
      <c r="N152" s="17">
        <f t="shared" si="47"/>
        <v>0</v>
      </c>
      <c r="P152" s="8" t="s">
        <v>33</v>
      </c>
      <c r="Q152" s="17">
        <f t="shared" si="48"/>
        <v>0</v>
      </c>
      <c r="S152" s="15">
        <v>3000</v>
      </c>
      <c r="T152" s="11">
        <f t="shared" si="43"/>
        <v>0</v>
      </c>
      <c r="U152" s="11">
        <f t="shared" si="43"/>
        <v>0</v>
      </c>
      <c r="V152" s="16">
        <f t="shared" si="44"/>
        <v>0</v>
      </c>
      <c r="W152" s="16">
        <f t="shared" si="45"/>
        <v>0</v>
      </c>
      <c r="AH152" s="35" t="s">
        <v>25</v>
      </c>
      <c r="AI152" s="158">
        <f>A7</f>
        <v>0</v>
      </c>
      <c r="AJ152" s="160"/>
      <c r="AK152" s="158">
        <f>BR7</f>
        <v>0</v>
      </c>
      <c r="AL152" s="159"/>
      <c r="AN152" s="35" t="s">
        <v>25</v>
      </c>
      <c r="AO152" s="158">
        <f>A8</f>
        <v>0</v>
      </c>
      <c r="AP152" s="160"/>
      <c r="AQ152" s="158">
        <f>BR8</f>
        <v>0</v>
      </c>
      <c r="AR152" s="159"/>
      <c r="AT152" s="35" t="s">
        <v>25</v>
      </c>
      <c r="AU152" s="158">
        <f>A9</f>
        <v>0</v>
      </c>
      <c r="AV152" s="160"/>
      <c r="AW152" s="158">
        <f>BR9</f>
        <v>0</v>
      </c>
      <c r="AX152" s="159"/>
      <c r="AZ152" s="35" t="s">
        <v>25</v>
      </c>
      <c r="BA152" s="158">
        <f>A10</f>
        <v>0</v>
      </c>
      <c r="BB152" s="160"/>
      <c r="BC152" s="158">
        <f>BR10</f>
        <v>0</v>
      </c>
      <c r="BD152" s="159"/>
      <c r="BF152" s="35" t="s">
        <v>25</v>
      </c>
      <c r="BG152" s="158">
        <f>A11</f>
        <v>0</v>
      </c>
      <c r="BH152" s="160"/>
      <c r="BI152" s="158">
        <f>BR11</f>
        <v>0</v>
      </c>
      <c r="BJ152" s="159"/>
    </row>
    <row r="153" spans="1:62" ht="15.75" thickBot="1" x14ac:dyDescent="0.3">
      <c r="J153" s="9" t="s">
        <v>80</v>
      </c>
      <c r="K153" s="17">
        <f t="shared" si="46"/>
        <v>0</v>
      </c>
      <c r="M153" s="9" t="s">
        <v>80</v>
      </c>
      <c r="N153" s="17">
        <f t="shared" si="47"/>
        <v>0</v>
      </c>
      <c r="P153" s="9" t="s">
        <v>80</v>
      </c>
      <c r="Q153" s="17">
        <f t="shared" si="48"/>
        <v>0</v>
      </c>
      <c r="S153" s="15">
        <v>5000</v>
      </c>
      <c r="T153" s="11">
        <f t="shared" si="43"/>
        <v>0</v>
      </c>
      <c r="U153" s="11">
        <f t="shared" si="43"/>
        <v>0</v>
      </c>
      <c r="V153" s="16">
        <f t="shared" si="44"/>
        <v>0</v>
      </c>
      <c r="W153" s="16">
        <f t="shared" si="45"/>
        <v>0</v>
      </c>
      <c r="AH153" s="58" t="s">
        <v>130</v>
      </c>
      <c r="AI153" s="58" t="s">
        <v>131</v>
      </c>
      <c r="AJ153" s="58" t="s">
        <v>132</v>
      </c>
      <c r="AK153" s="58" t="s">
        <v>166</v>
      </c>
      <c r="AL153" s="58" t="s">
        <v>33</v>
      </c>
      <c r="AN153" s="58" t="s">
        <v>130</v>
      </c>
      <c r="AO153" s="58" t="s">
        <v>131</v>
      </c>
      <c r="AP153" s="58" t="s">
        <v>132</v>
      </c>
      <c r="AQ153" s="58" t="s">
        <v>166</v>
      </c>
      <c r="AR153" s="58" t="s">
        <v>33</v>
      </c>
      <c r="AT153" s="58" t="s">
        <v>130</v>
      </c>
      <c r="AU153" s="58" t="s">
        <v>131</v>
      </c>
      <c r="AV153" s="58" t="s">
        <v>132</v>
      </c>
      <c r="AW153" s="58" t="s">
        <v>166</v>
      </c>
      <c r="AX153" s="58" t="s">
        <v>33</v>
      </c>
      <c r="AZ153" s="58" t="s">
        <v>130</v>
      </c>
      <c r="BA153" s="58" t="s">
        <v>131</v>
      </c>
      <c r="BB153" s="58" t="s">
        <v>132</v>
      </c>
      <c r="BC153" s="58" t="s">
        <v>166</v>
      </c>
      <c r="BD153" s="58" t="s">
        <v>33</v>
      </c>
      <c r="BF153" s="58" t="s">
        <v>130</v>
      </c>
      <c r="BG153" s="58" t="s">
        <v>131</v>
      </c>
      <c r="BH153" s="58" t="s">
        <v>132</v>
      </c>
      <c r="BI153" s="58" t="s">
        <v>166</v>
      </c>
      <c r="BJ153" s="58" t="s">
        <v>33</v>
      </c>
    </row>
    <row r="154" spans="1:62" ht="15.75" thickBot="1" x14ac:dyDescent="0.3">
      <c r="J154" s="60" t="s">
        <v>24</v>
      </c>
      <c r="K154" s="62">
        <f>SUM(K149:K153)</f>
        <v>0</v>
      </c>
      <c r="M154" s="60" t="s">
        <v>24</v>
      </c>
      <c r="N154" s="62">
        <f>SUM(N149:N153)</f>
        <v>0</v>
      </c>
      <c r="P154" s="60" t="s">
        <v>24</v>
      </c>
      <c r="Q154" s="62">
        <f>SUM(Q149:Q153)</f>
        <v>0</v>
      </c>
      <c r="S154" s="59">
        <v>10000</v>
      </c>
      <c r="T154" s="11">
        <f t="shared" si="43"/>
        <v>0</v>
      </c>
      <c r="U154" s="11">
        <f t="shared" si="43"/>
        <v>0</v>
      </c>
      <c r="V154" s="16">
        <f t="shared" si="44"/>
        <v>0</v>
      </c>
      <c r="W154" s="16">
        <f t="shared" si="45"/>
        <v>0</v>
      </c>
      <c r="AH154" s="34" t="str">
        <f>AZ19</f>
        <v/>
      </c>
      <c r="AI154" s="34" t="str">
        <f>BA19</f>
        <v/>
      </c>
      <c r="AJ154" s="34" t="str">
        <f>BB19</f>
        <v/>
      </c>
      <c r="AK154" s="35" t="str">
        <f>BC19</f>
        <v/>
      </c>
      <c r="AL154" s="35" t="str">
        <f>BD19</f>
        <v/>
      </c>
      <c r="AN154" s="34" t="str">
        <f>AZ20</f>
        <v/>
      </c>
      <c r="AO154" s="34" t="str">
        <f>BA20</f>
        <v/>
      </c>
      <c r="AP154" s="34" t="str">
        <f>BB20</f>
        <v/>
      </c>
      <c r="AQ154" s="35" t="str">
        <f>BC20</f>
        <v/>
      </c>
      <c r="AR154" s="35" t="str">
        <f>BD20</f>
        <v/>
      </c>
      <c r="AT154" s="34" t="str">
        <f>AZ21</f>
        <v/>
      </c>
      <c r="AU154" s="34" t="str">
        <f>BA21</f>
        <v/>
      </c>
      <c r="AV154" s="34" t="str">
        <f>BB21</f>
        <v/>
      </c>
      <c r="AW154" s="35" t="str">
        <f>BC21</f>
        <v/>
      </c>
      <c r="AX154" s="35" t="str">
        <f>BD21</f>
        <v/>
      </c>
      <c r="AZ154" s="34" t="str">
        <f>AZ22</f>
        <v/>
      </c>
      <c r="BA154" s="34" t="str">
        <f>BA22</f>
        <v/>
      </c>
      <c r="BB154" s="34" t="str">
        <f>BB22</f>
        <v/>
      </c>
      <c r="BC154" s="35" t="str">
        <f>BC22</f>
        <v/>
      </c>
      <c r="BD154" s="35" t="str">
        <f>BD22</f>
        <v/>
      </c>
      <c r="BF154" s="34" t="str">
        <f>AZ23</f>
        <v/>
      </c>
      <c r="BG154" s="34" t="str">
        <f>BA23</f>
        <v/>
      </c>
      <c r="BH154" s="34" t="str">
        <f>BB23</f>
        <v/>
      </c>
      <c r="BI154" s="35" t="str">
        <f>BC23</f>
        <v/>
      </c>
      <c r="BJ154" s="35" t="str">
        <f>BD23</f>
        <v/>
      </c>
    </row>
    <row r="155" spans="1:62" ht="15.75" thickBot="1" x14ac:dyDescent="0.3">
      <c r="S155" s="35"/>
      <c r="T155" s="61">
        <f>SUM(T146:T154)</f>
        <v>0</v>
      </c>
      <c r="U155" s="61">
        <f t="shared" ref="U155:W155" si="49">SUM(U146:U154)</f>
        <v>0</v>
      </c>
      <c r="V155" s="35">
        <f t="shared" si="49"/>
        <v>0</v>
      </c>
      <c r="W155" s="35">
        <f t="shared" si="49"/>
        <v>0</v>
      </c>
      <c r="AH155" s="58" t="s">
        <v>22</v>
      </c>
      <c r="AI155" s="58" t="s">
        <v>20</v>
      </c>
      <c r="AJ155" s="58" t="s">
        <v>34</v>
      </c>
      <c r="AK155" s="58" t="s">
        <v>127</v>
      </c>
      <c r="AL155" s="58" t="s">
        <v>129</v>
      </c>
      <c r="AN155" s="58" t="s">
        <v>22</v>
      </c>
      <c r="AO155" s="58" t="s">
        <v>20</v>
      </c>
      <c r="AP155" s="58" t="s">
        <v>34</v>
      </c>
      <c r="AQ155" s="58" t="s">
        <v>127</v>
      </c>
      <c r="AR155" s="58" t="s">
        <v>129</v>
      </c>
      <c r="AT155" s="58" t="s">
        <v>22</v>
      </c>
      <c r="AU155" s="58" t="s">
        <v>20</v>
      </c>
      <c r="AV155" s="58" t="s">
        <v>34</v>
      </c>
      <c r="AW155" s="58" t="s">
        <v>127</v>
      </c>
      <c r="AX155" s="58" t="s">
        <v>129</v>
      </c>
      <c r="AZ155" s="58" t="s">
        <v>22</v>
      </c>
      <c r="BA155" s="58" t="s">
        <v>20</v>
      </c>
      <c r="BB155" s="58" t="s">
        <v>34</v>
      </c>
      <c r="BC155" s="58" t="s">
        <v>127</v>
      </c>
      <c r="BD155" s="58" t="s">
        <v>129</v>
      </c>
      <c r="BF155" s="58" t="s">
        <v>22</v>
      </c>
      <c r="BG155" s="58" t="s">
        <v>20</v>
      </c>
      <c r="BH155" s="58" t="s">
        <v>34</v>
      </c>
      <c r="BI155" s="58" t="s">
        <v>127</v>
      </c>
      <c r="BJ155" s="58" t="s">
        <v>129</v>
      </c>
    </row>
    <row r="156" spans="1:62" ht="15.75" thickBot="1" x14ac:dyDescent="0.3">
      <c r="AH156" s="34" t="str">
        <f>AU19</f>
        <v/>
      </c>
      <c r="AI156" s="34" t="str">
        <f>AV19</f>
        <v/>
      </c>
      <c r="AJ156" s="34" t="str">
        <f>AW19</f>
        <v/>
      </c>
      <c r="AK156" s="35" t="str">
        <f>AX19</f>
        <v/>
      </c>
      <c r="AL156" s="35" t="str">
        <f>AY19</f>
        <v/>
      </c>
      <c r="AN156" s="34" t="str">
        <f>AU20</f>
        <v/>
      </c>
      <c r="AO156" s="34" t="str">
        <f>AV20</f>
        <v/>
      </c>
      <c r="AP156" s="34" t="str">
        <f>AW20</f>
        <v/>
      </c>
      <c r="AQ156" s="35" t="str">
        <f>AX20</f>
        <v/>
      </c>
      <c r="AR156" s="35" t="str">
        <f>AY20</f>
        <v/>
      </c>
      <c r="AT156" s="34" t="str">
        <f>AU21</f>
        <v/>
      </c>
      <c r="AU156" s="34" t="str">
        <f>AV21</f>
        <v/>
      </c>
      <c r="AV156" s="34" t="str">
        <f>AW21</f>
        <v/>
      </c>
      <c r="AW156" s="35" t="str">
        <f>AX21</f>
        <v/>
      </c>
      <c r="AX156" s="35" t="str">
        <f>AY21</f>
        <v/>
      </c>
      <c r="AZ156" s="34" t="str">
        <f>AU22</f>
        <v/>
      </c>
      <c r="BA156" s="34" t="str">
        <f>AV22</f>
        <v/>
      </c>
      <c r="BB156" s="34" t="str">
        <f>AW22</f>
        <v/>
      </c>
      <c r="BC156" s="35" t="str">
        <f>AX22</f>
        <v/>
      </c>
      <c r="BD156" s="35" t="str">
        <f>AY22</f>
        <v/>
      </c>
      <c r="BF156" s="34" t="str">
        <f>AU23</f>
        <v/>
      </c>
      <c r="BG156" s="34" t="str">
        <f>AV23</f>
        <v/>
      </c>
      <c r="BH156" s="34" t="str">
        <f>AW23</f>
        <v/>
      </c>
      <c r="BI156" s="35" t="str">
        <f>AX23</f>
        <v/>
      </c>
      <c r="BJ156" s="35" t="str">
        <f>AY23</f>
        <v/>
      </c>
    </row>
    <row r="157" spans="1:62" ht="13.7" customHeight="1" thickBot="1" x14ac:dyDescent="0.3"/>
    <row r="158" spans="1:62" ht="15.75" thickBot="1" x14ac:dyDescent="0.3">
      <c r="AH158" s="149" t="s">
        <v>37</v>
      </c>
      <c r="AI158" s="150"/>
      <c r="AJ158" s="150"/>
      <c r="AK158" s="151" t="str">
        <f>AD147</f>
        <v>KA41C4059</v>
      </c>
      <c r="AL158" s="151"/>
      <c r="AM158" s="152"/>
      <c r="AN158" s="157" t="str">
        <f>AA148</f>
        <v>TANKS: 48</v>
      </c>
      <c r="AO158" s="153"/>
      <c r="AP158" s="153" t="str">
        <f>AD148</f>
        <v>LTRS: 39500</v>
      </c>
      <c r="AQ158" s="153"/>
      <c r="AR158" s="154"/>
      <c r="AS158" s="150" t="s">
        <v>76</v>
      </c>
      <c r="AT158" s="150"/>
      <c r="AU158" s="155">
        <f>AD149</f>
        <v>46008</v>
      </c>
      <c r="AV158" s="155"/>
      <c r="AW158" s="156"/>
    </row>
    <row r="159" spans="1:62" ht="13.7" customHeight="1" x14ac:dyDescent="0.25"/>
    <row r="160" spans="1:62" ht="13.7" customHeight="1" thickBot="1" x14ac:dyDescent="0.3"/>
    <row r="161" spans="1:52" ht="13.7" customHeight="1" x14ac:dyDescent="0.25">
      <c r="A161" s="123" t="s">
        <v>31</v>
      </c>
      <c r="B161" s="113" t="s">
        <v>84</v>
      </c>
      <c r="C161" s="115"/>
      <c r="D161" s="113" t="s">
        <v>22</v>
      </c>
      <c r="E161" s="114"/>
      <c r="F161" s="114"/>
      <c r="G161" s="114"/>
      <c r="H161" s="115"/>
      <c r="I161" s="113" t="s">
        <v>20</v>
      </c>
      <c r="J161" s="114"/>
      <c r="K161" s="114"/>
      <c r="L161" s="114"/>
      <c r="M161" s="115"/>
      <c r="N161" s="113" t="s">
        <v>34</v>
      </c>
      <c r="O161" s="114"/>
      <c r="P161" s="114"/>
      <c r="Q161" s="114"/>
      <c r="R161" s="115"/>
      <c r="S161" s="113" t="s">
        <v>127</v>
      </c>
      <c r="T161" s="114"/>
      <c r="U161" s="114"/>
      <c r="V161" s="114"/>
      <c r="W161" s="115"/>
      <c r="X161" s="113" t="s">
        <v>129</v>
      </c>
      <c r="Y161" s="114"/>
      <c r="Z161" s="114"/>
      <c r="AA161" s="114"/>
      <c r="AB161" s="115"/>
      <c r="AC161" s="113" t="s">
        <v>26</v>
      </c>
      <c r="AD161" s="114"/>
      <c r="AE161" s="114"/>
      <c r="AF161" s="114"/>
      <c r="AG161" s="115"/>
      <c r="AH161" s="116" t="s">
        <v>24</v>
      </c>
      <c r="AI161" s="116" t="s">
        <v>86</v>
      </c>
      <c r="AJ161" s="81"/>
    </row>
    <row r="162" spans="1:52" ht="13.7" customHeight="1" thickBot="1" x14ac:dyDescent="0.3">
      <c r="A162" s="124"/>
      <c r="B162" s="12" t="s">
        <v>17</v>
      </c>
      <c r="C162" s="12" t="s">
        <v>19</v>
      </c>
      <c r="D162" s="9" t="s">
        <v>32</v>
      </c>
      <c r="E162" s="12" t="s">
        <v>17</v>
      </c>
      <c r="F162" s="12" t="s">
        <v>19</v>
      </c>
      <c r="G162" s="12" t="s">
        <v>33</v>
      </c>
      <c r="H162" s="14" t="s">
        <v>80</v>
      </c>
      <c r="I162" s="9" t="s">
        <v>32</v>
      </c>
      <c r="J162" s="12" t="s">
        <v>17</v>
      </c>
      <c r="K162" s="12" t="s">
        <v>19</v>
      </c>
      <c r="L162" s="12" t="s">
        <v>33</v>
      </c>
      <c r="M162" s="14" t="s">
        <v>80</v>
      </c>
      <c r="N162" s="9" t="s">
        <v>32</v>
      </c>
      <c r="O162" s="12" t="s">
        <v>17</v>
      </c>
      <c r="P162" s="12" t="s">
        <v>19</v>
      </c>
      <c r="Q162" s="12" t="s">
        <v>33</v>
      </c>
      <c r="R162" s="14" t="s">
        <v>80</v>
      </c>
      <c r="S162" s="9" t="s">
        <v>32</v>
      </c>
      <c r="T162" s="12" t="s">
        <v>17</v>
      </c>
      <c r="U162" s="12" t="s">
        <v>19</v>
      </c>
      <c r="V162" s="12" t="s">
        <v>33</v>
      </c>
      <c r="W162" s="14" t="s">
        <v>80</v>
      </c>
      <c r="X162" s="9" t="s">
        <v>32</v>
      </c>
      <c r="Y162" s="12" t="s">
        <v>17</v>
      </c>
      <c r="Z162" s="12" t="s">
        <v>19</v>
      </c>
      <c r="AA162" s="12" t="s">
        <v>33</v>
      </c>
      <c r="AB162" s="14" t="s">
        <v>80</v>
      </c>
      <c r="AC162" s="9" t="s">
        <v>32</v>
      </c>
      <c r="AD162" s="12" t="s">
        <v>17</v>
      </c>
      <c r="AE162" s="12" t="s">
        <v>19</v>
      </c>
      <c r="AF162" s="12" t="s">
        <v>33</v>
      </c>
      <c r="AG162" s="14" t="s">
        <v>80</v>
      </c>
      <c r="AH162" s="117"/>
      <c r="AI162" s="117"/>
      <c r="AJ162" s="81"/>
    </row>
    <row r="163" spans="1:52" ht="13.7" customHeight="1" x14ac:dyDescent="0.25">
      <c r="A163" s="16">
        <v>300</v>
      </c>
      <c r="B163" s="11">
        <f>T146</f>
        <v>0</v>
      </c>
      <c r="C163" s="11">
        <f>U146</f>
        <v>0</v>
      </c>
      <c r="D163" s="10">
        <f>B119+B133</f>
        <v>0</v>
      </c>
      <c r="E163" s="11">
        <f t="shared" ref="E163:AG171" si="50">C119+C133</f>
        <v>0</v>
      </c>
      <c r="F163" s="11">
        <f t="shared" si="50"/>
        <v>0</v>
      </c>
      <c r="G163" s="11">
        <f t="shared" si="50"/>
        <v>0</v>
      </c>
      <c r="H163" s="17">
        <f t="shared" si="50"/>
        <v>0</v>
      </c>
      <c r="I163" s="10">
        <f t="shared" si="50"/>
        <v>0</v>
      </c>
      <c r="J163" s="11">
        <f t="shared" si="50"/>
        <v>0</v>
      </c>
      <c r="K163" s="11">
        <f t="shared" si="50"/>
        <v>0</v>
      </c>
      <c r="L163" s="11">
        <f t="shared" si="50"/>
        <v>0</v>
      </c>
      <c r="M163" s="17">
        <f t="shared" si="50"/>
        <v>0</v>
      </c>
      <c r="N163" s="10">
        <f t="shared" si="50"/>
        <v>0</v>
      </c>
      <c r="O163" s="11">
        <f t="shared" si="50"/>
        <v>0</v>
      </c>
      <c r="P163" s="11">
        <f t="shared" si="50"/>
        <v>0</v>
      </c>
      <c r="Q163" s="11">
        <f t="shared" si="50"/>
        <v>0</v>
      </c>
      <c r="R163" s="17">
        <f t="shared" si="50"/>
        <v>0</v>
      </c>
      <c r="S163" s="10">
        <f t="shared" si="50"/>
        <v>0</v>
      </c>
      <c r="T163" s="11">
        <f t="shared" si="50"/>
        <v>0</v>
      </c>
      <c r="U163" s="11">
        <f t="shared" si="50"/>
        <v>0</v>
      </c>
      <c r="V163" s="11">
        <f t="shared" si="50"/>
        <v>0</v>
      </c>
      <c r="W163" s="17">
        <f t="shared" si="50"/>
        <v>0</v>
      </c>
      <c r="X163" s="10">
        <f t="shared" si="50"/>
        <v>0</v>
      </c>
      <c r="Y163" s="11">
        <f t="shared" si="50"/>
        <v>0</v>
      </c>
      <c r="Z163" s="11">
        <f t="shared" si="50"/>
        <v>0</v>
      </c>
      <c r="AA163" s="11">
        <f t="shared" si="50"/>
        <v>0</v>
      </c>
      <c r="AB163" s="17">
        <f t="shared" si="50"/>
        <v>0</v>
      </c>
      <c r="AC163" s="10">
        <f t="shared" si="50"/>
        <v>0</v>
      </c>
      <c r="AD163" s="11">
        <f t="shared" si="50"/>
        <v>0</v>
      </c>
      <c r="AE163" s="11">
        <f t="shared" si="50"/>
        <v>0</v>
      </c>
      <c r="AF163" s="11">
        <f t="shared" si="50"/>
        <v>0</v>
      </c>
      <c r="AG163" s="17">
        <f t="shared" si="50"/>
        <v>0</v>
      </c>
      <c r="AH163" s="16">
        <f>SUM(D163:AG163)*A163</f>
        <v>0</v>
      </c>
      <c r="AI163" s="16">
        <f>SUM(D163:AG163)</f>
        <v>0</v>
      </c>
      <c r="AJ163" s="82"/>
    </row>
    <row r="164" spans="1:52" ht="13.7" customHeight="1" x14ac:dyDescent="0.25">
      <c r="A164" s="16">
        <v>500</v>
      </c>
      <c r="B164" s="11">
        <f t="shared" ref="B164:C171" si="51">T147</f>
        <v>0</v>
      </c>
      <c r="C164" s="11">
        <f t="shared" si="51"/>
        <v>0</v>
      </c>
      <c r="D164" s="10">
        <f t="shared" ref="D164:D171" si="52">B120+B134</f>
        <v>0</v>
      </c>
      <c r="E164" s="11">
        <f t="shared" si="50"/>
        <v>20</v>
      </c>
      <c r="F164" s="11">
        <f t="shared" si="50"/>
        <v>0</v>
      </c>
      <c r="G164" s="11">
        <f t="shared" si="50"/>
        <v>0</v>
      </c>
      <c r="H164" s="17">
        <f t="shared" si="50"/>
        <v>0</v>
      </c>
      <c r="I164" s="10">
        <f t="shared" si="50"/>
        <v>0</v>
      </c>
      <c r="J164" s="11">
        <f t="shared" si="50"/>
        <v>0</v>
      </c>
      <c r="K164" s="11">
        <f t="shared" si="50"/>
        <v>0</v>
      </c>
      <c r="L164" s="11">
        <f t="shared" si="50"/>
        <v>0</v>
      </c>
      <c r="M164" s="17">
        <f t="shared" si="50"/>
        <v>0</v>
      </c>
      <c r="N164" s="10">
        <f t="shared" si="50"/>
        <v>0</v>
      </c>
      <c r="O164" s="11">
        <f t="shared" si="50"/>
        <v>0</v>
      </c>
      <c r="P164" s="11">
        <f t="shared" si="50"/>
        <v>0</v>
      </c>
      <c r="Q164" s="11">
        <f t="shared" si="50"/>
        <v>0</v>
      </c>
      <c r="R164" s="17">
        <f t="shared" si="50"/>
        <v>0</v>
      </c>
      <c r="S164" s="10">
        <f t="shared" si="50"/>
        <v>0</v>
      </c>
      <c r="T164" s="11">
        <f t="shared" si="50"/>
        <v>0</v>
      </c>
      <c r="U164" s="11">
        <f t="shared" si="50"/>
        <v>0</v>
      </c>
      <c r="V164" s="11">
        <f t="shared" si="50"/>
        <v>0</v>
      </c>
      <c r="W164" s="17">
        <f t="shared" si="50"/>
        <v>0</v>
      </c>
      <c r="X164" s="10">
        <f t="shared" si="50"/>
        <v>0</v>
      </c>
      <c r="Y164" s="11">
        <f t="shared" si="50"/>
        <v>0</v>
      </c>
      <c r="Z164" s="11">
        <f t="shared" si="50"/>
        <v>0</v>
      </c>
      <c r="AA164" s="11">
        <f t="shared" si="50"/>
        <v>0</v>
      </c>
      <c r="AB164" s="17">
        <f t="shared" si="50"/>
        <v>0</v>
      </c>
      <c r="AC164" s="10">
        <f t="shared" si="50"/>
        <v>0</v>
      </c>
      <c r="AD164" s="11">
        <f t="shared" si="50"/>
        <v>0</v>
      </c>
      <c r="AE164" s="11">
        <f t="shared" si="50"/>
        <v>0</v>
      </c>
      <c r="AF164" s="11">
        <f t="shared" si="50"/>
        <v>0</v>
      </c>
      <c r="AG164" s="17">
        <f t="shared" si="50"/>
        <v>0</v>
      </c>
      <c r="AH164" s="16">
        <f>SUM(D164:AG164)*A164</f>
        <v>10000</v>
      </c>
      <c r="AI164" s="16">
        <f t="shared" ref="AI164:AI172" si="53">SUM(D164:AG164)</f>
        <v>20</v>
      </c>
    </row>
    <row r="165" spans="1:52" ht="13.7" customHeight="1" x14ac:dyDescent="0.25">
      <c r="A165" s="15">
        <v>750</v>
      </c>
      <c r="B165" s="11">
        <f t="shared" si="51"/>
        <v>0</v>
      </c>
      <c r="C165" s="11">
        <f t="shared" si="51"/>
        <v>0</v>
      </c>
      <c r="D165" s="8">
        <f t="shared" si="52"/>
        <v>0</v>
      </c>
      <c r="E165" s="6">
        <f t="shared" si="50"/>
        <v>10</v>
      </c>
      <c r="F165" s="6">
        <f t="shared" si="50"/>
        <v>0</v>
      </c>
      <c r="G165" s="6">
        <f t="shared" si="50"/>
        <v>0</v>
      </c>
      <c r="H165" s="13">
        <f t="shared" si="50"/>
        <v>0</v>
      </c>
      <c r="I165" s="8">
        <f t="shared" si="50"/>
        <v>0</v>
      </c>
      <c r="J165" s="6">
        <f t="shared" si="50"/>
        <v>0</v>
      </c>
      <c r="K165" s="6">
        <f t="shared" si="50"/>
        <v>0</v>
      </c>
      <c r="L165" s="6">
        <f t="shared" si="50"/>
        <v>0</v>
      </c>
      <c r="M165" s="13">
        <f t="shared" si="50"/>
        <v>0</v>
      </c>
      <c r="N165" s="8">
        <f t="shared" si="50"/>
        <v>0</v>
      </c>
      <c r="O165" s="6">
        <f t="shared" si="50"/>
        <v>0</v>
      </c>
      <c r="P165" s="6">
        <f t="shared" si="50"/>
        <v>0</v>
      </c>
      <c r="Q165" s="6">
        <f t="shared" si="50"/>
        <v>0</v>
      </c>
      <c r="R165" s="13">
        <f t="shared" si="50"/>
        <v>0</v>
      </c>
      <c r="S165" s="8">
        <f t="shared" si="50"/>
        <v>0</v>
      </c>
      <c r="T165" s="6">
        <f t="shared" si="50"/>
        <v>0</v>
      </c>
      <c r="U165" s="6">
        <f t="shared" si="50"/>
        <v>0</v>
      </c>
      <c r="V165" s="6">
        <f t="shared" si="50"/>
        <v>0</v>
      </c>
      <c r="W165" s="13">
        <f t="shared" si="50"/>
        <v>0</v>
      </c>
      <c r="X165" s="8">
        <f t="shared" si="50"/>
        <v>0</v>
      </c>
      <c r="Y165" s="6">
        <f t="shared" si="50"/>
        <v>0</v>
      </c>
      <c r="Z165" s="6">
        <f t="shared" si="50"/>
        <v>0</v>
      </c>
      <c r="AA165" s="6">
        <f t="shared" si="50"/>
        <v>0</v>
      </c>
      <c r="AB165" s="13">
        <f t="shared" si="50"/>
        <v>0</v>
      </c>
      <c r="AC165" s="8">
        <f t="shared" si="50"/>
        <v>0</v>
      </c>
      <c r="AD165" s="6">
        <f t="shared" si="50"/>
        <v>0</v>
      </c>
      <c r="AE165" s="6">
        <f t="shared" si="50"/>
        <v>0</v>
      </c>
      <c r="AF165" s="6">
        <f t="shared" si="50"/>
        <v>0</v>
      </c>
      <c r="AG165" s="13">
        <f t="shared" si="50"/>
        <v>0</v>
      </c>
      <c r="AH165" s="16">
        <f>SUM(D165:AG165)*A165</f>
        <v>7500</v>
      </c>
      <c r="AI165" s="16">
        <f t="shared" si="53"/>
        <v>10</v>
      </c>
    </row>
    <row r="166" spans="1:52" ht="13.7" customHeight="1" x14ac:dyDescent="0.25">
      <c r="A166" s="15">
        <v>1000</v>
      </c>
      <c r="B166" s="11">
        <f t="shared" si="51"/>
        <v>0</v>
      </c>
      <c r="C166" s="11">
        <f t="shared" si="51"/>
        <v>0</v>
      </c>
      <c r="D166" s="8">
        <f t="shared" si="52"/>
        <v>0</v>
      </c>
      <c r="E166" s="6">
        <f t="shared" si="50"/>
        <v>10</v>
      </c>
      <c r="F166" s="6">
        <f t="shared" si="50"/>
        <v>0</v>
      </c>
      <c r="G166" s="6">
        <f t="shared" si="50"/>
        <v>0</v>
      </c>
      <c r="H166" s="13">
        <f t="shared" si="50"/>
        <v>0</v>
      </c>
      <c r="I166" s="8">
        <f t="shared" si="50"/>
        <v>0</v>
      </c>
      <c r="J166" s="6">
        <f t="shared" si="50"/>
        <v>0</v>
      </c>
      <c r="K166" s="6">
        <f t="shared" si="50"/>
        <v>0</v>
      </c>
      <c r="L166" s="6">
        <f t="shared" si="50"/>
        <v>0</v>
      </c>
      <c r="M166" s="13">
        <f t="shared" si="50"/>
        <v>0</v>
      </c>
      <c r="N166" s="8">
        <f t="shared" si="50"/>
        <v>0</v>
      </c>
      <c r="O166" s="6">
        <f t="shared" si="50"/>
        <v>0</v>
      </c>
      <c r="P166" s="6">
        <f t="shared" si="50"/>
        <v>0</v>
      </c>
      <c r="Q166" s="6">
        <f t="shared" si="50"/>
        <v>0</v>
      </c>
      <c r="R166" s="13">
        <f t="shared" si="50"/>
        <v>0</v>
      </c>
      <c r="S166" s="8">
        <f t="shared" si="50"/>
        <v>0</v>
      </c>
      <c r="T166" s="6">
        <f t="shared" si="50"/>
        <v>0</v>
      </c>
      <c r="U166" s="6">
        <f t="shared" si="50"/>
        <v>0</v>
      </c>
      <c r="V166" s="6">
        <f t="shared" si="50"/>
        <v>0</v>
      </c>
      <c r="W166" s="13">
        <f t="shared" si="50"/>
        <v>0</v>
      </c>
      <c r="X166" s="8">
        <f t="shared" si="50"/>
        <v>0</v>
      </c>
      <c r="Y166" s="6">
        <f t="shared" si="50"/>
        <v>0</v>
      </c>
      <c r="Z166" s="6">
        <f t="shared" si="50"/>
        <v>0</v>
      </c>
      <c r="AA166" s="6">
        <f t="shared" si="50"/>
        <v>0</v>
      </c>
      <c r="AB166" s="13">
        <f t="shared" si="50"/>
        <v>0</v>
      </c>
      <c r="AC166" s="8">
        <f t="shared" si="50"/>
        <v>0</v>
      </c>
      <c r="AD166" s="6">
        <f t="shared" si="50"/>
        <v>0</v>
      </c>
      <c r="AE166" s="6">
        <f t="shared" si="50"/>
        <v>0</v>
      </c>
      <c r="AF166" s="6">
        <f t="shared" si="50"/>
        <v>0</v>
      </c>
      <c r="AG166" s="13">
        <f t="shared" si="50"/>
        <v>0</v>
      </c>
      <c r="AH166" s="16">
        <f>SUM(D166:AG166)*A166</f>
        <v>10000</v>
      </c>
      <c r="AI166" s="16">
        <f t="shared" si="53"/>
        <v>10</v>
      </c>
    </row>
    <row r="167" spans="1:52" ht="13.7" customHeight="1" x14ac:dyDescent="0.25">
      <c r="A167" s="15">
        <v>1500</v>
      </c>
      <c r="B167" s="11">
        <f t="shared" si="51"/>
        <v>0</v>
      </c>
      <c r="C167" s="11">
        <f t="shared" si="51"/>
        <v>0</v>
      </c>
      <c r="D167" s="8">
        <f t="shared" si="52"/>
        <v>0</v>
      </c>
      <c r="E167" s="6">
        <f t="shared" si="50"/>
        <v>8</v>
      </c>
      <c r="F167" s="6">
        <f t="shared" si="50"/>
        <v>0</v>
      </c>
      <c r="G167" s="6">
        <f t="shared" si="50"/>
        <v>0</v>
      </c>
      <c r="H167" s="13">
        <f t="shared" si="50"/>
        <v>0</v>
      </c>
      <c r="I167" s="8">
        <f t="shared" si="50"/>
        <v>0</v>
      </c>
      <c r="J167" s="6">
        <f t="shared" si="50"/>
        <v>0</v>
      </c>
      <c r="K167" s="6">
        <f t="shared" si="50"/>
        <v>0</v>
      </c>
      <c r="L167" s="6">
        <f t="shared" si="50"/>
        <v>0</v>
      </c>
      <c r="M167" s="13">
        <f t="shared" si="50"/>
        <v>0</v>
      </c>
      <c r="N167" s="8">
        <f t="shared" si="50"/>
        <v>0</v>
      </c>
      <c r="O167" s="6">
        <f t="shared" si="50"/>
        <v>0</v>
      </c>
      <c r="P167" s="6">
        <f t="shared" si="50"/>
        <v>0</v>
      </c>
      <c r="Q167" s="6">
        <f t="shared" si="50"/>
        <v>0</v>
      </c>
      <c r="R167" s="13">
        <f t="shared" si="50"/>
        <v>0</v>
      </c>
      <c r="S167" s="8">
        <f t="shared" si="50"/>
        <v>0</v>
      </c>
      <c r="T167" s="6">
        <f t="shared" si="50"/>
        <v>0</v>
      </c>
      <c r="U167" s="6">
        <f t="shared" si="50"/>
        <v>0</v>
      </c>
      <c r="V167" s="6">
        <f t="shared" si="50"/>
        <v>0</v>
      </c>
      <c r="W167" s="13">
        <f t="shared" si="50"/>
        <v>0</v>
      </c>
      <c r="X167" s="8">
        <f t="shared" si="50"/>
        <v>0</v>
      </c>
      <c r="Y167" s="6">
        <f t="shared" si="50"/>
        <v>0</v>
      </c>
      <c r="Z167" s="6">
        <f t="shared" si="50"/>
        <v>0</v>
      </c>
      <c r="AA167" s="6">
        <f t="shared" si="50"/>
        <v>0</v>
      </c>
      <c r="AB167" s="13">
        <f t="shared" si="50"/>
        <v>0</v>
      </c>
      <c r="AC167" s="8">
        <f t="shared" si="50"/>
        <v>0</v>
      </c>
      <c r="AD167" s="6">
        <f t="shared" si="50"/>
        <v>0</v>
      </c>
      <c r="AE167" s="6">
        <f t="shared" si="50"/>
        <v>0</v>
      </c>
      <c r="AF167" s="6">
        <f t="shared" si="50"/>
        <v>0</v>
      </c>
      <c r="AG167" s="13">
        <f t="shared" si="50"/>
        <v>0</v>
      </c>
      <c r="AH167" s="16">
        <f>SUM(D167:AG167)*A167</f>
        <v>12000</v>
      </c>
      <c r="AI167" s="16">
        <f t="shared" si="53"/>
        <v>8</v>
      </c>
    </row>
    <row r="168" spans="1:52" ht="13.7" customHeight="1" x14ac:dyDescent="0.25">
      <c r="A168" s="15">
        <v>2000</v>
      </c>
      <c r="B168" s="11">
        <f t="shared" si="51"/>
        <v>0</v>
      </c>
      <c r="C168" s="11">
        <f t="shared" si="51"/>
        <v>0</v>
      </c>
      <c r="D168" s="8">
        <f t="shared" si="52"/>
        <v>0</v>
      </c>
      <c r="E168" s="6">
        <f t="shared" si="50"/>
        <v>0</v>
      </c>
      <c r="F168" s="6">
        <f t="shared" si="50"/>
        <v>0</v>
      </c>
      <c r="G168" s="6">
        <f t="shared" si="50"/>
        <v>0</v>
      </c>
      <c r="H168" s="13">
        <f t="shared" si="50"/>
        <v>0</v>
      </c>
      <c r="I168" s="8">
        <f t="shared" si="50"/>
        <v>0</v>
      </c>
      <c r="J168" s="6">
        <f t="shared" si="50"/>
        <v>0</v>
      </c>
      <c r="K168" s="6">
        <f t="shared" si="50"/>
        <v>0</v>
      </c>
      <c r="L168" s="6">
        <f t="shared" si="50"/>
        <v>0</v>
      </c>
      <c r="M168" s="13">
        <f t="shared" si="50"/>
        <v>0</v>
      </c>
      <c r="N168" s="8">
        <f t="shared" si="50"/>
        <v>0</v>
      </c>
      <c r="O168" s="6">
        <f t="shared" si="50"/>
        <v>0</v>
      </c>
      <c r="P168" s="6">
        <f t="shared" si="50"/>
        <v>0</v>
      </c>
      <c r="Q168" s="6">
        <f t="shared" si="50"/>
        <v>0</v>
      </c>
      <c r="R168" s="13">
        <f t="shared" si="50"/>
        <v>0</v>
      </c>
      <c r="S168" s="8">
        <f t="shared" si="50"/>
        <v>0</v>
      </c>
      <c r="T168" s="6">
        <f t="shared" si="50"/>
        <v>0</v>
      </c>
      <c r="U168" s="6">
        <f t="shared" si="50"/>
        <v>0</v>
      </c>
      <c r="V168" s="6">
        <f t="shared" si="50"/>
        <v>0</v>
      </c>
      <c r="W168" s="13">
        <f t="shared" si="50"/>
        <v>0</v>
      </c>
      <c r="X168" s="8">
        <f t="shared" si="50"/>
        <v>0</v>
      </c>
      <c r="Y168" s="6">
        <f t="shared" si="50"/>
        <v>0</v>
      </c>
      <c r="Z168" s="6">
        <f t="shared" si="50"/>
        <v>0</v>
      </c>
      <c r="AA168" s="6">
        <f t="shared" si="50"/>
        <v>0</v>
      </c>
      <c r="AB168" s="13">
        <f t="shared" si="50"/>
        <v>0</v>
      </c>
      <c r="AC168" s="8">
        <f t="shared" si="50"/>
        <v>0</v>
      </c>
      <c r="AD168" s="6">
        <f t="shared" si="50"/>
        <v>0</v>
      </c>
      <c r="AE168" s="6">
        <f t="shared" si="50"/>
        <v>0</v>
      </c>
      <c r="AF168" s="6">
        <f t="shared" si="50"/>
        <v>0</v>
      </c>
      <c r="AG168" s="13">
        <f t="shared" si="50"/>
        <v>0</v>
      </c>
      <c r="AH168" s="16">
        <f>SUM(D168:AG168)*A168</f>
        <v>0</v>
      </c>
      <c r="AI168" s="16">
        <f t="shared" si="53"/>
        <v>0</v>
      </c>
    </row>
    <row r="169" spans="1:52" ht="13.7" customHeight="1" x14ac:dyDescent="0.25">
      <c r="A169" s="15">
        <v>3000</v>
      </c>
      <c r="B169" s="11">
        <f t="shared" si="51"/>
        <v>0</v>
      </c>
      <c r="C169" s="11">
        <f t="shared" si="51"/>
        <v>0</v>
      </c>
      <c r="D169" s="8">
        <f t="shared" si="52"/>
        <v>0</v>
      </c>
      <c r="E169" s="6">
        <f t="shared" si="50"/>
        <v>0</v>
      </c>
      <c r="F169" s="6">
        <f t="shared" si="50"/>
        <v>0</v>
      </c>
      <c r="G169" s="6">
        <f t="shared" si="50"/>
        <v>0</v>
      </c>
      <c r="H169" s="13">
        <f t="shared" si="50"/>
        <v>0</v>
      </c>
      <c r="I169" s="8">
        <f t="shared" si="50"/>
        <v>0</v>
      </c>
      <c r="J169" s="6">
        <f t="shared" si="50"/>
        <v>0</v>
      </c>
      <c r="K169" s="6">
        <f t="shared" si="50"/>
        <v>0</v>
      </c>
      <c r="L169" s="6">
        <f t="shared" si="50"/>
        <v>0</v>
      </c>
      <c r="M169" s="13">
        <f t="shared" si="50"/>
        <v>0</v>
      </c>
      <c r="N169" s="8">
        <f t="shared" si="50"/>
        <v>0</v>
      </c>
      <c r="O169" s="6">
        <f t="shared" si="50"/>
        <v>0</v>
      </c>
      <c r="P169" s="6">
        <f t="shared" si="50"/>
        <v>0</v>
      </c>
      <c r="Q169" s="6">
        <f t="shared" si="50"/>
        <v>0</v>
      </c>
      <c r="R169" s="13">
        <f t="shared" si="50"/>
        <v>0</v>
      </c>
      <c r="S169" s="8">
        <f t="shared" si="50"/>
        <v>0</v>
      </c>
      <c r="T169" s="6">
        <f t="shared" si="50"/>
        <v>0</v>
      </c>
      <c r="U169" s="6">
        <f t="shared" si="50"/>
        <v>0</v>
      </c>
      <c r="V169" s="6">
        <f t="shared" si="50"/>
        <v>0</v>
      </c>
      <c r="W169" s="13">
        <f t="shared" si="50"/>
        <v>0</v>
      </c>
      <c r="X169" s="8">
        <f t="shared" si="50"/>
        <v>0</v>
      </c>
      <c r="Y169" s="6">
        <f t="shared" si="50"/>
        <v>0</v>
      </c>
      <c r="Z169" s="6">
        <f t="shared" si="50"/>
        <v>0</v>
      </c>
      <c r="AA169" s="6">
        <f t="shared" si="50"/>
        <v>0</v>
      </c>
      <c r="AB169" s="13">
        <f t="shared" si="50"/>
        <v>0</v>
      </c>
      <c r="AC169" s="8">
        <f t="shared" si="50"/>
        <v>0</v>
      </c>
      <c r="AD169" s="6">
        <f t="shared" si="50"/>
        <v>0</v>
      </c>
      <c r="AE169" s="6">
        <f t="shared" si="50"/>
        <v>0</v>
      </c>
      <c r="AF169" s="6">
        <f t="shared" si="50"/>
        <v>0</v>
      </c>
      <c r="AG169" s="13">
        <f t="shared" si="50"/>
        <v>0</v>
      </c>
      <c r="AH169" s="16">
        <f>SUM(D169:AG169)*A169</f>
        <v>0</v>
      </c>
      <c r="AI169" s="16">
        <f t="shared" si="53"/>
        <v>0</v>
      </c>
    </row>
    <row r="170" spans="1:52" ht="13.7" customHeight="1" x14ac:dyDescent="0.25">
      <c r="A170" s="15">
        <v>5000</v>
      </c>
      <c r="B170" s="11">
        <f t="shared" si="51"/>
        <v>0</v>
      </c>
      <c r="C170" s="11">
        <f t="shared" si="51"/>
        <v>0</v>
      </c>
      <c r="D170" s="8">
        <f t="shared" si="52"/>
        <v>0</v>
      </c>
      <c r="E170" s="6">
        <f t="shared" si="50"/>
        <v>0</v>
      </c>
      <c r="F170" s="6">
        <f t="shared" si="50"/>
        <v>0</v>
      </c>
      <c r="G170" s="6">
        <f t="shared" si="50"/>
        <v>0</v>
      </c>
      <c r="H170" s="13">
        <f t="shared" si="50"/>
        <v>0</v>
      </c>
      <c r="I170" s="8">
        <f t="shared" si="50"/>
        <v>0</v>
      </c>
      <c r="J170" s="6">
        <f t="shared" si="50"/>
        <v>0</v>
      </c>
      <c r="K170" s="6">
        <f t="shared" si="50"/>
        <v>0</v>
      </c>
      <c r="L170" s="6">
        <f t="shared" si="50"/>
        <v>0</v>
      </c>
      <c r="M170" s="13">
        <f t="shared" si="50"/>
        <v>0</v>
      </c>
      <c r="N170" s="8">
        <f t="shared" si="50"/>
        <v>0</v>
      </c>
      <c r="O170" s="6">
        <f t="shared" si="50"/>
        <v>0</v>
      </c>
      <c r="P170" s="6">
        <f t="shared" si="50"/>
        <v>0</v>
      </c>
      <c r="Q170" s="6">
        <f t="shared" si="50"/>
        <v>0</v>
      </c>
      <c r="R170" s="13">
        <f t="shared" si="50"/>
        <v>0</v>
      </c>
      <c r="S170" s="8">
        <f t="shared" si="50"/>
        <v>0</v>
      </c>
      <c r="T170" s="6">
        <f t="shared" si="50"/>
        <v>0</v>
      </c>
      <c r="U170" s="6">
        <f t="shared" si="50"/>
        <v>0</v>
      </c>
      <c r="V170" s="6">
        <f t="shared" si="50"/>
        <v>0</v>
      </c>
      <c r="W170" s="13">
        <f t="shared" si="50"/>
        <v>0</v>
      </c>
      <c r="X170" s="8">
        <f t="shared" si="50"/>
        <v>0</v>
      </c>
      <c r="Y170" s="6">
        <f t="shared" si="50"/>
        <v>0</v>
      </c>
      <c r="Z170" s="6">
        <f t="shared" si="50"/>
        <v>0</v>
      </c>
      <c r="AA170" s="6">
        <f t="shared" si="50"/>
        <v>0</v>
      </c>
      <c r="AB170" s="13">
        <f t="shared" si="50"/>
        <v>0</v>
      </c>
      <c r="AC170" s="8">
        <f t="shared" si="50"/>
        <v>0</v>
      </c>
      <c r="AD170" s="6">
        <f t="shared" si="50"/>
        <v>0</v>
      </c>
      <c r="AE170" s="6">
        <f t="shared" si="50"/>
        <v>0</v>
      </c>
      <c r="AF170" s="6">
        <f t="shared" si="50"/>
        <v>0</v>
      </c>
      <c r="AG170" s="13">
        <f t="shared" si="50"/>
        <v>0</v>
      </c>
      <c r="AH170" s="16">
        <f>SUM(D170:AG170)*A170</f>
        <v>0</v>
      </c>
      <c r="AI170" s="16">
        <f t="shared" si="53"/>
        <v>0</v>
      </c>
    </row>
    <row r="171" spans="1:52" ht="15" customHeight="1" thickBot="1" x14ac:dyDescent="0.3">
      <c r="A171" s="59">
        <v>10000</v>
      </c>
      <c r="B171" s="11">
        <f t="shared" si="51"/>
        <v>0</v>
      </c>
      <c r="C171" s="11">
        <f t="shared" si="51"/>
        <v>0</v>
      </c>
      <c r="D171" s="31">
        <f t="shared" si="52"/>
        <v>0</v>
      </c>
      <c r="E171" s="32">
        <f t="shared" si="50"/>
        <v>0</v>
      </c>
      <c r="F171" s="32">
        <f t="shared" si="50"/>
        <v>0</v>
      </c>
      <c r="G171" s="32">
        <f t="shared" si="50"/>
        <v>0</v>
      </c>
      <c r="H171" s="33">
        <f t="shared" si="50"/>
        <v>0</v>
      </c>
      <c r="I171" s="31">
        <f t="shared" si="50"/>
        <v>0</v>
      </c>
      <c r="J171" s="32">
        <f t="shared" si="50"/>
        <v>0</v>
      </c>
      <c r="K171" s="32">
        <f t="shared" si="50"/>
        <v>0</v>
      </c>
      <c r="L171" s="32">
        <f t="shared" si="50"/>
        <v>0</v>
      </c>
      <c r="M171" s="33">
        <f t="shared" si="50"/>
        <v>0</v>
      </c>
      <c r="N171" s="31">
        <f t="shared" si="50"/>
        <v>0</v>
      </c>
      <c r="O171" s="32">
        <f t="shared" si="50"/>
        <v>0</v>
      </c>
      <c r="P171" s="32">
        <f t="shared" si="50"/>
        <v>0</v>
      </c>
      <c r="Q171" s="32">
        <f t="shared" si="50"/>
        <v>0</v>
      </c>
      <c r="R171" s="33">
        <f t="shared" si="50"/>
        <v>0</v>
      </c>
      <c r="S171" s="31">
        <f t="shared" si="50"/>
        <v>0</v>
      </c>
      <c r="T171" s="32">
        <f t="shared" si="50"/>
        <v>0</v>
      </c>
      <c r="U171" s="32">
        <f t="shared" si="50"/>
        <v>0</v>
      </c>
      <c r="V171" s="32">
        <f t="shared" si="50"/>
        <v>0</v>
      </c>
      <c r="W171" s="33">
        <f t="shared" si="50"/>
        <v>0</v>
      </c>
      <c r="X171" s="31">
        <f t="shared" si="50"/>
        <v>0</v>
      </c>
      <c r="Y171" s="32">
        <f t="shared" si="50"/>
        <v>0</v>
      </c>
      <c r="Z171" s="32">
        <f t="shared" si="50"/>
        <v>0</v>
      </c>
      <c r="AA171" s="32">
        <f t="shared" si="50"/>
        <v>0</v>
      </c>
      <c r="AB171" s="33">
        <f t="shared" ref="AB171:AG171" si="54">Z127+Z141</f>
        <v>0</v>
      </c>
      <c r="AC171" s="31">
        <f t="shared" si="54"/>
        <v>0</v>
      </c>
      <c r="AD171" s="32">
        <f t="shared" si="54"/>
        <v>0</v>
      </c>
      <c r="AE171" s="32">
        <f t="shared" si="54"/>
        <v>0</v>
      </c>
      <c r="AF171" s="32">
        <f t="shared" si="54"/>
        <v>0</v>
      </c>
      <c r="AG171" s="33">
        <f t="shared" si="54"/>
        <v>0</v>
      </c>
      <c r="AH171" s="16">
        <f>SUM(D171:AG171)*A171</f>
        <v>0</v>
      </c>
      <c r="AI171" s="43">
        <f t="shared" si="53"/>
        <v>0</v>
      </c>
    </row>
    <row r="172" spans="1:52" ht="15" customHeight="1" thickBot="1" x14ac:dyDescent="0.3">
      <c r="A172" s="35"/>
      <c r="B172" s="61">
        <f>SUM(B163:B171)</f>
        <v>0</v>
      </c>
      <c r="C172" s="61">
        <f t="shared" ref="C172" si="55">SUM(C163:C171)</f>
        <v>0</v>
      </c>
      <c r="D172" s="60">
        <f t="shared" ref="D172:AI172" si="56">SUM(D163:D171)</f>
        <v>0</v>
      </c>
      <c r="E172" s="61">
        <f t="shared" si="56"/>
        <v>48</v>
      </c>
      <c r="F172" s="61">
        <f t="shared" si="56"/>
        <v>0</v>
      </c>
      <c r="G172" s="61">
        <f t="shared" si="56"/>
        <v>0</v>
      </c>
      <c r="H172" s="62">
        <f t="shared" si="56"/>
        <v>0</v>
      </c>
      <c r="I172" s="60">
        <f t="shared" si="56"/>
        <v>0</v>
      </c>
      <c r="J172" s="61">
        <f t="shared" si="56"/>
        <v>0</v>
      </c>
      <c r="K172" s="61">
        <f t="shared" si="56"/>
        <v>0</v>
      </c>
      <c r="L172" s="61">
        <f t="shared" si="56"/>
        <v>0</v>
      </c>
      <c r="M172" s="62">
        <f t="shared" si="56"/>
        <v>0</v>
      </c>
      <c r="N172" s="60">
        <f t="shared" si="56"/>
        <v>0</v>
      </c>
      <c r="O172" s="61">
        <f t="shared" si="56"/>
        <v>0</v>
      </c>
      <c r="P172" s="61">
        <f t="shared" si="56"/>
        <v>0</v>
      </c>
      <c r="Q172" s="61">
        <f t="shared" si="56"/>
        <v>0</v>
      </c>
      <c r="R172" s="62">
        <f t="shared" si="56"/>
        <v>0</v>
      </c>
      <c r="S172" s="60">
        <f t="shared" si="56"/>
        <v>0</v>
      </c>
      <c r="T172" s="61">
        <f t="shared" si="56"/>
        <v>0</v>
      </c>
      <c r="U172" s="61">
        <f t="shared" si="56"/>
        <v>0</v>
      </c>
      <c r="V172" s="61">
        <f t="shared" si="56"/>
        <v>0</v>
      </c>
      <c r="W172" s="62">
        <f t="shared" si="56"/>
        <v>0</v>
      </c>
      <c r="X172" s="60">
        <f t="shared" si="56"/>
        <v>0</v>
      </c>
      <c r="Y172" s="61">
        <f t="shared" si="56"/>
        <v>0</v>
      </c>
      <c r="Z172" s="61">
        <f t="shared" si="56"/>
        <v>0</v>
      </c>
      <c r="AA172" s="61">
        <f t="shared" si="56"/>
        <v>0</v>
      </c>
      <c r="AB172" s="62">
        <f t="shared" si="56"/>
        <v>0</v>
      </c>
      <c r="AC172" s="60">
        <f t="shared" si="56"/>
        <v>0</v>
      </c>
      <c r="AD172" s="61">
        <f t="shared" si="56"/>
        <v>0</v>
      </c>
      <c r="AE172" s="61">
        <f t="shared" si="56"/>
        <v>0</v>
      </c>
      <c r="AF172" s="61">
        <f t="shared" si="56"/>
        <v>0</v>
      </c>
      <c r="AG172" s="62">
        <f t="shared" si="56"/>
        <v>0</v>
      </c>
      <c r="AH172" s="35">
        <f>SUM(AH163:AH171)</f>
        <v>39500</v>
      </c>
      <c r="AI172" s="35">
        <f t="shared" si="53"/>
        <v>48</v>
      </c>
    </row>
    <row r="173" spans="1:52" ht="15.75" customHeight="1" x14ac:dyDescent="0.25"/>
    <row r="174" spans="1:52" ht="15.75" customHeight="1" x14ac:dyDescent="0.25"/>
    <row r="175" spans="1:52" ht="15" customHeight="1" x14ac:dyDescent="0.25">
      <c r="AX175" s="44"/>
      <c r="AY175" s="44"/>
      <c r="AZ175" s="44"/>
    </row>
    <row r="176" spans="1:52" ht="15" customHeight="1" x14ac:dyDescent="0.25">
      <c r="AX176" s="44"/>
      <c r="AY176" s="44"/>
      <c r="AZ176" s="44"/>
    </row>
    <row r="177" spans="50:54" ht="15" customHeight="1" x14ac:dyDescent="0.25">
      <c r="AX177" s="44"/>
      <c r="AY177" s="44"/>
      <c r="AZ177" s="44"/>
    </row>
    <row r="178" spans="50:54" ht="15" customHeight="1" x14ac:dyDescent="0.25">
      <c r="AX178" s="44"/>
      <c r="AY178" s="44"/>
      <c r="AZ178" s="44"/>
    </row>
    <row r="179" spans="50:54" ht="15" customHeight="1" x14ac:dyDescent="0.25">
      <c r="AX179" s="44"/>
      <c r="AY179" s="44"/>
      <c r="AZ179" s="44"/>
    </row>
    <row r="180" spans="50:54" ht="15" customHeight="1" x14ac:dyDescent="0.25">
      <c r="AX180" s="44"/>
      <c r="AY180" s="44"/>
      <c r="AZ180" s="44"/>
    </row>
    <row r="181" spans="50:54" ht="15" customHeight="1" x14ac:dyDescent="0.25">
      <c r="AX181" s="44"/>
    </row>
    <row r="182" spans="50:54" ht="15" customHeight="1" x14ac:dyDescent="0.25">
      <c r="AX182" s="44"/>
    </row>
    <row r="183" spans="50:54" ht="15" customHeight="1" x14ac:dyDescent="0.25">
      <c r="AX183" s="44"/>
    </row>
    <row r="184" spans="50:54" ht="15.75" customHeight="1" x14ac:dyDescent="0.25"/>
    <row r="186" spans="50:54" x14ac:dyDescent="0.25">
      <c r="BB186" s="44"/>
    </row>
    <row r="187" spans="50:54" ht="15" customHeight="1" x14ac:dyDescent="0.25"/>
    <row r="188" spans="50:54" ht="15" customHeight="1" x14ac:dyDescent="0.25"/>
    <row r="189" spans="50:54" ht="15" customHeight="1" x14ac:dyDescent="0.25"/>
  </sheetData>
  <mergeCells count="134">
    <mergeCell ref="AK158:AM158"/>
    <mergeCell ref="AN158:AO158"/>
    <mergeCell ref="AP158:AR158"/>
    <mergeCell ref="AS158:AT158"/>
    <mergeCell ref="AU158:AW158"/>
    <mergeCell ref="A161:A162"/>
    <mergeCell ref="B161:C161"/>
    <mergeCell ref="D161:H161"/>
    <mergeCell ref="I161:M161"/>
    <mergeCell ref="N161:R161"/>
    <mergeCell ref="S161:W161"/>
    <mergeCell ref="X161:AB161"/>
    <mergeCell ref="AC161:AG161"/>
    <mergeCell ref="AH161:AH162"/>
    <mergeCell ref="AI161:AI162"/>
    <mergeCell ref="AW151:AX151"/>
    <mergeCell ref="BA151:BB151"/>
    <mergeCell ref="BC151:BD151"/>
    <mergeCell ref="BG151:BH151"/>
    <mergeCell ref="BI151:BJ151"/>
    <mergeCell ref="AI152:AJ152"/>
    <mergeCell ref="AK152:AL152"/>
    <mergeCell ref="AO152:AP152"/>
    <mergeCell ref="AQ152:AR152"/>
    <mergeCell ref="AU152:AV152"/>
    <mergeCell ref="AW152:AX152"/>
    <mergeCell ref="BA152:BB152"/>
    <mergeCell ref="BC152:BD152"/>
    <mergeCell ref="BG152:BH152"/>
    <mergeCell ref="BI152:BJ152"/>
    <mergeCell ref="AA148:AC148"/>
    <mergeCell ref="AD148:AF148"/>
    <mergeCell ref="AA149:AC149"/>
    <mergeCell ref="AD149:AF149"/>
    <mergeCell ref="AI151:AJ151"/>
    <mergeCell ref="AK151:AL151"/>
    <mergeCell ref="AO151:AP151"/>
    <mergeCell ref="AQ151:AR151"/>
    <mergeCell ref="AU151:AV151"/>
    <mergeCell ref="AN139:AR139"/>
    <mergeCell ref="AT139:AX139"/>
    <mergeCell ref="AZ139:BD139"/>
    <mergeCell ref="BF139:BJ139"/>
    <mergeCell ref="A144:B144"/>
    <mergeCell ref="G144:H144"/>
    <mergeCell ref="J144:K147"/>
    <mergeCell ref="M144:N147"/>
    <mergeCell ref="P144:Q147"/>
    <mergeCell ref="S144:S145"/>
    <mergeCell ref="V144:V145"/>
    <mergeCell ref="W144:W145"/>
    <mergeCell ref="AA147:AC147"/>
    <mergeCell ref="AD147:AF147"/>
    <mergeCell ref="AN137:AO137"/>
    <mergeCell ref="AP137:AR137"/>
    <mergeCell ref="AT137:AU137"/>
    <mergeCell ref="AV137:AX137"/>
    <mergeCell ref="AZ137:BA137"/>
    <mergeCell ref="BB137:BD137"/>
    <mergeCell ref="BF137:BG137"/>
    <mergeCell ref="BH137:BJ137"/>
    <mergeCell ref="AH138:AL138"/>
    <mergeCell ref="AN138:AR138"/>
    <mergeCell ref="AT138:AX138"/>
    <mergeCell ref="AZ138:BD138"/>
    <mergeCell ref="BF138:BJ138"/>
    <mergeCell ref="AK131:AL131"/>
    <mergeCell ref="AO131:AP131"/>
    <mergeCell ref="AQ131:AR131"/>
    <mergeCell ref="AU131:AV131"/>
    <mergeCell ref="AW131:AX131"/>
    <mergeCell ref="BA131:BB131"/>
    <mergeCell ref="BC131:BD131"/>
    <mergeCell ref="BG131:BH131"/>
    <mergeCell ref="BI131:BJ131"/>
    <mergeCell ref="AK130:AL130"/>
    <mergeCell ref="AO130:AP130"/>
    <mergeCell ref="AQ130:AR130"/>
    <mergeCell ref="AU130:AV130"/>
    <mergeCell ref="AW130:AX130"/>
    <mergeCell ref="BA130:BB130"/>
    <mergeCell ref="BC130:BD130"/>
    <mergeCell ref="BG130:BH130"/>
    <mergeCell ref="BI130:BJ130"/>
    <mergeCell ref="BF116:BG116"/>
    <mergeCell ref="BH116:BJ116"/>
    <mergeCell ref="A117:A118"/>
    <mergeCell ref="B117:F117"/>
    <mergeCell ref="G117:K117"/>
    <mergeCell ref="L117:P117"/>
    <mergeCell ref="Q117:U117"/>
    <mergeCell ref="V117:Z117"/>
    <mergeCell ref="AA117:AE117"/>
    <mergeCell ref="AF117:AF118"/>
    <mergeCell ref="AG117:AG118"/>
    <mergeCell ref="AH117:AL117"/>
    <mergeCell ref="AN117:AR117"/>
    <mergeCell ref="AT117:AX117"/>
    <mergeCell ref="AZ117:BD117"/>
    <mergeCell ref="BF117:BJ117"/>
    <mergeCell ref="AH118:AL118"/>
    <mergeCell ref="AN118:AR118"/>
    <mergeCell ref="AT118:AX118"/>
    <mergeCell ref="AZ118:BD118"/>
    <mergeCell ref="BF118:BJ118"/>
    <mergeCell ref="A116:AG116"/>
    <mergeCell ref="AH116:AI116"/>
    <mergeCell ref="AJ116:AL116"/>
    <mergeCell ref="AN116:AO116"/>
    <mergeCell ref="AP116:AR116"/>
    <mergeCell ref="AT116:AU116"/>
    <mergeCell ref="AV116:AX116"/>
    <mergeCell ref="AZ116:BA116"/>
    <mergeCell ref="BB116:BD116"/>
    <mergeCell ref="AH158:AJ158"/>
    <mergeCell ref="D144:E144"/>
    <mergeCell ref="G131:K131"/>
    <mergeCell ref="A130:AG130"/>
    <mergeCell ref="A131:A132"/>
    <mergeCell ref="B131:F131"/>
    <mergeCell ref="L131:P131"/>
    <mergeCell ref="Q131:U131"/>
    <mergeCell ref="V131:Z131"/>
    <mergeCell ref="A114:C114"/>
    <mergeCell ref="D114:G114"/>
    <mergeCell ref="T144:U144"/>
    <mergeCell ref="AI130:AJ130"/>
    <mergeCell ref="AA131:AE131"/>
    <mergeCell ref="AF131:AF132"/>
    <mergeCell ref="AG131:AG132"/>
    <mergeCell ref="AI131:AJ131"/>
    <mergeCell ref="AH137:AI137"/>
    <mergeCell ref="AJ137:AL137"/>
    <mergeCell ref="AH139:AL139"/>
  </mergeCells>
  <pageMargins left="0" right="0" top="0" bottom="0" header="0.31496062992125984" footer="0.31496062992125984"/>
  <pageSetup paperSize="9" scale="85" orientation="landscape" verticalDpi="300" r:id="rId1"/>
  <headerFooter>
    <oddFooter>&amp;LPRINTED ON &amp;D AT &amp;T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/>
  <dimension ref="A1:BY189"/>
  <sheetViews>
    <sheetView showZeros="0" zoomScaleNormal="100" workbookViewId="0">
      <selection sqref="A1:XFD1048576"/>
    </sheetView>
  </sheetViews>
  <sheetFormatPr defaultColWidth="9.140625" defaultRowHeight="15" x14ac:dyDescent="0.25"/>
  <cols>
    <col min="1" max="1" width="6.28515625" style="28" customWidth="1"/>
    <col min="2" max="2" width="5.85546875" style="28" customWidth="1"/>
    <col min="3" max="3" width="4.42578125" style="28" customWidth="1"/>
    <col min="4" max="4" width="6.28515625" style="28" customWidth="1"/>
    <col min="5" max="5" width="5.85546875" style="28" customWidth="1"/>
    <col min="6" max="6" width="4.42578125" style="28" customWidth="1"/>
    <col min="7" max="7" width="6.28515625" style="28" customWidth="1"/>
    <col min="8" max="8" width="5.85546875" style="28" customWidth="1"/>
    <col min="9" max="9" width="4.42578125" style="28" customWidth="1"/>
    <col min="10" max="10" width="6.28515625" style="28" customWidth="1"/>
    <col min="11" max="12" width="4.42578125" style="28" customWidth="1"/>
    <col min="13" max="13" width="6.28515625" style="28" customWidth="1"/>
    <col min="14" max="15" width="4.42578125" style="28" customWidth="1"/>
    <col min="16" max="16" width="6.28515625" style="28" customWidth="1"/>
    <col min="17" max="18" width="4.42578125" style="28" customWidth="1"/>
    <col min="19" max="19" width="6.28515625" style="28" customWidth="1"/>
    <col min="20" max="21" width="4.7109375" style="28" customWidth="1"/>
    <col min="22" max="22" width="6.28515625" style="28" customWidth="1"/>
    <col min="23" max="23" width="5.42578125" style="28" customWidth="1"/>
    <col min="24" max="31" width="4.42578125" style="28" customWidth="1"/>
    <col min="32" max="33" width="6.28515625" style="28" customWidth="1"/>
    <col min="34" max="62" width="5.85546875" style="28" customWidth="1"/>
    <col min="63" max="63" width="5.140625" style="28" bestFit="1" customWidth="1"/>
    <col min="64" max="64" width="5.7109375" style="28" bestFit="1" customWidth="1"/>
    <col min="65" max="65" width="5" style="28" bestFit="1" customWidth="1"/>
    <col min="66" max="67" width="4.140625" style="28" bestFit="1" customWidth="1"/>
    <col min="68" max="68" width="4.28515625" style="28" bestFit="1" customWidth="1"/>
    <col min="69" max="69" width="5.140625" style="28" bestFit="1" customWidth="1"/>
    <col min="70" max="70" width="7.42578125" style="28" bestFit="1" customWidth="1"/>
    <col min="71" max="71" width="12.5703125" style="28" bestFit="1" customWidth="1"/>
    <col min="72" max="72" width="6.140625" style="28" bestFit="1" customWidth="1"/>
    <col min="73" max="16384" width="9.140625" style="28"/>
  </cols>
  <sheetData>
    <row r="1" spans="1:77" ht="16.5" customHeight="1" thickBo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15</v>
      </c>
      <c r="J1" s="24" t="s">
        <v>133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133</v>
      </c>
      <c r="Q1" s="24" t="s">
        <v>8</v>
      </c>
      <c r="R1" s="24" t="s">
        <v>9</v>
      </c>
      <c r="S1" s="24" t="s">
        <v>10</v>
      </c>
      <c r="T1" s="24" t="s">
        <v>11</v>
      </c>
      <c r="U1" s="24" t="s">
        <v>12</v>
      </c>
      <c r="V1" s="24" t="s">
        <v>133</v>
      </c>
      <c r="W1" s="24" t="s">
        <v>8</v>
      </c>
      <c r="X1" s="24" t="s">
        <v>9</v>
      </c>
      <c r="Y1" s="24" t="s">
        <v>10</v>
      </c>
      <c r="Z1" s="24" t="s">
        <v>11</v>
      </c>
      <c r="AA1" s="24" t="s">
        <v>12</v>
      </c>
      <c r="AB1" s="24" t="s">
        <v>133</v>
      </c>
      <c r="AC1" s="24" t="s">
        <v>8</v>
      </c>
      <c r="AD1" s="24" t="s">
        <v>9</v>
      </c>
      <c r="AE1" s="24" t="s">
        <v>10</v>
      </c>
      <c r="AF1" s="24" t="s">
        <v>11</v>
      </c>
      <c r="AG1" s="24" t="s">
        <v>12</v>
      </c>
      <c r="AH1" s="24" t="s">
        <v>133</v>
      </c>
      <c r="AI1" s="24" t="s">
        <v>8</v>
      </c>
      <c r="AJ1" s="24" t="s">
        <v>9</v>
      </c>
      <c r="AK1" s="24" t="s">
        <v>10</v>
      </c>
      <c r="AL1" s="24" t="s">
        <v>11</v>
      </c>
      <c r="AM1" s="24" t="s">
        <v>12</v>
      </c>
      <c r="AN1" s="24" t="s">
        <v>133</v>
      </c>
      <c r="AO1" s="24" t="s">
        <v>8</v>
      </c>
      <c r="AP1" s="24" t="s">
        <v>9</v>
      </c>
      <c r="AQ1" s="24" t="s">
        <v>10</v>
      </c>
      <c r="AR1" s="24" t="s">
        <v>11</v>
      </c>
      <c r="AS1" s="24" t="s">
        <v>12</v>
      </c>
      <c r="AT1" s="24" t="s">
        <v>133</v>
      </c>
      <c r="AU1" s="24" t="s">
        <v>8</v>
      </c>
      <c r="AV1" s="24" t="s">
        <v>9</v>
      </c>
      <c r="AW1" s="24" t="s">
        <v>10</v>
      </c>
      <c r="AX1" s="24" t="s">
        <v>11</v>
      </c>
      <c r="AY1" s="24" t="s">
        <v>12</v>
      </c>
      <c r="AZ1" s="24" t="s">
        <v>133</v>
      </c>
      <c r="BA1" s="24" t="s">
        <v>8</v>
      </c>
      <c r="BB1" s="24" t="s">
        <v>9</v>
      </c>
      <c r="BC1" s="24" t="s">
        <v>10</v>
      </c>
      <c r="BD1" s="24" t="s">
        <v>11</v>
      </c>
      <c r="BE1" s="24" t="s">
        <v>12</v>
      </c>
      <c r="BF1" s="24" t="s">
        <v>133</v>
      </c>
      <c r="BG1" s="24" t="s">
        <v>8</v>
      </c>
      <c r="BH1" s="24" t="s">
        <v>9</v>
      </c>
      <c r="BI1" s="24" t="s">
        <v>10</v>
      </c>
      <c r="BJ1" s="24" t="s">
        <v>11</v>
      </c>
      <c r="BK1" s="24" t="s">
        <v>12</v>
      </c>
      <c r="BL1" s="24" t="s">
        <v>133</v>
      </c>
      <c r="BM1" s="24" t="s">
        <v>8</v>
      </c>
      <c r="BN1" s="24" t="s">
        <v>9</v>
      </c>
      <c r="BO1" s="24" t="s">
        <v>10</v>
      </c>
      <c r="BP1" s="24" t="s">
        <v>11</v>
      </c>
      <c r="BQ1" s="24" t="s">
        <v>12</v>
      </c>
      <c r="BR1" s="24" t="s">
        <v>13</v>
      </c>
      <c r="BS1" s="24" t="s">
        <v>14</v>
      </c>
      <c r="BT1" s="24" t="s">
        <v>36</v>
      </c>
      <c r="BU1" s="26"/>
      <c r="BV1" s="27"/>
      <c r="BW1" s="27"/>
      <c r="BX1" s="27"/>
      <c r="BY1" s="27"/>
    </row>
    <row r="2" spans="1:77" s="56" customFormat="1" ht="78" thickBot="1" x14ac:dyDescent="0.3">
      <c r="A2" s="188">
        <v>21420</v>
      </c>
      <c r="B2" s="189">
        <v>46031</v>
      </c>
      <c r="C2" s="41" t="s">
        <v>239</v>
      </c>
      <c r="D2" s="41" t="s">
        <v>90</v>
      </c>
      <c r="E2" s="41" t="s">
        <v>42</v>
      </c>
      <c r="F2" s="41" t="s">
        <v>121</v>
      </c>
      <c r="G2" s="41" t="s">
        <v>122</v>
      </c>
      <c r="H2" s="41" t="s">
        <v>123</v>
      </c>
      <c r="I2" s="41"/>
      <c r="J2" s="41" t="s">
        <v>134</v>
      </c>
      <c r="K2" s="188">
        <v>1500</v>
      </c>
      <c r="L2" s="188">
        <v>8</v>
      </c>
      <c r="M2" s="41" t="s">
        <v>17</v>
      </c>
      <c r="N2" s="41" t="s">
        <v>22</v>
      </c>
      <c r="O2" s="188">
        <v>3.5</v>
      </c>
      <c r="P2" s="41" t="s">
        <v>134</v>
      </c>
      <c r="Q2" s="188">
        <v>1000</v>
      </c>
      <c r="R2" s="188">
        <v>10</v>
      </c>
      <c r="S2" s="41" t="s">
        <v>17</v>
      </c>
      <c r="T2" s="41" t="s">
        <v>22</v>
      </c>
      <c r="U2" s="188">
        <v>3.5</v>
      </c>
      <c r="V2" s="41" t="s">
        <v>134</v>
      </c>
      <c r="W2" s="188">
        <v>750</v>
      </c>
      <c r="X2" s="188">
        <v>10</v>
      </c>
      <c r="Y2" s="41" t="s">
        <v>17</v>
      </c>
      <c r="Z2" s="41" t="s">
        <v>22</v>
      </c>
      <c r="AA2" s="188">
        <v>3.5</v>
      </c>
      <c r="AB2" s="41" t="s">
        <v>134</v>
      </c>
      <c r="AC2" s="188">
        <v>500</v>
      </c>
      <c r="AD2" s="188">
        <v>20</v>
      </c>
      <c r="AE2" s="41" t="s">
        <v>17</v>
      </c>
      <c r="AF2" s="41" t="s">
        <v>22</v>
      </c>
      <c r="AG2" s="188">
        <v>3.5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 t="s">
        <v>91</v>
      </c>
      <c r="BS2" s="41" t="s">
        <v>253</v>
      </c>
      <c r="BT2" s="108">
        <f t="shared" ref="BT2" si="0">K2*L2+Q2*R2+W2*X2+AC2*AD2+AI2*AJ2+AO2*AP2+AU2*AV2+BA2*BB2+BG2*BH2+BM2*BN2</f>
        <v>39500</v>
      </c>
    </row>
    <row r="3" spans="1:77" s="56" customFormat="1" ht="15.75" thickBot="1" x14ac:dyDescent="0.3">
      <c r="A3" s="80"/>
      <c r="B3" s="49"/>
      <c r="C3" s="20"/>
      <c r="D3" s="20"/>
      <c r="E3" s="20"/>
      <c r="F3" s="20"/>
      <c r="G3" s="20"/>
      <c r="H3" s="20"/>
      <c r="I3" s="20"/>
      <c r="J3" s="48"/>
      <c r="K3" s="48"/>
      <c r="L3" s="48"/>
      <c r="M3" s="20"/>
      <c r="N3" s="20"/>
      <c r="O3" s="48"/>
      <c r="P3" s="48"/>
      <c r="Q3" s="48"/>
      <c r="R3" s="48"/>
      <c r="S3" s="20"/>
      <c r="T3" s="20"/>
      <c r="U3" s="48"/>
      <c r="V3" s="48"/>
      <c r="W3" s="48"/>
      <c r="X3" s="48"/>
      <c r="Y3" s="48"/>
      <c r="Z3" s="20"/>
      <c r="AA3" s="48"/>
      <c r="AB3" s="48"/>
      <c r="AC3" s="48"/>
      <c r="AD3" s="48"/>
      <c r="AE3" s="20"/>
      <c r="AF3" s="20"/>
      <c r="AG3" s="48"/>
      <c r="AH3" s="48"/>
      <c r="AI3" s="48"/>
      <c r="AJ3" s="48"/>
      <c r="AK3" s="20"/>
      <c r="AL3" s="20"/>
      <c r="AM3" s="48"/>
      <c r="AN3" s="48"/>
      <c r="AO3" s="48"/>
      <c r="AP3" s="48"/>
      <c r="AQ3" s="20"/>
      <c r="AR3" s="20"/>
      <c r="AS3" s="48"/>
      <c r="AT3" s="48"/>
      <c r="AU3" s="48"/>
      <c r="AV3" s="48"/>
      <c r="AW3" s="20"/>
      <c r="AX3" s="20"/>
      <c r="AY3" s="48"/>
      <c r="AZ3" s="48"/>
      <c r="BA3" s="48"/>
      <c r="BB3" s="48"/>
      <c r="BC3" s="20"/>
      <c r="BD3" s="20"/>
      <c r="BE3" s="48"/>
      <c r="BF3" s="48"/>
      <c r="BG3" s="48"/>
      <c r="BH3" s="48"/>
      <c r="BI3" s="20"/>
      <c r="BJ3" s="20"/>
      <c r="BK3" s="48"/>
      <c r="BL3" s="48"/>
      <c r="BM3" s="48"/>
      <c r="BN3" s="48"/>
      <c r="BO3" s="20"/>
      <c r="BP3" s="20"/>
      <c r="BQ3" s="48"/>
      <c r="BR3" s="20"/>
      <c r="BS3" s="20"/>
      <c r="BT3" s="55"/>
      <c r="BU3" s="20"/>
      <c r="BV3" s="20"/>
      <c r="BW3" s="20"/>
      <c r="BX3" s="20"/>
      <c r="BY3" s="20"/>
    </row>
    <row r="4" spans="1:77" s="56" customFormat="1" ht="15.75" thickBot="1" x14ac:dyDescent="0.3">
      <c r="A4" s="80"/>
      <c r="B4" s="49"/>
      <c r="C4" s="20"/>
      <c r="D4" s="20"/>
      <c r="E4" s="20"/>
      <c r="F4" s="20"/>
      <c r="G4" s="20"/>
      <c r="H4" s="20"/>
      <c r="I4" s="20"/>
      <c r="J4" s="48"/>
      <c r="K4" s="48"/>
      <c r="L4" s="48"/>
      <c r="M4" s="20"/>
      <c r="N4" s="20"/>
      <c r="O4" s="48"/>
      <c r="P4" s="48"/>
      <c r="Q4" s="48"/>
      <c r="R4" s="48"/>
      <c r="S4" s="20"/>
      <c r="T4" s="20"/>
      <c r="U4" s="48"/>
      <c r="V4" s="48"/>
      <c r="W4" s="48"/>
      <c r="X4" s="48"/>
      <c r="Y4" s="48"/>
      <c r="Z4" s="20"/>
      <c r="AA4" s="48"/>
      <c r="AB4" s="48"/>
      <c r="AC4" s="48"/>
      <c r="AD4" s="48"/>
      <c r="AE4" s="20"/>
      <c r="AF4" s="20"/>
      <c r="AG4" s="48"/>
      <c r="AH4" s="48"/>
      <c r="AI4" s="48"/>
      <c r="AJ4" s="48"/>
      <c r="AK4" s="20"/>
      <c r="AL4" s="20"/>
      <c r="AM4" s="48"/>
      <c r="AN4" s="48"/>
      <c r="AO4" s="48"/>
      <c r="AP4" s="48"/>
      <c r="AQ4" s="20"/>
      <c r="AR4" s="20"/>
      <c r="AS4" s="48"/>
      <c r="AT4" s="48"/>
      <c r="AU4" s="48"/>
      <c r="AV4" s="48"/>
      <c r="AW4" s="20"/>
      <c r="AX4" s="20"/>
      <c r="AY4" s="48"/>
      <c r="AZ4" s="48"/>
      <c r="BA4" s="48"/>
      <c r="BB4" s="48"/>
      <c r="BC4" s="20"/>
      <c r="BD4" s="20"/>
      <c r="BE4" s="48"/>
      <c r="BF4" s="48"/>
      <c r="BG4" s="48"/>
      <c r="BH4" s="48"/>
      <c r="BI4" s="20"/>
      <c r="BJ4" s="20"/>
      <c r="BK4" s="48"/>
      <c r="BL4" s="48"/>
      <c r="BM4" s="48"/>
      <c r="BN4" s="48"/>
      <c r="BO4" s="20"/>
      <c r="BP4" s="20"/>
      <c r="BQ4" s="48"/>
      <c r="BR4" s="20"/>
      <c r="BS4" s="20"/>
      <c r="BT4" s="55"/>
      <c r="BU4" s="20"/>
      <c r="BV4" s="20"/>
      <c r="BW4" s="20"/>
      <c r="BX4" s="20"/>
      <c r="BY4" s="20"/>
    </row>
    <row r="5" spans="1:77" s="56" customFormat="1" ht="15.75" thickBot="1" x14ac:dyDescent="0.3">
      <c r="A5" s="80"/>
      <c r="B5" s="49"/>
      <c r="C5" s="20"/>
      <c r="D5" s="20"/>
      <c r="E5" s="20"/>
      <c r="F5" s="20"/>
      <c r="G5" s="20"/>
      <c r="H5" s="20"/>
      <c r="I5" s="20"/>
      <c r="J5" s="48"/>
      <c r="K5" s="48"/>
      <c r="L5" s="48"/>
      <c r="M5" s="20"/>
      <c r="N5" s="20"/>
      <c r="O5" s="48"/>
      <c r="P5" s="48"/>
      <c r="Q5" s="48"/>
      <c r="R5" s="48"/>
      <c r="S5" s="20"/>
      <c r="T5" s="20"/>
      <c r="U5" s="48"/>
      <c r="V5" s="48"/>
      <c r="W5" s="48"/>
      <c r="X5" s="48"/>
      <c r="Y5" s="48"/>
      <c r="Z5" s="20"/>
      <c r="AA5" s="48"/>
      <c r="AB5" s="48"/>
      <c r="AC5" s="48"/>
      <c r="AD5" s="48"/>
      <c r="AE5" s="20"/>
      <c r="AF5" s="20"/>
      <c r="AG5" s="48"/>
      <c r="AH5" s="48"/>
      <c r="AI5" s="48"/>
      <c r="AJ5" s="48"/>
      <c r="AK5" s="20"/>
      <c r="AL5" s="20"/>
      <c r="AM5" s="48"/>
      <c r="AN5" s="48"/>
      <c r="AO5" s="48"/>
      <c r="AP5" s="48"/>
      <c r="AQ5" s="20"/>
      <c r="AR5" s="20"/>
      <c r="AS5" s="48"/>
      <c r="AT5" s="48"/>
      <c r="AU5" s="48"/>
      <c r="AV5" s="48"/>
      <c r="AW5" s="20"/>
      <c r="AX5" s="20"/>
      <c r="AY5" s="48"/>
      <c r="AZ5" s="48"/>
      <c r="BA5" s="48"/>
      <c r="BB5" s="48"/>
      <c r="BC5" s="20"/>
      <c r="BD5" s="20"/>
      <c r="BE5" s="48"/>
      <c r="BF5" s="48"/>
      <c r="BG5" s="48"/>
      <c r="BH5" s="48"/>
      <c r="BI5" s="20"/>
      <c r="BJ5" s="20"/>
      <c r="BK5" s="48"/>
      <c r="BL5" s="48"/>
      <c r="BM5" s="48"/>
      <c r="BN5" s="48"/>
      <c r="BO5" s="20"/>
      <c r="BP5" s="20"/>
      <c r="BQ5" s="48"/>
      <c r="BR5" s="20"/>
      <c r="BS5" s="20"/>
      <c r="BT5" s="55"/>
      <c r="BU5" s="20"/>
      <c r="BV5" s="20"/>
      <c r="BW5" s="20"/>
      <c r="BX5" s="20"/>
      <c r="BY5" s="20"/>
    </row>
    <row r="6" spans="1:77" s="56" customFormat="1" ht="15.75" thickBot="1" x14ac:dyDescent="0.3">
      <c r="A6" s="80"/>
      <c r="B6" s="49"/>
      <c r="C6" s="20"/>
      <c r="D6" s="20"/>
      <c r="E6" s="20"/>
      <c r="F6" s="20"/>
      <c r="G6" s="20"/>
      <c r="H6" s="20"/>
      <c r="I6" s="20"/>
      <c r="J6" s="48"/>
      <c r="K6" s="48"/>
      <c r="L6" s="48"/>
      <c r="M6" s="20"/>
      <c r="N6" s="20"/>
      <c r="O6" s="48"/>
      <c r="P6" s="48"/>
      <c r="Q6" s="48"/>
      <c r="R6" s="48"/>
      <c r="S6" s="20"/>
      <c r="T6" s="20"/>
      <c r="U6" s="48"/>
      <c r="V6" s="48"/>
      <c r="W6" s="48"/>
      <c r="X6" s="48"/>
      <c r="Y6" s="48"/>
      <c r="Z6" s="20"/>
      <c r="AA6" s="48"/>
      <c r="AB6" s="48"/>
      <c r="AC6" s="48"/>
      <c r="AD6" s="48"/>
      <c r="AE6" s="20"/>
      <c r="AF6" s="20"/>
      <c r="AG6" s="48"/>
      <c r="AH6" s="48"/>
      <c r="AI6" s="48"/>
      <c r="AJ6" s="48"/>
      <c r="AK6" s="20"/>
      <c r="AL6" s="20"/>
      <c r="AM6" s="48"/>
      <c r="AN6" s="48"/>
      <c r="AO6" s="48"/>
      <c r="AP6" s="48"/>
      <c r="AQ6" s="20"/>
      <c r="AR6" s="20"/>
      <c r="AS6" s="48"/>
      <c r="AT6" s="48"/>
      <c r="AU6" s="48"/>
      <c r="AV6" s="48"/>
      <c r="AW6" s="20"/>
      <c r="AX6" s="20"/>
      <c r="AY6" s="48"/>
      <c r="AZ6" s="48"/>
      <c r="BA6" s="48"/>
      <c r="BB6" s="48"/>
      <c r="BC6" s="20"/>
      <c r="BD6" s="20"/>
      <c r="BE6" s="48"/>
      <c r="BF6" s="48"/>
      <c r="BG6" s="48"/>
      <c r="BH6" s="48"/>
      <c r="BI6" s="20"/>
      <c r="BJ6" s="20"/>
      <c r="BK6" s="48"/>
      <c r="BL6" s="48"/>
      <c r="BM6" s="48"/>
      <c r="BN6" s="48"/>
      <c r="BO6" s="20"/>
      <c r="BP6" s="20"/>
      <c r="BQ6" s="48"/>
      <c r="BR6" s="20"/>
      <c r="BS6" s="20"/>
      <c r="BT6" s="55"/>
      <c r="BU6" s="20"/>
      <c r="BV6" s="20"/>
      <c r="BW6" s="20"/>
      <c r="BX6" s="20"/>
      <c r="BY6" s="20"/>
    </row>
    <row r="7" spans="1:77" s="56" customFormat="1" ht="15.75" thickBot="1" x14ac:dyDescent="0.3">
      <c r="A7" s="80"/>
      <c r="B7" s="49"/>
      <c r="C7" s="20"/>
      <c r="D7" s="20"/>
      <c r="E7" s="20"/>
      <c r="F7" s="20"/>
      <c r="G7" s="20"/>
      <c r="H7" s="20"/>
      <c r="I7" s="20"/>
      <c r="J7" s="48"/>
      <c r="K7" s="48"/>
      <c r="L7" s="48"/>
      <c r="M7" s="20"/>
      <c r="N7" s="20"/>
      <c r="O7" s="48"/>
      <c r="P7" s="48"/>
      <c r="Q7" s="48"/>
      <c r="R7" s="48"/>
      <c r="S7" s="20"/>
      <c r="T7" s="20"/>
      <c r="U7" s="48"/>
      <c r="V7" s="48"/>
      <c r="W7" s="48"/>
      <c r="X7" s="48"/>
      <c r="Y7" s="48"/>
      <c r="Z7" s="20"/>
      <c r="AA7" s="48"/>
      <c r="AB7" s="48"/>
      <c r="AC7" s="48"/>
      <c r="AD7" s="48"/>
      <c r="AE7" s="20"/>
      <c r="AF7" s="20"/>
      <c r="AG7" s="48"/>
      <c r="AH7" s="48"/>
      <c r="AI7" s="48"/>
      <c r="AJ7" s="48"/>
      <c r="AK7" s="20"/>
      <c r="AL7" s="20"/>
      <c r="AM7" s="48"/>
      <c r="AN7" s="48"/>
      <c r="AO7" s="48"/>
      <c r="AP7" s="48"/>
      <c r="AQ7" s="20"/>
      <c r="AR7" s="20"/>
      <c r="AS7" s="48"/>
      <c r="AT7" s="48"/>
      <c r="AU7" s="48"/>
      <c r="AV7" s="48"/>
      <c r="AW7" s="20"/>
      <c r="AX7" s="20"/>
      <c r="AY7" s="48"/>
      <c r="AZ7" s="48"/>
      <c r="BA7" s="48"/>
      <c r="BB7" s="48"/>
      <c r="BC7" s="20"/>
      <c r="BD7" s="20"/>
      <c r="BE7" s="48"/>
      <c r="BF7" s="48"/>
      <c r="BG7" s="48"/>
      <c r="BH7" s="48"/>
      <c r="BI7" s="20"/>
      <c r="BJ7" s="20"/>
      <c r="BK7" s="48"/>
      <c r="BL7" s="48"/>
      <c r="BM7" s="48"/>
      <c r="BN7" s="48"/>
      <c r="BO7" s="20"/>
      <c r="BP7" s="20"/>
      <c r="BQ7" s="48"/>
      <c r="BR7" s="20"/>
      <c r="BS7" s="20"/>
      <c r="BT7" s="55"/>
      <c r="BU7" s="20"/>
      <c r="BV7" s="20"/>
      <c r="BW7" s="20"/>
      <c r="BX7" s="20"/>
      <c r="BY7" s="20"/>
    </row>
    <row r="8" spans="1:77" s="56" customFormat="1" ht="15.75" thickBot="1" x14ac:dyDescent="0.3">
      <c r="A8" s="80"/>
      <c r="B8" s="49"/>
      <c r="C8" s="20"/>
      <c r="D8" s="20"/>
      <c r="E8" s="20"/>
      <c r="F8" s="20"/>
      <c r="G8" s="20"/>
      <c r="H8" s="20"/>
      <c r="I8" s="20"/>
      <c r="J8" s="48"/>
      <c r="K8" s="48"/>
      <c r="L8" s="48"/>
      <c r="M8" s="20"/>
      <c r="N8" s="20"/>
      <c r="O8" s="48"/>
      <c r="P8" s="48"/>
      <c r="Q8" s="48"/>
      <c r="R8" s="48"/>
      <c r="S8" s="20"/>
      <c r="T8" s="20"/>
      <c r="U8" s="48"/>
      <c r="V8" s="48"/>
      <c r="W8" s="48"/>
      <c r="X8" s="48"/>
      <c r="Y8" s="48"/>
      <c r="Z8" s="20"/>
      <c r="AA8" s="48"/>
      <c r="AB8" s="48"/>
      <c r="AC8" s="48"/>
      <c r="AD8" s="48"/>
      <c r="AE8" s="20"/>
      <c r="AF8" s="20"/>
      <c r="AG8" s="48"/>
      <c r="AH8" s="48"/>
      <c r="AI8" s="48"/>
      <c r="AJ8" s="48"/>
      <c r="AK8" s="20"/>
      <c r="AL8" s="20"/>
      <c r="AM8" s="48"/>
      <c r="AN8" s="48"/>
      <c r="AO8" s="48"/>
      <c r="AP8" s="48"/>
      <c r="AQ8" s="20"/>
      <c r="AR8" s="20"/>
      <c r="AS8" s="48"/>
      <c r="AT8" s="48"/>
      <c r="AU8" s="48"/>
      <c r="AV8" s="48"/>
      <c r="AW8" s="20"/>
      <c r="AX8" s="20"/>
      <c r="AY8" s="48"/>
      <c r="AZ8" s="48"/>
      <c r="BA8" s="48"/>
      <c r="BB8" s="48"/>
      <c r="BC8" s="20"/>
      <c r="BD8" s="20"/>
      <c r="BE8" s="48"/>
      <c r="BF8" s="48"/>
      <c r="BG8" s="48"/>
      <c r="BH8" s="48"/>
      <c r="BI8" s="20"/>
      <c r="BJ8" s="20"/>
      <c r="BK8" s="48"/>
      <c r="BL8" s="48"/>
      <c r="BM8" s="48"/>
      <c r="BN8" s="48"/>
      <c r="BO8" s="20"/>
      <c r="BP8" s="20"/>
      <c r="BQ8" s="48"/>
      <c r="BR8" s="20"/>
      <c r="BS8" s="20"/>
      <c r="BT8" s="55"/>
      <c r="BU8" s="20"/>
      <c r="BV8" s="20"/>
      <c r="BW8" s="20"/>
      <c r="BX8" s="20"/>
      <c r="BY8" s="20"/>
    </row>
    <row r="9" spans="1:77" s="56" customFormat="1" ht="15.75" thickBot="1" x14ac:dyDescent="0.3">
      <c r="A9" s="80"/>
      <c r="B9" s="49"/>
      <c r="C9" s="20"/>
      <c r="D9" s="20"/>
      <c r="E9" s="20"/>
      <c r="F9" s="20"/>
      <c r="G9" s="20"/>
      <c r="H9" s="20"/>
      <c r="I9" s="20"/>
      <c r="J9" s="48"/>
      <c r="K9" s="48"/>
      <c r="L9" s="48"/>
      <c r="M9" s="20"/>
      <c r="N9" s="20"/>
      <c r="O9" s="48"/>
      <c r="P9" s="48"/>
      <c r="Q9" s="48"/>
      <c r="R9" s="48"/>
      <c r="S9" s="20"/>
      <c r="T9" s="20"/>
      <c r="U9" s="48"/>
      <c r="V9" s="48"/>
      <c r="W9" s="48"/>
      <c r="X9" s="48"/>
      <c r="Y9" s="48"/>
      <c r="Z9" s="20"/>
      <c r="AA9" s="48"/>
      <c r="AB9" s="48"/>
      <c r="AC9" s="48"/>
      <c r="AD9" s="48"/>
      <c r="AE9" s="20"/>
      <c r="AF9" s="20"/>
      <c r="AG9" s="48"/>
      <c r="AH9" s="48"/>
      <c r="AI9" s="48"/>
      <c r="AJ9" s="48"/>
      <c r="AK9" s="20"/>
      <c r="AL9" s="20"/>
      <c r="AM9" s="48"/>
      <c r="AN9" s="48"/>
      <c r="AO9" s="48"/>
      <c r="AP9" s="48"/>
      <c r="AQ9" s="20"/>
      <c r="AR9" s="20"/>
      <c r="AS9" s="48"/>
      <c r="AT9" s="48"/>
      <c r="AU9" s="48"/>
      <c r="AV9" s="48"/>
      <c r="AW9" s="20"/>
      <c r="AX9" s="20"/>
      <c r="AY9" s="48"/>
      <c r="AZ9" s="48"/>
      <c r="BA9" s="48"/>
      <c r="BB9" s="48"/>
      <c r="BC9" s="20"/>
      <c r="BD9" s="20"/>
      <c r="BE9" s="48"/>
      <c r="BF9" s="48"/>
      <c r="BG9" s="48"/>
      <c r="BH9" s="48"/>
      <c r="BI9" s="20"/>
      <c r="BJ9" s="20"/>
      <c r="BK9" s="48"/>
      <c r="BL9" s="48"/>
      <c r="BM9" s="48"/>
      <c r="BN9" s="48"/>
      <c r="BO9" s="20"/>
      <c r="BP9" s="20"/>
      <c r="BQ9" s="48"/>
      <c r="BR9" s="20"/>
      <c r="BS9" s="20"/>
      <c r="BT9" s="55"/>
      <c r="BU9" s="20"/>
      <c r="BV9" s="20"/>
      <c r="BW9" s="20"/>
      <c r="BX9" s="20"/>
      <c r="BY9" s="20"/>
    </row>
    <row r="10" spans="1:77" s="56" customFormat="1" ht="15.75" thickBot="1" x14ac:dyDescent="0.3">
      <c r="A10" s="80"/>
      <c r="B10" s="49"/>
      <c r="C10" s="20"/>
      <c r="D10" s="20"/>
      <c r="E10" s="20"/>
      <c r="F10" s="20"/>
      <c r="G10" s="20"/>
      <c r="H10" s="20"/>
      <c r="I10" s="20"/>
      <c r="J10" s="48"/>
      <c r="K10" s="48"/>
      <c r="L10" s="48"/>
      <c r="M10" s="20"/>
      <c r="N10" s="20"/>
      <c r="O10" s="48"/>
      <c r="P10" s="48"/>
      <c r="Q10" s="48"/>
      <c r="R10" s="48"/>
      <c r="S10" s="20"/>
      <c r="T10" s="20"/>
      <c r="U10" s="48"/>
      <c r="V10" s="48"/>
      <c r="W10" s="48"/>
      <c r="X10" s="48"/>
      <c r="Y10" s="48"/>
      <c r="Z10" s="20"/>
      <c r="AA10" s="48"/>
      <c r="AB10" s="48"/>
      <c r="AC10" s="48"/>
      <c r="AD10" s="48"/>
      <c r="AE10" s="20"/>
      <c r="AF10" s="20"/>
      <c r="AG10" s="48"/>
      <c r="AH10" s="48"/>
      <c r="AI10" s="48"/>
      <c r="AJ10" s="48"/>
      <c r="AK10" s="20"/>
      <c r="AL10" s="20"/>
      <c r="AM10" s="48"/>
      <c r="AN10" s="48"/>
      <c r="AO10" s="48"/>
      <c r="AP10" s="48"/>
      <c r="AQ10" s="20"/>
      <c r="AR10" s="20"/>
      <c r="AS10" s="48"/>
      <c r="AT10" s="48"/>
      <c r="AU10" s="48"/>
      <c r="AV10" s="48"/>
      <c r="AW10" s="20"/>
      <c r="AX10" s="20"/>
      <c r="AY10" s="48"/>
      <c r="AZ10" s="48"/>
      <c r="BA10" s="48"/>
      <c r="BB10" s="48"/>
      <c r="BC10" s="20"/>
      <c r="BD10" s="20"/>
      <c r="BE10" s="48"/>
      <c r="BF10" s="48"/>
      <c r="BG10" s="48"/>
      <c r="BH10" s="48"/>
      <c r="BI10" s="20"/>
      <c r="BJ10" s="20"/>
      <c r="BK10" s="48"/>
      <c r="BL10" s="48"/>
      <c r="BM10" s="48"/>
      <c r="BN10" s="48"/>
      <c r="BO10" s="20"/>
      <c r="BP10" s="20"/>
      <c r="BQ10" s="48"/>
      <c r="BR10" s="20"/>
      <c r="BS10" s="20"/>
      <c r="BT10" s="55"/>
      <c r="BU10" s="20"/>
      <c r="BV10" s="20"/>
      <c r="BW10" s="20"/>
      <c r="BX10" s="20"/>
      <c r="BY10" s="20"/>
    </row>
    <row r="11" spans="1:77" s="56" customFormat="1" ht="15.75" thickBot="1" x14ac:dyDescent="0.3">
      <c r="A11" s="80"/>
      <c r="B11" s="49"/>
      <c r="C11" s="20"/>
      <c r="D11" s="20"/>
      <c r="E11" s="20"/>
      <c r="F11" s="20"/>
      <c r="G11" s="20"/>
      <c r="H11" s="20"/>
      <c r="I11" s="20"/>
      <c r="J11" s="48"/>
      <c r="K11" s="48"/>
      <c r="L11" s="48"/>
      <c r="M11" s="20"/>
      <c r="N11" s="20"/>
      <c r="O11" s="48"/>
      <c r="P11" s="48"/>
      <c r="Q11" s="48"/>
      <c r="R11" s="48"/>
      <c r="S11" s="20"/>
      <c r="T11" s="20"/>
      <c r="U11" s="48"/>
      <c r="V11" s="48"/>
      <c r="W11" s="48"/>
      <c r="X11" s="48"/>
      <c r="Y11" s="48"/>
      <c r="Z11" s="20"/>
      <c r="AA11" s="48"/>
      <c r="AB11" s="48"/>
      <c r="AC11" s="48"/>
      <c r="AD11" s="48"/>
      <c r="AE11" s="20"/>
      <c r="AF11" s="20"/>
      <c r="AG11" s="48"/>
      <c r="AH11" s="48"/>
      <c r="AI11" s="48"/>
      <c r="AJ11" s="48"/>
      <c r="AK11" s="20"/>
      <c r="AL11" s="20"/>
      <c r="AM11" s="48"/>
      <c r="AN11" s="48"/>
      <c r="AO11" s="48"/>
      <c r="AP11" s="48"/>
      <c r="AQ11" s="20"/>
      <c r="AR11" s="20"/>
      <c r="AS11" s="48"/>
      <c r="AT11" s="48"/>
      <c r="AU11" s="48"/>
      <c r="AV11" s="48"/>
      <c r="AW11" s="20"/>
      <c r="AX11" s="20"/>
      <c r="AY11" s="48"/>
      <c r="AZ11" s="48"/>
      <c r="BA11" s="48"/>
      <c r="BB11" s="48"/>
      <c r="BC11" s="20"/>
      <c r="BD11" s="20"/>
      <c r="BE11" s="48"/>
      <c r="BF11" s="48"/>
      <c r="BG11" s="48"/>
      <c r="BH11" s="48"/>
      <c r="BI11" s="20"/>
      <c r="BJ11" s="20"/>
      <c r="BK11" s="48"/>
      <c r="BL11" s="48"/>
      <c r="BM11" s="48"/>
      <c r="BN11" s="48"/>
      <c r="BO11" s="20"/>
      <c r="BP11" s="20"/>
      <c r="BQ11" s="48"/>
      <c r="BR11" s="20"/>
      <c r="BS11" s="20"/>
      <c r="BT11" s="55"/>
      <c r="BU11" s="20"/>
      <c r="BV11" s="20"/>
      <c r="BW11" s="20"/>
      <c r="BX11" s="20"/>
      <c r="BY11" s="20"/>
    </row>
    <row r="12" spans="1:77" s="40" customFormat="1" ht="15.75" thickBot="1" x14ac:dyDescent="0.3">
      <c r="A12" s="75"/>
      <c r="B12" s="2"/>
      <c r="C12" s="1"/>
      <c r="D12" s="1"/>
      <c r="E12" s="1"/>
      <c r="F12" s="25"/>
      <c r="G12" s="1"/>
      <c r="H12" s="1"/>
      <c r="I12" s="1"/>
      <c r="J12" s="3"/>
      <c r="K12" s="3"/>
      <c r="L12" s="3"/>
      <c r="M12" s="1"/>
      <c r="N12" s="1"/>
      <c r="O12" s="3"/>
      <c r="P12" s="3"/>
      <c r="Q12" s="3"/>
      <c r="R12" s="3"/>
      <c r="S12" s="1"/>
      <c r="T12" s="1"/>
      <c r="U12" s="3"/>
      <c r="V12" s="3"/>
      <c r="W12" s="1"/>
      <c r="X12" s="1"/>
      <c r="Y12" s="1"/>
      <c r="Z12" s="1"/>
      <c r="AA12" s="1"/>
      <c r="AB12" s="3"/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3"/>
      <c r="AO12" s="1"/>
      <c r="AP12" s="1"/>
      <c r="AQ12" s="1"/>
      <c r="AR12" s="1"/>
      <c r="AS12" s="1"/>
      <c r="AT12" s="3"/>
      <c r="AU12" s="1"/>
      <c r="AV12" s="1"/>
      <c r="AW12" s="1"/>
      <c r="AX12" s="1"/>
      <c r="AY12" s="1"/>
      <c r="AZ12" s="3"/>
      <c r="BA12" s="1"/>
      <c r="BB12" s="1"/>
      <c r="BC12" s="1"/>
      <c r="BD12" s="1"/>
      <c r="BE12" s="1"/>
      <c r="BF12" s="3"/>
      <c r="BG12" s="1"/>
      <c r="BH12" s="1"/>
      <c r="BI12" s="1"/>
      <c r="BJ12" s="1"/>
      <c r="BK12" s="1"/>
      <c r="BL12" s="3"/>
      <c r="BM12" s="1"/>
      <c r="BN12" s="1"/>
      <c r="BO12" s="1"/>
      <c r="BP12" s="1"/>
      <c r="BQ12" s="1"/>
      <c r="BR12" s="19"/>
      <c r="BS12" s="1"/>
      <c r="BT12" s="37"/>
      <c r="BU12" s="1"/>
      <c r="BV12" s="1"/>
      <c r="BW12" s="1"/>
      <c r="BX12" s="1"/>
      <c r="BY12" s="39"/>
    </row>
    <row r="13" spans="1:77" s="40" customFormat="1" ht="15.75" thickBot="1" x14ac:dyDescent="0.3">
      <c r="A13" s="48"/>
      <c r="B13" s="49"/>
      <c r="C13" s="20"/>
      <c r="D13" s="20"/>
      <c r="E13" s="20"/>
      <c r="F13" s="20"/>
      <c r="G13" s="20"/>
      <c r="H13" s="20"/>
      <c r="I13" s="20"/>
      <c r="J13" s="48"/>
      <c r="K13" s="48"/>
      <c r="L13" s="48"/>
      <c r="M13" s="20"/>
      <c r="N13" s="20"/>
      <c r="O13" s="48"/>
      <c r="P13" s="48"/>
      <c r="Q13" s="20"/>
      <c r="R13" s="20"/>
      <c r="S13" s="20"/>
      <c r="T13" s="20"/>
      <c r="U13" s="20"/>
      <c r="V13" s="48"/>
      <c r="W13" s="20"/>
      <c r="X13" s="20"/>
      <c r="Y13" s="20"/>
      <c r="Z13" s="20"/>
      <c r="AA13" s="20"/>
      <c r="AB13" s="48"/>
      <c r="AC13" s="20"/>
      <c r="AD13" s="20"/>
      <c r="AE13" s="20"/>
      <c r="AF13" s="20"/>
      <c r="AG13" s="20"/>
      <c r="AH13" s="48"/>
      <c r="AI13" s="20"/>
      <c r="AJ13" s="20"/>
      <c r="AK13" s="20"/>
      <c r="AL13" s="20"/>
      <c r="AM13" s="20"/>
      <c r="AN13" s="48"/>
      <c r="AO13" s="20"/>
      <c r="AP13" s="20"/>
      <c r="AQ13" s="20"/>
      <c r="AR13" s="20"/>
      <c r="AS13" s="20"/>
      <c r="AT13" s="48"/>
      <c r="AU13" s="20"/>
      <c r="AV13" s="20"/>
      <c r="AW13" s="20"/>
      <c r="AX13" s="20"/>
      <c r="AY13" s="20"/>
      <c r="AZ13" s="48"/>
      <c r="BA13" s="20"/>
      <c r="BB13" s="20"/>
      <c r="BC13" s="20"/>
      <c r="BD13" s="20"/>
      <c r="BE13" s="20"/>
      <c r="BF13" s="48"/>
      <c r="BG13" s="20"/>
      <c r="BH13" s="20"/>
      <c r="BI13" s="20"/>
      <c r="BJ13" s="20"/>
      <c r="BK13" s="20"/>
      <c r="BL13" s="48"/>
      <c r="BM13" s="20"/>
      <c r="BN13" s="20"/>
      <c r="BO13" s="20"/>
      <c r="BP13" s="20"/>
      <c r="BQ13" s="20"/>
      <c r="BR13" s="20"/>
      <c r="BS13" s="20"/>
      <c r="BT13" s="50"/>
      <c r="BU13" s="20"/>
      <c r="BV13" s="20"/>
      <c r="BW13" s="20"/>
      <c r="BX13" s="20"/>
      <c r="BY13" s="39"/>
    </row>
    <row r="14" spans="1:77" hidden="1" x14ac:dyDescent="0.25">
      <c r="H14" s="4" t="str">
        <f t="shared" ref="H14:L23" si="1">J2</f>
        <v>AG</v>
      </c>
      <c r="I14" s="4">
        <f t="shared" si="1"/>
        <v>1500</v>
      </c>
      <c r="J14" s="4">
        <f t="shared" si="1"/>
        <v>8</v>
      </c>
      <c r="K14" s="4" t="str">
        <f t="shared" si="1"/>
        <v>Y</v>
      </c>
      <c r="L14" s="4" t="str">
        <f t="shared" si="1"/>
        <v>3L</v>
      </c>
      <c r="O14" s="28" t="str">
        <f>J2</f>
        <v>AG</v>
      </c>
      <c r="P14" s="4" t="str">
        <f t="shared" ref="P14:R23" si="2">N2</f>
        <v>3L</v>
      </c>
      <c r="Q14" s="4">
        <f t="shared" si="2"/>
        <v>3.5</v>
      </c>
      <c r="R14" s="4" t="str">
        <f t="shared" si="2"/>
        <v>AG</v>
      </c>
      <c r="S14" s="4" t="str">
        <f t="shared" ref="S14:U23" si="3">T2</f>
        <v>3L</v>
      </c>
      <c r="T14" s="4">
        <f t="shared" si="3"/>
        <v>3.5</v>
      </c>
      <c r="U14" s="4" t="str">
        <f t="shared" si="3"/>
        <v>AG</v>
      </c>
      <c r="V14" s="4" t="str">
        <f t="shared" ref="V14:X23" si="4">Z2</f>
        <v>3L</v>
      </c>
      <c r="W14" s="4">
        <f t="shared" si="4"/>
        <v>3.5</v>
      </c>
      <c r="X14" s="4" t="str">
        <f t="shared" si="4"/>
        <v>AG</v>
      </c>
      <c r="Y14" s="4" t="str">
        <f t="shared" ref="Y14:AA23" si="5">AF2</f>
        <v>3L</v>
      </c>
      <c r="Z14" s="4">
        <f t="shared" si="5"/>
        <v>3.5</v>
      </c>
      <c r="AA14" s="4">
        <f t="shared" si="5"/>
        <v>0</v>
      </c>
      <c r="AB14" s="4">
        <f t="shared" ref="AB14:AD23" si="6">AL2</f>
        <v>0</v>
      </c>
      <c r="AC14" s="4">
        <f t="shared" si="6"/>
        <v>0</v>
      </c>
      <c r="AD14" s="4">
        <f t="shared" si="6"/>
        <v>0</v>
      </c>
      <c r="AE14" s="4">
        <f t="shared" ref="AE14:AG23" si="7">AR2</f>
        <v>0</v>
      </c>
      <c r="AF14" s="4">
        <f t="shared" si="7"/>
        <v>0</v>
      </c>
      <c r="AG14" s="4">
        <f t="shared" si="7"/>
        <v>0</v>
      </c>
      <c r="AH14" s="4">
        <f t="shared" ref="AH14:AJ23" si="8">AX2</f>
        <v>0</v>
      </c>
      <c r="AI14" s="4">
        <f t="shared" si="8"/>
        <v>0</v>
      </c>
      <c r="AJ14" s="4">
        <f t="shared" si="8"/>
        <v>0</v>
      </c>
      <c r="AK14" s="4">
        <f t="shared" ref="AK14:AM23" si="9">BD2</f>
        <v>0</v>
      </c>
      <c r="AL14" s="4">
        <f t="shared" si="9"/>
        <v>0</v>
      </c>
      <c r="AM14" s="4">
        <f t="shared" si="9"/>
        <v>0</v>
      </c>
      <c r="AN14" s="4">
        <f t="shared" ref="AN14:AP23" si="10">BJ2</f>
        <v>0</v>
      </c>
      <c r="AO14" s="4">
        <f t="shared" si="10"/>
        <v>0</v>
      </c>
      <c r="AP14" s="4">
        <f t="shared" si="10"/>
        <v>0</v>
      </c>
      <c r="AQ14" s="4">
        <f t="shared" ref="AQ14:AR23" si="11">BP2</f>
        <v>0</v>
      </c>
      <c r="AR14" s="4">
        <f t="shared" si="11"/>
        <v>0</v>
      </c>
      <c r="AT14" s="28">
        <v>1</v>
      </c>
      <c r="AU14" s="29">
        <f>IF($P$14="3L",$Q$14,IF($S$14="3L",$T$14,IF($V$14="3L",$W$14,IF($Y$14="3L",$Z$14,IF($AB$14="3L",$AC$14,IF($AE$14="3L",$AF$14,IF($AH$14="3L",$AI$14,IF($AK$14="3L",$AL$14,IF($AN$14="3L",$AO$14,IF($AQ$14="3L",$AR$14,""))))))))))</f>
        <v>3.5</v>
      </c>
      <c r="AV14" s="29" t="str">
        <f>IF($P$14="4L",$Q$14,IF($S$14="4L",$T$14,IF($V$14="4L",$W$14,IF($Y$14="4L",$Z$14,IF($AB$14="4L",$AC$14,IF($AE$14="4L",$AF$14,IF($AH$14="4L",$AI$14,IF($AK$14="4L",$AL$14,IF($AN$14="4L",$AO$14,IF($AQ$14="4L",$AR$14,""))))))))))</f>
        <v/>
      </c>
      <c r="AW14" s="29" t="str">
        <f>IF($P$14="5L",$Q$14,IF($S$14="5L",$T$14,IF($V$14="5L",$W$14,IF($Y$14="5L",$Z$14,IF($AB$14="5L",$AC$14,IF($AE$14="5L",$AF$14,IF($AH$14="5L",$AI$14,IF($AK$14="5L",$AL$14,IF($AN$14="5L",$AO$14,IF($AQ$14="5L",$AR$14,""))))))))))</f>
        <v/>
      </c>
      <c r="AX14" s="29" t="str">
        <f>IF($P$14="6L",$Q$14,IF($S$14="6L",$T$14,IF($V$14="6L",$W$14,IF($Y$14="6L",$Z$14,IF($AB$14="6L",$AC$14,IF($AE$14="6L",$AF$14,IF($AH$14="6L",$AI$14,IF($AK$14="6L",$AL$14,IF($AN$14="6L",$AO$14,IF($AQ$14="6L",$AR$14,""))))))))))</f>
        <v/>
      </c>
      <c r="AY14" s="29" t="str">
        <f>IF($P$14="7L",$Q$14,IF($S$14="7L",$T$14,IF($V$14="7L",$W$14,IF($Y$14="7L",$Z$14,IF($AB$14="7L",$AC$14,IF($AE$14="7L",$AF$14,IF($AH$14="7L",$AI$14,IF($AK$14="7L",$AL$14,IF($AN$14="7L",$AO$14,IF($AQ$14="7L",$AR$14,""))))))))))</f>
        <v/>
      </c>
      <c r="AZ14" s="29" t="str">
        <f t="shared" ref="AZ14:AZ23" si="12">IF($O$14="LOFT",$Q$14,IF($R$14="LOFT",$T$14,IF($U$14="LOFT",$W$14,IF($X$14="LOFT",$Z$14,IF($AA$14="LOFT",$AC$14,IF($AD$14="LOFT",$AF$14,IF($AG$14="LOFT",$AI$14,IF($AJ$14="LOFT",$AL$14,IF($AM$14="LOFT",$AO$14,IF($AP$14="LOFT",$AR$14,""))))))))))</f>
        <v/>
      </c>
      <c r="BA14" s="29" t="str">
        <f t="shared" ref="BA14:BA23" si="13">IF($O$14="UT",$Q$14,IF($R$14="UT",$T$14,IF($U$14="UT",$W$14,IF($X$14="UT",$Z$14,IF($AA$14="UT",$AC$14,IF($AD$14="UT",$AF$14,IF($AG$14="UT",$AI$14,IF($AJ$14="UT",$AL$14,IF($AM$14="UT",$AO$14,IF($AP$14="UT",$AR$14,""))))))))))</f>
        <v/>
      </c>
      <c r="BB14" s="29" t="str">
        <f t="shared" ref="BB14:BB23" si="14">IF($O$14="HT",$Q$14,IF($R$14="HT",$T$14,IF($U$14="HT",$W$14,IF($X$14="HT",$Z$14,IF($AA$14="HT",$AC$14,IF($AD$14="HT",$AF$14,IF($AG$14="HT",$AI$14,IF($AJ$14="HT",$AL$14,IF($AM$14="HT",$AO$14,IF($AP$14="HT",$AR$14,""))))))))))</f>
        <v/>
      </c>
      <c r="BC14" s="29" t="str">
        <f t="shared" ref="BC14:BC23" si="15">IF($O$14="PURE",$Q$14,IF($R$14="PURE",$T$14,IF($U$14="PURE",$W$14,IF($X$14="PURE",$Z$14,IF($AA$14="PURE",$AC$14,IF($AD$14="PURE",$AF$14,IF($AG$14="PURE",$AI$14,IF($AJ$14="PURE",$AL$14,IF($AM$14="PURE",$AO$14,IF($AP$14="PURE",$AR$14,""))))))))))</f>
        <v/>
      </c>
      <c r="BD14" s="29" t="str">
        <f>IF($P$14="FUM",$Q$14,IF($S$14="FUM",$T$14,IF($V$14="FUM",$W$14,IF($Y$14="FUM",$Z$14,IF($AB$14="FUM",$AC$14,IF($AE$14="FUM",$AF$14,IF($AH$14="FUM",$AI$14,IF($AK$14="FUM",$AL$14,IF($AN$14="FUM",$AO$14,IF($AQ$14="FUM",$AR$14,""))))))))))</f>
        <v/>
      </c>
    </row>
    <row r="15" spans="1:77" hidden="1" x14ac:dyDescent="0.25">
      <c r="H15" s="4">
        <f t="shared" si="1"/>
        <v>0</v>
      </c>
      <c r="I15" s="4">
        <f t="shared" si="1"/>
        <v>0</v>
      </c>
      <c r="J15" s="4">
        <f t="shared" si="1"/>
        <v>0</v>
      </c>
      <c r="K15" s="4">
        <f t="shared" si="1"/>
        <v>0</v>
      </c>
      <c r="L15" s="4">
        <f t="shared" si="1"/>
        <v>0</v>
      </c>
      <c r="O15" s="28">
        <f t="shared" ref="O15:O23" si="16">J3</f>
        <v>0</v>
      </c>
      <c r="P15" s="4">
        <f t="shared" si="2"/>
        <v>0</v>
      </c>
      <c r="Q15" s="4">
        <f t="shared" si="2"/>
        <v>0</v>
      </c>
      <c r="R15" s="4">
        <f t="shared" si="2"/>
        <v>0</v>
      </c>
      <c r="S15" s="4">
        <f t="shared" si="3"/>
        <v>0</v>
      </c>
      <c r="T15" s="4">
        <f t="shared" si="3"/>
        <v>0</v>
      </c>
      <c r="U15" s="4">
        <f t="shared" si="3"/>
        <v>0</v>
      </c>
      <c r="V15" s="4">
        <f t="shared" si="4"/>
        <v>0</v>
      </c>
      <c r="W15" s="4">
        <f t="shared" si="4"/>
        <v>0</v>
      </c>
      <c r="X15" s="4">
        <f t="shared" si="4"/>
        <v>0</v>
      </c>
      <c r="Y15" s="4">
        <f t="shared" si="5"/>
        <v>0</v>
      </c>
      <c r="Z15" s="4">
        <f t="shared" si="5"/>
        <v>0</v>
      </c>
      <c r="AA15" s="4">
        <f t="shared" si="5"/>
        <v>0</v>
      </c>
      <c r="AB15" s="4">
        <f t="shared" si="6"/>
        <v>0</v>
      </c>
      <c r="AC15" s="4">
        <f t="shared" si="6"/>
        <v>0</v>
      </c>
      <c r="AD15" s="4">
        <f t="shared" si="6"/>
        <v>0</v>
      </c>
      <c r="AE15" s="4">
        <f t="shared" si="7"/>
        <v>0</v>
      </c>
      <c r="AF15" s="4">
        <f t="shared" si="7"/>
        <v>0</v>
      </c>
      <c r="AG15" s="4">
        <f t="shared" si="7"/>
        <v>0</v>
      </c>
      <c r="AH15" s="4">
        <f t="shared" si="8"/>
        <v>0</v>
      </c>
      <c r="AI15" s="4">
        <f t="shared" si="8"/>
        <v>0</v>
      </c>
      <c r="AJ15" s="4">
        <f t="shared" si="8"/>
        <v>0</v>
      </c>
      <c r="AK15" s="4">
        <f t="shared" si="9"/>
        <v>0</v>
      </c>
      <c r="AL15" s="4">
        <f t="shared" si="9"/>
        <v>0</v>
      </c>
      <c r="AM15" s="4">
        <f t="shared" si="9"/>
        <v>0</v>
      </c>
      <c r="AN15" s="4">
        <f t="shared" si="10"/>
        <v>0</v>
      </c>
      <c r="AO15" s="4">
        <f t="shared" si="10"/>
        <v>0</v>
      </c>
      <c r="AP15" s="4">
        <f t="shared" si="10"/>
        <v>0</v>
      </c>
      <c r="AQ15" s="4">
        <f t="shared" si="11"/>
        <v>0</v>
      </c>
      <c r="AR15" s="4">
        <f t="shared" si="11"/>
        <v>0</v>
      </c>
      <c r="AT15" s="28">
        <v>2</v>
      </c>
      <c r="AU15" s="29" t="str">
        <f>IF($P$15="3L",$Q$15,IF($S$15="3L",$T$15,IF($V$15="3L",$W$15,IF($Y$15="3L",$Z$15,IF($AB$15="3L",$AC$15,IF($AE$15="3L",$AF$15,IF($AH$15="3L",$AI$15,IF($AK$15="3L",$AL$15,IF($AN$15="3L",$AO$15,IF($AQ$15="3L",$AR$15,""))))))))))</f>
        <v/>
      </c>
      <c r="AV15" s="29" t="str">
        <f>IF($P$15="4L",$Q$15,IF($S$15="4L",$T$15,IF($V$15="4L",$W$15,IF($Y$15="4L",$Z$15,IF($AB$15="4L",$AC$15,IF($AE$15="4L",$AF$15,IF($AH$15="4L",$AI$15,IF($AK$15="4L",$AL$15,IF($AN$15="4L",$AO$15,IF($AQ$15="4L",$AR$15,""))))))))))</f>
        <v/>
      </c>
      <c r="AW15" s="29" t="str">
        <f>IF($P$15="5L",$Q$15,IF($S$15="5L",$T$15,IF($V$15="5L",$W$15,IF($Y$15="5L",$Z$15,IF($AB$15="5L",$AC$15,IF($AE$15="5L",$AF$15,IF($AH$15="5L",$AI$15,IF($AK$15="5L",$AL$15,IF($AN$15="5L",$AO$15,IF($AQ$15="5L",$AR$15,""))))))))))</f>
        <v/>
      </c>
      <c r="AX15" s="29" t="str">
        <f>IF($P$15="6L",$Q$15,IF($S$15="6L",$T$15,IF($V$15="6L",$W$15,IF($Y$15="6L",$Z$15,IF($AB$15="6L",$AC$15,IF($AE$15="6L",$AF$15,IF($AH$15="6L",$AI$15,IF($AK$15="6L",$AL$15,IF($AN$15="6L",$AO$15,IF($AQ$15="6L",$AR$15,""))))))))))</f>
        <v/>
      </c>
      <c r="AY15" s="29" t="str">
        <f>IF($P$15="7L",$Q$15,IF($S$15="7L",$T$15,IF($V$15="7L",$W$15,IF($Y$15="7L",$Z$15,IF($AB$15="7L",$AC$15,IF($AE$15="7L",$AF$15,IF($AH$15="7L",$AI$15,IF($AK$15="7L",$AL$15,IF($AN$15="7L",$AO$15,IF($AQ$15="7L",$AR$15,""))))))))))</f>
        <v/>
      </c>
      <c r="AZ15" s="29" t="str">
        <f t="shared" si="12"/>
        <v/>
      </c>
      <c r="BA15" s="29" t="str">
        <f t="shared" si="13"/>
        <v/>
      </c>
      <c r="BB15" s="29" t="str">
        <f t="shared" si="14"/>
        <v/>
      </c>
      <c r="BC15" s="29" t="str">
        <f t="shared" si="15"/>
        <v/>
      </c>
      <c r="BD15" s="29" t="str">
        <f>IF($P$15="FUM",$Q$15,IF($S$15="FUM",$T$15,IF($V$15="FUM",$W$15,IF($Y$15="FUM",$Z$15,IF($AB$15="FUM",$AC$15,IF($AE$15="FUM",$AF$15,IF($AH$15="FUM",$AI$15,IF($AK$15="FUM",$AL$15,IF($AN$15="FUM",$AO$15,IF($AQ$15="FUM",$AR$15,""))))))))))</f>
        <v/>
      </c>
    </row>
    <row r="16" spans="1:77" hidden="1" x14ac:dyDescent="0.25">
      <c r="H16" s="4">
        <f t="shared" si="1"/>
        <v>0</v>
      </c>
      <c r="I16" s="4">
        <f t="shared" si="1"/>
        <v>0</v>
      </c>
      <c r="J16" s="4">
        <f t="shared" si="1"/>
        <v>0</v>
      </c>
      <c r="K16" s="4">
        <f t="shared" si="1"/>
        <v>0</v>
      </c>
      <c r="L16" s="4">
        <f t="shared" si="1"/>
        <v>0</v>
      </c>
      <c r="O16" s="28">
        <f t="shared" si="16"/>
        <v>0</v>
      </c>
      <c r="P16" s="4">
        <f t="shared" si="2"/>
        <v>0</v>
      </c>
      <c r="Q16" s="4">
        <f t="shared" si="2"/>
        <v>0</v>
      </c>
      <c r="R16" s="4">
        <f t="shared" si="2"/>
        <v>0</v>
      </c>
      <c r="S16" s="4">
        <f t="shared" si="3"/>
        <v>0</v>
      </c>
      <c r="T16" s="4">
        <f t="shared" si="3"/>
        <v>0</v>
      </c>
      <c r="U16" s="4">
        <f t="shared" si="3"/>
        <v>0</v>
      </c>
      <c r="V16" s="4">
        <f t="shared" si="4"/>
        <v>0</v>
      </c>
      <c r="W16" s="4">
        <f t="shared" si="4"/>
        <v>0</v>
      </c>
      <c r="X16" s="4">
        <f t="shared" si="4"/>
        <v>0</v>
      </c>
      <c r="Y16" s="4">
        <f t="shared" si="5"/>
        <v>0</v>
      </c>
      <c r="Z16" s="4">
        <f t="shared" si="5"/>
        <v>0</v>
      </c>
      <c r="AA16" s="4">
        <f t="shared" si="5"/>
        <v>0</v>
      </c>
      <c r="AB16" s="4">
        <f t="shared" si="6"/>
        <v>0</v>
      </c>
      <c r="AC16" s="4">
        <f t="shared" si="6"/>
        <v>0</v>
      </c>
      <c r="AD16" s="4">
        <f t="shared" si="6"/>
        <v>0</v>
      </c>
      <c r="AE16" s="4">
        <f t="shared" si="7"/>
        <v>0</v>
      </c>
      <c r="AF16" s="4">
        <f t="shared" si="7"/>
        <v>0</v>
      </c>
      <c r="AG16" s="4">
        <f t="shared" si="7"/>
        <v>0</v>
      </c>
      <c r="AH16" s="4">
        <f t="shared" si="8"/>
        <v>0</v>
      </c>
      <c r="AI16" s="4">
        <f t="shared" si="8"/>
        <v>0</v>
      </c>
      <c r="AJ16" s="4">
        <f t="shared" si="8"/>
        <v>0</v>
      </c>
      <c r="AK16" s="4">
        <f t="shared" si="9"/>
        <v>0</v>
      </c>
      <c r="AL16" s="4">
        <f t="shared" si="9"/>
        <v>0</v>
      </c>
      <c r="AM16" s="4">
        <f t="shared" si="9"/>
        <v>0</v>
      </c>
      <c r="AN16" s="4">
        <f t="shared" si="10"/>
        <v>0</v>
      </c>
      <c r="AO16" s="4">
        <f t="shared" si="10"/>
        <v>0</v>
      </c>
      <c r="AP16" s="4">
        <f t="shared" si="10"/>
        <v>0</v>
      </c>
      <c r="AQ16" s="4">
        <f t="shared" si="11"/>
        <v>0</v>
      </c>
      <c r="AR16" s="4">
        <f t="shared" si="11"/>
        <v>0</v>
      </c>
      <c r="AT16" s="28">
        <v>3</v>
      </c>
      <c r="AU16" s="29" t="str">
        <f>IF($P$16="3L",$Q$16,IF($S$16="3L",$T$16,IF($V$16="3L",$W$16,IF($Y$16="3L",$Z$16,IF($AB$16="3L",$AC$16,IF($AE$16="3L",$AF$16,IF($AH$16="3L",$AI$16,IF($AK$16="3L",$AL$16,IF($AN$16="3L",$AO$16,IF($AQ$16="3L",$AR$16,""))))))))))</f>
        <v/>
      </c>
      <c r="AV16" s="29" t="str">
        <f>IF($P$16="4L",$Q$16,IF($S$16="4L",$T$16,IF($V$16="4L",$W$16,IF($Y$16="4L",$Z$16,IF($AB$16="4L",$AC$16,IF($AE$16="4L",$AF$16,IF($AH$16="4L",$AI$16,IF($AK$16="4L",$AL$16,IF($AN$16="4L",$AO$16,IF($AQ$16="4L",$AR$16,""))))))))))</f>
        <v/>
      </c>
      <c r="AW16" s="29" t="str">
        <f>IF($P$16="5L",$Q$16,IF($S$16="5L",$T$16,IF($V$16="5L",$W$16,IF($Y$16="5L",$Z$16,IF($AB$16="5L",$AC$16,IF($AE$16="5L",$AF$16,IF($AH$16="5L",$AI$16,IF($AK$16="5L",$AL$16,IF($AN$16="5L",$AO$16,IF($AQ$16="5L",$AR$16,""))))))))))</f>
        <v/>
      </c>
      <c r="AX16" s="29" t="str">
        <f>IF($P$16="6L",$Q$16,IF($S$16="6L",$T$16,IF($V$16="6L",$W$16,IF($Y$16="6L",$Z$16,IF($AB$16="6L",$AC$16,IF($AE$16="6L",$AF$16,IF($AH$16="6L",$AI$16,IF($AK$16="6L",$AL$16,IF($AN$16="6L",$AO$16,IF($AQ$16="6L",$AR$16,""))))))))))</f>
        <v/>
      </c>
      <c r="AY16" s="29" t="str">
        <f>IF($P$16="7L",$Q$16,IF($S$16="7L",$T$16,IF($V$16="7L",$W$16,IF($Y$16="7L",$Z$16,IF($AB$16="7L",$AC$16,IF($AE$16="7L",$AF$16,IF($AH$16="7L",$AI$16,IF($AK$16="7L",$AL$16,IF($AN$16="7L",$AO$16,IF($AQ$16="7L",$AR$16,""))))))))))</f>
        <v/>
      </c>
      <c r="AZ16" s="29" t="str">
        <f t="shared" si="12"/>
        <v/>
      </c>
      <c r="BA16" s="29" t="str">
        <f t="shared" si="13"/>
        <v/>
      </c>
      <c r="BB16" s="29" t="str">
        <f t="shared" si="14"/>
        <v/>
      </c>
      <c r="BC16" s="29" t="str">
        <f t="shared" si="15"/>
        <v/>
      </c>
      <c r="BD16" s="29" t="str">
        <f>IF($P$16="FUM",$Q$16,IF($S$16="FUM",$T$16,IF($V$16="FUM",$W$16,IF($Y$16="FUM",$Z$16,IF($AB$16="FUM",$AC$16,IF($AE$16="FUM",$AF$16,IF($AH$16="FUM",$AI$16,IF($AK$16="FUM",$AL$16,IF($AN$16="FUM",$AO$16,IF($AQ$16="FUM",$AR$16,""))))))))))</f>
        <v/>
      </c>
    </row>
    <row r="17" spans="8:56" hidden="1" x14ac:dyDescent="0.25">
      <c r="H17" s="4">
        <f t="shared" si="1"/>
        <v>0</v>
      </c>
      <c r="I17" s="4">
        <f t="shared" si="1"/>
        <v>0</v>
      </c>
      <c r="J17" s="4">
        <f t="shared" si="1"/>
        <v>0</v>
      </c>
      <c r="K17" s="4">
        <f t="shared" si="1"/>
        <v>0</v>
      </c>
      <c r="L17" s="4">
        <f t="shared" si="1"/>
        <v>0</v>
      </c>
      <c r="O17" s="28">
        <f t="shared" si="16"/>
        <v>0</v>
      </c>
      <c r="P17" s="4">
        <f t="shared" si="2"/>
        <v>0</v>
      </c>
      <c r="Q17" s="4">
        <f t="shared" si="2"/>
        <v>0</v>
      </c>
      <c r="R17" s="4">
        <f t="shared" si="2"/>
        <v>0</v>
      </c>
      <c r="S17" s="4">
        <f t="shared" si="3"/>
        <v>0</v>
      </c>
      <c r="T17" s="4">
        <f t="shared" si="3"/>
        <v>0</v>
      </c>
      <c r="U17" s="4">
        <f t="shared" si="3"/>
        <v>0</v>
      </c>
      <c r="V17" s="4">
        <f t="shared" si="4"/>
        <v>0</v>
      </c>
      <c r="W17" s="4">
        <f t="shared" si="4"/>
        <v>0</v>
      </c>
      <c r="X17" s="4">
        <f t="shared" si="4"/>
        <v>0</v>
      </c>
      <c r="Y17" s="4">
        <f t="shared" si="5"/>
        <v>0</v>
      </c>
      <c r="Z17" s="4">
        <f t="shared" si="5"/>
        <v>0</v>
      </c>
      <c r="AA17" s="4">
        <f t="shared" si="5"/>
        <v>0</v>
      </c>
      <c r="AB17" s="4">
        <f t="shared" si="6"/>
        <v>0</v>
      </c>
      <c r="AC17" s="4">
        <f t="shared" si="6"/>
        <v>0</v>
      </c>
      <c r="AD17" s="4">
        <f t="shared" si="6"/>
        <v>0</v>
      </c>
      <c r="AE17" s="4">
        <f t="shared" si="7"/>
        <v>0</v>
      </c>
      <c r="AF17" s="4">
        <f t="shared" si="7"/>
        <v>0</v>
      </c>
      <c r="AG17" s="4">
        <f t="shared" si="7"/>
        <v>0</v>
      </c>
      <c r="AH17" s="4">
        <f t="shared" si="8"/>
        <v>0</v>
      </c>
      <c r="AI17" s="4">
        <f t="shared" si="8"/>
        <v>0</v>
      </c>
      <c r="AJ17" s="4">
        <f t="shared" si="8"/>
        <v>0</v>
      </c>
      <c r="AK17" s="4">
        <f t="shared" si="9"/>
        <v>0</v>
      </c>
      <c r="AL17" s="4">
        <f t="shared" si="9"/>
        <v>0</v>
      </c>
      <c r="AM17" s="4">
        <f t="shared" si="9"/>
        <v>0</v>
      </c>
      <c r="AN17" s="4">
        <f t="shared" si="10"/>
        <v>0</v>
      </c>
      <c r="AO17" s="4">
        <f t="shared" si="10"/>
        <v>0</v>
      </c>
      <c r="AP17" s="4">
        <f t="shared" si="10"/>
        <v>0</v>
      </c>
      <c r="AQ17" s="4">
        <f t="shared" si="11"/>
        <v>0</v>
      </c>
      <c r="AR17" s="4">
        <f t="shared" si="11"/>
        <v>0</v>
      </c>
      <c r="AT17" s="28">
        <v>4</v>
      </c>
      <c r="AU17" s="29" t="str">
        <f>IF($P$17="3L",$Q$17,IF($S$17="3L",$T$17,IF($V$17="3L",$W$17,IF($Y$17="3L",$Z$17,IF($AB$17="3L",$AC$17,IF($AE$17="3L",$AF$17,IF($AH$17="3L",$AI$17,IF($AK$17="3L",$AL$17,IF($AN$17="3L",$AO$17,IF($AQ$17="3L",$AR$17,""))))))))))</f>
        <v/>
      </c>
      <c r="AV17" s="29" t="str">
        <f>IF($P$17="4L",$Q$17,IF($S$17="4L",$T$17,IF($V$17="4L",$W$17,IF($Y$17="4L",$Z$17,IF($AB$17="4L",$AC$17,IF($AE$17="4L",$AF$17,IF($AH$17="4L",$AI$17,IF($AK$17="4L",$AL$17,IF($AN$17="4L",$AO$17,IF($AQ$17="4L",$AR$17,""))))))))))</f>
        <v/>
      </c>
      <c r="AW17" s="29" t="str">
        <f>IF($P$17="5L",$Q$17,IF($S$17="5L",$T$17,IF($V$17="5L",$W$17,IF($Y$17="5L",$Z$17,IF($AB$17="5L",$AC$17,IF($AE$17="5L",$AF$17,IF($AH$17="5L",$AI$17,IF($AK$17="5L",$AL$17,IF($AN$17="5L",$AO$17,IF($AQ$17="5L",$AR$17,""))))))))))</f>
        <v/>
      </c>
      <c r="AX17" s="29" t="str">
        <f>IF($P$17="6L",$Q$17,IF($S$17="6L",$T$17,IF($V$17="6L",$W$17,IF($Y$17="6L",$Z$17,IF($AB$17="6L",$AC$17,IF($AE$17="6L",$AF$17,IF($AH$17="6L",$AI$17,IF($AK$17="6L",$AL$17,IF($AN$17="6L",$AO$17,IF($AQ$17="6L",$AR$17,""))))))))))</f>
        <v/>
      </c>
      <c r="AY17" s="29" t="str">
        <f>IF($P$17="7L",$Q$17,IF($S$17="7L",$T$17,IF($V$17="7L",$W$17,IF($Y$17="7L",$Z$17,IF($AB$17="7L",$AC$17,IF($AE$17="7L",$AF$17,IF($AH$17="7L",$AI$17,IF($AK$17="7L",$AL$17,IF($AN$17="7L",$AO$17,IF($AQ$17="7L",$AR$17,""))))))))))</f>
        <v/>
      </c>
      <c r="AZ17" s="29" t="str">
        <f t="shared" si="12"/>
        <v/>
      </c>
      <c r="BA17" s="29" t="str">
        <f t="shared" si="13"/>
        <v/>
      </c>
      <c r="BB17" s="29" t="str">
        <f t="shared" si="14"/>
        <v/>
      </c>
      <c r="BC17" s="29" t="str">
        <f t="shared" si="15"/>
        <v/>
      </c>
      <c r="BD17" s="29" t="str">
        <f>IF($P$17="FUM",$Q$17,IF($S$17="FUM",$T$17,IF($V$17="FUM",$W$17,IF($Y$17="FUM",$Z$17,IF($AB$17="FUM",$AC$17,IF($AE$17="FUM",$AF$17,IF($AH$17="FUM",$AI$17,IF($AK$17="FUM",$AL$17,IF($AN$17="FUM",$AO$17,IF($AQ$17="FUM",$AR$17,""))))))))))</f>
        <v/>
      </c>
    </row>
    <row r="18" spans="8:56" hidden="1" x14ac:dyDescent="0.25">
      <c r="H18" s="4">
        <f t="shared" si="1"/>
        <v>0</v>
      </c>
      <c r="I18" s="4">
        <f t="shared" si="1"/>
        <v>0</v>
      </c>
      <c r="J18" s="4">
        <f t="shared" si="1"/>
        <v>0</v>
      </c>
      <c r="K18" s="4">
        <f t="shared" si="1"/>
        <v>0</v>
      </c>
      <c r="L18" s="4">
        <f t="shared" si="1"/>
        <v>0</v>
      </c>
      <c r="O18" s="28">
        <f t="shared" si="16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3"/>
        <v>0</v>
      </c>
      <c r="T18" s="4">
        <f t="shared" si="3"/>
        <v>0</v>
      </c>
      <c r="U18" s="4">
        <f t="shared" si="3"/>
        <v>0</v>
      </c>
      <c r="V18" s="4">
        <f t="shared" si="4"/>
        <v>0</v>
      </c>
      <c r="W18" s="4">
        <f t="shared" si="4"/>
        <v>0</v>
      </c>
      <c r="X18" s="4">
        <f t="shared" si="4"/>
        <v>0</v>
      </c>
      <c r="Y18" s="4">
        <f t="shared" si="5"/>
        <v>0</v>
      </c>
      <c r="Z18" s="4">
        <f t="shared" si="5"/>
        <v>0</v>
      </c>
      <c r="AA18" s="4">
        <f t="shared" si="5"/>
        <v>0</v>
      </c>
      <c r="AB18" s="4">
        <f t="shared" si="6"/>
        <v>0</v>
      </c>
      <c r="AC18" s="4">
        <f t="shared" si="6"/>
        <v>0</v>
      </c>
      <c r="AD18" s="4">
        <f t="shared" si="6"/>
        <v>0</v>
      </c>
      <c r="AE18" s="4">
        <f t="shared" si="7"/>
        <v>0</v>
      </c>
      <c r="AF18" s="4">
        <f t="shared" si="7"/>
        <v>0</v>
      </c>
      <c r="AG18" s="4">
        <f t="shared" si="7"/>
        <v>0</v>
      </c>
      <c r="AH18" s="4">
        <f t="shared" si="8"/>
        <v>0</v>
      </c>
      <c r="AI18" s="4">
        <f t="shared" si="8"/>
        <v>0</v>
      </c>
      <c r="AJ18" s="4">
        <f t="shared" si="8"/>
        <v>0</v>
      </c>
      <c r="AK18" s="4">
        <f t="shared" si="9"/>
        <v>0</v>
      </c>
      <c r="AL18" s="4">
        <f t="shared" si="9"/>
        <v>0</v>
      </c>
      <c r="AM18" s="4">
        <f t="shared" si="9"/>
        <v>0</v>
      </c>
      <c r="AN18" s="4">
        <f t="shared" si="10"/>
        <v>0</v>
      </c>
      <c r="AO18" s="4">
        <f t="shared" si="10"/>
        <v>0</v>
      </c>
      <c r="AP18" s="4">
        <f t="shared" si="10"/>
        <v>0</v>
      </c>
      <c r="AQ18" s="4">
        <f t="shared" si="11"/>
        <v>0</v>
      </c>
      <c r="AR18" s="4">
        <f t="shared" si="11"/>
        <v>0</v>
      </c>
      <c r="AT18" s="28">
        <v>5</v>
      </c>
      <c r="AU18" s="29" t="str">
        <f>IF($P$18="3L",$Q$18,IF($S$18="3L",$T$18,IF($V$18="3L",$W$18,IF($Y$18="3L",$Z$18,IF($AB$18="3L",$AC$18,IF($AE$18="3L",$AF$18,IF($AH$18="3L",$AI$18,IF($AK$18="3L",$AL$18,IF($AN$18="3L",$AO$18,IF($AQ$18="3L",$AR$18,""))))))))))</f>
        <v/>
      </c>
      <c r="AV18" s="29" t="str">
        <f>IF($P$18="4L",$Q$18,IF($S$18="4L",$T$18,IF($V$18="4L",$W$18,IF($Y$18="4L",$Z$18,IF($AB$18="4L",$AC$18,IF($AE$18="4L",$AF$18,IF($AH$18="4L",$AI$18,IF($AK$18="4L",$AL$18,IF($AN$18="4L",$AO$18,IF($AQ$18="4L",$AR$18,""))))))))))</f>
        <v/>
      </c>
      <c r="AW18" s="29" t="str">
        <f>IF($P$18="5L",$Q$18,IF($S$18="5L",$T$18,IF($V$18="5L",$W$18,IF($Y$18="5L",$Z$18,IF($AB$18="5L",$AC$18,IF($AE$18="5L",$AF$18,IF($AH$18="5L",$AI$18,IF($AK$18="5L",$AL$18,IF($AN$18="5L",$AO$18,IF($AQ$18="5L",$AR$18,""))))))))))</f>
        <v/>
      </c>
      <c r="AX18" s="29" t="str">
        <f>IF($P$18="6L",$Q$18,IF($S$18="6L",$T$18,IF($V$18="6L",$W$18,IF($Y$18="6L",$Z$18,IF($AB$18="6L",$AC$18,IF($AE$18="6L",$AF$18,IF($AH$18="6L",$AI$18,IF($AK$18="6L",$AL$18,IF($AN$18="6L",$AO$18,IF($AQ$18="6L",$AR$18,""))))))))))</f>
        <v/>
      </c>
      <c r="AY18" s="29" t="str">
        <f>IF($P$18="7L",$Q$18,IF($S$18="7L",$T$18,IF($V$18="7L",$W$18,IF($Y$18="7L",$Z$18,IF($AB$18="7L",$AC$18,IF($AE$18="7L",$AF$18,IF($AH$18="7L",$AI$18,IF($AK$18="7L",$AL$18,IF($AN$18="7L",$AO$18,IF($AQ$18="7L",$AR$18,""))))))))))</f>
        <v/>
      </c>
      <c r="AZ18" s="29" t="str">
        <f t="shared" si="12"/>
        <v/>
      </c>
      <c r="BA18" s="29" t="str">
        <f t="shared" si="13"/>
        <v/>
      </c>
      <c r="BB18" s="29" t="str">
        <f t="shared" si="14"/>
        <v/>
      </c>
      <c r="BC18" s="29" t="str">
        <f t="shared" si="15"/>
        <v/>
      </c>
      <c r="BD18" s="29" t="str">
        <f>IF($P$18="FUM",$Q$18,IF($S$18="FUM",$T$18,IF($V$18="FUM",$W$18,IF($Y$18="FUM",$Z$18,IF($AB$18="FUM",$AC$18,IF($AE$18="FUM",$AF$18,IF($AH$18="FUM",$AI$18,IF($AK$18="FUM",$AL$18,IF($AN$18="FUM",$AO$18,IF($AQ$18="FUM",$AR$18,""))))))))))</f>
        <v/>
      </c>
    </row>
    <row r="19" spans="8:56" hidden="1" x14ac:dyDescent="0.25">
      <c r="H19" s="4">
        <f t="shared" si="1"/>
        <v>0</v>
      </c>
      <c r="I19" s="4">
        <f t="shared" si="1"/>
        <v>0</v>
      </c>
      <c r="J19" s="4">
        <f t="shared" si="1"/>
        <v>0</v>
      </c>
      <c r="K19" s="4">
        <f t="shared" si="1"/>
        <v>0</v>
      </c>
      <c r="L19" s="4">
        <f t="shared" si="1"/>
        <v>0</v>
      </c>
      <c r="O19" s="28">
        <f t="shared" si="16"/>
        <v>0</v>
      </c>
      <c r="P19" s="4">
        <f t="shared" si="2"/>
        <v>0</v>
      </c>
      <c r="Q19" s="4">
        <f t="shared" si="2"/>
        <v>0</v>
      </c>
      <c r="R19" s="4">
        <f t="shared" si="2"/>
        <v>0</v>
      </c>
      <c r="S19" s="4">
        <f t="shared" si="3"/>
        <v>0</v>
      </c>
      <c r="T19" s="4">
        <f t="shared" si="3"/>
        <v>0</v>
      </c>
      <c r="U19" s="4">
        <f t="shared" si="3"/>
        <v>0</v>
      </c>
      <c r="V19" s="4">
        <f t="shared" si="4"/>
        <v>0</v>
      </c>
      <c r="W19" s="4">
        <f t="shared" si="4"/>
        <v>0</v>
      </c>
      <c r="X19" s="4">
        <f t="shared" si="4"/>
        <v>0</v>
      </c>
      <c r="Y19" s="4">
        <f t="shared" si="5"/>
        <v>0</v>
      </c>
      <c r="Z19" s="4">
        <f t="shared" si="5"/>
        <v>0</v>
      </c>
      <c r="AA19" s="4">
        <f t="shared" si="5"/>
        <v>0</v>
      </c>
      <c r="AB19" s="4">
        <f t="shared" si="6"/>
        <v>0</v>
      </c>
      <c r="AC19" s="4">
        <f t="shared" si="6"/>
        <v>0</v>
      </c>
      <c r="AD19" s="4">
        <f t="shared" si="6"/>
        <v>0</v>
      </c>
      <c r="AE19" s="4">
        <f t="shared" si="7"/>
        <v>0</v>
      </c>
      <c r="AF19" s="4">
        <f t="shared" si="7"/>
        <v>0</v>
      </c>
      <c r="AG19" s="4">
        <f t="shared" si="7"/>
        <v>0</v>
      </c>
      <c r="AH19" s="4">
        <f t="shared" si="8"/>
        <v>0</v>
      </c>
      <c r="AI19" s="4">
        <f t="shared" si="8"/>
        <v>0</v>
      </c>
      <c r="AJ19" s="4">
        <f t="shared" si="8"/>
        <v>0</v>
      </c>
      <c r="AK19" s="4">
        <f t="shared" si="9"/>
        <v>0</v>
      </c>
      <c r="AL19" s="4">
        <f t="shared" si="9"/>
        <v>0</v>
      </c>
      <c r="AM19" s="4">
        <f t="shared" si="9"/>
        <v>0</v>
      </c>
      <c r="AN19" s="4">
        <f t="shared" si="10"/>
        <v>0</v>
      </c>
      <c r="AO19" s="4">
        <f t="shared" si="10"/>
        <v>0</v>
      </c>
      <c r="AP19" s="4">
        <f t="shared" si="10"/>
        <v>0</v>
      </c>
      <c r="AQ19" s="4">
        <f t="shared" si="11"/>
        <v>0</v>
      </c>
      <c r="AR19" s="4">
        <f t="shared" si="11"/>
        <v>0</v>
      </c>
      <c r="AT19" s="28">
        <v>6</v>
      </c>
      <c r="AU19" s="29" t="str">
        <f>IF($P$19="3L",$Q$19,IF($S$19="3L",$T$19,IF($V$19="3L",$W$19,IF($Y$19="3L",$Z$19,IF($AB$19="3L",$AC$19,IF($AE$19="3L",$AF$19,IF($AH$19="3L",$AI$19,IF($AK$19="3L",$AL$19,IF($AN$19="3L",$AO$19,IF($AQ$19="3L",$AR$19,""))))))))))</f>
        <v/>
      </c>
      <c r="AV19" s="29" t="str">
        <f>IF($P$19="4L",$Q$19,IF($S$19="4L",$T$19,IF($V$19="4L",$W$19,IF($Y$19="4L",$Z$19,IF($AB$19="4L",$AC$19,IF($AE$19="4L",$AF$19,IF($AH$19="4L",$AI$19,IF($AK$19="4L",$AL$19,IF($AN$19="4L",$AO$19,IF($AQ$19="4L",$AR$19,""))))))))))</f>
        <v/>
      </c>
      <c r="AW19" s="29" t="str">
        <f>IF($P$19="5L",$Q$19,IF($S$19="5L",$T$19,IF($V$19="5L",$W$19,IF($Y$19="5L",$Z$19,IF($AB$19="5L",$AC$19,IF($AE$19="5L",$AF$19,IF($AH$19="5L",$AI$19,IF($AK$19="5L",$AL$19,IF($AN$19="5L",$AO$19,IF($AQ$19="5L",$AR$19,""))))))))))</f>
        <v/>
      </c>
      <c r="AX19" s="29" t="str">
        <f>IF($P$19="6L",$Q$19,IF($S$19="6L",$T$19,IF($V$19="6L",$W$19,IF($Y$19="6L",$Z$19,IF($AB$19="6L",$AC$19,IF($AE$19="6L",$AF$19,IF($AH$19="6L",$AI$19,IF($AK$19="6L",$AL$19,IF($AN$19="6L",$AO$19,IF($AQ$19="6L",$AR$19,""))))))))))</f>
        <v/>
      </c>
      <c r="AY19" s="29" t="str">
        <f>IF($P$19="7L",$Q$19,IF($S$19="7L",$T$19,IF($V$19="7L",$W$19,IF($Y$19="7L",$Z$19,IF($AB$19="7L",$AC$19,IF($AE$19="7L",$AF$19,IF($AH$19="7L",$AI$19,IF($AK$19="7L",$AL$19,IF($AN$19="7L",$AO$19,IF($AQ$19="7L",$AR$19,""))))))))))</f>
        <v/>
      </c>
      <c r="AZ19" s="29" t="str">
        <f t="shared" si="12"/>
        <v/>
      </c>
      <c r="BA19" s="29" t="str">
        <f t="shared" si="13"/>
        <v/>
      </c>
      <c r="BB19" s="29" t="str">
        <f t="shared" si="14"/>
        <v/>
      </c>
      <c r="BC19" s="29" t="str">
        <f t="shared" si="15"/>
        <v/>
      </c>
      <c r="BD19" s="29" t="str">
        <f>IF($P$19="FUM",$Q$19,IF($S$19="FUM",$T$19,IF($V$19="FUM",$W$19,IF($Y$19="FUM",$Z$19,IF($AB$19="FUM",$AC$19,IF($AE$19="FUM",$AF$19,IF($AH$19="FUM",$AI$19,IF($AK$19="FUM",$AL$19,IF($AN$19="FUM",$AO$19,IF($AQ$19="FUM",$AR$19,""))))))))))</f>
        <v/>
      </c>
    </row>
    <row r="20" spans="8:56" hidden="1" x14ac:dyDescent="0.25">
      <c r="H20" s="4">
        <f t="shared" si="1"/>
        <v>0</v>
      </c>
      <c r="I20" s="4">
        <f t="shared" si="1"/>
        <v>0</v>
      </c>
      <c r="J20" s="4">
        <f t="shared" si="1"/>
        <v>0</v>
      </c>
      <c r="K20" s="4">
        <f t="shared" si="1"/>
        <v>0</v>
      </c>
      <c r="L20" s="4">
        <f t="shared" si="1"/>
        <v>0</v>
      </c>
      <c r="O20" s="28">
        <f t="shared" si="16"/>
        <v>0</v>
      </c>
      <c r="P20" s="4">
        <f t="shared" si="2"/>
        <v>0</v>
      </c>
      <c r="Q20" s="4">
        <f t="shared" si="2"/>
        <v>0</v>
      </c>
      <c r="R20" s="4">
        <f t="shared" si="2"/>
        <v>0</v>
      </c>
      <c r="S20" s="4">
        <f t="shared" si="3"/>
        <v>0</v>
      </c>
      <c r="T20" s="4">
        <f t="shared" si="3"/>
        <v>0</v>
      </c>
      <c r="U20" s="4">
        <f t="shared" si="3"/>
        <v>0</v>
      </c>
      <c r="V20" s="4">
        <f t="shared" si="4"/>
        <v>0</v>
      </c>
      <c r="W20" s="4">
        <f t="shared" si="4"/>
        <v>0</v>
      </c>
      <c r="X20" s="4">
        <f t="shared" si="4"/>
        <v>0</v>
      </c>
      <c r="Y20" s="4">
        <f t="shared" si="5"/>
        <v>0</v>
      </c>
      <c r="Z20" s="4">
        <f t="shared" si="5"/>
        <v>0</v>
      </c>
      <c r="AA20" s="4">
        <f t="shared" si="5"/>
        <v>0</v>
      </c>
      <c r="AB20" s="4">
        <f t="shared" si="6"/>
        <v>0</v>
      </c>
      <c r="AC20" s="4">
        <f t="shared" si="6"/>
        <v>0</v>
      </c>
      <c r="AD20" s="4">
        <f t="shared" si="6"/>
        <v>0</v>
      </c>
      <c r="AE20" s="4">
        <f t="shared" si="7"/>
        <v>0</v>
      </c>
      <c r="AF20" s="4">
        <f t="shared" si="7"/>
        <v>0</v>
      </c>
      <c r="AG20" s="4">
        <f t="shared" si="7"/>
        <v>0</v>
      </c>
      <c r="AH20" s="4">
        <f t="shared" si="8"/>
        <v>0</v>
      </c>
      <c r="AI20" s="4">
        <f t="shared" si="8"/>
        <v>0</v>
      </c>
      <c r="AJ20" s="4">
        <f t="shared" si="8"/>
        <v>0</v>
      </c>
      <c r="AK20" s="4">
        <f t="shared" si="9"/>
        <v>0</v>
      </c>
      <c r="AL20" s="4">
        <f t="shared" si="9"/>
        <v>0</v>
      </c>
      <c r="AM20" s="4">
        <f t="shared" si="9"/>
        <v>0</v>
      </c>
      <c r="AN20" s="4">
        <f t="shared" si="10"/>
        <v>0</v>
      </c>
      <c r="AO20" s="4">
        <f t="shared" si="10"/>
        <v>0</v>
      </c>
      <c r="AP20" s="4">
        <f t="shared" si="10"/>
        <v>0</v>
      </c>
      <c r="AQ20" s="4">
        <f t="shared" si="11"/>
        <v>0</v>
      </c>
      <c r="AR20" s="4">
        <f t="shared" si="11"/>
        <v>0</v>
      </c>
      <c r="AT20" s="28">
        <v>7</v>
      </c>
      <c r="AU20" s="29" t="str">
        <f>IF($P$20="3L",$Q$20,IF($S$20="3L",$T$20,IF($V$20="3L",$W$20,IF($Y$20="3L",$Z$20,IF($AB$20="3L",$AC$20,IF($AE$20="3L",$AF$20,IF($AH$20="3L",$AI$20,IF($AK$20="3L",$AL$20,IF($AN$20="3L",$AO$20,IF($AQ$20="3L",$AR$20,""))))))))))</f>
        <v/>
      </c>
      <c r="AV20" s="29" t="str">
        <f>IF($P$20="4L",$Q$20,IF($S$20="4L",$T$20,IF($V$20="4L",$W$20,IF($Y$20="4L",$Z$20,IF($AB$20="4L",$AC$20,IF($AE$20="4L",$AF$20,IF($AH$20="4L",$AI$20,IF($AK$20="4L",$AL$20,IF($AN$20="4L",$AO$20,IF($AQ$20="4L",$AR$20,""))))))))))</f>
        <v/>
      </c>
      <c r="AW20" s="29" t="str">
        <f>IF($P$20="5L",$Q$20,IF($S$20="5L",$T$20,IF($V$20="5L",$W$20,IF($Y$20="5L",$Z$20,IF($AB$20="5L",$AC$20,IF($AE$20="5L",$AF$20,IF($AH$20="5L",$AI$20,IF($AK$20="5L",$AL$20,IF($AN$20="5L",$AO$20,IF($AQ$20="5L",$AR$20,""))))))))))</f>
        <v/>
      </c>
      <c r="AX20" s="29" t="str">
        <f>IF($P$20="6L",$Q$20,IF($S$20="6L",$T$20,IF($V$20="6L",$W$20,IF($Y$20="6L",$Z$20,IF($AB$20="6L",$AC$20,IF($AE$20="6L",$AF$20,IF($AH$20="6L",$AI$20,IF($AK$20="6L",$AL$20,IF($AN$20="6L",$AO$20,IF($AQ$20="6L",$AR$20,""))))))))))</f>
        <v/>
      </c>
      <c r="AY20" s="29" t="str">
        <f>IF($P$20="7L",$Q$20,IF($S$20="7L",$T$20,IF($V$20="7L",$W$20,IF($Y$20="7L",$Z$20,IF($AB$20="7L",$AC$20,IF($AE$20="7L",$AF$20,IF($AH$20="7L",$AI$20,IF($AK$20="7L",$AL$20,IF($AN$20="7L",$AO$20,IF($AQ$20="7L",$AR$20,""))))))))))</f>
        <v/>
      </c>
      <c r="AZ20" s="29" t="str">
        <f t="shared" si="12"/>
        <v/>
      </c>
      <c r="BA20" s="29" t="str">
        <f t="shared" si="13"/>
        <v/>
      </c>
      <c r="BB20" s="29" t="str">
        <f t="shared" si="14"/>
        <v/>
      </c>
      <c r="BC20" s="29" t="str">
        <f t="shared" si="15"/>
        <v/>
      </c>
      <c r="BD20" s="29" t="str">
        <f>IF($P$20="FUM",$Q$20,IF($S$20="FUM",$T$20,IF($V$20="FUM",$W$20,IF($Y$20="FUM",$Z$20,IF($AB$20="FUM",$AC$20,IF($AE$20="FUM",$AF$20,IF($AH$20="FUM",$AI$20,IF($AK$20="FUM",$AL$20,IF($AN$20="FUM",$AO$20,IF($AQ$20="FUM",$AR$20,""))))))))))</f>
        <v/>
      </c>
    </row>
    <row r="21" spans="8:56" hidden="1" x14ac:dyDescent="0.25">
      <c r="H21" s="4">
        <f t="shared" si="1"/>
        <v>0</v>
      </c>
      <c r="I21" s="4">
        <f t="shared" si="1"/>
        <v>0</v>
      </c>
      <c r="J21" s="4">
        <f t="shared" si="1"/>
        <v>0</v>
      </c>
      <c r="K21" s="4">
        <f t="shared" si="1"/>
        <v>0</v>
      </c>
      <c r="L21" s="4">
        <f t="shared" si="1"/>
        <v>0</v>
      </c>
      <c r="O21" s="28">
        <f t="shared" si="16"/>
        <v>0</v>
      </c>
      <c r="P21" s="4">
        <f t="shared" si="2"/>
        <v>0</v>
      </c>
      <c r="Q21" s="4">
        <f t="shared" si="2"/>
        <v>0</v>
      </c>
      <c r="R21" s="4">
        <f t="shared" si="2"/>
        <v>0</v>
      </c>
      <c r="S21" s="4">
        <f t="shared" si="3"/>
        <v>0</v>
      </c>
      <c r="T21" s="4">
        <f t="shared" si="3"/>
        <v>0</v>
      </c>
      <c r="U21" s="4">
        <f t="shared" si="3"/>
        <v>0</v>
      </c>
      <c r="V21" s="4">
        <f t="shared" si="4"/>
        <v>0</v>
      </c>
      <c r="W21" s="4">
        <f t="shared" si="4"/>
        <v>0</v>
      </c>
      <c r="X21" s="4">
        <f t="shared" si="4"/>
        <v>0</v>
      </c>
      <c r="Y21" s="4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6"/>
        <v>0</v>
      </c>
      <c r="AC21" s="4">
        <f t="shared" si="6"/>
        <v>0</v>
      </c>
      <c r="AD21" s="4">
        <f t="shared" si="6"/>
        <v>0</v>
      </c>
      <c r="AE21" s="4">
        <f t="shared" si="7"/>
        <v>0</v>
      </c>
      <c r="AF21" s="4">
        <f t="shared" si="7"/>
        <v>0</v>
      </c>
      <c r="AG21" s="4">
        <f t="shared" si="7"/>
        <v>0</v>
      </c>
      <c r="AH21" s="4">
        <f t="shared" si="8"/>
        <v>0</v>
      </c>
      <c r="AI21" s="4">
        <f t="shared" si="8"/>
        <v>0</v>
      </c>
      <c r="AJ21" s="4">
        <f t="shared" si="8"/>
        <v>0</v>
      </c>
      <c r="AK21" s="4">
        <f t="shared" si="9"/>
        <v>0</v>
      </c>
      <c r="AL21" s="4">
        <f t="shared" si="9"/>
        <v>0</v>
      </c>
      <c r="AM21" s="4">
        <f t="shared" si="9"/>
        <v>0</v>
      </c>
      <c r="AN21" s="4">
        <f t="shared" si="10"/>
        <v>0</v>
      </c>
      <c r="AO21" s="4">
        <f t="shared" si="10"/>
        <v>0</v>
      </c>
      <c r="AP21" s="4">
        <f t="shared" si="10"/>
        <v>0</v>
      </c>
      <c r="AQ21" s="4">
        <f t="shared" si="11"/>
        <v>0</v>
      </c>
      <c r="AR21" s="4">
        <f t="shared" si="11"/>
        <v>0</v>
      </c>
      <c r="AT21" s="28">
        <v>8</v>
      </c>
      <c r="AU21" s="29" t="str">
        <f>IF($P$21="3L",$Q$21,IF($S$21="3L",$T$21,IF($V$21="3L",$W$21,IF($Y$21="3L",$Z$21,IF($AB$21="3L",$AC$21,IF($AE$21="3L",$AF$21,IF($AH$21="3L",$AI$21,IF($AK$21="3L",$AL$21,IF($AN$21="3L",$AO$21,IF($AQ$21="3L",$AR$21,""))))))))))</f>
        <v/>
      </c>
      <c r="AV21" s="29" t="str">
        <f>IF($P$21="4L",$Q$21,IF($S$21="4L",$T$21,IF($V$21="4L",$W$21,IF($Y$21="4L",$Z$21,IF($AB$21="4L",$AC$21,IF($AE$21="4L",$AF$21,IF($AH$21="4L",$AI$21,IF($AK$21="4L",$AL$21,IF($AN$21="4L",$AO$21,IF($AQ$21="4L",$AR$21,""))))))))))</f>
        <v/>
      </c>
      <c r="AW21" s="29" t="str">
        <f>IF($P$21="5L",$Q$21,IF($S$21="5L",$T$21,IF($V$21="5L",$W$21,IF($Y$21="5L",$Z$21,IF($AB$21="5L",$AC$21,IF($AE$21="5L",$AF$21,IF($AH$21="5L",$AI$21,IF($AK$21="5L",$AL$21,IF($AN$21="5L",$AO$21,IF($AQ$21="5L",$AR$21,""))))))))))</f>
        <v/>
      </c>
      <c r="AX21" s="29" t="str">
        <f>IF($P$21="6L",$Q$21,IF($S$21="6L",$T$21,IF($V$21="6L",$W$21,IF($Y$21="6L",$Z$21,IF($AB$21="6L",$AC$21,IF($AE$21="6L",$AF$21,IF($AH$21="6L",$AI$21,IF($AK$21="6L",$AL$21,IF($AN$21="6L",$AO$21,IF($AQ$21="6L",$AR$21,""))))))))))</f>
        <v/>
      </c>
      <c r="AY21" s="29" t="str">
        <f>IF($P$21="7L",$Q$21,IF($S$21="7L",$T$21,IF($V$21="7L",$W$21,IF($Y$21="7L",$Z$21,IF($AB$21="7L",$AC$21,IF($AE$21="7L",$AF$21,IF($AH$21="7L",$AI$21,IF($AK$21="7L",$AL$21,IF($AN$21="7L",$AO$21,IF($AQ$21="7L",$AR$21,""))))))))))</f>
        <v/>
      </c>
      <c r="AZ21" s="29" t="str">
        <f t="shared" si="12"/>
        <v/>
      </c>
      <c r="BA21" s="29" t="str">
        <f t="shared" si="13"/>
        <v/>
      </c>
      <c r="BB21" s="29" t="str">
        <f t="shared" si="14"/>
        <v/>
      </c>
      <c r="BC21" s="29" t="str">
        <f t="shared" si="15"/>
        <v/>
      </c>
      <c r="BD21" s="29" t="str">
        <f>IF($P$21="FUM",$Q$21,IF($S$21="FUM",$T$21,IF($V$21="FUM",$W$21,IF($Y$21="FUM",$Z$21,IF($AB$21="FUM",$AC$21,IF($AE$21="FUM",$AF$21,IF($AH$21="FUM",$AI$21,IF($AK$21="FUM",$AL$21,IF($AN$21="FUM",$AO$21,IF($AQ$21="FUM",$AR$21,""))))))))))</f>
        <v/>
      </c>
    </row>
    <row r="22" spans="8:56" hidden="1" x14ac:dyDescent="0.25">
      <c r="H22" s="4">
        <f t="shared" si="1"/>
        <v>0</v>
      </c>
      <c r="I22" s="4">
        <f t="shared" si="1"/>
        <v>0</v>
      </c>
      <c r="J22" s="4">
        <f t="shared" si="1"/>
        <v>0</v>
      </c>
      <c r="K22" s="4">
        <f t="shared" si="1"/>
        <v>0</v>
      </c>
      <c r="L22" s="4">
        <f t="shared" si="1"/>
        <v>0</v>
      </c>
      <c r="O22" s="28">
        <f t="shared" si="16"/>
        <v>0</v>
      </c>
      <c r="P22" s="4">
        <f t="shared" si="2"/>
        <v>0</v>
      </c>
      <c r="Q22" s="4">
        <f t="shared" si="2"/>
        <v>0</v>
      </c>
      <c r="R22" s="4">
        <f t="shared" si="2"/>
        <v>0</v>
      </c>
      <c r="S22" s="4">
        <f t="shared" si="3"/>
        <v>0</v>
      </c>
      <c r="T22" s="4">
        <f t="shared" si="3"/>
        <v>0</v>
      </c>
      <c r="U22" s="4">
        <f t="shared" si="3"/>
        <v>0</v>
      </c>
      <c r="V22" s="4">
        <f t="shared" si="4"/>
        <v>0</v>
      </c>
      <c r="W22" s="4">
        <f t="shared" si="4"/>
        <v>0</v>
      </c>
      <c r="X22" s="4">
        <f t="shared" si="4"/>
        <v>0</v>
      </c>
      <c r="Y22" s="4">
        <f t="shared" si="5"/>
        <v>0</v>
      </c>
      <c r="Z22" s="4">
        <f t="shared" si="5"/>
        <v>0</v>
      </c>
      <c r="AA22" s="4">
        <f t="shared" si="5"/>
        <v>0</v>
      </c>
      <c r="AB22" s="4">
        <f t="shared" si="6"/>
        <v>0</v>
      </c>
      <c r="AC22" s="4">
        <f t="shared" si="6"/>
        <v>0</v>
      </c>
      <c r="AD22" s="4">
        <f t="shared" si="6"/>
        <v>0</v>
      </c>
      <c r="AE22" s="4">
        <f t="shared" si="7"/>
        <v>0</v>
      </c>
      <c r="AF22" s="4">
        <f t="shared" si="7"/>
        <v>0</v>
      </c>
      <c r="AG22" s="4">
        <f t="shared" si="7"/>
        <v>0</v>
      </c>
      <c r="AH22" s="4">
        <f t="shared" si="8"/>
        <v>0</v>
      </c>
      <c r="AI22" s="4">
        <f t="shared" si="8"/>
        <v>0</v>
      </c>
      <c r="AJ22" s="4">
        <f t="shared" si="8"/>
        <v>0</v>
      </c>
      <c r="AK22" s="4">
        <f t="shared" si="9"/>
        <v>0</v>
      </c>
      <c r="AL22" s="4">
        <f t="shared" si="9"/>
        <v>0</v>
      </c>
      <c r="AM22" s="4">
        <f t="shared" si="9"/>
        <v>0</v>
      </c>
      <c r="AN22" s="4">
        <f t="shared" si="10"/>
        <v>0</v>
      </c>
      <c r="AO22" s="4">
        <f t="shared" si="10"/>
        <v>0</v>
      </c>
      <c r="AP22" s="4">
        <f t="shared" si="10"/>
        <v>0</v>
      </c>
      <c r="AQ22" s="4">
        <f t="shared" si="11"/>
        <v>0</v>
      </c>
      <c r="AR22" s="4">
        <f t="shared" si="11"/>
        <v>0</v>
      </c>
      <c r="AT22" s="28">
        <v>9</v>
      </c>
      <c r="AU22" s="29" t="str">
        <f>IF($P$22="3L",$Q$22,IF($S$22="3L",$T$22,IF($V$22="3L",$W$22,IF($Y$22="3L",$Z$22,IF($AB$22="3L",$AC$22,IF($AE$22="3L",$AF$22,IF($AH$22="3L",$AI$22,IF($AK$22="3L",$AL$22,IF($AN$22="3L",$AO$22,IF($AQ$22="3L",$AR$22,""))))))))))</f>
        <v/>
      </c>
      <c r="AV22" s="29" t="str">
        <f>IF($P$22="4L",$Q$22,IF($S$22="4L",$T$22,IF($V$22="4L",$W$22,IF($Y$22="4L",$Z$22,IF($AB$22="4L",$AC$22,IF($AE$22="4L",$AF$22,IF($AH$22="4L",$AI$22,IF($AK$22="4L",$AL$22,IF($AN$22="4L",$AO$22,IF($AQ$22="4L",$AR$22,""))))))))))</f>
        <v/>
      </c>
      <c r="AW22" s="29" t="str">
        <f>IF($P$22="5L",$Q$22,IF($S$22="5L",$T$22,IF($V$22="5L",$W$22,IF($Y$22="5L",$Z$22,IF($AB$22="5L",$AC$22,IF($AE$22="5L",$AF$22,IF($AH$22="5L",$AI$22,IF($AK$22="5L",$AL$22,IF($AN$22="5L",$AO$22,IF($AQ$22="5L",$AR$22,""))))))))))</f>
        <v/>
      </c>
      <c r="AX22" s="29" t="str">
        <f>IF($P$22="6L",$Q$22,IF($S$22="6L",$T$22,IF($V$22="6L",$W$22,IF($Y$22="6L",$Z$22,IF($AB$22="6L",$AC$22,IF($AE$22="6L",$AF$22,IF($AH$22="6L",$AI$22,IF($AK$22="6L",$AL$22,IF($AN$22="6L",$AO$22,IF($AQ$22="6L",$AR$22,""))))))))))</f>
        <v/>
      </c>
      <c r="AY22" s="29" t="str">
        <f>IF($P$22="7L",$Q$22,IF($S$22="7L",$T$22,IF($V$22="7L",$W$22,IF($Y$22="7L",$Z$22,IF($AB$22="7L",$AC$22,IF($AE$22="7L",$AF$22,IF($AH$22="7L",$AI$22,IF($AK$22="7L",$AL$22,IF($AN$22="7L",$AO$22,IF($AQ$22="7L",$AR$22,""))))))))))</f>
        <v/>
      </c>
      <c r="AZ22" s="29" t="str">
        <f t="shared" si="12"/>
        <v/>
      </c>
      <c r="BA22" s="29" t="str">
        <f t="shared" si="13"/>
        <v/>
      </c>
      <c r="BB22" s="29" t="str">
        <f t="shared" si="14"/>
        <v/>
      </c>
      <c r="BC22" s="29" t="str">
        <f t="shared" si="15"/>
        <v/>
      </c>
      <c r="BD22" s="29" t="str">
        <f>IF($P$22="FUM",$Q$22,IF($S$22="FUM",$T$22,IF($V$22="FUM",$W$22,IF($Y$22="FUM",$Z$22,IF($AB$22="FUM",$AC$22,IF($AE$22="FUM",$AF$22,IF($AH$22="FUM",$AI$22,IF($AK$22="FUM",$AL$22,IF($AN$22="FUM",$AO$22,IF($AQ$22="FUM",$AR$22,""))))))))))</f>
        <v/>
      </c>
    </row>
    <row r="23" spans="8:56" hidden="1" x14ac:dyDescent="0.25">
      <c r="H23" s="4">
        <f t="shared" si="1"/>
        <v>0</v>
      </c>
      <c r="I23" s="4">
        <f t="shared" si="1"/>
        <v>0</v>
      </c>
      <c r="J23" s="4">
        <f t="shared" si="1"/>
        <v>0</v>
      </c>
      <c r="K23" s="4">
        <f t="shared" si="1"/>
        <v>0</v>
      </c>
      <c r="L23" s="4">
        <f t="shared" si="1"/>
        <v>0</v>
      </c>
      <c r="O23" s="28">
        <f t="shared" si="16"/>
        <v>0</v>
      </c>
      <c r="P23" s="4">
        <f t="shared" si="2"/>
        <v>0</v>
      </c>
      <c r="Q23" s="4">
        <f t="shared" si="2"/>
        <v>0</v>
      </c>
      <c r="R23" s="4">
        <f t="shared" si="2"/>
        <v>0</v>
      </c>
      <c r="S23" s="4">
        <f t="shared" si="3"/>
        <v>0</v>
      </c>
      <c r="T23" s="4">
        <f t="shared" si="3"/>
        <v>0</v>
      </c>
      <c r="U23" s="4">
        <f t="shared" si="3"/>
        <v>0</v>
      </c>
      <c r="V23" s="4">
        <f t="shared" si="4"/>
        <v>0</v>
      </c>
      <c r="W23" s="4">
        <f t="shared" si="4"/>
        <v>0</v>
      </c>
      <c r="X23" s="4">
        <f t="shared" si="4"/>
        <v>0</v>
      </c>
      <c r="Y23" s="4">
        <f t="shared" si="5"/>
        <v>0</v>
      </c>
      <c r="Z23" s="4">
        <f t="shared" si="5"/>
        <v>0</v>
      </c>
      <c r="AA23" s="4">
        <f t="shared" si="5"/>
        <v>0</v>
      </c>
      <c r="AB23" s="4">
        <f t="shared" si="6"/>
        <v>0</v>
      </c>
      <c r="AC23" s="4">
        <f t="shared" si="6"/>
        <v>0</v>
      </c>
      <c r="AD23" s="4">
        <f t="shared" si="6"/>
        <v>0</v>
      </c>
      <c r="AE23" s="4">
        <f t="shared" si="7"/>
        <v>0</v>
      </c>
      <c r="AF23" s="4">
        <f t="shared" si="7"/>
        <v>0</v>
      </c>
      <c r="AG23" s="4">
        <f t="shared" si="7"/>
        <v>0</v>
      </c>
      <c r="AH23" s="4">
        <f t="shared" si="8"/>
        <v>0</v>
      </c>
      <c r="AI23" s="4">
        <f t="shared" si="8"/>
        <v>0</v>
      </c>
      <c r="AJ23" s="4">
        <f t="shared" si="8"/>
        <v>0</v>
      </c>
      <c r="AK23" s="4">
        <f t="shared" si="9"/>
        <v>0</v>
      </c>
      <c r="AL23" s="4">
        <f t="shared" si="9"/>
        <v>0</v>
      </c>
      <c r="AM23" s="4">
        <f t="shared" si="9"/>
        <v>0</v>
      </c>
      <c r="AN23" s="4">
        <f t="shared" si="10"/>
        <v>0</v>
      </c>
      <c r="AO23" s="4">
        <f t="shared" si="10"/>
        <v>0</v>
      </c>
      <c r="AP23" s="4">
        <f t="shared" si="10"/>
        <v>0</v>
      </c>
      <c r="AQ23" s="4">
        <f t="shared" si="11"/>
        <v>0</v>
      </c>
      <c r="AR23" s="4">
        <f t="shared" si="11"/>
        <v>0</v>
      </c>
      <c r="AT23" s="28">
        <v>10</v>
      </c>
      <c r="AU23" s="29" t="str">
        <f>IF($P$23="3L",$Q$23,IF($S$23="3L",$T$23,IF($V$23="3L",$W$23,IF($Y$23="3L",$Z$23,IF($AB$23="3L",$AC$23,IF($AE$23="3L",$AF$23,IF($AH$23="3L",$AI$23,IF($AK$23="3L",$AL$23,IF($AN$23="3L",$AO$23,IF($AQ$23="3L",$AR$23,""))))))))))</f>
        <v/>
      </c>
      <c r="AV23" s="29" t="str">
        <f>IF($P$23="4L",$Q$23,IF($S$23="4L",$T$23,IF($V$23="4L",$W$23,IF($Y$23="4L",$Z$23,IF($AB$23="4L",$AC$23,IF($AE$23="4L",$AF$23,IF($AH$23="4L",$AI$23,IF($AK$23="4L",$AL$23,IF($AN$23="4L",$AO$23,IF($AQ$23="4L",$AR$23,""))))))))))</f>
        <v/>
      </c>
      <c r="AW23" s="29" t="str">
        <f>IF($P$23="5L",$Q$23,IF($S$23="5L",$T$23,IF($V$23="5L",$W$23,IF($Y$23="5L",$Z$23,IF($AB$23="5L",$AC$23,IF($AE$23="5L",$AF$23,IF($AH$23="5L",$AI$23,IF($AK$23="5L",$AL$23,IF($AN$23="5L",$AO$23,IF($AQ$23="5L",$AR$23,""))))))))))</f>
        <v/>
      </c>
      <c r="AX23" s="29" t="str">
        <f>IF($P$23="6L",$Q$23,IF($S$23="6L",$T$23,IF($V$23="6L",$W$23,IF($Y$23="6L",$Z$23,IF($AB$23="6L",$AC$23,IF($AE$23="6L",$AF$23,IF($AH$23="6L",$AI$23,IF($AK$23="6L",$AL$23,IF($AN$23="6L",$AO$23,IF($AQ$23="6L",$AR$23,""))))))))))</f>
        <v/>
      </c>
      <c r="AY23" s="29" t="str">
        <f>IF($P$23="7L",$Q$23,IF($S$23="7L",$T$23,IF($V$23="7L",$W$23,IF($Y$23="7L",$Z$23,IF($AB$23="7L",$AC$23,IF($AE$23="7L",$AF$23,IF($AH$23="7L",$AI$23,IF($AK$23="7L",$AL$23,IF($AN$23="7L",$AO$23,IF($AQ$23="7L",$AR$23,""))))))))))</f>
        <v/>
      </c>
      <c r="AZ23" s="29" t="str">
        <f t="shared" si="12"/>
        <v/>
      </c>
      <c r="BA23" s="29" t="str">
        <f t="shared" si="13"/>
        <v/>
      </c>
      <c r="BB23" s="29" t="str">
        <f t="shared" si="14"/>
        <v/>
      </c>
      <c r="BC23" s="29" t="str">
        <f t="shared" si="15"/>
        <v/>
      </c>
      <c r="BD23" s="29" t="str">
        <f>IF($P$23="FUM",$Q$23,IF($S$23="FUM",$T$23,IF($V$23="FUM",$W$23,IF($Y$23="FUM",$Z$23,IF($AB$23="FUM",$AC$23,IF($AE$23="FUM",$AF$23,IF($AH$23="FUM",$AI$23,IF($AK$23="FUM",$AL$23,IF($AN$23="FUM",$AO$23,IF($AQ$23="FUM",$AR$23,""))))))))))</f>
        <v/>
      </c>
    </row>
    <row r="24" spans="8:56" hidden="1" x14ac:dyDescent="0.25">
      <c r="H24" s="4" t="str">
        <f t="shared" ref="H24:L33" si="17">P2</f>
        <v>AG</v>
      </c>
      <c r="I24" s="4">
        <f t="shared" si="17"/>
        <v>1000</v>
      </c>
      <c r="J24" s="4">
        <f t="shared" si="17"/>
        <v>10</v>
      </c>
      <c r="K24" s="4" t="str">
        <f t="shared" si="17"/>
        <v>Y</v>
      </c>
      <c r="L24" s="4" t="str">
        <f t="shared" si="17"/>
        <v>3L</v>
      </c>
    </row>
    <row r="25" spans="8:56" hidden="1" x14ac:dyDescent="0.25">
      <c r="H25" s="4">
        <f t="shared" si="17"/>
        <v>0</v>
      </c>
      <c r="I25" s="4">
        <f t="shared" si="17"/>
        <v>0</v>
      </c>
      <c r="J25" s="4">
        <f t="shared" si="17"/>
        <v>0</v>
      </c>
      <c r="K25" s="4">
        <f t="shared" si="17"/>
        <v>0</v>
      </c>
      <c r="L25" s="4">
        <f t="shared" si="17"/>
        <v>0</v>
      </c>
    </row>
    <row r="26" spans="8:56" hidden="1" x14ac:dyDescent="0.25">
      <c r="H26" s="4">
        <f t="shared" si="17"/>
        <v>0</v>
      </c>
      <c r="I26" s="4">
        <f t="shared" si="17"/>
        <v>0</v>
      </c>
      <c r="J26" s="4">
        <f t="shared" si="17"/>
        <v>0</v>
      </c>
      <c r="K26" s="4">
        <f t="shared" si="17"/>
        <v>0</v>
      </c>
      <c r="L26" s="4">
        <f t="shared" si="17"/>
        <v>0</v>
      </c>
    </row>
    <row r="27" spans="8:56" hidden="1" x14ac:dyDescent="0.25">
      <c r="H27" s="4">
        <f t="shared" si="17"/>
        <v>0</v>
      </c>
      <c r="I27" s="4">
        <f t="shared" si="17"/>
        <v>0</v>
      </c>
      <c r="J27" s="4">
        <f t="shared" si="17"/>
        <v>0</v>
      </c>
      <c r="K27" s="4">
        <f t="shared" si="17"/>
        <v>0</v>
      </c>
      <c r="L27" s="4">
        <f t="shared" si="17"/>
        <v>0</v>
      </c>
    </row>
    <row r="28" spans="8:56" hidden="1" x14ac:dyDescent="0.25">
      <c r="H28" s="4">
        <f t="shared" si="17"/>
        <v>0</v>
      </c>
      <c r="I28" s="4">
        <f t="shared" si="17"/>
        <v>0</v>
      </c>
      <c r="J28" s="4">
        <f t="shared" si="17"/>
        <v>0</v>
      </c>
      <c r="K28" s="4">
        <f t="shared" si="17"/>
        <v>0</v>
      </c>
      <c r="L28" s="4">
        <f t="shared" si="17"/>
        <v>0</v>
      </c>
    </row>
    <row r="29" spans="8:56" hidden="1" x14ac:dyDescent="0.25"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</row>
    <row r="30" spans="8:56" hidden="1" x14ac:dyDescent="0.25">
      <c r="H30" s="4">
        <f t="shared" si="17"/>
        <v>0</v>
      </c>
      <c r="I30" s="4">
        <f t="shared" si="17"/>
        <v>0</v>
      </c>
      <c r="J30" s="4">
        <f t="shared" si="17"/>
        <v>0</v>
      </c>
      <c r="K30" s="4">
        <f t="shared" si="17"/>
        <v>0</v>
      </c>
      <c r="L30" s="4">
        <f t="shared" si="17"/>
        <v>0</v>
      </c>
    </row>
    <row r="31" spans="8:56" hidden="1" x14ac:dyDescent="0.25">
      <c r="H31" s="4">
        <f t="shared" si="17"/>
        <v>0</v>
      </c>
      <c r="I31" s="4">
        <f t="shared" si="17"/>
        <v>0</v>
      </c>
      <c r="J31" s="4">
        <f t="shared" si="17"/>
        <v>0</v>
      </c>
      <c r="K31" s="4">
        <f t="shared" si="17"/>
        <v>0</v>
      </c>
      <c r="L31" s="4">
        <f t="shared" si="17"/>
        <v>0</v>
      </c>
    </row>
    <row r="32" spans="8:56" hidden="1" x14ac:dyDescent="0.25">
      <c r="H32" s="4">
        <f t="shared" si="17"/>
        <v>0</v>
      </c>
      <c r="I32" s="4">
        <f t="shared" si="17"/>
        <v>0</v>
      </c>
      <c r="J32" s="4">
        <f t="shared" si="17"/>
        <v>0</v>
      </c>
      <c r="K32" s="4">
        <f t="shared" si="17"/>
        <v>0</v>
      </c>
      <c r="L32" s="4">
        <f t="shared" si="17"/>
        <v>0</v>
      </c>
    </row>
    <row r="33" spans="8:12" hidden="1" x14ac:dyDescent="0.25">
      <c r="H33" s="4">
        <f t="shared" si="17"/>
        <v>0</v>
      </c>
      <c r="I33" s="4">
        <f t="shared" si="17"/>
        <v>0</v>
      </c>
      <c r="J33" s="4">
        <f t="shared" si="17"/>
        <v>0</v>
      </c>
      <c r="K33" s="4">
        <f t="shared" si="17"/>
        <v>0</v>
      </c>
      <c r="L33" s="4">
        <f t="shared" si="17"/>
        <v>0</v>
      </c>
    </row>
    <row r="34" spans="8:12" hidden="1" x14ac:dyDescent="0.25">
      <c r="H34" s="4" t="str">
        <f t="shared" ref="H34:L43" si="18">V2</f>
        <v>AG</v>
      </c>
      <c r="I34" s="4">
        <f t="shared" si="18"/>
        <v>750</v>
      </c>
      <c r="J34" s="4">
        <f t="shared" si="18"/>
        <v>10</v>
      </c>
      <c r="K34" s="4" t="str">
        <f t="shared" si="18"/>
        <v>Y</v>
      </c>
      <c r="L34" s="4" t="str">
        <f t="shared" si="18"/>
        <v>3L</v>
      </c>
    </row>
    <row r="35" spans="8:12" hidden="1" x14ac:dyDescent="0.25">
      <c r="H35" s="4">
        <f t="shared" si="18"/>
        <v>0</v>
      </c>
      <c r="I35" s="4">
        <f t="shared" si="18"/>
        <v>0</v>
      </c>
      <c r="J35" s="4">
        <f t="shared" si="18"/>
        <v>0</v>
      </c>
      <c r="K35" s="4">
        <f t="shared" si="18"/>
        <v>0</v>
      </c>
      <c r="L35" s="4">
        <f t="shared" si="18"/>
        <v>0</v>
      </c>
    </row>
    <row r="36" spans="8:12" hidden="1" x14ac:dyDescent="0.25">
      <c r="H36" s="4">
        <f t="shared" si="18"/>
        <v>0</v>
      </c>
      <c r="I36" s="4">
        <f t="shared" si="18"/>
        <v>0</v>
      </c>
      <c r="J36" s="4">
        <f t="shared" si="18"/>
        <v>0</v>
      </c>
      <c r="K36" s="4">
        <f t="shared" si="18"/>
        <v>0</v>
      </c>
      <c r="L36" s="4">
        <f t="shared" si="18"/>
        <v>0</v>
      </c>
    </row>
    <row r="37" spans="8:12" hidden="1" x14ac:dyDescent="0.25">
      <c r="H37" s="4">
        <f t="shared" si="18"/>
        <v>0</v>
      </c>
      <c r="I37" s="4">
        <f t="shared" si="18"/>
        <v>0</v>
      </c>
      <c r="J37" s="4">
        <f t="shared" si="18"/>
        <v>0</v>
      </c>
      <c r="K37" s="4">
        <f t="shared" si="18"/>
        <v>0</v>
      </c>
      <c r="L37" s="4">
        <f t="shared" si="18"/>
        <v>0</v>
      </c>
    </row>
    <row r="38" spans="8:12" hidden="1" x14ac:dyDescent="0.25">
      <c r="H38" s="4">
        <f t="shared" si="18"/>
        <v>0</v>
      </c>
      <c r="I38" s="4">
        <f t="shared" si="18"/>
        <v>0</v>
      </c>
      <c r="J38" s="4">
        <f t="shared" si="18"/>
        <v>0</v>
      </c>
      <c r="K38" s="4">
        <f t="shared" si="18"/>
        <v>0</v>
      </c>
      <c r="L38" s="4">
        <f t="shared" si="18"/>
        <v>0</v>
      </c>
    </row>
    <row r="39" spans="8:12" hidden="1" x14ac:dyDescent="0.25">
      <c r="H39" s="4">
        <f t="shared" si="18"/>
        <v>0</v>
      </c>
      <c r="I39" s="4">
        <f t="shared" si="18"/>
        <v>0</v>
      </c>
      <c r="J39" s="4">
        <f t="shared" si="18"/>
        <v>0</v>
      </c>
      <c r="K39" s="4">
        <f t="shared" si="18"/>
        <v>0</v>
      </c>
      <c r="L39" s="4">
        <f t="shared" si="18"/>
        <v>0</v>
      </c>
    </row>
    <row r="40" spans="8:12" hidden="1" x14ac:dyDescent="0.25">
      <c r="H40" s="4">
        <f t="shared" si="18"/>
        <v>0</v>
      </c>
      <c r="I40" s="4">
        <f t="shared" si="18"/>
        <v>0</v>
      </c>
      <c r="J40" s="4">
        <f t="shared" si="18"/>
        <v>0</v>
      </c>
      <c r="K40" s="4">
        <f t="shared" si="18"/>
        <v>0</v>
      </c>
      <c r="L40" s="4">
        <f t="shared" si="18"/>
        <v>0</v>
      </c>
    </row>
    <row r="41" spans="8:12" hidden="1" x14ac:dyDescent="0.25">
      <c r="H41" s="4">
        <f t="shared" si="18"/>
        <v>0</v>
      </c>
      <c r="I41" s="4">
        <f t="shared" si="18"/>
        <v>0</v>
      </c>
      <c r="J41" s="4">
        <f t="shared" si="18"/>
        <v>0</v>
      </c>
      <c r="K41" s="4">
        <f t="shared" si="18"/>
        <v>0</v>
      </c>
      <c r="L41" s="4">
        <f t="shared" si="18"/>
        <v>0</v>
      </c>
    </row>
    <row r="42" spans="8:12" hidden="1" x14ac:dyDescent="0.25">
      <c r="H42" s="4">
        <f t="shared" si="18"/>
        <v>0</v>
      </c>
      <c r="I42" s="4">
        <f t="shared" si="18"/>
        <v>0</v>
      </c>
      <c r="J42" s="4">
        <f t="shared" si="18"/>
        <v>0</v>
      </c>
      <c r="K42" s="4">
        <f t="shared" si="18"/>
        <v>0</v>
      </c>
      <c r="L42" s="4">
        <f t="shared" si="18"/>
        <v>0</v>
      </c>
    </row>
    <row r="43" spans="8:12" hidden="1" x14ac:dyDescent="0.25">
      <c r="H43" s="4">
        <f t="shared" si="18"/>
        <v>0</v>
      </c>
      <c r="I43" s="4">
        <f t="shared" si="18"/>
        <v>0</v>
      </c>
      <c r="J43" s="4">
        <f t="shared" si="18"/>
        <v>0</v>
      </c>
      <c r="K43" s="4">
        <f t="shared" si="18"/>
        <v>0</v>
      </c>
      <c r="L43" s="4">
        <f t="shared" si="18"/>
        <v>0</v>
      </c>
    </row>
    <row r="44" spans="8:12" hidden="1" x14ac:dyDescent="0.25">
      <c r="H44" s="4" t="str">
        <f t="shared" ref="H44:L53" si="19">AB2</f>
        <v>AG</v>
      </c>
      <c r="I44" s="4">
        <f t="shared" si="19"/>
        <v>500</v>
      </c>
      <c r="J44" s="4">
        <f t="shared" si="19"/>
        <v>20</v>
      </c>
      <c r="K44" s="4" t="str">
        <f t="shared" si="19"/>
        <v>Y</v>
      </c>
      <c r="L44" s="4" t="str">
        <f t="shared" si="19"/>
        <v>3L</v>
      </c>
    </row>
    <row r="45" spans="8:12" hidden="1" x14ac:dyDescent="0.25">
      <c r="H45" s="4">
        <f t="shared" si="19"/>
        <v>0</v>
      </c>
      <c r="I45" s="4">
        <f t="shared" si="19"/>
        <v>0</v>
      </c>
      <c r="J45" s="4">
        <f t="shared" si="19"/>
        <v>0</v>
      </c>
      <c r="K45" s="4">
        <f t="shared" si="19"/>
        <v>0</v>
      </c>
      <c r="L45" s="4">
        <f t="shared" si="19"/>
        <v>0</v>
      </c>
    </row>
    <row r="46" spans="8:12" hidden="1" x14ac:dyDescent="0.25">
      <c r="H46" s="4">
        <f t="shared" si="19"/>
        <v>0</v>
      </c>
      <c r="I46" s="4">
        <f t="shared" si="19"/>
        <v>0</v>
      </c>
      <c r="J46" s="4">
        <f t="shared" si="19"/>
        <v>0</v>
      </c>
      <c r="K46" s="4">
        <f t="shared" si="19"/>
        <v>0</v>
      </c>
      <c r="L46" s="4">
        <f t="shared" si="19"/>
        <v>0</v>
      </c>
    </row>
    <row r="47" spans="8:12" hidden="1" x14ac:dyDescent="0.25">
      <c r="H47" s="4">
        <f t="shared" si="19"/>
        <v>0</v>
      </c>
      <c r="I47" s="4">
        <f t="shared" si="19"/>
        <v>0</v>
      </c>
      <c r="J47" s="4">
        <f t="shared" si="19"/>
        <v>0</v>
      </c>
      <c r="K47" s="4">
        <f t="shared" si="19"/>
        <v>0</v>
      </c>
      <c r="L47" s="4">
        <f t="shared" si="19"/>
        <v>0</v>
      </c>
    </row>
    <row r="48" spans="8:12" hidden="1" x14ac:dyDescent="0.25">
      <c r="H48" s="4">
        <f t="shared" si="19"/>
        <v>0</v>
      </c>
      <c r="I48" s="4">
        <f t="shared" si="19"/>
        <v>0</v>
      </c>
      <c r="J48" s="4">
        <f t="shared" si="19"/>
        <v>0</v>
      </c>
      <c r="K48" s="4">
        <f t="shared" si="19"/>
        <v>0</v>
      </c>
      <c r="L48" s="4">
        <f t="shared" si="19"/>
        <v>0</v>
      </c>
    </row>
    <row r="49" spans="8:12" hidden="1" x14ac:dyDescent="0.25">
      <c r="H49" s="4">
        <f t="shared" si="19"/>
        <v>0</v>
      </c>
      <c r="I49" s="4">
        <f t="shared" si="19"/>
        <v>0</v>
      </c>
      <c r="J49" s="4">
        <f t="shared" si="19"/>
        <v>0</v>
      </c>
      <c r="K49" s="4">
        <f t="shared" si="19"/>
        <v>0</v>
      </c>
      <c r="L49" s="4">
        <f t="shared" si="19"/>
        <v>0</v>
      </c>
    </row>
    <row r="50" spans="8:12" hidden="1" x14ac:dyDescent="0.25">
      <c r="H50" s="4">
        <f t="shared" si="19"/>
        <v>0</v>
      </c>
      <c r="I50" s="4">
        <f t="shared" si="19"/>
        <v>0</v>
      </c>
      <c r="J50" s="4">
        <f t="shared" si="19"/>
        <v>0</v>
      </c>
      <c r="K50" s="4">
        <f t="shared" si="19"/>
        <v>0</v>
      </c>
      <c r="L50" s="4">
        <f t="shared" si="19"/>
        <v>0</v>
      </c>
    </row>
    <row r="51" spans="8:12" hidden="1" x14ac:dyDescent="0.25">
      <c r="H51" s="4">
        <f t="shared" si="19"/>
        <v>0</v>
      </c>
      <c r="I51" s="4">
        <f t="shared" si="19"/>
        <v>0</v>
      </c>
      <c r="J51" s="4">
        <f t="shared" si="19"/>
        <v>0</v>
      </c>
      <c r="K51" s="4">
        <f t="shared" si="19"/>
        <v>0</v>
      </c>
      <c r="L51" s="4">
        <f t="shared" si="19"/>
        <v>0</v>
      </c>
    </row>
    <row r="52" spans="8:12" hidden="1" x14ac:dyDescent="0.25">
      <c r="H52" s="4">
        <f t="shared" si="19"/>
        <v>0</v>
      </c>
      <c r="I52" s="4">
        <f t="shared" si="19"/>
        <v>0</v>
      </c>
      <c r="J52" s="4">
        <f t="shared" si="19"/>
        <v>0</v>
      </c>
      <c r="K52" s="4">
        <f t="shared" si="19"/>
        <v>0</v>
      </c>
      <c r="L52" s="4">
        <f t="shared" si="19"/>
        <v>0</v>
      </c>
    </row>
    <row r="53" spans="8:12" hidden="1" x14ac:dyDescent="0.25">
      <c r="H53" s="4">
        <f t="shared" si="19"/>
        <v>0</v>
      </c>
      <c r="I53" s="4">
        <f t="shared" si="19"/>
        <v>0</v>
      </c>
      <c r="J53" s="4">
        <f t="shared" si="19"/>
        <v>0</v>
      </c>
      <c r="K53" s="4">
        <f t="shared" si="19"/>
        <v>0</v>
      </c>
      <c r="L53" s="4">
        <f t="shared" si="19"/>
        <v>0</v>
      </c>
    </row>
    <row r="54" spans="8:12" hidden="1" x14ac:dyDescent="0.25">
      <c r="H54" s="4">
        <f t="shared" ref="H54:L63" si="20">AH2</f>
        <v>0</v>
      </c>
      <c r="I54" s="4">
        <f t="shared" si="20"/>
        <v>0</v>
      </c>
      <c r="J54" s="4">
        <f t="shared" si="20"/>
        <v>0</v>
      </c>
      <c r="K54" s="4">
        <f t="shared" si="20"/>
        <v>0</v>
      </c>
      <c r="L54" s="4">
        <f t="shared" si="20"/>
        <v>0</v>
      </c>
    </row>
    <row r="55" spans="8:12" hidden="1" x14ac:dyDescent="0.25">
      <c r="H55" s="4">
        <f t="shared" si="20"/>
        <v>0</v>
      </c>
      <c r="I55" s="4">
        <f t="shared" si="20"/>
        <v>0</v>
      </c>
      <c r="J55" s="4">
        <f t="shared" si="20"/>
        <v>0</v>
      </c>
      <c r="K55" s="4">
        <f t="shared" si="20"/>
        <v>0</v>
      </c>
      <c r="L55" s="4">
        <f t="shared" si="20"/>
        <v>0</v>
      </c>
    </row>
    <row r="56" spans="8:12" hidden="1" x14ac:dyDescent="0.25">
      <c r="H56" s="4">
        <f t="shared" si="20"/>
        <v>0</v>
      </c>
      <c r="I56" s="4">
        <f t="shared" si="20"/>
        <v>0</v>
      </c>
      <c r="J56" s="4">
        <f t="shared" si="20"/>
        <v>0</v>
      </c>
      <c r="K56" s="4">
        <f t="shared" si="20"/>
        <v>0</v>
      </c>
      <c r="L56" s="4">
        <f t="shared" si="20"/>
        <v>0</v>
      </c>
    </row>
    <row r="57" spans="8:12" hidden="1" x14ac:dyDescent="0.25">
      <c r="H57" s="4">
        <f t="shared" si="20"/>
        <v>0</v>
      </c>
      <c r="I57" s="4">
        <f t="shared" si="20"/>
        <v>0</v>
      </c>
      <c r="J57" s="4">
        <f t="shared" si="20"/>
        <v>0</v>
      </c>
      <c r="K57" s="4">
        <f t="shared" si="20"/>
        <v>0</v>
      </c>
      <c r="L57" s="4">
        <f t="shared" si="20"/>
        <v>0</v>
      </c>
    </row>
    <row r="58" spans="8:12" hidden="1" x14ac:dyDescent="0.25">
      <c r="H58" s="4">
        <f t="shared" si="20"/>
        <v>0</v>
      </c>
      <c r="I58" s="4">
        <f t="shared" si="20"/>
        <v>0</v>
      </c>
      <c r="J58" s="4">
        <f t="shared" si="20"/>
        <v>0</v>
      </c>
      <c r="K58" s="4">
        <f t="shared" si="20"/>
        <v>0</v>
      </c>
      <c r="L58" s="4">
        <f t="shared" si="20"/>
        <v>0</v>
      </c>
    </row>
    <row r="59" spans="8:12" hidden="1" x14ac:dyDescent="0.25">
      <c r="H59" s="4">
        <f t="shared" si="20"/>
        <v>0</v>
      </c>
      <c r="I59" s="4">
        <f t="shared" si="20"/>
        <v>0</v>
      </c>
      <c r="J59" s="4">
        <f t="shared" si="20"/>
        <v>0</v>
      </c>
      <c r="K59" s="4">
        <f t="shared" si="20"/>
        <v>0</v>
      </c>
      <c r="L59" s="4">
        <f t="shared" si="20"/>
        <v>0</v>
      </c>
    </row>
    <row r="60" spans="8:12" hidden="1" x14ac:dyDescent="0.25">
      <c r="H60" s="4">
        <f t="shared" si="20"/>
        <v>0</v>
      </c>
      <c r="I60" s="4">
        <f t="shared" si="20"/>
        <v>0</v>
      </c>
      <c r="J60" s="4">
        <f t="shared" si="20"/>
        <v>0</v>
      </c>
      <c r="K60" s="4">
        <f t="shared" si="20"/>
        <v>0</v>
      </c>
      <c r="L60" s="4">
        <f t="shared" si="20"/>
        <v>0</v>
      </c>
    </row>
    <row r="61" spans="8:12" hidden="1" x14ac:dyDescent="0.25">
      <c r="H61" s="4">
        <f t="shared" si="20"/>
        <v>0</v>
      </c>
      <c r="I61" s="4">
        <f t="shared" si="20"/>
        <v>0</v>
      </c>
      <c r="J61" s="4">
        <f t="shared" si="20"/>
        <v>0</v>
      </c>
      <c r="K61" s="4">
        <f t="shared" si="20"/>
        <v>0</v>
      </c>
      <c r="L61" s="4">
        <f t="shared" si="20"/>
        <v>0</v>
      </c>
    </row>
    <row r="62" spans="8:12" hidden="1" x14ac:dyDescent="0.25">
      <c r="H62" s="4">
        <f t="shared" si="20"/>
        <v>0</v>
      </c>
      <c r="I62" s="4">
        <f t="shared" si="20"/>
        <v>0</v>
      </c>
      <c r="J62" s="4">
        <f t="shared" si="20"/>
        <v>0</v>
      </c>
      <c r="K62" s="4">
        <f t="shared" si="20"/>
        <v>0</v>
      </c>
      <c r="L62" s="4">
        <f t="shared" si="20"/>
        <v>0</v>
      </c>
    </row>
    <row r="63" spans="8:12" hidden="1" x14ac:dyDescent="0.25">
      <c r="H63" s="4">
        <f t="shared" si="20"/>
        <v>0</v>
      </c>
      <c r="I63" s="4">
        <f t="shared" si="20"/>
        <v>0</v>
      </c>
      <c r="J63" s="4">
        <f t="shared" si="20"/>
        <v>0</v>
      </c>
      <c r="K63" s="4">
        <f t="shared" si="20"/>
        <v>0</v>
      </c>
      <c r="L63" s="4">
        <f t="shared" si="20"/>
        <v>0</v>
      </c>
    </row>
    <row r="64" spans="8:12" hidden="1" x14ac:dyDescent="0.25">
      <c r="H64" s="4">
        <f t="shared" ref="H64:L73" si="21">AN2</f>
        <v>0</v>
      </c>
      <c r="I64" s="4">
        <f t="shared" si="21"/>
        <v>0</v>
      </c>
      <c r="J64" s="4">
        <f t="shared" si="21"/>
        <v>0</v>
      </c>
      <c r="K64" s="4">
        <f t="shared" si="21"/>
        <v>0</v>
      </c>
      <c r="L64" s="4">
        <f t="shared" si="21"/>
        <v>0</v>
      </c>
    </row>
    <row r="65" spans="8:12" hidden="1" x14ac:dyDescent="0.25">
      <c r="H65" s="4">
        <f t="shared" si="21"/>
        <v>0</v>
      </c>
      <c r="I65" s="4">
        <f t="shared" si="21"/>
        <v>0</v>
      </c>
      <c r="J65" s="4">
        <f t="shared" si="21"/>
        <v>0</v>
      </c>
      <c r="K65" s="4">
        <f t="shared" si="21"/>
        <v>0</v>
      </c>
      <c r="L65" s="4">
        <f t="shared" si="21"/>
        <v>0</v>
      </c>
    </row>
    <row r="66" spans="8:12" hidden="1" x14ac:dyDescent="0.25">
      <c r="H66" s="4">
        <f t="shared" si="21"/>
        <v>0</v>
      </c>
      <c r="I66" s="4">
        <f t="shared" si="21"/>
        <v>0</v>
      </c>
      <c r="J66" s="4">
        <f t="shared" si="21"/>
        <v>0</v>
      </c>
      <c r="K66" s="4">
        <f t="shared" si="21"/>
        <v>0</v>
      </c>
      <c r="L66" s="4">
        <f t="shared" si="21"/>
        <v>0</v>
      </c>
    </row>
    <row r="67" spans="8:12" hidden="1" x14ac:dyDescent="0.25">
      <c r="H67" s="4">
        <f t="shared" si="21"/>
        <v>0</v>
      </c>
      <c r="I67" s="4">
        <f t="shared" si="21"/>
        <v>0</v>
      </c>
      <c r="J67" s="4">
        <f t="shared" si="21"/>
        <v>0</v>
      </c>
      <c r="K67" s="4">
        <f t="shared" si="21"/>
        <v>0</v>
      </c>
      <c r="L67" s="4">
        <f t="shared" si="21"/>
        <v>0</v>
      </c>
    </row>
    <row r="68" spans="8:12" hidden="1" x14ac:dyDescent="0.25">
      <c r="H68" s="4">
        <f t="shared" si="21"/>
        <v>0</v>
      </c>
      <c r="I68" s="4">
        <f t="shared" si="21"/>
        <v>0</v>
      </c>
      <c r="J68" s="4">
        <f t="shared" si="21"/>
        <v>0</v>
      </c>
      <c r="K68" s="4">
        <f t="shared" si="21"/>
        <v>0</v>
      </c>
      <c r="L68" s="4">
        <f t="shared" si="21"/>
        <v>0</v>
      </c>
    </row>
    <row r="69" spans="8:12" hidden="1" x14ac:dyDescent="0.25">
      <c r="H69" s="4">
        <f t="shared" si="21"/>
        <v>0</v>
      </c>
      <c r="I69" s="4">
        <f t="shared" si="21"/>
        <v>0</v>
      </c>
      <c r="J69" s="4">
        <f t="shared" si="21"/>
        <v>0</v>
      </c>
      <c r="K69" s="4">
        <f t="shared" si="21"/>
        <v>0</v>
      </c>
      <c r="L69" s="4">
        <f t="shared" si="21"/>
        <v>0</v>
      </c>
    </row>
    <row r="70" spans="8:12" hidden="1" x14ac:dyDescent="0.25">
      <c r="H70" s="4">
        <f t="shared" si="21"/>
        <v>0</v>
      </c>
      <c r="I70" s="4">
        <f t="shared" si="21"/>
        <v>0</v>
      </c>
      <c r="J70" s="4">
        <f t="shared" si="21"/>
        <v>0</v>
      </c>
      <c r="K70" s="4">
        <f t="shared" si="21"/>
        <v>0</v>
      </c>
      <c r="L70" s="4">
        <f t="shared" si="21"/>
        <v>0</v>
      </c>
    </row>
    <row r="71" spans="8:12" hidden="1" x14ac:dyDescent="0.25">
      <c r="H71" s="4">
        <f t="shared" si="21"/>
        <v>0</v>
      </c>
      <c r="I71" s="4">
        <f t="shared" si="21"/>
        <v>0</v>
      </c>
      <c r="J71" s="4">
        <f t="shared" si="21"/>
        <v>0</v>
      </c>
      <c r="K71" s="4">
        <f t="shared" si="21"/>
        <v>0</v>
      </c>
      <c r="L71" s="4">
        <f t="shared" si="21"/>
        <v>0</v>
      </c>
    </row>
    <row r="72" spans="8:12" hidden="1" x14ac:dyDescent="0.25">
      <c r="H72" s="4">
        <f t="shared" si="21"/>
        <v>0</v>
      </c>
      <c r="I72" s="4">
        <f t="shared" si="21"/>
        <v>0</v>
      </c>
      <c r="J72" s="4">
        <f t="shared" si="21"/>
        <v>0</v>
      </c>
      <c r="K72" s="4">
        <f t="shared" si="21"/>
        <v>0</v>
      </c>
      <c r="L72" s="4">
        <f t="shared" si="21"/>
        <v>0</v>
      </c>
    </row>
    <row r="73" spans="8:12" hidden="1" x14ac:dyDescent="0.25">
      <c r="H73" s="4">
        <f t="shared" si="21"/>
        <v>0</v>
      </c>
      <c r="I73" s="4">
        <f t="shared" si="21"/>
        <v>0</v>
      </c>
      <c r="J73" s="4">
        <f t="shared" si="21"/>
        <v>0</v>
      </c>
      <c r="K73" s="4">
        <f t="shared" si="21"/>
        <v>0</v>
      </c>
      <c r="L73" s="4">
        <f t="shared" si="21"/>
        <v>0</v>
      </c>
    </row>
    <row r="74" spans="8:12" hidden="1" x14ac:dyDescent="0.25">
      <c r="H74" s="4">
        <f t="shared" ref="H74:L83" si="22">AT2</f>
        <v>0</v>
      </c>
      <c r="I74" s="4">
        <f t="shared" si="22"/>
        <v>0</v>
      </c>
      <c r="J74" s="4">
        <f t="shared" si="22"/>
        <v>0</v>
      </c>
      <c r="K74" s="4">
        <f t="shared" si="22"/>
        <v>0</v>
      </c>
      <c r="L74" s="4">
        <f t="shared" si="22"/>
        <v>0</v>
      </c>
    </row>
    <row r="75" spans="8:12" hidden="1" x14ac:dyDescent="0.25">
      <c r="H75" s="4">
        <f t="shared" si="22"/>
        <v>0</v>
      </c>
      <c r="I75" s="4">
        <f t="shared" si="22"/>
        <v>0</v>
      </c>
      <c r="J75" s="4">
        <f t="shared" si="22"/>
        <v>0</v>
      </c>
      <c r="K75" s="4">
        <f t="shared" si="22"/>
        <v>0</v>
      </c>
      <c r="L75" s="4">
        <f t="shared" si="22"/>
        <v>0</v>
      </c>
    </row>
    <row r="76" spans="8:12" hidden="1" x14ac:dyDescent="0.25"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0</v>
      </c>
    </row>
    <row r="77" spans="8:12" hidden="1" x14ac:dyDescent="0.25">
      <c r="H77" s="4">
        <f t="shared" si="22"/>
        <v>0</v>
      </c>
      <c r="I77" s="4">
        <f t="shared" si="22"/>
        <v>0</v>
      </c>
      <c r="J77" s="4">
        <f t="shared" si="22"/>
        <v>0</v>
      </c>
      <c r="K77" s="4">
        <f t="shared" si="22"/>
        <v>0</v>
      </c>
      <c r="L77" s="4">
        <f t="shared" si="22"/>
        <v>0</v>
      </c>
    </row>
    <row r="78" spans="8:12" hidden="1" x14ac:dyDescent="0.25">
      <c r="H78" s="4">
        <f t="shared" si="22"/>
        <v>0</v>
      </c>
      <c r="I78" s="4">
        <f t="shared" si="22"/>
        <v>0</v>
      </c>
      <c r="J78" s="4">
        <f t="shared" si="22"/>
        <v>0</v>
      </c>
      <c r="K78" s="4">
        <f t="shared" si="22"/>
        <v>0</v>
      </c>
      <c r="L78" s="4">
        <f t="shared" si="22"/>
        <v>0</v>
      </c>
    </row>
    <row r="79" spans="8:12" hidden="1" x14ac:dyDescent="0.25">
      <c r="H79" s="4">
        <f t="shared" si="22"/>
        <v>0</v>
      </c>
      <c r="I79" s="4">
        <f t="shared" si="22"/>
        <v>0</v>
      </c>
      <c r="J79" s="4">
        <f t="shared" si="22"/>
        <v>0</v>
      </c>
      <c r="K79" s="4">
        <f t="shared" si="22"/>
        <v>0</v>
      </c>
      <c r="L79" s="4">
        <f t="shared" si="22"/>
        <v>0</v>
      </c>
    </row>
    <row r="80" spans="8:12" hidden="1" x14ac:dyDescent="0.25">
      <c r="H80" s="4">
        <f t="shared" si="22"/>
        <v>0</v>
      </c>
      <c r="I80" s="4">
        <f t="shared" si="22"/>
        <v>0</v>
      </c>
      <c r="J80" s="4">
        <f t="shared" si="22"/>
        <v>0</v>
      </c>
      <c r="K80" s="4">
        <f t="shared" si="22"/>
        <v>0</v>
      </c>
      <c r="L80" s="4">
        <f t="shared" si="22"/>
        <v>0</v>
      </c>
    </row>
    <row r="81" spans="8:12" hidden="1" x14ac:dyDescent="0.25">
      <c r="H81" s="4">
        <f t="shared" si="22"/>
        <v>0</v>
      </c>
      <c r="I81" s="4">
        <f t="shared" si="22"/>
        <v>0</v>
      </c>
      <c r="J81" s="4">
        <f t="shared" si="22"/>
        <v>0</v>
      </c>
      <c r="K81" s="4">
        <f t="shared" si="22"/>
        <v>0</v>
      </c>
      <c r="L81" s="4">
        <f t="shared" si="22"/>
        <v>0</v>
      </c>
    </row>
    <row r="82" spans="8:12" hidden="1" x14ac:dyDescent="0.25"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</row>
    <row r="83" spans="8:12" hidden="1" x14ac:dyDescent="0.25">
      <c r="H83" s="4">
        <f t="shared" si="22"/>
        <v>0</v>
      </c>
      <c r="I83" s="4">
        <f t="shared" si="22"/>
        <v>0</v>
      </c>
      <c r="J83" s="4">
        <f t="shared" si="22"/>
        <v>0</v>
      </c>
      <c r="K83" s="4">
        <f t="shared" si="22"/>
        <v>0</v>
      </c>
      <c r="L83" s="4">
        <f t="shared" si="22"/>
        <v>0</v>
      </c>
    </row>
    <row r="84" spans="8:12" hidden="1" x14ac:dyDescent="0.25">
      <c r="H84" s="4">
        <f t="shared" ref="H84:L93" si="23">AZ2</f>
        <v>0</v>
      </c>
      <c r="I84" s="4">
        <f t="shared" si="23"/>
        <v>0</v>
      </c>
      <c r="J84" s="4">
        <f t="shared" si="23"/>
        <v>0</v>
      </c>
      <c r="K84" s="4">
        <f t="shared" si="23"/>
        <v>0</v>
      </c>
      <c r="L84" s="4">
        <f t="shared" si="23"/>
        <v>0</v>
      </c>
    </row>
    <row r="85" spans="8:12" hidden="1" x14ac:dyDescent="0.25">
      <c r="H85" s="4">
        <f t="shared" si="23"/>
        <v>0</v>
      </c>
      <c r="I85" s="4">
        <f t="shared" si="23"/>
        <v>0</v>
      </c>
      <c r="J85" s="4">
        <f t="shared" si="23"/>
        <v>0</v>
      </c>
      <c r="K85" s="4">
        <f t="shared" si="23"/>
        <v>0</v>
      </c>
      <c r="L85" s="4">
        <f t="shared" si="23"/>
        <v>0</v>
      </c>
    </row>
    <row r="86" spans="8:12" hidden="1" x14ac:dyDescent="0.25">
      <c r="H86" s="4">
        <f t="shared" si="23"/>
        <v>0</v>
      </c>
      <c r="I86" s="4">
        <f t="shared" si="23"/>
        <v>0</v>
      </c>
      <c r="J86" s="4">
        <f t="shared" si="23"/>
        <v>0</v>
      </c>
      <c r="K86" s="4">
        <f t="shared" si="23"/>
        <v>0</v>
      </c>
      <c r="L86" s="4">
        <f t="shared" si="23"/>
        <v>0</v>
      </c>
    </row>
    <row r="87" spans="8:12" hidden="1" x14ac:dyDescent="0.25">
      <c r="H87" s="4">
        <f t="shared" si="23"/>
        <v>0</v>
      </c>
      <c r="I87" s="4">
        <f t="shared" si="23"/>
        <v>0</v>
      </c>
      <c r="J87" s="4">
        <f t="shared" si="23"/>
        <v>0</v>
      </c>
      <c r="K87" s="4">
        <f t="shared" si="23"/>
        <v>0</v>
      </c>
      <c r="L87" s="4">
        <f t="shared" si="23"/>
        <v>0</v>
      </c>
    </row>
    <row r="88" spans="8:12" hidden="1" x14ac:dyDescent="0.25">
      <c r="H88" s="4">
        <f t="shared" si="23"/>
        <v>0</v>
      </c>
      <c r="I88" s="4">
        <f t="shared" si="23"/>
        <v>0</v>
      </c>
      <c r="J88" s="4">
        <f t="shared" si="23"/>
        <v>0</v>
      </c>
      <c r="K88" s="4">
        <f t="shared" si="23"/>
        <v>0</v>
      </c>
      <c r="L88" s="4">
        <f t="shared" si="23"/>
        <v>0</v>
      </c>
    </row>
    <row r="89" spans="8:12" hidden="1" x14ac:dyDescent="0.25">
      <c r="H89" s="4">
        <f t="shared" si="23"/>
        <v>0</v>
      </c>
      <c r="I89" s="4">
        <f t="shared" si="23"/>
        <v>0</v>
      </c>
      <c r="J89" s="4">
        <f t="shared" si="23"/>
        <v>0</v>
      </c>
      <c r="K89" s="4">
        <f t="shared" si="23"/>
        <v>0</v>
      </c>
      <c r="L89" s="4">
        <f t="shared" si="23"/>
        <v>0</v>
      </c>
    </row>
    <row r="90" spans="8:12" hidden="1" x14ac:dyDescent="0.25">
      <c r="H90" s="4">
        <f t="shared" si="23"/>
        <v>0</v>
      </c>
      <c r="I90" s="4">
        <f t="shared" si="23"/>
        <v>0</v>
      </c>
      <c r="J90" s="4">
        <f t="shared" si="23"/>
        <v>0</v>
      </c>
      <c r="K90" s="4">
        <f t="shared" si="23"/>
        <v>0</v>
      </c>
      <c r="L90" s="4">
        <f t="shared" si="23"/>
        <v>0</v>
      </c>
    </row>
    <row r="91" spans="8:12" hidden="1" x14ac:dyDescent="0.25">
      <c r="H91" s="4">
        <f t="shared" si="23"/>
        <v>0</v>
      </c>
      <c r="I91" s="4">
        <f t="shared" si="23"/>
        <v>0</v>
      </c>
      <c r="J91" s="4">
        <f t="shared" si="23"/>
        <v>0</v>
      </c>
      <c r="K91" s="4">
        <f t="shared" si="23"/>
        <v>0</v>
      </c>
      <c r="L91" s="4">
        <f t="shared" si="23"/>
        <v>0</v>
      </c>
    </row>
    <row r="92" spans="8:12" hidden="1" x14ac:dyDescent="0.25">
      <c r="H92" s="4">
        <f t="shared" si="23"/>
        <v>0</v>
      </c>
      <c r="I92" s="4">
        <f t="shared" si="23"/>
        <v>0</v>
      </c>
      <c r="J92" s="4">
        <f t="shared" si="23"/>
        <v>0</v>
      </c>
      <c r="K92" s="4">
        <f t="shared" si="23"/>
        <v>0</v>
      </c>
      <c r="L92" s="4">
        <f t="shared" si="23"/>
        <v>0</v>
      </c>
    </row>
    <row r="93" spans="8:12" hidden="1" x14ac:dyDescent="0.25">
      <c r="H93" s="4">
        <f t="shared" si="23"/>
        <v>0</v>
      </c>
      <c r="I93" s="4">
        <f t="shared" si="23"/>
        <v>0</v>
      </c>
      <c r="J93" s="4">
        <f t="shared" si="23"/>
        <v>0</v>
      </c>
      <c r="K93" s="4">
        <f t="shared" si="23"/>
        <v>0</v>
      </c>
      <c r="L93" s="4">
        <f t="shared" si="23"/>
        <v>0</v>
      </c>
    </row>
    <row r="94" spans="8:12" hidden="1" x14ac:dyDescent="0.25">
      <c r="H94" s="4">
        <f t="shared" ref="H94:L103" si="24">BF2</f>
        <v>0</v>
      </c>
      <c r="I94" s="4">
        <f t="shared" si="24"/>
        <v>0</v>
      </c>
      <c r="J94" s="4">
        <f t="shared" si="24"/>
        <v>0</v>
      </c>
      <c r="K94" s="4">
        <f t="shared" si="24"/>
        <v>0</v>
      </c>
      <c r="L94" s="4">
        <f t="shared" si="24"/>
        <v>0</v>
      </c>
    </row>
    <row r="95" spans="8:12" hidden="1" x14ac:dyDescent="0.25">
      <c r="H95" s="4">
        <f t="shared" si="24"/>
        <v>0</v>
      </c>
      <c r="I95" s="4">
        <f t="shared" si="24"/>
        <v>0</v>
      </c>
      <c r="J95" s="4">
        <f t="shared" si="24"/>
        <v>0</v>
      </c>
      <c r="K95" s="4">
        <f t="shared" si="24"/>
        <v>0</v>
      </c>
      <c r="L95" s="4">
        <f t="shared" si="24"/>
        <v>0</v>
      </c>
    </row>
    <row r="96" spans="8:12" hidden="1" x14ac:dyDescent="0.25">
      <c r="H96" s="4">
        <f t="shared" si="24"/>
        <v>0</v>
      </c>
      <c r="I96" s="4">
        <f t="shared" si="24"/>
        <v>0</v>
      </c>
      <c r="J96" s="4">
        <f t="shared" si="24"/>
        <v>0</v>
      </c>
      <c r="K96" s="4">
        <f t="shared" si="24"/>
        <v>0</v>
      </c>
      <c r="L96" s="4">
        <f t="shared" si="24"/>
        <v>0</v>
      </c>
    </row>
    <row r="97" spans="8:12" hidden="1" x14ac:dyDescent="0.25">
      <c r="H97" s="4">
        <f t="shared" si="24"/>
        <v>0</v>
      </c>
      <c r="I97" s="4">
        <f t="shared" si="24"/>
        <v>0</v>
      </c>
      <c r="J97" s="4">
        <f t="shared" si="24"/>
        <v>0</v>
      </c>
      <c r="K97" s="4">
        <f t="shared" si="24"/>
        <v>0</v>
      </c>
      <c r="L97" s="4">
        <f t="shared" si="24"/>
        <v>0</v>
      </c>
    </row>
    <row r="98" spans="8:12" hidden="1" x14ac:dyDescent="0.25">
      <c r="H98" s="4">
        <f t="shared" si="24"/>
        <v>0</v>
      </c>
      <c r="I98" s="4">
        <f t="shared" si="24"/>
        <v>0</v>
      </c>
      <c r="J98" s="4">
        <f t="shared" si="24"/>
        <v>0</v>
      </c>
      <c r="K98" s="4">
        <f t="shared" si="24"/>
        <v>0</v>
      </c>
      <c r="L98" s="4">
        <f t="shared" si="24"/>
        <v>0</v>
      </c>
    </row>
    <row r="99" spans="8:12" hidden="1" x14ac:dyDescent="0.25">
      <c r="H99" s="4">
        <f t="shared" si="24"/>
        <v>0</v>
      </c>
      <c r="I99" s="4">
        <f t="shared" si="24"/>
        <v>0</v>
      </c>
      <c r="J99" s="4">
        <f t="shared" si="24"/>
        <v>0</v>
      </c>
      <c r="K99" s="4">
        <f t="shared" si="24"/>
        <v>0</v>
      </c>
      <c r="L99" s="4">
        <f t="shared" si="24"/>
        <v>0</v>
      </c>
    </row>
    <row r="100" spans="8:12" hidden="1" x14ac:dyDescent="0.25">
      <c r="H100" s="4">
        <f t="shared" si="24"/>
        <v>0</v>
      </c>
      <c r="I100" s="4">
        <f t="shared" si="24"/>
        <v>0</v>
      </c>
      <c r="J100" s="4">
        <f t="shared" si="24"/>
        <v>0</v>
      </c>
      <c r="K100" s="4">
        <f t="shared" si="24"/>
        <v>0</v>
      </c>
      <c r="L100" s="4">
        <f t="shared" si="24"/>
        <v>0</v>
      </c>
    </row>
    <row r="101" spans="8:12" hidden="1" x14ac:dyDescent="0.25">
      <c r="H101" s="4">
        <f t="shared" si="24"/>
        <v>0</v>
      </c>
      <c r="I101" s="4">
        <f t="shared" si="24"/>
        <v>0</v>
      </c>
      <c r="J101" s="4">
        <f t="shared" si="24"/>
        <v>0</v>
      </c>
      <c r="K101" s="4">
        <f t="shared" si="24"/>
        <v>0</v>
      </c>
      <c r="L101" s="4">
        <f t="shared" si="24"/>
        <v>0</v>
      </c>
    </row>
    <row r="102" spans="8:12" hidden="1" x14ac:dyDescent="0.25">
      <c r="H102" s="4">
        <f t="shared" si="24"/>
        <v>0</v>
      </c>
      <c r="I102" s="4">
        <f t="shared" si="24"/>
        <v>0</v>
      </c>
      <c r="J102" s="4">
        <f t="shared" si="24"/>
        <v>0</v>
      </c>
      <c r="K102" s="4">
        <f t="shared" si="24"/>
        <v>0</v>
      </c>
      <c r="L102" s="4">
        <f t="shared" si="24"/>
        <v>0</v>
      </c>
    </row>
    <row r="103" spans="8:12" hidden="1" x14ac:dyDescent="0.25">
      <c r="H103" s="4">
        <f t="shared" si="24"/>
        <v>0</v>
      </c>
      <c r="I103" s="4">
        <f t="shared" si="24"/>
        <v>0</v>
      </c>
      <c r="J103" s="4">
        <f t="shared" si="24"/>
        <v>0</v>
      </c>
      <c r="K103" s="4">
        <f t="shared" si="24"/>
        <v>0</v>
      </c>
      <c r="L103" s="4">
        <f t="shared" si="24"/>
        <v>0</v>
      </c>
    </row>
    <row r="104" spans="8:12" hidden="1" x14ac:dyDescent="0.25">
      <c r="H104" s="4">
        <f t="shared" ref="H104:L113" si="25">BL2</f>
        <v>0</v>
      </c>
      <c r="I104" s="4">
        <f t="shared" si="25"/>
        <v>0</v>
      </c>
      <c r="J104" s="4">
        <f t="shared" si="25"/>
        <v>0</v>
      </c>
      <c r="K104" s="4">
        <f t="shared" si="25"/>
        <v>0</v>
      </c>
      <c r="L104" s="4">
        <f t="shared" si="25"/>
        <v>0</v>
      </c>
    </row>
    <row r="105" spans="8:12" hidden="1" x14ac:dyDescent="0.25">
      <c r="H105" s="4">
        <f t="shared" si="25"/>
        <v>0</v>
      </c>
      <c r="I105" s="4">
        <f t="shared" si="25"/>
        <v>0</v>
      </c>
      <c r="J105" s="4">
        <f t="shared" si="25"/>
        <v>0</v>
      </c>
      <c r="K105" s="4">
        <f t="shared" si="25"/>
        <v>0</v>
      </c>
      <c r="L105" s="4">
        <f t="shared" si="25"/>
        <v>0</v>
      </c>
    </row>
    <row r="106" spans="8:12" hidden="1" x14ac:dyDescent="0.25">
      <c r="H106" s="4">
        <f t="shared" si="25"/>
        <v>0</v>
      </c>
      <c r="I106" s="4">
        <f t="shared" si="25"/>
        <v>0</v>
      </c>
      <c r="J106" s="4">
        <f t="shared" si="25"/>
        <v>0</v>
      </c>
      <c r="K106" s="4">
        <f t="shared" si="25"/>
        <v>0</v>
      </c>
      <c r="L106" s="4">
        <f t="shared" si="25"/>
        <v>0</v>
      </c>
    </row>
    <row r="107" spans="8:12" hidden="1" x14ac:dyDescent="0.25">
      <c r="H107" s="4">
        <f t="shared" si="25"/>
        <v>0</v>
      </c>
      <c r="I107" s="4">
        <f t="shared" si="25"/>
        <v>0</v>
      </c>
      <c r="J107" s="4">
        <f t="shared" si="25"/>
        <v>0</v>
      </c>
      <c r="K107" s="4">
        <f t="shared" si="25"/>
        <v>0</v>
      </c>
      <c r="L107" s="4">
        <f t="shared" si="25"/>
        <v>0</v>
      </c>
    </row>
    <row r="108" spans="8:12" hidden="1" x14ac:dyDescent="0.25">
      <c r="H108" s="4">
        <f t="shared" si="25"/>
        <v>0</v>
      </c>
      <c r="I108" s="4">
        <f t="shared" si="25"/>
        <v>0</v>
      </c>
      <c r="J108" s="4">
        <f t="shared" si="25"/>
        <v>0</v>
      </c>
      <c r="K108" s="4">
        <f t="shared" si="25"/>
        <v>0</v>
      </c>
      <c r="L108" s="4">
        <f t="shared" si="25"/>
        <v>0</v>
      </c>
    </row>
    <row r="109" spans="8:12" hidden="1" x14ac:dyDescent="0.25">
      <c r="H109" s="4">
        <f t="shared" si="25"/>
        <v>0</v>
      </c>
      <c r="I109" s="4">
        <f t="shared" si="25"/>
        <v>0</v>
      </c>
      <c r="J109" s="4">
        <f t="shared" si="25"/>
        <v>0</v>
      </c>
      <c r="K109" s="4">
        <f t="shared" si="25"/>
        <v>0</v>
      </c>
      <c r="L109" s="4">
        <f t="shared" si="25"/>
        <v>0</v>
      </c>
    </row>
    <row r="110" spans="8:12" hidden="1" x14ac:dyDescent="0.25">
      <c r="H110" s="4">
        <f t="shared" si="25"/>
        <v>0</v>
      </c>
      <c r="I110" s="4">
        <f t="shared" si="25"/>
        <v>0</v>
      </c>
      <c r="J110" s="4">
        <f t="shared" si="25"/>
        <v>0</v>
      </c>
      <c r="K110" s="4">
        <f t="shared" si="25"/>
        <v>0</v>
      </c>
      <c r="L110" s="4">
        <f t="shared" si="25"/>
        <v>0</v>
      </c>
    </row>
    <row r="111" spans="8:12" hidden="1" x14ac:dyDescent="0.25">
      <c r="H111" s="4">
        <f t="shared" si="25"/>
        <v>0</v>
      </c>
      <c r="I111" s="4">
        <f t="shared" si="25"/>
        <v>0</v>
      </c>
      <c r="J111" s="4">
        <f t="shared" si="25"/>
        <v>0</v>
      </c>
      <c r="K111" s="4">
        <f t="shared" si="25"/>
        <v>0</v>
      </c>
      <c r="L111" s="4">
        <f t="shared" si="25"/>
        <v>0</v>
      </c>
    </row>
    <row r="112" spans="8:12" hidden="1" x14ac:dyDescent="0.25">
      <c r="H112" s="4">
        <f t="shared" si="25"/>
        <v>0</v>
      </c>
      <c r="I112" s="4">
        <f t="shared" si="25"/>
        <v>0</v>
      </c>
      <c r="J112" s="4">
        <f t="shared" si="25"/>
        <v>0</v>
      </c>
      <c r="K112" s="4">
        <f t="shared" si="25"/>
        <v>0</v>
      </c>
      <c r="L112" s="4">
        <f t="shared" si="25"/>
        <v>0</v>
      </c>
    </row>
    <row r="113" spans="1:62" hidden="1" x14ac:dyDescent="0.25">
      <c r="H113" s="45">
        <f t="shared" si="25"/>
        <v>0</v>
      </c>
      <c r="I113" s="45">
        <f t="shared" si="25"/>
        <v>0</v>
      </c>
      <c r="J113" s="4">
        <f t="shared" si="25"/>
        <v>0</v>
      </c>
      <c r="K113" s="4">
        <f t="shared" si="25"/>
        <v>0</v>
      </c>
      <c r="L113" s="4">
        <f t="shared" si="25"/>
        <v>0</v>
      </c>
    </row>
    <row r="114" spans="1:62" x14ac:dyDescent="0.25">
      <c r="A114" s="168" t="s">
        <v>85</v>
      </c>
      <c r="B114" s="169"/>
      <c r="C114" s="170"/>
      <c r="D114" s="171">
        <v>46008</v>
      </c>
      <c r="E114" s="172"/>
      <c r="F114" s="172"/>
      <c r="G114" s="172"/>
      <c r="H114" s="46"/>
      <c r="I114" s="54"/>
    </row>
    <row r="115" spans="1:62" ht="15.75" thickBot="1" x14ac:dyDescent="0.3">
      <c r="A115" s="110"/>
      <c r="B115" s="110"/>
      <c r="C115" s="110"/>
      <c r="D115" s="110"/>
      <c r="E115" s="110"/>
      <c r="F115" s="110"/>
      <c r="G115" s="110"/>
      <c r="H115" s="54"/>
      <c r="I115" s="54"/>
    </row>
    <row r="116" spans="1:62" ht="16.5" thickBot="1" x14ac:dyDescent="0.3">
      <c r="A116" s="173" t="s">
        <v>248</v>
      </c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5"/>
      <c r="AH116" s="118" t="s">
        <v>35</v>
      </c>
      <c r="AI116" s="118"/>
      <c r="AJ116" s="118" t="str">
        <f>F2</f>
        <v>AP08</v>
      </c>
      <c r="AK116" s="118"/>
      <c r="AL116" s="118"/>
      <c r="AN116" s="118" t="s">
        <v>35</v>
      </c>
      <c r="AO116" s="118"/>
      <c r="AP116" s="118">
        <f>F3</f>
        <v>0</v>
      </c>
      <c r="AQ116" s="118"/>
      <c r="AR116" s="118"/>
      <c r="AT116" s="118" t="s">
        <v>35</v>
      </c>
      <c r="AU116" s="118"/>
      <c r="AV116" s="118">
        <f>F4</f>
        <v>0</v>
      </c>
      <c r="AW116" s="118"/>
      <c r="AX116" s="118"/>
      <c r="AZ116" s="118" t="s">
        <v>35</v>
      </c>
      <c r="BA116" s="118"/>
      <c r="BB116" s="118">
        <f>F5</f>
        <v>0</v>
      </c>
      <c r="BC116" s="118"/>
      <c r="BD116" s="118"/>
      <c r="BF116" s="118" t="s">
        <v>35</v>
      </c>
      <c r="BG116" s="118"/>
      <c r="BH116" s="118">
        <f>F6</f>
        <v>0</v>
      </c>
      <c r="BI116" s="118"/>
      <c r="BJ116" s="118"/>
    </row>
    <row r="117" spans="1:62" x14ac:dyDescent="0.25">
      <c r="A117" s="123" t="s">
        <v>31</v>
      </c>
      <c r="B117" s="113" t="s">
        <v>22</v>
      </c>
      <c r="C117" s="114"/>
      <c r="D117" s="114"/>
      <c r="E117" s="114"/>
      <c r="F117" s="115"/>
      <c r="G117" s="113" t="s">
        <v>20</v>
      </c>
      <c r="H117" s="114"/>
      <c r="I117" s="114"/>
      <c r="J117" s="114"/>
      <c r="K117" s="115"/>
      <c r="L117" s="113" t="s">
        <v>34</v>
      </c>
      <c r="M117" s="114"/>
      <c r="N117" s="114"/>
      <c r="O117" s="114"/>
      <c r="P117" s="115"/>
      <c r="Q117" s="113" t="s">
        <v>127</v>
      </c>
      <c r="R117" s="114"/>
      <c r="S117" s="114"/>
      <c r="T117" s="114"/>
      <c r="U117" s="115"/>
      <c r="V117" s="113" t="s">
        <v>129</v>
      </c>
      <c r="W117" s="114"/>
      <c r="X117" s="114"/>
      <c r="Y117" s="114"/>
      <c r="Z117" s="115"/>
      <c r="AA117" s="113" t="s">
        <v>26</v>
      </c>
      <c r="AB117" s="114"/>
      <c r="AC117" s="114"/>
      <c r="AD117" s="114"/>
      <c r="AE117" s="115"/>
      <c r="AF117" s="116" t="s">
        <v>24</v>
      </c>
      <c r="AG117" s="116" t="s">
        <v>86</v>
      </c>
      <c r="AH117" s="118" t="str">
        <f>G2</f>
        <v>PAWAN PUTRA AGENCY</v>
      </c>
      <c r="AI117" s="118"/>
      <c r="AJ117" s="118"/>
      <c r="AK117" s="118"/>
      <c r="AL117" s="118"/>
      <c r="AN117" s="118">
        <f>G3</f>
        <v>0</v>
      </c>
      <c r="AO117" s="118"/>
      <c r="AP117" s="118"/>
      <c r="AQ117" s="118"/>
      <c r="AR117" s="118"/>
      <c r="AT117" s="118">
        <f>G4</f>
        <v>0</v>
      </c>
      <c r="AU117" s="118"/>
      <c r="AV117" s="118"/>
      <c r="AW117" s="118"/>
      <c r="AX117" s="118"/>
      <c r="AZ117" s="118">
        <f>G5</f>
        <v>0</v>
      </c>
      <c r="BA117" s="118"/>
      <c r="BB117" s="118"/>
      <c r="BC117" s="118"/>
      <c r="BD117" s="118"/>
      <c r="BF117" s="118">
        <f>G6</f>
        <v>0</v>
      </c>
      <c r="BG117" s="118"/>
      <c r="BH117" s="118"/>
      <c r="BI117" s="118"/>
      <c r="BJ117" s="118"/>
    </row>
    <row r="118" spans="1:62" ht="15.75" thickBot="1" x14ac:dyDescent="0.3">
      <c r="A118" s="124"/>
      <c r="B118" s="9" t="s">
        <v>32</v>
      </c>
      <c r="C118" s="12" t="s">
        <v>17</v>
      </c>
      <c r="D118" s="12" t="s">
        <v>19</v>
      </c>
      <c r="E118" s="12" t="s">
        <v>33</v>
      </c>
      <c r="F118" s="14" t="s">
        <v>80</v>
      </c>
      <c r="G118" s="9" t="s">
        <v>32</v>
      </c>
      <c r="H118" s="12" t="s">
        <v>17</v>
      </c>
      <c r="I118" s="12" t="s">
        <v>19</v>
      </c>
      <c r="J118" s="12" t="s">
        <v>33</v>
      </c>
      <c r="K118" s="14" t="s">
        <v>80</v>
      </c>
      <c r="L118" s="9" t="s">
        <v>32</v>
      </c>
      <c r="M118" s="12" t="s">
        <v>17</v>
      </c>
      <c r="N118" s="12" t="s">
        <v>19</v>
      </c>
      <c r="O118" s="12" t="s">
        <v>33</v>
      </c>
      <c r="P118" s="14" t="s">
        <v>80</v>
      </c>
      <c r="Q118" s="9" t="s">
        <v>32</v>
      </c>
      <c r="R118" s="12" t="s">
        <v>17</v>
      </c>
      <c r="S118" s="12" t="s">
        <v>19</v>
      </c>
      <c r="T118" s="12" t="s">
        <v>33</v>
      </c>
      <c r="U118" s="14" t="s">
        <v>80</v>
      </c>
      <c r="V118" s="9" t="s">
        <v>32</v>
      </c>
      <c r="W118" s="12" t="s">
        <v>17</v>
      </c>
      <c r="X118" s="12" t="s">
        <v>19</v>
      </c>
      <c r="Y118" s="12" t="s">
        <v>33</v>
      </c>
      <c r="Z118" s="14" t="s">
        <v>80</v>
      </c>
      <c r="AA118" s="9" t="s">
        <v>32</v>
      </c>
      <c r="AB118" s="12" t="s">
        <v>17</v>
      </c>
      <c r="AC118" s="12" t="s">
        <v>19</v>
      </c>
      <c r="AD118" s="12" t="s">
        <v>33</v>
      </c>
      <c r="AE118" s="14" t="s">
        <v>80</v>
      </c>
      <c r="AF118" s="117"/>
      <c r="AG118" s="117"/>
      <c r="AH118" s="118" t="str">
        <f>H2</f>
        <v>TIRUPATHI</v>
      </c>
      <c r="AI118" s="118"/>
      <c r="AJ118" s="118"/>
      <c r="AK118" s="118"/>
      <c r="AL118" s="118"/>
      <c r="AN118" s="118">
        <f>H3</f>
        <v>0</v>
      </c>
      <c r="AO118" s="118"/>
      <c r="AP118" s="118"/>
      <c r="AQ118" s="118"/>
      <c r="AR118" s="118"/>
      <c r="AT118" s="118">
        <f>H4</f>
        <v>0</v>
      </c>
      <c r="AU118" s="118"/>
      <c r="AV118" s="118"/>
      <c r="AW118" s="118"/>
      <c r="AX118" s="118"/>
      <c r="AZ118" s="118">
        <f>H5</f>
        <v>0</v>
      </c>
      <c r="BA118" s="118"/>
      <c r="BB118" s="118"/>
      <c r="BC118" s="118"/>
      <c r="BD118" s="118"/>
      <c r="BF118" s="118">
        <f>H6</f>
        <v>0</v>
      </c>
      <c r="BG118" s="118"/>
      <c r="BH118" s="118"/>
      <c r="BI118" s="118"/>
      <c r="BJ118" s="118"/>
    </row>
    <row r="119" spans="1:62" ht="15.75" thickBot="1" x14ac:dyDescent="0.3">
      <c r="A119" s="16">
        <v>300</v>
      </c>
      <c r="B119" s="10">
        <f t="shared" ref="B119:F127" si="26">SUMIFS($J$14:$J$113,$I$14:$I$113,$A119,$K$14:$K$113,B$118,$L$14:$L$113,$B$117,$H$14:$H$113,"AG")</f>
        <v>0</v>
      </c>
      <c r="C119" s="11">
        <f t="shared" si="26"/>
        <v>0</v>
      </c>
      <c r="D119" s="11">
        <f t="shared" si="26"/>
        <v>0</v>
      </c>
      <c r="E119" s="11">
        <f t="shared" si="26"/>
        <v>0</v>
      </c>
      <c r="F119" s="17">
        <f t="shared" si="26"/>
        <v>0</v>
      </c>
      <c r="G119" s="10">
        <f t="shared" ref="G119:K127" si="27">SUMIFS($J$14:$J$113,$I$14:$I$113,$A119,$K$14:$K$113,G$118,$L$14:$L$113,$G$117,$H$14:$H$113,"AG")</f>
        <v>0</v>
      </c>
      <c r="H119" s="11">
        <f t="shared" si="27"/>
        <v>0</v>
      </c>
      <c r="I119" s="11">
        <f t="shared" si="27"/>
        <v>0</v>
      </c>
      <c r="J119" s="11">
        <f t="shared" si="27"/>
        <v>0</v>
      </c>
      <c r="K119" s="17">
        <f t="shared" si="27"/>
        <v>0</v>
      </c>
      <c r="L119" s="10">
        <f t="shared" ref="L119:P127" si="28">SUMIFS($J$14:$J$113,$I$14:$I$113,$A119,$K$14:$K$113,L$118,$L$14:$L$113,$L$117,$H$14:$H$113,"AG")</f>
        <v>0</v>
      </c>
      <c r="M119" s="11">
        <f t="shared" si="28"/>
        <v>0</v>
      </c>
      <c r="N119" s="11">
        <f t="shared" si="28"/>
        <v>0</v>
      </c>
      <c r="O119" s="11">
        <f t="shared" si="28"/>
        <v>0</v>
      </c>
      <c r="P119" s="17">
        <f t="shared" si="28"/>
        <v>0</v>
      </c>
      <c r="Q119" s="10">
        <f t="shared" ref="Q119:U127" si="29">SUMIFS($J$14:$J$113,$I$14:$I$113,$A119,$K$14:$K$113,Q$118,$L$14:$L$113,$Q$117,$H$14:$H$113,"AG")</f>
        <v>0</v>
      </c>
      <c r="R119" s="11">
        <f t="shared" si="29"/>
        <v>0</v>
      </c>
      <c r="S119" s="11">
        <f t="shared" si="29"/>
        <v>0</v>
      </c>
      <c r="T119" s="11">
        <f t="shared" si="29"/>
        <v>0</v>
      </c>
      <c r="U119" s="17">
        <f t="shared" si="29"/>
        <v>0</v>
      </c>
      <c r="V119" s="10">
        <f t="shared" ref="V119:AE127" si="30">SUMIFS($J$14:$J$113,$I$14:$I$113,$A119,$K$14:$K$113,V$118,$L$14:$L$113,$L$117,$H$14:$H$113,"AG")</f>
        <v>0</v>
      </c>
      <c r="W119" s="11">
        <f t="shared" si="30"/>
        <v>0</v>
      </c>
      <c r="X119" s="11">
        <f t="shared" si="30"/>
        <v>0</v>
      </c>
      <c r="Y119" s="11">
        <f t="shared" si="30"/>
        <v>0</v>
      </c>
      <c r="Z119" s="17">
        <f t="shared" si="30"/>
        <v>0</v>
      </c>
      <c r="AA119" s="10">
        <f t="shared" si="30"/>
        <v>0</v>
      </c>
      <c r="AB119" s="11">
        <f t="shared" si="30"/>
        <v>0</v>
      </c>
      <c r="AC119" s="11">
        <f t="shared" si="30"/>
        <v>0</v>
      </c>
      <c r="AD119" s="11">
        <f t="shared" si="30"/>
        <v>0</v>
      </c>
      <c r="AE119" s="17">
        <f t="shared" si="30"/>
        <v>0</v>
      </c>
      <c r="AF119" s="16">
        <f>SUM(B119:AE119)*A119</f>
        <v>0</v>
      </c>
      <c r="AG119" s="16">
        <f>SUM(B119:AE119)</f>
        <v>0</v>
      </c>
      <c r="AH119" s="30" t="s">
        <v>136</v>
      </c>
      <c r="AI119" s="30" t="s">
        <v>27</v>
      </c>
      <c r="AJ119" s="30" t="s">
        <v>28</v>
      </c>
      <c r="AK119" s="30" t="s">
        <v>29</v>
      </c>
      <c r="AL119" s="30" t="s">
        <v>30</v>
      </c>
      <c r="AN119" s="30" t="s">
        <v>136</v>
      </c>
      <c r="AO119" s="30" t="s">
        <v>27</v>
      </c>
      <c r="AP119" s="30" t="s">
        <v>28</v>
      </c>
      <c r="AQ119" s="30" t="s">
        <v>29</v>
      </c>
      <c r="AR119" s="30" t="s">
        <v>30</v>
      </c>
      <c r="AT119" s="30" t="s">
        <v>136</v>
      </c>
      <c r="AU119" s="30" t="s">
        <v>27</v>
      </c>
      <c r="AV119" s="30" t="s">
        <v>28</v>
      </c>
      <c r="AW119" s="30" t="s">
        <v>29</v>
      </c>
      <c r="AX119" s="30" t="s">
        <v>30</v>
      </c>
      <c r="AZ119" s="30" t="s">
        <v>136</v>
      </c>
      <c r="BA119" s="30" t="s">
        <v>27</v>
      </c>
      <c r="BB119" s="30" t="s">
        <v>28</v>
      </c>
      <c r="BC119" s="30" t="s">
        <v>29</v>
      </c>
      <c r="BD119" s="30" t="s">
        <v>30</v>
      </c>
      <c r="BF119" s="30" t="s">
        <v>136</v>
      </c>
      <c r="BG119" s="30" t="s">
        <v>27</v>
      </c>
      <c r="BH119" s="30" t="s">
        <v>28</v>
      </c>
      <c r="BI119" s="30" t="s">
        <v>29</v>
      </c>
      <c r="BJ119" s="30" t="s">
        <v>30</v>
      </c>
    </row>
    <row r="120" spans="1:62" x14ac:dyDescent="0.25">
      <c r="A120" s="16">
        <v>500</v>
      </c>
      <c r="B120" s="10">
        <f t="shared" si="26"/>
        <v>0</v>
      </c>
      <c r="C120" s="11">
        <f t="shared" si="26"/>
        <v>20</v>
      </c>
      <c r="D120" s="11">
        <f t="shared" si="26"/>
        <v>0</v>
      </c>
      <c r="E120" s="11">
        <f t="shared" si="26"/>
        <v>0</v>
      </c>
      <c r="F120" s="17">
        <f t="shared" si="26"/>
        <v>0</v>
      </c>
      <c r="G120" s="10">
        <f t="shared" si="27"/>
        <v>0</v>
      </c>
      <c r="H120" s="11">
        <f t="shared" si="27"/>
        <v>0</v>
      </c>
      <c r="I120" s="11">
        <f t="shared" si="27"/>
        <v>0</v>
      </c>
      <c r="J120" s="11">
        <f t="shared" si="27"/>
        <v>0</v>
      </c>
      <c r="K120" s="17">
        <f t="shared" si="27"/>
        <v>0</v>
      </c>
      <c r="L120" s="10">
        <f t="shared" si="28"/>
        <v>0</v>
      </c>
      <c r="M120" s="11">
        <f t="shared" si="28"/>
        <v>0</v>
      </c>
      <c r="N120" s="11">
        <f t="shared" si="28"/>
        <v>0</v>
      </c>
      <c r="O120" s="11">
        <f t="shared" si="28"/>
        <v>0</v>
      </c>
      <c r="P120" s="17">
        <f t="shared" si="28"/>
        <v>0</v>
      </c>
      <c r="Q120" s="10">
        <f t="shared" si="29"/>
        <v>0</v>
      </c>
      <c r="R120" s="11">
        <f t="shared" si="29"/>
        <v>0</v>
      </c>
      <c r="S120" s="11">
        <f t="shared" si="29"/>
        <v>0</v>
      </c>
      <c r="T120" s="11">
        <f t="shared" si="29"/>
        <v>0</v>
      </c>
      <c r="U120" s="17">
        <f t="shared" si="29"/>
        <v>0</v>
      </c>
      <c r="V120" s="10">
        <f t="shared" si="30"/>
        <v>0</v>
      </c>
      <c r="W120" s="11">
        <f t="shared" si="30"/>
        <v>0</v>
      </c>
      <c r="X120" s="11">
        <f t="shared" si="30"/>
        <v>0</v>
      </c>
      <c r="Y120" s="11">
        <f t="shared" si="30"/>
        <v>0</v>
      </c>
      <c r="Z120" s="17">
        <f t="shared" si="30"/>
        <v>0</v>
      </c>
      <c r="AA120" s="10">
        <f t="shared" si="30"/>
        <v>0</v>
      </c>
      <c r="AB120" s="11">
        <f t="shared" si="30"/>
        <v>0</v>
      </c>
      <c r="AC120" s="11">
        <f t="shared" si="30"/>
        <v>0</v>
      </c>
      <c r="AD120" s="11">
        <f t="shared" si="30"/>
        <v>0</v>
      </c>
      <c r="AE120" s="17">
        <f t="shared" si="30"/>
        <v>0</v>
      </c>
      <c r="AF120" s="16">
        <f t="shared" ref="AF120:AF127" si="31">SUM(B120:AE120)*A120</f>
        <v>10000</v>
      </c>
      <c r="AG120" s="16">
        <f t="shared" ref="AG120:AG128" si="32">SUM(B120:AE120)</f>
        <v>20</v>
      </c>
      <c r="AH120" s="16" t="str">
        <f>J2</f>
        <v>AG</v>
      </c>
      <c r="AI120" s="10">
        <f>K2</f>
        <v>1500</v>
      </c>
      <c r="AJ120" s="11">
        <f>L2</f>
        <v>8</v>
      </c>
      <c r="AK120" s="11" t="str">
        <f>M2</f>
        <v>Y</v>
      </c>
      <c r="AL120" s="17" t="str">
        <f>N2</f>
        <v>3L</v>
      </c>
      <c r="AN120" s="16">
        <f>J3</f>
        <v>0</v>
      </c>
      <c r="AO120" s="10">
        <f>K3</f>
        <v>0</v>
      </c>
      <c r="AP120" s="11">
        <f>L3</f>
        <v>0</v>
      </c>
      <c r="AQ120" s="11">
        <f>M3</f>
        <v>0</v>
      </c>
      <c r="AR120" s="17">
        <f>N3</f>
        <v>0</v>
      </c>
      <c r="AT120" s="16">
        <f>J4</f>
        <v>0</v>
      </c>
      <c r="AU120" s="10">
        <f>K4</f>
        <v>0</v>
      </c>
      <c r="AV120" s="11">
        <f>L4</f>
        <v>0</v>
      </c>
      <c r="AW120" s="11">
        <f>M4</f>
        <v>0</v>
      </c>
      <c r="AX120" s="17">
        <f>N4</f>
        <v>0</v>
      </c>
      <c r="AZ120" s="16">
        <f>J5</f>
        <v>0</v>
      </c>
      <c r="BA120" s="10">
        <f>K5</f>
        <v>0</v>
      </c>
      <c r="BB120" s="11">
        <f>L5</f>
        <v>0</v>
      </c>
      <c r="BC120" s="11">
        <f>M5</f>
        <v>0</v>
      </c>
      <c r="BD120" s="17">
        <f>N5</f>
        <v>0</v>
      </c>
      <c r="BF120" s="16">
        <f>J6</f>
        <v>0</v>
      </c>
      <c r="BG120" s="10">
        <f>K6</f>
        <v>0</v>
      </c>
      <c r="BH120" s="11">
        <f>L6</f>
        <v>0</v>
      </c>
      <c r="BI120" s="11">
        <f>M6</f>
        <v>0</v>
      </c>
      <c r="BJ120" s="17">
        <f>N6</f>
        <v>0</v>
      </c>
    </row>
    <row r="121" spans="1:62" x14ac:dyDescent="0.25">
      <c r="A121" s="15">
        <v>750</v>
      </c>
      <c r="B121" s="8">
        <f t="shared" si="26"/>
        <v>0</v>
      </c>
      <c r="C121" s="6">
        <f t="shared" si="26"/>
        <v>10</v>
      </c>
      <c r="D121" s="6">
        <f t="shared" si="26"/>
        <v>0</v>
      </c>
      <c r="E121" s="6">
        <f t="shared" si="26"/>
        <v>0</v>
      </c>
      <c r="F121" s="13">
        <f t="shared" si="26"/>
        <v>0</v>
      </c>
      <c r="G121" s="8">
        <f t="shared" si="27"/>
        <v>0</v>
      </c>
      <c r="H121" s="6">
        <f t="shared" si="27"/>
        <v>0</v>
      </c>
      <c r="I121" s="6">
        <f t="shared" si="27"/>
        <v>0</v>
      </c>
      <c r="J121" s="6">
        <f t="shared" si="27"/>
        <v>0</v>
      </c>
      <c r="K121" s="13">
        <f t="shared" si="27"/>
        <v>0</v>
      </c>
      <c r="L121" s="8">
        <f t="shared" si="28"/>
        <v>0</v>
      </c>
      <c r="M121" s="6">
        <f t="shared" si="28"/>
        <v>0</v>
      </c>
      <c r="N121" s="6">
        <f t="shared" si="28"/>
        <v>0</v>
      </c>
      <c r="O121" s="6">
        <f t="shared" si="28"/>
        <v>0</v>
      </c>
      <c r="P121" s="13">
        <f t="shared" si="28"/>
        <v>0</v>
      </c>
      <c r="Q121" s="8">
        <f t="shared" si="29"/>
        <v>0</v>
      </c>
      <c r="R121" s="6">
        <f t="shared" si="29"/>
        <v>0</v>
      </c>
      <c r="S121" s="6">
        <f t="shared" si="29"/>
        <v>0</v>
      </c>
      <c r="T121" s="6">
        <f t="shared" si="29"/>
        <v>0</v>
      </c>
      <c r="U121" s="13">
        <f t="shared" si="29"/>
        <v>0</v>
      </c>
      <c r="V121" s="8">
        <f t="shared" si="30"/>
        <v>0</v>
      </c>
      <c r="W121" s="6">
        <f t="shared" si="30"/>
        <v>0</v>
      </c>
      <c r="X121" s="6">
        <f t="shared" si="30"/>
        <v>0</v>
      </c>
      <c r="Y121" s="6">
        <f t="shared" si="30"/>
        <v>0</v>
      </c>
      <c r="Z121" s="13">
        <f t="shared" si="30"/>
        <v>0</v>
      </c>
      <c r="AA121" s="8">
        <f t="shared" si="30"/>
        <v>0</v>
      </c>
      <c r="AB121" s="6">
        <f t="shared" si="30"/>
        <v>0</v>
      </c>
      <c r="AC121" s="6">
        <f t="shared" si="30"/>
        <v>0</v>
      </c>
      <c r="AD121" s="6">
        <f t="shared" si="30"/>
        <v>0</v>
      </c>
      <c r="AE121" s="13">
        <f t="shared" si="30"/>
        <v>0</v>
      </c>
      <c r="AF121" s="16">
        <f t="shared" si="31"/>
        <v>7500</v>
      </c>
      <c r="AG121" s="16">
        <f t="shared" si="32"/>
        <v>10</v>
      </c>
      <c r="AH121" s="15" t="str">
        <f>P2</f>
        <v>AG</v>
      </c>
      <c r="AI121" s="8">
        <f>Q2</f>
        <v>1000</v>
      </c>
      <c r="AJ121" s="6">
        <f>R2</f>
        <v>10</v>
      </c>
      <c r="AK121" s="6" t="str">
        <f>S2</f>
        <v>Y</v>
      </c>
      <c r="AL121" s="13" t="str">
        <f>T2</f>
        <v>3L</v>
      </c>
      <c r="AN121" s="15">
        <f>P3</f>
        <v>0</v>
      </c>
      <c r="AO121" s="8">
        <f>Q3</f>
        <v>0</v>
      </c>
      <c r="AP121" s="6">
        <f>R3</f>
        <v>0</v>
      </c>
      <c r="AQ121" s="6">
        <f>S3</f>
        <v>0</v>
      </c>
      <c r="AR121" s="13">
        <f>T3</f>
        <v>0</v>
      </c>
      <c r="AT121" s="15">
        <f>P4</f>
        <v>0</v>
      </c>
      <c r="AU121" s="8">
        <f>Q4</f>
        <v>0</v>
      </c>
      <c r="AV121" s="6">
        <f>R4</f>
        <v>0</v>
      </c>
      <c r="AW121" s="6">
        <f>S4</f>
        <v>0</v>
      </c>
      <c r="AX121" s="13">
        <f>T4</f>
        <v>0</v>
      </c>
      <c r="AZ121" s="15">
        <f>P5</f>
        <v>0</v>
      </c>
      <c r="BA121" s="8">
        <f>Q5</f>
        <v>0</v>
      </c>
      <c r="BB121" s="6">
        <f>R5</f>
        <v>0</v>
      </c>
      <c r="BC121" s="6">
        <f>S5</f>
        <v>0</v>
      </c>
      <c r="BD121" s="13">
        <f>T5</f>
        <v>0</v>
      </c>
      <c r="BF121" s="15">
        <f>P6</f>
        <v>0</v>
      </c>
      <c r="BG121" s="8">
        <f>Q6</f>
        <v>0</v>
      </c>
      <c r="BH121" s="6">
        <f>R6</f>
        <v>0</v>
      </c>
      <c r="BI121" s="6">
        <f>S6</f>
        <v>0</v>
      </c>
      <c r="BJ121" s="13">
        <f>T6</f>
        <v>0</v>
      </c>
    </row>
    <row r="122" spans="1:62" x14ac:dyDescent="0.25">
      <c r="A122" s="15">
        <v>1000</v>
      </c>
      <c r="B122" s="8">
        <f t="shared" si="26"/>
        <v>0</v>
      </c>
      <c r="C122" s="6">
        <f t="shared" si="26"/>
        <v>10</v>
      </c>
      <c r="D122" s="6">
        <f t="shared" si="26"/>
        <v>0</v>
      </c>
      <c r="E122" s="6">
        <f t="shared" si="26"/>
        <v>0</v>
      </c>
      <c r="F122" s="13">
        <f t="shared" si="26"/>
        <v>0</v>
      </c>
      <c r="G122" s="8">
        <f t="shared" si="27"/>
        <v>0</v>
      </c>
      <c r="H122" s="6">
        <f t="shared" si="27"/>
        <v>0</v>
      </c>
      <c r="I122" s="6">
        <f t="shared" si="27"/>
        <v>0</v>
      </c>
      <c r="J122" s="6">
        <f t="shared" si="27"/>
        <v>0</v>
      </c>
      <c r="K122" s="13">
        <f t="shared" si="27"/>
        <v>0</v>
      </c>
      <c r="L122" s="8">
        <f t="shared" si="28"/>
        <v>0</v>
      </c>
      <c r="M122" s="6">
        <f t="shared" si="28"/>
        <v>0</v>
      </c>
      <c r="N122" s="6">
        <f t="shared" si="28"/>
        <v>0</v>
      </c>
      <c r="O122" s="6">
        <f t="shared" si="28"/>
        <v>0</v>
      </c>
      <c r="P122" s="13">
        <f t="shared" si="28"/>
        <v>0</v>
      </c>
      <c r="Q122" s="8">
        <f t="shared" si="29"/>
        <v>0</v>
      </c>
      <c r="R122" s="6">
        <f t="shared" si="29"/>
        <v>0</v>
      </c>
      <c r="S122" s="6">
        <f t="shared" si="29"/>
        <v>0</v>
      </c>
      <c r="T122" s="6">
        <f t="shared" si="29"/>
        <v>0</v>
      </c>
      <c r="U122" s="13">
        <f t="shared" si="29"/>
        <v>0</v>
      </c>
      <c r="V122" s="8">
        <f t="shared" si="30"/>
        <v>0</v>
      </c>
      <c r="W122" s="6">
        <f t="shared" si="30"/>
        <v>0</v>
      </c>
      <c r="X122" s="6">
        <f t="shared" si="30"/>
        <v>0</v>
      </c>
      <c r="Y122" s="6">
        <f t="shared" si="30"/>
        <v>0</v>
      </c>
      <c r="Z122" s="13">
        <f t="shared" si="30"/>
        <v>0</v>
      </c>
      <c r="AA122" s="8">
        <f t="shared" si="30"/>
        <v>0</v>
      </c>
      <c r="AB122" s="6">
        <f t="shared" si="30"/>
        <v>0</v>
      </c>
      <c r="AC122" s="6">
        <f t="shared" si="30"/>
        <v>0</v>
      </c>
      <c r="AD122" s="6">
        <f t="shared" si="30"/>
        <v>0</v>
      </c>
      <c r="AE122" s="13">
        <f t="shared" si="30"/>
        <v>0</v>
      </c>
      <c r="AF122" s="16">
        <f t="shared" si="31"/>
        <v>10000</v>
      </c>
      <c r="AG122" s="16">
        <f t="shared" si="32"/>
        <v>10</v>
      </c>
      <c r="AH122" s="15" t="str">
        <f>V2</f>
        <v>AG</v>
      </c>
      <c r="AI122" s="8">
        <f>W2</f>
        <v>750</v>
      </c>
      <c r="AJ122" s="6">
        <f>X2</f>
        <v>10</v>
      </c>
      <c r="AK122" s="6" t="str">
        <f>Y2</f>
        <v>Y</v>
      </c>
      <c r="AL122" s="13" t="str">
        <f>Z2</f>
        <v>3L</v>
      </c>
      <c r="AN122" s="15">
        <f>V3</f>
        <v>0</v>
      </c>
      <c r="AO122" s="8">
        <f>W3</f>
        <v>0</v>
      </c>
      <c r="AP122" s="6">
        <f>X3</f>
        <v>0</v>
      </c>
      <c r="AQ122" s="6">
        <f>Y3</f>
        <v>0</v>
      </c>
      <c r="AR122" s="13">
        <f>Z3</f>
        <v>0</v>
      </c>
      <c r="AT122" s="15">
        <f>V4</f>
        <v>0</v>
      </c>
      <c r="AU122" s="8">
        <f>W4</f>
        <v>0</v>
      </c>
      <c r="AV122" s="6">
        <f>X4</f>
        <v>0</v>
      </c>
      <c r="AW122" s="6">
        <f>Y4</f>
        <v>0</v>
      </c>
      <c r="AX122" s="13">
        <f>Z4</f>
        <v>0</v>
      </c>
      <c r="AZ122" s="15">
        <f>V5</f>
        <v>0</v>
      </c>
      <c r="BA122" s="8">
        <f>W5</f>
        <v>0</v>
      </c>
      <c r="BB122" s="6">
        <f>X5</f>
        <v>0</v>
      </c>
      <c r="BC122" s="6">
        <f>Y5</f>
        <v>0</v>
      </c>
      <c r="BD122" s="13">
        <f>Z5</f>
        <v>0</v>
      </c>
      <c r="BF122" s="15">
        <f>V6</f>
        <v>0</v>
      </c>
      <c r="BG122" s="8">
        <f>W6</f>
        <v>0</v>
      </c>
      <c r="BH122" s="6">
        <f>X6</f>
        <v>0</v>
      </c>
      <c r="BI122" s="6">
        <f>Y6</f>
        <v>0</v>
      </c>
      <c r="BJ122" s="13">
        <f>Z6</f>
        <v>0</v>
      </c>
    </row>
    <row r="123" spans="1:62" x14ac:dyDescent="0.25">
      <c r="A123" s="15">
        <v>1500</v>
      </c>
      <c r="B123" s="8">
        <f t="shared" si="26"/>
        <v>0</v>
      </c>
      <c r="C123" s="6">
        <f t="shared" si="26"/>
        <v>8</v>
      </c>
      <c r="D123" s="6">
        <f t="shared" si="26"/>
        <v>0</v>
      </c>
      <c r="E123" s="6">
        <f t="shared" si="26"/>
        <v>0</v>
      </c>
      <c r="F123" s="13">
        <f t="shared" si="26"/>
        <v>0</v>
      </c>
      <c r="G123" s="8">
        <f t="shared" si="27"/>
        <v>0</v>
      </c>
      <c r="H123" s="6">
        <f t="shared" si="27"/>
        <v>0</v>
      </c>
      <c r="I123" s="6">
        <f t="shared" si="27"/>
        <v>0</v>
      </c>
      <c r="J123" s="6">
        <f t="shared" si="27"/>
        <v>0</v>
      </c>
      <c r="K123" s="13">
        <f t="shared" si="27"/>
        <v>0</v>
      </c>
      <c r="L123" s="8">
        <f t="shared" si="28"/>
        <v>0</v>
      </c>
      <c r="M123" s="6">
        <f t="shared" si="28"/>
        <v>0</v>
      </c>
      <c r="N123" s="6">
        <f t="shared" si="28"/>
        <v>0</v>
      </c>
      <c r="O123" s="6">
        <f t="shared" si="28"/>
        <v>0</v>
      </c>
      <c r="P123" s="13">
        <f t="shared" si="28"/>
        <v>0</v>
      </c>
      <c r="Q123" s="8">
        <f t="shared" si="29"/>
        <v>0</v>
      </c>
      <c r="R123" s="6">
        <f t="shared" si="29"/>
        <v>0</v>
      </c>
      <c r="S123" s="6">
        <f t="shared" si="29"/>
        <v>0</v>
      </c>
      <c r="T123" s="6">
        <f t="shared" si="29"/>
        <v>0</v>
      </c>
      <c r="U123" s="13">
        <f t="shared" si="29"/>
        <v>0</v>
      </c>
      <c r="V123" s="8">
        <f t="shared" si="30"/>
        <v>0</v>
      </c>
      <c r="W123" s="6">
        <f t="shared" si="30"/>
        <v>0</v>
      </c>
      <c r="X123" s="6">
        <f t="shared" si="30"/>
        <v>0</v>
      </c>
      <c r="Y123" s="6">
        <f t="shared" si="30"/>
        <v>0</v>
      </c>
      <c r="Z123" s="13">
        <f t="shared" si="30"/>
        <v>0</v>
      </c>
      <c r="AA123" s="8">
        <f t="shared" si="30"/>
        <v>0</v>
      </c>
      <c r="AB123" s="6">
        <f t="shared" si="30"/>
        <v>0</v>
      </c>
      <c r="AC123" s="6">
        <f t="shared" si="30"/>
        <v>0</v>
      </c>
      <c r="AD123" s="6">
        <f t="shared" si="30"/>
        <v>0</v>
      </c>
      <c r="AE123" s="13">
        <f t="shared" si="30"/>
        <v>0</v>
      </c>
      <c r="AF123" s="16">
        <f t="shared" si="31"/>
        <v>12000</v>
      </c>
      <c r="AG123" s="16">
        <f t="shared" si="32"/>
        <v>8</v>
      </c>
      <c r="AH123" s="15" t="str">
        <f>AB2</f>
        <v>AG</v>
      </c>
      <c r="AI123" s="8">
        <f>AC2</f>
        <v>500</v>
      </c>
      <c r="AJ123" s="6">
        <f>AD2</f>
        <v>20</v>
      </c>
      <c r="AK123" s="6" t="str">
        <f>AE2</f>
        <v>Y</v>
      </c>
      <c r="AL123" s="13" t="str">
        <f>AF2</f>
        <v>3L</v>
      </c>
      <c r="AN123" s="15">
        <f>AB3</f>
        <v>0</v>
      </c>
      <c r="AO123" s="8">
        <f>AC3</f>
        <v>0</v>
      </c>
      <c r="AP123" s="6">
        <f>AD3</f>
        <v>0</v>
      </c>
      <c r="AQ123" s="6">
        <f>AE3</f>
        <v>0</v>
      </c>
      <c r="AR123" s="13">
        <f>AF3</f>
        <v>0</v>
      </c>
      <c r="AT123" s="15">
        <f>AB4</f>
        <v>0</v>
      </c>
      <c r="AU123" s="8">
        <f>AC4</f>
        <v>0</v>
      </c>
      <c r="AV123" s="6">
        <f>AD4</f>
        <v>0</v>
      </c>
      <c r="AW123" s="6">
        <f>AE4</f>
        <v>0</v>
      </c>
      <c r="AX123" s="13">
        <f>AF4</f>
        <v>0</v>
      </c>
      <c r="AZ123" s="15">
        <f>AB5</f>
        <v>0</v>
      </c>
      <c r="BA123" s="8">
        <f>AC5</f>
        <v>0</v>
      </c>
      <c r="BB123" s="6">
        <f>AD5</f>
        <v>0</v>
      </c>
      <c r="BC123" s="6">
        <f>AE5</f>
        <v>0</v>
      </c>
      <c r="BD123" s="13">
        <f>AF5</f>
        <v>0</v>
      </c>
      <c r="BF123" s="15">
        <f>AB6</f>
        <v>0</v>
      </c>
      <c r="BG123" s="8">
        <f>AC6</f>
        <v>0</v>
      </c>
      <c r="BH123" s="6">
        <f>AD6</f>
        <v>0</v>
      </c>
      <c r="BI123" s="6">
        <f>AE6</f>
        <v>0</v>
      </c>
      <c r="BJ123" s="13">
        <f>AF6</f>
        <v>0</v>
      </c>
    </row>
    <row r="124" spans="1:62" x14ac:dyDescent="0.25">
      <c r="A124" s="15">
        <v>2000</v>
      </c>
      <c r="B124" s="8">
        <f t="shared" si="26"/>
        <v>0</v>
      </c>
      <c r="C124" s="6">
        <f t="shared" si="26"/>
        <v>0</v>
      </c>
      <c r="D124" s="6">
        <f t="shared" si="26"/>
        <v>0</v>
      </c>
      <c r="E124" s="6">
        <f t="shared" si="26"/>
        <v>0</v>
      </c>
      <c r="F124" s="13">
        <f t="shared" si="26"/>
        <v>0</v>
      </c>
      <c r="G124" s="8">
        <f t="shared" si="27"/>
        <v>0</v>
      </c>
      <c r="H124" s="6">
        <f t="shared" si="27"/>
        <v>0</v>
      </c>
      <c r="I124" s="6">
        <f t="shared" si="27"/>
        <v>0</v>
      </c>
      <c r="J124" s="6">
        <f t="shared" si="27"/>
        <v>0</v>
      </c>
      <c r="K124" s="13">
        <f t="shared" si="27"/>
        <v>0</v>
      </c>
      <c r="L124" s="8">
        <f t="shared" si="28"/>
        <v>0</v>
      </c>
      <c r="M124" s="6">
        <f t="shared" si="28"/>
        <v>0</v>
      </c>
      <c r="N124" s="6">
        <f t="shared" si="28"/>
        <v>0</v>
      </c>
      <c r="O124" s="6">
        <f t="shared" si="28"/>
        <v>0</v>
      </c>
      <c r="P124" s="13">
        <f t="shared" si="28"/>
        <v>0</v>
      </c>
      <c r="Q124" s="8">
        <f t="shared" si="29"/>
        <v>0</v>
      </c>
      <c r="R124" s="6">
        <f t="shared" si="29"/>
        <v>0</v>
      </c>
      <c r="S124" s="6">
        <f t="shared" si="29"/>
        <v>0</v>
      </c>
      <c r="T124" s="6">
        <f t="shared" si="29"/>
        <v>0</v>
      </c>
      <c r="U124" s="13">
        <f t="shared" si="29"/>
        <v>0</v>
      </c>
      <c r="V124" s="8">
        <f t="shared" si="30"/>
        <v>0</v>
      </c>
      <c r="W124" s="6">
        <f t="shared" si="30"/>
        <v>0</v>
      </c>
      <c r="X124" s="6">
        <f t="shared" si="30"/>
        <v>0</v>
      </c>
      <c r="Y124" s="6">
        <f t="shared" si="30"/>
        <v>0</v>
      </c>
      <c r="Z124" s="13">
        <f t="shared" si="30"/>
        <v>0</v>
      </c>
      <c r="AA124" s="8">
        <f t="shared" si="30"/>
        <v>0</v>
      </c>
      <c r="AB124" s="6">
        <f t="shared" si="30"/>
        <v>0</v>
      </c>
      <c r="AC124" s="6">
        <f t="shared" si="30"/>
        <v>0</v>
      </c>
      <c r="AD124" s="6">
        <f t="shared" si="30"/>
        <v>0</v>
      </c>
      <c r="AE124" s="13">
        <f t="shared" si="30"/>
        <v>0</v>
      </c>
      <c r="AF124" s="16">
        <f t="shared" si="31"/>
        <v>0</v>
      </c>
      <c r="AG124" s="16">
        <f t="shared" si="32"/>
        <v>0</v>
      </c>
      <c r="AH124" s="15">
        <f>AH2</f>
        <v>0</v>
      </c>
      <c r="AI124" s="8">
        <f>AI2</f>
        <v>0</v>
      </c>
      <c r="AJ124" s="6">
        <f>AJ2</f>
        <v>0</v>
      </c>
      <c r="AK124" s="6">
        <f>AK2</f>
        <v>0</v>
      </c>
      <c r="AL124" s="13">
        <f>AL2</f>
        <v>0</v>
      </c>
      <c r="AN124" s="15">
        <f>AH3</f>
        <v>0</v>
      </c>
      <c r="AO124" s="8">
        <f>AI3</f>
        <v>0</v>
      </c>
      <c r="AP124" s="6">
        <f>AJ3</f>
        <v>0</v>
      </c>
      <c r="AQ124" s="6">
        <f>AK3</f>
        <v>0</v>
      </c>
      <c r="AR124" s="13">
        <f>AL3</f>
        <v>0</v>
      </c>
      <c r="AT124" s="15">
        <f>AH4</f>
        <v>0</v>
      </c>
      <c r="AU124" s="8">
        <f>AI4</f>
        <v>0</v>
      </c>
      <c r="AV124" s="6">
        <f>AJ4</f>
        <v>0</v>
      </c>
      <c r="AW124" s="6">
        <f>AK4</f>
        <v>0</v>
      </c>
      <c r="AX124" s="13">
        <f>AL4</f>
        <v>0</v>
      </c>
      <c r="AZ124" s="15">
        <f>AH5</f>
        <v>0</v>
      </c>
      <c r="BA124" s="8">
        <f>AI5</f>
        <v>0</v>
      </c>
      <c r="BB124" s="6">
        <f>AJ5</f>
        <v>0</v>
      </c>
      <c r="BC124" s="6">
        <f>AK5</f>
        <v>0</v>
      </c>
      <c r="BD124" s="13">
        <f>AL5</f>
        <v>0</v>
      </c>
      <c r="BF124" s="15">
        <f>AH6</f>
        <v>0</v>
      </c>
      <c r="BG124" s="8">
        <f>AI6</f>
        <v>0</v>
      </c>
      <c r="BH124" s="6">
        <f>AJ6</f>
        <v>0</v>
      </c>
      <c r="BI124" s="6">
        <f>AK6</f>
        <v>0</v>
      </c>
      <c r="BJ124" s="13">
        <f>AL6</f>
        <v>0</v>
      </c>
    </row>
    <row r="125" spans="1:62" x14ac:dyDescent="0.25">
      <c r="A125" s="15">
        <v>3000</v>
      </c>
      <c r="B125" s="8">
        <f t="shared" si="26"/>
        <v>0</v>
      </c>
      <c r="C125" s="6">
        <f t="shared" si="26"/>
        <v>0</v>
      </c>
      <c r="D125" s="6">
        <f t="shared" si="26"/>
        <v>0</v>
      </c>
      <c r="E125" s="6">
        <f t="shared" si="26"/>
        <v>0</v>
      </c>
      <c r="F125" s="13">
        <f t="shared" si="26"/>
        <v>0</v>
      </c>
      <c r="G125" s="8">
        <f t="shared" si="27"/>
        <v>0</v>
      </c>
      <c r="H125" s="6">
        <f t="shared" si="27"/>
        <v>0</v>
      </c>
      <c r="I125" s="6">
        <f t="shared" si="27"/>
        <v>0</v>
      </c>
      <c r="J125" s="6">
        <f t="shared" si="27"/>
        <v>0</v>
      </c>
      <c r="K125" s="13">
        <f t="shared" si="27"/>
        <v>0</v>
      </c>
      <c r="L125" s="8">
        <f t="shared" si="28"/>
        <v>0</v>
      </c>
      <c r="M125" s="6">
        <f t="shared" si="28"/>
        <v>0</v>
      </c>
      <c r="N125" s="6">
        <f t="shared" si="28"/>
        <v>0</v>
      </c>
      <c r="O125" s="6">
        <f t="shared" si="28"/>
        <v>0</v>
      </c>
      <c r="P125" s="13">
        <f t="shared" si="28"/>
        <v>0</v>
      </c>
      <c r="Q125" s="8">
        <f t="shared" si="29"/>
        <v>0</v>
      </c>
      <c r="R125" s="6">
        <f t="shared" si="29"/>
        <v>0</v>
      </c>
      <c r="S125" s="6">
        <f t="shared" si="29"/>
        <v>0</v>
      </c>
      <c r="T125" s="6">
        <f t="shared" si="29"/>
        <v>0</v>
      </c>
      <c r="U125" s="13">
        <f t="shared" si="29"/>
        <v>0</v>
      </c>
      <c r="V125" s="8">
        <f t="shared" si="30"/>
        <v>0</v>
      </c>
      <c r="W125" s="6">
        <f t="shared" si="30"/>
        <v>0</v>
      </c>
      <c r="X125" s="6">
        <f t="shared" si="30"/>
        <v>0</v>
      </c>
      <c r="Y125" s="6">
        <f t="shared" si="30"/>
        <v>0</v>
      </c>
      <c r="Z125" s="13">
        <f t="shared" si="30"/>
        <v>0</v>
      </c>
      <c r="AA125" s="8">
        <f t="shared" si="30"/>
        <v>0</v>
      </c>
      <c r="AB125" s="6">
        <f t="shared" si="30"/>
        <v>0</v>
      </c>
      <c r="AC125" s="6">
        <f t="shared" si="30"/>
        <v>0</v>
      </c>
      <c r="AD125" s="6">
        <f t="shared" si="30"/>
        <v>0</v>
      </c>
      <c r="AE125" s="13">
        <f t="shared" si="30"/>
        <v>0</v>
      </c>
      <c r="AF125" s="16">
        <f t="shared" si="31"/>
        <v>0</v>
      </c>
      <c r="AG125" s="16">
        <f t="shared" si="32"/>
        <v>0</v>
      </c>
      <c r="AH125" s="15">
        <f>AN2</f>
        <v>0</v>
      </c>
      <c r="AI125" s="8">
        <f>AO2</f>
        <v>0</v>
      </c>
      <c r="AJ125" s="6">
        <f>AP2</f>
        <v>0</v>
      </c>
      <c r="AK125" s="6">
        <f>AQ2</f>
        <v>0</v>
      </c>
      <c r="AL125" s="13">
        <f>AR2</f>
        <v>0</v>
      </c>
      <c r="AN125" s="15">
        <f>AN3</f>
        <v>0</v>
      </c>
      <c r="AO125" s="8">
        <f>AO3</f>
        <v>0</v>
      </c>
      <c r="AP125" s="6">
        <f>AP3</f>
        <v>0</v>
      </c>
      <c r="AQ125" s="6">
        <f>AQ3</f>
        <v>0</v>
      </c>
      <c r="AR125" s="13">
        <f>AR3</f>
        <v>0</v>
      </c>
      <c r="AT125" s="15">
        <f>AN4</f>
        <v>0</v>
      </c>
      <c r="AU125" s="8">
        <f>AO4</f>
        <v>0</v>
      </c>
      <c r="AV125" s="6">
        <f>AP4</f>
        <v>0</v>
      </c>
      <c r="AW125" s="6">
        <f>AQ4</f>
        <v>0</v>
      </c>
      <c r="AX125" s="13">
        <f>AR4</f>
        <v>0</v>
      </c>
      <c r="AZ125" s="15">
        <f>AN5</f>
        <v>0</v>
      </c>
      <c r="BA125" s="8">
        <f>AO5</f>
        <v>0</v>
      </c>
      <c r="BB125" s="6">
        <f>AP5</f>
        <v>0</v>
      </c>
      <c r="BC125" s="6">
        <f>AQ5</f>
        <v>0</v>
      </c>
      <c r="BD125" s="13">
        <f>AR5</f>
        <v>0</v>
      </c>
      <c r="BF125" s="15">
        <f>AN6</f>
        <v>0</v>
      </c>
      <c r="BG125" s="8">
        <f>AO6</f>
        <v>0</v>
      </c>
      <c r="BH125" s="6">
        <f>AP6</f>
        <v>0</v>
      </c>
      <c r="BI125" s="6">
        <f>AQ6</f>
        <v>0</v>
      </c>
      <c r="BJ125" s="13">
        <f>AR6</f>
        <v>0</v>
      </c>
    </row>
    <row r="126" spans="1:62" x14ac:dyDescent="0.25">
      <c r="A126" s="15">
        <v>5000</v>
      </c>
      <c r="B126" s="8">
        <f t="shared" si="26"/>
        <v>0</v>
      </c>
      <c r="C126" s="6">
        <f t="shared" si="26"/>
        <v>0</v>
      </c>
      <c r="D126" s="6">
        <f t="shared" si="26"/>
        <v>0</v>
      </c>
      <c r="E126" s="6">
        <f t="shared" si="26"/>
        <v>0</v>
      </c>
      <c r="F126" s="13">
        <f t="shared" si="26"/>
        <v>0</v>
      </c>
      <c r="G126" s="8">
        <f t="shared" si="27"/>
        <v>0</v>
      </c>
      <c r="H126" s="6">
        <f t="shared" si="27"/>
        <v>0</v>
      </c>
      <c r="I126" s="6">
        <f t="shared" si="27"/>
        <v>0</v>
      </c>
      <c r="J126" s="6">
        <f t="shared" si="27"/>
        <v>0</v>
      </c>
      <c r="K126" s="13">
        <f t="shared" si="27"/>
        <v>0</v>
      </c>
      <c r="L126" s="8">
        <f t="shared" si="28"/>
        <v>0</v>
      </c>
      <c r="M126" s="6">
        <f t="shared" si="28"/>
        <v>0</v>
      </c>
      <c r="N126" s="6">
        <f t="shared" si="28"/>
        <v>0</v>
      </c>
      <c r="O126" s="6">
        <f t="shared" si="28"/>
        <v>0</v>
      </c>
      <c r="P126" s="13">
        <f t="shared" si="28"/>
        <v>0</v>
      </c>
      <c r="Q126" s="8">
        <f t="shared" si="29"/>
        <v>0</v>
      </c>
      <c r="R126" s="6">
        <f t="shared" si="29"/>
        <v>0</v>
      </c>
      <c r="S126" s="6">
        <f t="shared" si="29"/>
        <v>0</v>
      </c>
      <c r="T126" s="6">
        <f t="shared" si="29"/>
        <v>0</v>
      </c>
      <c r="U126" s="13">
        <f t="shared" si="29"/>
        <v>0</v>
      </c>
      <c r="V126" s="8">
        <f t="shared" si="30"/>
        <v>0</v>
      </c>
      <c r="W126" s="6">
        <f t="shared" si="30"/>
        <v>0</v>
      </c>
      <c r="X126" s="6">
        <f t="shared" si="30"/>
        <v>0</v>
      </c>
      <c r="Y126" s="6">
        <f t="shared" si="30"/>
        <v>0</v>
      </c>
      <c r="Z126" s="13">
        <f t="shared" si="30"/>
        <v>0</v>
      </c>
      <c r="AA126" s="8">
        <f t="shared" si="30"/>
        <v>0</v>
      </c>
      <c r="AB126" s="6">
        <f t="shared" si="30"/>
        <v>0</v>
      </c>
      <c r="AC126" s="6">
        <f t="shared" si="30"/>
        <v>0</v>
      </c>
      <c r="AD126" s="6">
        <f t="shared" si="30"/>
        <v>0</v>
      </c>
      <c r="AE126" s="13">
        <f t="shared" si="30"/>
        <v>0</v>
      </c>
      <c r="AF126" s="16">
        <f t="shared" si="31"/>
        <v>0</v>
      </c>
      <c r="AG126" s="16">
        <f t="shared" si="32"/>
        <v>0</v>
      </c>
      <c r="AH126" s="15">
        <f>AT2</f>
        <v>0</v>
      </c>
      <c r="AI126" s="8">
        <f>AU2</f>
        <v>0</v>
      </c>
      <c r="AJ126" s="6">
        <f>AV2</f>
        <v>0</v>
      </c>
      <c r="AK126" s="6">
        <f>AW2</f>
        <v>0</v>
      </c>
      <c r="AL126" s="13">
        <f>AX2</f>
        <v>0</v>
      </c>
      <c r="AN126" s="15">
        <f>AT3</f>
        <v>0</v>
      </c>
      <c r="AO126" s="8">
        <f>AU3</f>
        <v>0</v>
      </c>
      <c r="AP126" s="6">
        <f>AV3</f>
        <v>0</v>
      </c>
      <c r="AQ126" s="6">
        <f>AW3</f>
        <v>0</v>
      </c>
      <c r="AR126" s="13">
        <f>AX3</f>
        <v>0</v>
      </c>
      <c r="AT126" s="15">
        <f>AT4</f>
        <v>0</v>
      </c>
      <c r="AU126" s="8">
        <f>AU4</f>
        <v>0</v>
      </c>
      <c r="AV126" s="6">
        <f>AV4</f>
        <v>0</v>
      </c>
      <c r="AW126" s="6">
        <f>AW4</f>
        <v>0</v>
      </c>
      <c r="AX126" s="13">
        <f>AX4</f>
        <v>0</v>
      </c>
      <c r="AZ126" s="15">
        <f>AT5</f>
        <v>0</v>
      </c>
      <c r="BA126" s="8">
        <f>AU5</f>
        <v>0</v>
      </c>
      <c r="BB126" s="6">
        <f>AV5</f>
        <v>0</v>
      </c>
      <c r="BC126" s="6">
        <f>AW5</f>
        <v>0</v>
      </c>
      <c r="BD126" s="13">
        <f>AX5</f>
        <v>0</v>
      </c>
      <c r="BF126" s="15">
        <f>AT6</f>
        <v>0</v>
      </c>
      <c r="BG126" s="8">
        <f>AU6</f>
        <v>0</v>
      </c>
      <c r="BH126" s="6">
        <f>AV6</f>
        <v>0</v>
      </c>
      <c r="BI126" s="6">
        <f>AW6</f>
        <v>0</v>
      </c>
      <c r="BJ126" s="13">
        <f>AX6</f>
        <v>0</v>
      </c>
    </row>
    <row r="127" spans="1:62" ht="15.75" thickBot="1" x14ac:dyDescent="0.3">
      <c r="A127" s="59">
        <v>10000</v>
      </c>
      <c r="B127" s="31">
        <f t="shared" si="26"/>
        <v>0</v>
      </c>
      <c r="C127" s="32">
        <f t="shared" si="26"/>
        <v>0</v>
      </c>
      <c r="D127" s="32">
        <f t="shared" si="26"/>
        <v>0</v>
      </c>
      <c r="E127" s="32">
        <f t="shared" si="26"/>
        <v>0</v>
      </c>
      <c r="F127" s="33">
        <f t="shared" si="26"/>
        <v>0</v>
      </c>
      <c r="G127" s="31">
        <f t="shared" si="27"/>
        <v>0</v>
      </c>
      <c r="H127" s="32">
        <f t="shared" si="27"/>
        <v>0</v>
      </c>
      <c r="I127" s="32">
        <f t="shared" si="27"/>
        <v>0</v>
      </c>
      <c r="J127" s="32">
        <f t="shared" si="27"/>
        <v>0</v>
      </c>
      <c r="K127" s="33">
        <f t="shared" si="27"/>
        <v>0</v>
      </c>
      <c r="L127" s="31">
        <f t="shared" si="28"/>
        <v>0</v>
      </c>
      <c r="M127" s="32">
        <f t="shared" si="28"/>
        <v>0</v>
      </c>
      <c r="N127" s="32">
        <f t="shared" si="28"/>
        <v>0</v>
      </c>
      <c r="O127" s="32">
        <f t="shared" si="28"/>
        <v>0</v>
      </c>
      <c r="P127" s="33">
        <f t="shared" si="28"/>
        <v>0</v>
      </c>
      <c r="Q127" s="31">
        <f t="shared" si="29"/>
        <v>0</v>
      </c>
      <c r="R127" s="32">
        <f t="shared" si="29"/>
        <v>0</v>
      </c>
      <c r="S127" s="32">
        <f t="shared" si="29"/>
        <v>0</v>
      </c>
      <c r="T127" s="32">
        <f t="shared" si="29"/>
        <v>0</v>
      </c>
      <c r="U127" s="33">
        <f t="shared" si="29"/>
        <v>0</v>
      </c>
      <c r="V127" s="31">
        <f t="shared" si="30"/>
        <v>0</v>
      </c>
      <c r="W127" s="32">
        <f t="shared" si="30"/>
        <v>0</v>
      </c>
      <c r="X127" s="32">
        <f t="shared" si="30"/>
        <v>0</v>
      </c>
      <c r="Y127" s="32">
        <f t="shared" si="30"/>
        <v>0</v>
      </c>
      <c r="Z127" s="33">
        <f t="shared" si="30"/>
        <v>0</v>
      </c>
      <c r="AA127" s="31">
        <f t="shared" si="30"/>
        <v>0</v>
      </c>
      <c r="AB127" s="32">
        <f t="shared" si="30"/>
        <v>0</v>
      </c>
      <c r="AC127" s="32">
        <f t="shared" si="30"/>
        <v>0</v>
      </c>
      <c r="AD127" s="32">
        <f t="shared" si="30"/>
        <v>0</v>
      </c>
      <c r="AE127" s="33">
        <f t="shared" si="30"/>
        <v>0</v>
      </c>
      <c r="AF127" s="16">
        <f t="shared" si="31"/>
        <v>0</v>
      </c>
      <c r="AG127" s="43">
        <f t="shared" si="32"/>
        <v>0</v>
      </c>
      <c r="AH127" s="15">
        <f>AZ2</f>
        <v>0</v>
      </c>
      <c r="AI127" s="8">
        <f>BA2</f>
        <v>0</v>
      </c>
      <c r="AJ127" s="6">
        <f>BB2</f>
        <v>0</v>
      </c>
      <c r="AK127" s="6">
        <f>BC2</f>
        <v>0</v>
      </c>
      <c r="AL127" s="13">
        <f>BD2</f>
        <v>0</v>
      </c>
      <c r="AN127" s="15">
        <f>AZ3</f>
        <v>0</v>
      </c>
      <c r="AO127" s="8">
        <f>BA3</f>
        <v>0</v>
      </c>
      <c r="AP127" s="6">
        <f>BB3</f>
        <v>0</v>
      </c>
      <c r="AQ127" s="6">
        <f>BC3</f>
        <v>0</v>
      </c>
      <c r="AR127" s="13">
        <f>BD3</f>
        <v>0</v>
      </c>
      <c r="AT127" s="15">
        <f>AZ4</f>
        <v>0</v>
      </c>
      <c r="AU127" s="8">
        <f>BA4</f>
        <v>0</v>
      </c>
      <c r="AV127" s="6">
        <f>BB4</f>
        <v>0</v>
      </c>
      <c r="AW127" s="6">
        <f>BC4</f>
        <v>0</v>
      </c>
      <c r="AX127" s="13">
        <f>BD4</f>
        <v>0</v>
      </c>
      <c r="AZ127" s="15">
        <f>AZ5</f>
        <v>0</v>
      </c>
      <c r="BA127" s="8">
        <f>BA5</f>
        <v>0</v>
      </c>
      <c r="BB127" s="6">
        <f>BB5</f>
        <v>0</v>
      </c>
      <c r="BC127" s="6">
        <f>BC5</f>
        <v>0</v>
      </c>
      <c r="BD127" s="13">
        <f>BD5</f>
        <v>0</v>
      </c>
      <c r="BF127" s="15">
        <f>AZ6</f>
        <v>0</v>
      </c>
      <c r="BG127" s="8">
        <f>BA6</f>
        <v>0</v>
      </c>
      <c r="BH127" s="6">
        <f>BB6</f>
        <v>0</v>
      </c>
      <c r="BI127" s="6">
        <f>BC6</f>
        <v>0</v>
      </c>
      <c r="BJ127" s="13">
        <f>BD6</f>
        <v>0</v>
      </c>
    </row>
    <row r="128" spans="1:62" ht="15.75" thickBot="1" x14ac:dyDescent="0.3">
      <c r="A128" s="35"/>
      <c r="B128" s="60">
        <f t="shared" ref="B128:AG128" si="33">SUM(B119:B127)</f>
        <v>0</v>
      </c>
      <c r="C128" s="61">
        <f t="shared" si="33"/>
        <v>48</v>
      </c>
      <c r="D128" s="61">
        <f t="shared" si="33"/>
        <v>0</v>
      </c>
      <c r="E128" s="61">
        <f t="shared" si="33"/>
        <v>0</v>
      </c>
      <c r="F128" s="62">
        <f t="shared" si="33"/>
        <v>0</v>
      </c>
      <c r="G128" s="60">
        <f t="shared" si="33"/>
        <v>0</v>
      </c>
      <c r="H128" s="61">
        <f t="shared" si="33"/>
        <v>0</v>
      </c>
      <c r="I128" s="61">
        <f t="shared" si="33"/>
        <v>0</v>
      </c>
      <c r="J128" s="61">
        <f t="shared" si="33"/>
        <v>0</v>
      </c>
      <c r="K128" s="62">
        <f t="shared" si="33"/>
        <v>0</v>
      </c>
      <c r="L128" s="60">
        <f t="shared" si="33"/>
        <v>0</v>
      </c>
      <c r="M128" s="61">
        <f t="shared" si="33"/>
        <v>0</v>
      </c>
      <c r="N128" s="61">
        <f t="shared" si="33"/>
        <v>0</v>
      </c>
      <c r="O128" s="61">
        <f t="shared" si="33"/>
        <v>0</v>
      </c>
      <c r="P128" s="62">
        <f t="shared" si="33"/>
        <v>0</v>
      </c>
      <c r="Q128" s="60">
        <f t="shared" si="33"/>
        <v>0</v>
      </c>
      <c r="R128" s="61">
        <f t="shared" si="33"/>
        <v>0</v>
      </c>
      <c r="S128" s="61">
        <f t="shared" si="33"/>
        <v>0</v>
      </c>
      <c r="T128" s="61">
        <f t="shared" si="33"/>
        <v>0</v>
      </c>
      <c r="U128" s="62">
        <f t="shared" si="33"/>
        <v>0</v>
      </c>
      <c r="V128" s="60">
        <f t="shared" si="33"/>
        <v>0</v>
      </c>
      <c r="W128" s="61">
        <f t="shared" si="33"/>
        <v>0</v>
      </c>
      <c r="X128" s="61">
        <f t="shared" si="33"/>
        <v>0</v>
      </c>
      <c r="Y128" s="61">
        <f t="shared" si="33"/>
        <v>0</v>
      </c>
      <c r="Z128" s="62">
        <f t="shared" si="33"/>
        <v>0</v>
      </c>
      <c r="AA128" s="60">
        <f t="shared" si="33"/>
        <v>0</v>
      </c>
      <c r="AB128" s="61">
        <f t="shared" si="33"/>
        <v>0</v>
      </c>
      <c r="AC128" s="61">
        <f t="shared" si="33"/>
        <v>0</v>
      </c>
      <c r="AD128" s="61">
        <f t="shared" si="33"/>
        <v>0</v>
      </c>
      <c r="AE128" s="62">
        <f t="shared" si="33"/>
        <v>0</v>
      </c>
      <c r="AF128" s="35">
        <f>SUM(AF119:AF127)</f>
        <v>39500</v>
      </c>
      <c r="AG128" s="35">
        <f t="shared" si="32"/>
        <v>48</v>
      </c>
      <c r="AH128" s="15">
        <f>BF2</f>
        <v>0</v>
      </c>
      <c r="AI128" s="8">
        <f>BG2</f>
        <v>0</v>
      </c>
      <c r="AJ128" s="6">
        <f>BH2</f>
        <v>0</v>
      </c>
      <c r="AK128" s="6">
        <f>BI2</f>
        <v>0</v>
      </c>
      <c r="AL128" s="13">
        <f>BJ2</f>
        <v>0</v>
      </c>
      <c r="AN128" s="15">
        <f>BF3</f>
        <v>0</v>
      </c>
      <c r="AO128" s="8">
        <f>BG3</f>
        <v>0</v>
      </c>
      <c r="AP128" s="6">
        <f>BH3</f>
        <v>0</v>
      </c>
      <c r="AQ128" s="6">
        <f>BI3</f>
        <v>0</v>
      </c>
      <c r="AR128" s="13">
        <f>BJ3</f>
        <v>0</v>
      </c>
      <c r="AT128" s="15">
        <f>BF4</f>
        <v>0</v>
      </c>
      <c r="AU128" s="8">
        <f>BG4</f>
        <v>0</v>
      </c>
      <c r="AV128" s="6">
        <f>BH4</f>
        <v>0</v>
      </c>
      <c r="AW128" s="6">
        <f>BI4</f>
        <v>0</v>
      </c>
      <c r="AX128" s="13">
        <f>BJ4</f>
        <v>0</v>
      </c>
      <c r="AZ128" s="15">
        <f>BF5</f>
        <v>0</v>
      </c>
      <c r="BA128" s="8">
        <f>BG5</f>
        <v>0</v>
      </c>
      <c r="BB128" s="6">
        <f>BH5</f>
        <v>0</v>
      </c>
      <c r="BC128" s="6">
        <f>BI5</f>
        <v>0</v>
      </c>
      <c r="BD128" s="13">
        <f>BJ5</f>
        <v>0</v>
      </c>
      <c r="BF128" s="15">
        <f>BF6</f>
        <v>0</v>
      </c>
      <c r="BG128" s="8">
        <f>BG6</f>
        <v>0</v>
      </c>
      <c r="BH128" s="6">
        <f>BH6</f>
        <v>0</v>
      </c>
      <c r="BI128" s="6">
        <f>BI6</f>
        <v>0</v>
      </c>
      <c r="BJ128" s="13">
        <f>BJ6</f>
        <v>0</v>
      </c>
    </row>
    <row r="129" spans="1:62" ht="15.75" thickBo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9">
        <f>BL2</f>
        <v>0</v>
      </c>
      <c r="AI129" s="31">
        <f>BM2</f>
        <v>0</v>
      </c>
      <c r="AJ129" s="32">
        <f>BN2</f>
        <v>0</v>
      </c>
      <c r="AK129" s="32">
        <f>BO2</f>
        <v>0</v>
      </c>
      <c r="AL129" s="33">
        <f>BP2</f>
        <v>0</v>
      </c>
      <c r="AN129" s="59">
        <f>BL3</f>
        <v>0</v>
      </c>
      <c r="AO129" s="31">
        <f>BM3</f>
        <v>0</v>
      </c>
      <c r="AP129" s="32">
        <f>BN3</f>
        <v>0</v>
      </c>
      <c r="AQ129" s="32">
        <f>BO3</f>
        <v>0</v>
      </c>
      <c r="AR129" s="33">
        <f>BP3</f>
        <v>0</v>
      </c>
      <c r="AT129" s="59">
        <f>BL4</f>
        <v>0</v>
      </c>
      <c r="AU129" s="31">
        <f>BM4</f>
        <v>0</v>
      </c>
      <c r="AV129" s="32">
        <f>BN4</f>
        <v>0</v>
      </c>
      <c r="AW129" s="32">
        <f>BO4</f>
        <v>0</v>
      </c>
      <c r="AX129" s="33">
        <f>BP4</f>
        <v>0</v>
      </c>
      <c r="AZ129" s="59">
        <f>BL5</f>
        <v>0</v>
      </c>
      <c r="BA129" s="31">
        <f>BM5</f>
        <v>0</v>
      </c>
      <c r="BB129" s="32">
        <f>BN5</f>
        <v>0</v>
      </c>
      <c r="BC129" s="32">
        <f>BO5</f>
        <v>0</v>
      </c>
      <c r="BD129" s="33">
        <f>BP5</f>
        <v>0</v>
      </c>
      <c r="BF129" s="59">
        <f>BL6</f>
        <v>0</v>
      </c>
      <c r="BG129" s="31">
        <f>BM6</f>
        <v>0</v>
      </c>
      <c r="BH129" s="32">
        <f>BN6</f>
        <v>0</v>
      </c>
      <c r="BI129" s="32">
        <f>BO6</f>
        <v>0</v>
      </c>
      <c r="BJ129" s="33">
        <f>BP6</f>
        <v>0</v>
      </c>
    </row>
    <row r="130" spans="1:62" ht="16.5" thickBot="1" x14ac:dyDescent="0.3">
      <c r="A130" s="173" t="s">
        <v>249</v>
      </c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5"/>
      <c r="AH130" s="35" t="str">
        <f>C2</f>
        <v>A/C</v>
      </c>
      <c r="AI130" s="158">
        <f>SUM(AJ120:AJ129)</f>
        <v>48</v>
      </c>
      <c r="AJ130" s="159"/>
      <c r="AK130" s="158">
        <f>BT2</f>
        <v>39500</v>
      </c>
      <c r="AL130" s="159"/>
      <c r="AN130" s="35">
        <f>C3</f>
        <v>0</v>
      </c>
      <c r="AO130" s="158">
        <f>SUM(AP120:AP129)</f>
        <v>0</v>
      </c>
      <c r="AP130" s="159"/>
      <c r="AQ130" s="158">
        <f>BT3</f>
        <v>0</v>
      </c>
      <c r="AR130" s="159"/>
      <c r="AT130" s="35">
        <f>C4</f>
        <v>0</v>
      </c>
      <c r="AU130" s="158">
        <f>SUM(AV120:AV129)</f>
        <v>0</v>
      </c>
      <c r="AV130" s="159"/>
      <c r="AW130" s="158">
        <f>BT4</f>
        <v>0</v>
      </c>
      <c r="AX130" s="159"/>
      <c r="AZ130" s="35">
        <f>C5</f>
        <v>0</v>
      </c>
      <c r="BA130" s="158">
        <f>SUM(BB120:BB129)</f>
        <v>0</v>
      </c>
      <c r="BB130" s="159"/>
      <c r="BC130" s="158">
        <f>BT5</f>
        <v>0</v>
      </c>
      <c r="BD130" s="159"/>
      <c r="BF130" s="35">
        <f>C6</f>
        <v>0</v>
      </c>
      <c r="BG130" s="158">
        <f>SUM(BG120:BG129)</f>
        <v>0</v>
      </c>
      <c r="BH130" s="159"/>
      <c r="BI130" s="158">
        <f>BT6</f>
        <v>0</v>
      </c>
      <c r="BJ130" s="159"/>
    </row>
    <row r="131" spans="1:62" ht="15.75" thickBot="1" x14ac:dyDescent="0.3">
      <c r="A131" s="123" t="s">
        <v>31</v>
      </c>
      <c r="B131" s="113" t="s">
        <v>22</v>
      </c>
      <c r="C131" s="114"/>
      <c r="D131" s="114"/>
      <c r="E131" s="114"/>
      <c r="F131" s="115"/>
      <c r="G131" s="113" t="s">
        <v>20</v>
      </c>
      <c r="H131" s="114"/>
      <c r="I131" s="114"/>
      <c r="J131" s="114"/>
      <c r="K131" s="115"/>
      <c r="L131" s="113" t="s">
        <v>34</v>
      </c>
      <c r="M131" s="114"/>
      <c r="N131" s="114"/>
      <c r="O131" s="114"/>
      <c r="P131" s="115"/>
      <c r="Q131" s="113" t="s">
        <v>127</v>
      </c>
      <c r="R131" s="114"/>
      <c r="S131" s="114"/>
      <c r="T131" s="114"/>
      <c r="U131" s="115"/>
      <c r="V131" s="113" t="s">
        <v>129</v>
      </c>
      <c r="W131" s="114"/>
      <c r="X131" s="114"/>
      <c r="Y131" s="114"/>
      <c r="Z131" s="115"/>
      <c r="AA131" s="113" t="s">
        <v>26</v>
      </c>
      <c r="AB131" s="114"/>
      <c r="AC131" s="114"/>
      <c r="AD131" s="114"/>
      <c r="AE131" s="115"/>
      <c r="AF131" s="116" t="s">
        <v>24</v>
      </c>
      <c r="AG131" s="116" t="s">
        <v>86</v>
      </c>
      <c r="AH131" s="35" t="s">
        <v>25</v>
      </c>
      <c r="AI131" s="158">
        <f>A2</f>
        <v>21420</v>
      </c>
      <c r="AJ131" s="160"/>
      <c r="AK131" s="158" t="str">
        <f>BR2</f>
        <v>COD</v>
      </c>
      <c r="AL131" s="159"/>
      <c r="AN131" s="35" t="s">
        <v>25</v>
      </c>
      <c r="AO131" s="158">
        <f>A3</f>
        <v>0</v>
      </c>
      <c r="AP131" s="160"/>
      <c r="AQ131" s="158">
        <f>BR3</f>
        <v>0</v>
      </c>
      <c r="AR131" s="159"/>
      <c r="AT131" s="35" t="s">
        <v>25</v>
      </c>
      <c r="AU131" s="158">
        <f>A4</f>
        <v>0</v>
      </c>
      <c r="AV131" s="160"/>
      <c r="AW131" s="158">
        <f>BR4</f>
        <v>0</v>
      </c>
      <c r="AX131" s="159"/>
      <c r="AZ131" s="35" t="s">
        <v>25</v>
      </c>
      <c r="BA131" s="158">
        <f>A5</f>
        <v>0</v>
      </c>
      <c r="BB131" s="160"/>
      <c r="BC131" s="158">
        <f>BR5</f>
        <v>0</v>
      </c>
      <c r="BD131" s="159"/>
      <c r="BF131" s="35" t="s">
        <v>25</v>
      </c>
      <c r="BG131" s="158">
        <f>A6</f>
        <v>0</v>
      </c>
      <c r="BH131" s="160"/>
      <c r="BI131" s="158">
        <f>BR6</f>
        <v>0</v>
      </c>
      <c r="BJ131" s="159"/>
    </row>
    <row r="132" spans="1:62" ht="15.75" thickBot="1" x14ac:dyDescent="0.3">
      <c r="A132" s="124"/>
      <c r="B132" s="9" t="s">
        <v>32</v>
      </c>
      <c r="C132" s="12" t="s">
        <v>17</v>
      </c>
      <c r="D132" s="12" t="s">
        <v>19</v>
      </c>
      <c r="E132" s="12" t="s">
        <v>33</v>
      </c>
      <c r="F132" s="14" t="s">
        <v>80</v>
      </c>
      <c r="G132" s="9" t="s">
        <v>32</v>
      </c>
      <c r="H132" s="12" t="s">
        <v>17</v>
      </c>
      <c r="I132" s="12" t="s">
        <v>19</v>
      </c>
      <c r="J132" s="12" t="s">
        <v>33</v>
      </c>
      <c r="K132" s="14" t="s">
        <v>80</v>
      </c>
      <c r="L132" s="9" t="s">
        <v>32</v>
      </c>
      <c r="M132" s="12" t="s">
        <v>17</v>
      </c>
      <c r="N132" s="12" t="s">
        <v>19</v>
      </c>
      <c r="O132" s="12" t="s">
        <v>33</v>
      </c>
      <c r="P132" s="14" t="s">
        <v>80</v>
      </c>
      <c r="Q132" s="9" t="s">
        <v>32</v>
      </c>
      <c r="R132" s="12" t="s">
        <v>17</v>
      </c>
      <c r="S132" s="12" t="s">
        <v>19</v>
      </c>
      <c r="T132" s="12" t="s">
        <v>33</v>
      </c>
      <c r="U132" s="14" t="s">
        <v>80</v>
      </c>
      <c r="V132" s="9" t="s">
        <v>32</v>
      </c>
      <c r="W132" s="12" t="s">
        <v>17</v>
      </c>
      <c r="X132" s="12" t="s">
        <v>19</v>
      </c>
      <c r="Y132" s="12" t="s">
        <v>33</v>
      </c>
      <c r="Z132" s="14" t="s">
        <v>80</v>
      </c>
      <c r="AA132" s="9" t="s">
        <v>32</v>
      </c>
      <c r="AB132" s="12" t="s">
        <v>17</v>
      </c>
      <c r="AC132" s="12" t="s">
        <v>19</v>
      </c>
      <c r="AD132" s="12" t="s">
        <v>33</v>
      </c>
      <c r="AE132" s="14" t="s">
        <v>80</v>
      </c>
      <c r="AF132" s="117"/>
      <c r="AG132" s="117"/>
      <c r="AH132" s="58" t="s">
        <v>130</v>
      </c>
      <c r="AI132" s="58" t="s">
        <v>131</v>
      </c>
      <c r="AJ132" s="58" t="s">
        <v>132</v>
      </c>
      <c r="AK132" s="58" t="s">
        <v>166</v>
      </c>
      <c r="AL132" s="58" t="s">
        <v>33</v>
      </c>
      <c r="AN132" s="58" t="s">
        <v>130</v>
      </c>
      <c r="AO132" s="58" t="s">
        <v>131</v>
      </c>
      <c r="AP132" s="58" t="s">
        <v>132</v>
      </c>
      <c r="AQ132" s="58" t="s">
        <v>166</v>
      </c>
      <c r="AR132" s="58" t="s">
        <v>33</v>
      </c>
      <c r="AT132" s="58" t="s">
        <v>130</v>
      </c>
      <c r="AU132" s="58" t="s">
        <v>131</v>
      </c>
      <c r="AV132" s="58" t="s">
        <v>132</v>
      </c>
      <c r="AW132" s="58" t="s">
        <v>166</v>
      </c>
      <c r="AX132" s="58" t="s">
        <v>33</v>
      </c>
      <c r="AZ132" s="58" t="s">
        <v>130</v>
      </c>
      <c r="BA132" s="58" t="s">
        <v>131</v>
      </c>
      <c r="BB132" s="58" t="s">
        <v>132</v>
      </c>
      <c r="BC132" s="58" t="s">
        <v>166</v>
      </c>
      <c r="BD132" s="58" t="s">
        <v>33</v>
      </c>
      <c r="BF132" s="58" t="s">
        <v>130</v>
      </c>
      <c r="BG132" s="58" t="s">
        <v>131</v>
      </c>
      <c r="BH132" s="58" t="s">
        <v>132</v>
      </c>
      <c r="BI132" s="58" t="s">
        <v>166</v>
      </c>
      <c r="BJ132" s="58" t="s">
        <v>33</v>
      </c>
    </row>
    <row r="133" spans="1:62" ht="15.75" thickBot="1" x14ac:dyDescent="0.3">
      <c r="A133" s="16">
        <v>300</v>
      </c>
      <c r="B133" s="10">
        <f t="shared" ref="B133:F141" si="34">SUMIFS($J$14:$J$113,$I$14:$I$113,$A133,$K$14:$K$113,B$118,$L$14:$L$113,$B$117,$H$14:$H$113,"NG")</f>
        <v>0</v>
      </c>
      <c r="C133" s="11">
        <f t="shared" si="34"/>
        <v>0</v>
      </c>
      <c r="D133" s="11">
        <f t="shared" si="34"/>
        <v>0</v>
      </c>
      <c r="E133" s="11">
        <f t="shared" si="34"/>
        <v>0</v>
      </c>
      <c r="F133" s="17">
        <f t="shared" si="34"/>
        <v>0</v>
      </c>
      <c r="G133" s="10">
        <f t="shared" ref="G133:K141" si="35">SUMIFS($J$14:$J$113,$I$14:$I$113,$A133,$K$14:$K$113,G$118,$L$14:$L$113,$G$117,$H$14:$H$113,"NG")</f>
        <v>0</v>
      </c>
      <c r="H133" s="11">
        <f t="shared" si="35"/>
        <v>0</v>
      </c>
      <c r="I133" s="11">
        <f t="shared" si="35"/>
        <v>0</v>
      </c>
      <c r="J133" s="11">
        <f t="shared" si="35"/>
        <v>0</v>
      </c>
      <c r="K133" s="17">
        <f t="shared" si="35"/>
        <v>0</v>
      </c>
      <c r="L133" s="10">
        <f t="shared" ref="L133:P141" si="36">SUMIFS($J$14:$J$113,$I$14:$I$113,$A133,$K$14:$K$113,L$118,$L$14:$L$113,$L$117,$H$14:$H$113,"NG")</f>
        <v>0</v>
      </c>
      <c r="M133" s="11">
        <f t="shared" si="36"/>
        <v>0</v>
      </c>
      <c r="N133" s="11">
        <f t="shared" si="36"/>
        <v>0</v>
      </c>
      <c r="O133" s="11">
        <f t="shared" si="36"/>
        <v>0</v>
      </c>
      <c r="P133" s="17">
        <f t="shared" si="36"/>
        <v>0</v>
      </c>
      <c r="Q133" s="10">
        <f t="shared" ref="Q133:U141" si="37">SUMIFS($J$14:$J$113,$I$14:$I$113,$A133,$K$14:$K$113,Q$118,$L$14:$L$113,$Q$117,$H$14:$H$113,"NG")</f>
        <v>0</v>
      </c>
      <c r="R133" s="11">
        <f t="shared" si="37"/>
        <v>0</v>
      </c>
      <c r="S133" s="11">
        <f t="shared" si="37"/>
        <v>0</v>
      </c>
      <c r="T133" s="11">
        <f t="shared" si="37"/>
        <v>0</v>
      </c>
      <c r="U133" s="17">
        <f t="shared" si="37"/>
        <v>0</v>
      </c>
      <c r="V133" s="10">
        <f t="shared" ref="V133:AE141" si="38">SUMIFS($J$14:$J$113,$I$14:$I$113,$A133,$K$14:$K$113,V$118,$L$14:$L$113,$L$117,$H$14:$H$113,"NG")</f>
        <v>0</v>
      </c>
      <c r="W133" s="11">
        <f t="shared" si="38"/>
        <v>0</v>
      </c>
      <c r="X133" s="11">
        <f t="shared" si="38"/>
        <v>0</v>
      </c>
      <c r="Y133" s="11">
        <f t="shared" si="38"/>
        <v>0</v>
      </c>
      <c r="Z133" s="17">
        <f t="shared" si="38"/>
        <v>0</v>
      </c>
      <c r="AA133" s="10">
        <f t="shared" si="38"/>
        <v>0</v>
      </c>
      <c r="AB133" s="11">
        <f t="shared" si="38"/>
        <v>0</v>
      </c>
      <c r="AC133" s="11">
        <f t="shared" si="38"/>
        <v>0</v>
      </c>
      <c r="AD133" s="11">
        <f t="shared" si="38"/>
        <v>0</v>
      </c>
      <c r="AE133" s="17">
        <f t="shared" si="38"/>
        <v>0</v>
      </c>
      <c r="AF133" s="16">
        <f>SUM(B133:AE133)*A133</f>
        <v>0</v>
      </c>
      <c r="AG133" s="16">
        <f>SUM(B133:AE133)</f>
        <v>0</v>
      </c>
      <c r="AH133" s="34" t="str">
        <f>AZ14</f>
        <v/>
      </c>
      <c r="AI133" s="34" t="str">
        <f>BA14</f>
        <v/>
      </c>
      <c r="AJ133" s="34" t="str">
        <f>BB14</f>
        <v/>
      </c>
      <c r="AK133" s="35" t="str">
        <f>BC14</f>
        <v/>
      </c>
      <c r="AL133" s="35" t="str">
        <f>BD14</f>
        <v/>
      </c>
      <c r="AN133" s="34" t="str">
        <f>AZ15</f>
        <v/>
      </c>
      <c r="AO133" s="34" t="str">
        <f>BA15</f>
        <v/>
      </c>
      <c r="AP133" s="34" t="str">
        <f>BB15</f>
        <v/>
      </c>
      <c r="AQ133" s="35" t="str">
        <f>BC15</f>
        <v/>
      </c>
      <c r="AR133" s="35" t="str">
        <f>BD15</f>
        <v/>
      </c>
      <c r="AT133" s="34" t="str">
        <f>AZ16</f>
        <v/>
      </c>
      <c r="AU133" s="34" t="str">
        <f>BA16</f>
        <v/>
      </c>
      <c r="AV133" s="34" t="str">
        <f>BB16</f>
        <v/>
      </c>
      <c r="AW133" s="35" t="str">
        <f>BC16</f>
        <v/>
      </c>
      <c r="AX133" s="35" t="str">
        <f>BD16</f>
        <v/>
      </c>
      <c r="AZ133" s="34" t="str">
        <f>AZ17</f>
        <v/>
      </c>
      <c r="BA133" s="34" t="str">
        <f>BA17</f>
        <v/>
      </c>
      <c r="BB133" s="34" t="str">
        <f>BB17</f>
        <v/>
      </c>
      <c r="BC133" s="35" t="str">
        <f>BC17</f>
        <v/>
      </c>
      <c r="BD133" s="35" t="str">
        <f>BD17</f>
        <v/>
      </c>
      <c r="BF133" s="34" t="str">
        <f>AZ18</f>
        <v/>
      </c>
      <c r="BG133" s="34" t="str">
        <f>BA18</f>
        <v/>
      </c>
      <c r="BH133" s="34" t="str">
        <f>BB18</f>
        <v/>
      </c>
      <c r="BI133" s="35" t="str">
        <f>BC18</f>
        <v/>
      </c>
      <c r="BJ133" s="35" t="str">
        <f>BD18</f>
        <v/>
      </c>
    </row>
    <row r="134" spans="1:62" ht="15.75" thickBot="1" x14ac:dyDescent="0.3">
      <c r="A134" s="16">
        <v>500</v>
      </c>
      <c r="B134" s="10">
        <f t="shared" si="34"/>
        <v>0</v>
      </c>
      <c r="C134" s="11">
        <f t="shared" si="34"/>
        <v>0</v>
      </c>
      <c r="D134" s="11">
        <f t="shared" si="34"/>
        <v>0</v>
      </c>
      <c r="E134" s="11">
        <f t="shared" si="34"/>
        <v>0</v>
      </c>
      <c r="F134" s="17">
        <f t="shared" si="34"/>
        <v>0</v>
      </c>
      <c r="G134" s="10">
        <f t="shared" si="35"/>
        <v>0</v>
      </c>
      <c r="H134" s="11">
        <f t="shared" si="35"/>
        <v>0</v>
      </c>
      <c r="I134" s="11">
        <f t="shared" si="35"/>
        <v>0</v>
      </c>
      <c r="J134" s="11">
        <f t="shared" si="35"/>
        <v>0</v>
      </c>
      <c r="K134" s="17">
        <f t="shared" si="35"/>
        <v>0</v>
      </c>
      <c r="L134" s="10">
        <f t="shared" si="36"/>
        <v>0</v>
      </c>
      <c r="M134" s="11">
        <f t="shared" si="36"/>
        <v>0</v>
      </c>
      <c r="N134" s="11">
        <f t="shared" si="36"/>
        <v>0</v>
      </c>
      <c r="O134" s="11">
        <f t="shared" si="36"/>
        <v>0</v>
      </c>
      <c r="P134" s="17">
        <f t="shared" si="36"/>
        <v>0</v>
      </c>
      <c r="Q134" s="10">
        <f t="shared" si="37"/>
        <v>0</v>
      </c>
      <c r="R134" s="11">
        <f t="shared" si="37"/>
        <v>0</v>
      </c>
      <c r="S134" s="11">
        <f t="shared" si="37"/>
        <v>0</v>
      </c>
      <c r="T134" s="11">
        <f t="shared" si="37"/>
        <v>0</v>
      </c>
      <c r="U134" s="17">
        <f t="shared" si="37"/>
        <v>0</v>
      </c>
      <c r="V134" s="10">
        <f t="shared" si="38"/>
        <v>0</v>
      </c>
      <c r="W134" s="11">
        <f t="shared" si="38"/>
        <v>0</v>
      </c>
      <c r="X134" s="11">
        <f t="shared" si="38"/>
        <v>0</v>
      </c>
      <c r="Y134" s="11">
        <f t="shared" si="38"/>
        <v>0</v>
      </c>
      <c r="Z134" s="17">
        <f t="shared" si="38"/>
        <v>0</v>
      </c>
      <c r="AA134" s="10">
        <f t="shared" si="38"/>
        <v>0</v>
      </c>
      <c r="AB134" s="11">
        <f t="shared" si="38"/>
        <v>0</v>
      </c>
      <c r="AC134" s="11">
        <f t="shared" si="38"/>
        <v>0</v>
      </c>
      <c r="AD134" s="11">
        <f t="shared" si="38"/>
        <v>0</v>
      </c>
      <c r="AE134" s="17">
        <f t="shared" si="38"/>
        <v>0</v>
      </c>
      <c r="AF134" s="16">
        <f t="shared" ref="AF134:AF141" si="39">SUM(B134:AE134)*A134</f>
        <v>0</v>
      </c>
      <c r="AG134" s="16">
        <f t="shared" ref="AG134:AG142" si="40">SUM(B134:AE134)</f>
        <v>0</v>
      </c>
      <c r="AH134" s="58" t="s">
        <v>22</v>
      </c>
      <c r="AI134" s="58" t="s">
        <v>20</v>
      </c>
      <c r="AJ134" s="58" t="s">
        <v>34</v>
      </c>
      <c r="AK134" s="58" t="s">
        <v>127</v>
      </c>
      <c r="AL134" s="58" t="s">
        <v>129</v>
      </c>
      <c r="AN134" s="58" t="s">
        <v>22</v>
      </c>
      <c r="AO134" s="58" t="s">
        <v>20</v>
      </c>
      <c r="AP134" s="58" t="s">
        <v>34</v>
      </c>
      <c r="AQ134" s="58" t="s">
        <v>127</v>
      </c>
      <c r="AR134" s="58" t="s">
        <v>129</v>
      </c>
      <c r="AT134" s="58" t="s">
        <v>22</v>
      </c>
      <c r="AU134" s="58" t="s">
        <v>20</v>
      </c>
      <c r="AV134" s="58" t="s">
        <v>34</v>
      </c>
      <c r="AW134" s="58" t="s">
        <v>127</v>
      </c>
      <c r="AX134" s="58" t="s">
        <v>129</v>
      </c>
      <c r="AZ134" s="58" t="s">
        <v>22</v>
      </c>
      <c r="BA134" s="58" t="s">
        <v>20</v>
      </c>
      <c r="BB134" s="58" t="s">
        <v>34</v>
      </c>
      <c r="BC134" s="58" t="s">
        <v>127</v>
      </c>
      <c r="BD134" s="58" t="s">
        <v>129</v>
      </c>
      <c r="BF134" s="58" t="s">
        <v>22</v>
      </c>
      <c r="BG134" s="58" t="s">
        <v>20</v>
      </c>
      <c r="BH134" s="58" t="s">
        <v>34</v>
      </c>
      <c r="BI134" s="58" t="s">
        <v>127</v>
      </c>
      <c r="BJ134" s="58" t="s">
        <v>129</v>
      </c>
    </row>
    <row r="135" spans="1:62" ht="15.75" thickBot="1" x14ac:dyDescent="0.3">
      <c r="A135" s="15">
        <v>750</v>
      </c>
      <c r="B135" s="8">
        <f t="shared" si="34"/>
        <v>0</v>
      </c>
      <c r="C135" s="6">
        <f t="shared" si="34"/>
        <v>0</v>
      </c>
      <c r="D135" s="6">
        <f t="shared" si="34"/>
        <v>0</v>
      </c>
      <c r="E135" s="6">
        <f t="shared" si="34"/>
        <v>0</v>
      </c>
      <c r="F135" s="13">
        <f t="shared" si="34"/>
        <v>0</v>
      </c>
      <c r="G135" s="8">
        <f t="shared" si="35"/>
        <v>0</v>
      </c>
      <c r="H135" s="6">
        <f t="shared" si="35"/>
        <v>0</v>
      </c>
      <c r="I135" s="6">
        <f t="shared" si="35"/>
        <v>0</v>
      </c>
      <c r="J135" s="6">
        <f t="shared" si="35"/>
        <v>0</v>
      </c>
      <c r="K135" s="13">
        <f t="shared" si="35"/>
        <v>0</v>
      </c>
      <c r="L135" s="8">
        <f t="shared" si="36"/>
        <v>0</v>
      </c>
      <c r="M135" s="6">
        <f t="shared" si="36"/>
        <v>0</v>
      </c>
      <c r="N135" s="6">
        <f t="shared" si="36"/>
        <v>0</v>
      </c>
      <c r="O135" s="6">
        <f t="shared" si="36"/>
        <v>0</v>
      </c>
      <c r="P135" s="13">
        <f t="shared" si="36"/>
        <v>0</v>
      </c>
      <c r="Q135" s="8">
        <f t="shared" si="37"/>
        <v>0</v>
      </c>
      <c r="R135" s="6">
        <f t="shared" si="37"/>
        <v>0</v>
      </c>
      <c r="S135" s="6">
        <f t="shared" si="37"/>
        <v>0</v>
      </c>
      <c r="T135" s="6">
        <f t="shared" si="37"/>
        <v>0</v>
      </c>
      <c r="U135" s="13">
        <f t="shared" si="37"/>
        <v>0</v>
      </c>
      <c r="V135" s="8">
        <f t="shared" si="38"/>
        <v>0</v>
      </c>
      <c r="W135" s="6">
        <f t="shared" si="38"/>
        <v>0</v>
      </c>
      <c r="X135" s="6">
        <f t="shared" si="38"/>
        <v>0</v>
      </c>
      <c r="Y135" s="6">
        <f t="shared" si="38"/>
        <v>0</v>
      </c>
      <c r="Z135" s="13">
        <f t="shared" si="38"/>
        <v>0</v>
      </c>
      <c r="AA135" s="8">
        <f t="shared" si="38"/>
        <v>0</v>
      </c>
      <c r="AB135" s="6">
        <f t="shared" si="38"/>
        <v>0</v>
      </c>
      <c r="AC135" s="6">
        <f t="shared" si="38"/>
        <v>0</v>
      </c>
      <c r="AD135" s="6">
        <f t="shared" si="38"/>
        <v>0</v>
      </c>
      <c r="AE135" s="13">
        <f t="shared" si="38"/>
        <v>0</v>
      </c>
      <c r="AF135" s="16">
        <f t="shared" si="39"/>
        <v>0</v>
      </c>
      <c r="AG135" s="16">
        <f t="shared" si="40"/>
        <v>0</v>
      </c>
      <c r="AH135" s="34">
        <f>AU14</f>
        <v>3.5</v>
      </c>
      <c r="AI135" s="34" t="str">
        <f>AV14</f>
        <v/>
      </c>
      <c r="AJ135" s="34" t="str">
        <f>AW14</f>
        <v/>
      </c>
      <c r="AK135" s="35" t="str">
        <f>AX14</f>
        <v/>
      </c>
      <c r="AL135" s="35" t="str">
        <f>AY14</f>
        <v/>
      </c>
      <c r="AN135" s="34" t="str">
        <f>AU15</f>
        <v/>
      </c>
      <c r="AO135" s="34" t="str">
        <f>AV15</f>
        <v/>
      </c>
      <c r="AP135" s="34" t="str">
        <f>AW15</f>
        <v/>
      </c>
      <c r="AQ135" s="35" t="str">
        <f>AX15</f>
        <v/>
      </c>
      <c r="AR135" s="35" t="str">
        <f>AY15</f>
        <v/>
      </c>
      <c r="AT135" s="34" t="str">
        <f>AU16</f>
        <v/>
      </c>
      <c r="AU135" s="34" t="str">
        <f>AV16</f>
        <v/>
      </c>
      <c r="AV135" s="34" t="str">
        <f>AW16</f>
        <v/>
      </c>
      <c r="AW135" s="35" t="str">
        <f>AX16</f>
        <v/>
      </c>
      <c r="AX135" s="35" t="str">
        <f>AY16</f>
        <v/>
      </c>
      <c r="AZ135" s="34" t="str">
        <f>AU17</f>
        <v/>
      </c>
      <c r="BA135" s="34" t="str">
        <f>AV17</f>
        <v/>
      </c>
      <c r="BB135" s="34" t="str">
        <f>AW17</f>
        <v/>
      </c>
      <c r="BC135" s="35" t="str">
        <f>AX17</f>
        <v/>
      </c>
      <c r="BD135" s="35" t="str">
        <f>AY17</f>
        <v/>
      </c>
      <c r="BF135" s="34" t="str">
        <f>AU18</f>
        <v/>
      </c>
      <c r="BG135" s="34" t="str">
        <f>AV18</f>
        <v/>
      </c>
      <c r="BH135" s="34" t="str">
        <f>AW18</f>
        <v/>
      </c>
      <c r="BI135" s="35" t="str">
        <f>AX18</f>
        <v/>
      </c>
      <c r="BJ135" s="35" t="str">
        <f>AY18</f>
        <v/>
      </c>
    </row>
    <row r="136" spans="1:62" x14ac:dyDescent="0.25">
      <c r="A136" s="15">
        <v>1000</v>
      </c>
      <c r="B136" s="8">
        <f t="shared" si="34"/>
        <v>0</v>
      </c>
      <c r="C136" s="6">
        <f t="shared" si="34"/>
        <v>0</v>
      </c>
      <c r="D136" s="6">
        <f t="shared" si="34"/>
        <v>0</v>
      </c>
      <c r="E136" s="6">
        <f t="shared" si="34"/>
        <v>0</v>
      </c>
      <c r="F136" s="13">
        <f t="shared" si="34"/>
        <v>0</v>
      </c>
      <c r="G136" s="8">
        <f t="shared" si="35"/>
        <v>0</v>
      </c>
      <c r="H136" s="6">
        <f t="shared" si="35"/>
        <v>0</v>
      </c>
      <c r="I136" s="6">
        <f t="shared" si="35"/>
        <v>0</v>
      </c>
      <c r="J136" s="6">
        <f t="shared" si="35"/>
        <v>0</v>
      </c>
      <c r="K136" s="13">
        <f t="shared" si="35"/>
        <v>0</v>
      </c>
      <c r="L136" s="8">
        <f t="shared" si="36"/>
        <v>0</v>
      </c>
      <c r="M136" s="6">
        <f t="shared" si="36"/>
        <v>0</v>
      </c>
      <c r="N136" s="6">
        <f t="shared" si="36"/>
        <v>0</v>
      </c>
      <c r="O136" s="6">
        <f t="shared" si="36"/>
        <v>0</v>
      </c>
      <c r="P136" s="13">
        <f t="shared" si="36"/>
        <v>0</v>
      </c>
      <c r="Q136" s="8">
        <f t="shared" si="37"/>
        <v>0</v>
      </c>
      <c r="R136" s="6">
        <f t="shared" si="37"/>
        <v>0</v>
      </c>
      <c r="S136" s="6">
        <f t="shared" si="37"/>
        <v>0</v>
      </c>
      <c r="T136" s="6">
        <f t="shared" si="37"/>
        <v>0</v>
      </c>
      <c r="U136" s="13">
        <f t="shared" si="37"/>
        <v>0</v>
      </c>
      <c r="V136" s="8">
        <f t="shared" si="38"/>
        <v>0</v>
      </c>
      <c r="W136" s="6">
        <f t="shared" si="38"/>
        <v>0</v>
      </c>
      <c r="X136" s="6">
        <f t="shared" si="38"/>
        <v>0</v>
      </c>
      <c r="Y136" s="6">
        <f t="shared" si="38"/>
        <v>0</v>
      </c>
      <c r="Z136" s="13">
        <f t="shared" si="38"/>
        <v>0</v>
      </c>
      <c r="AA136" s="8">
        <f t="shared" si="38"/>
        <v>0</v>
      </c>
      <c r="AB136" s="6">
        <f t="shared" si="38"/>
        <v>0</v>
      </c>
      <c r="AC136" s="6">
        <f t="shared" si="38"/>
        <v>0</v>
      </c>
      <c r="AD136" s="6">
        <f t="shared" si="38"/>
        <v>0</v>
      </c>
      <c r="AE136" s="13">
        <f t="shared" si="38"/>
        <v>0</v>
      </c>
      <c r="AF136" s="16">
        <f t="shared" si="39"/>
        <v>0</v>
      </c>
      <c r="AG136" s="16">
        <f t="shared" si="40"/>
        <v>0</v>
      </c>
    </row>
    <row r="137" spans="1:62" x14ac:dyDescent="0.25">
      <c r="A137" s="15">
        <v>1500</v>
      </c>
      <c r="B137" s="8">
        <f t="shared" si="34"/>
        <v>0</v>
      </c>
      <c r="C137" s="6">
        <f t="shared" si="34"/>
        <v>0</v>
      </c>
      <c r="D137" s="6">
        <f t="shared" si="34"/>
        <v>0</v>
      </c>
      <c r="E137" s="6">
        <f t="shared" si="34"/>
        <v>0</v>
      </c>
      <c r="F137" s="13">
        <f t="shared" si="34"/>
        <v>0</v>
      </c>
      <c r="G137" s="8">
        <f t="shared" si="35"/>
        <v>0</v>
      </c>
      <c r="H137" s="6">
        <f t="shared" si="35"/>
        <v>0</v>
      </c>
      <c r="I137" s="6">
        <f t="shared" si="35"/>
        <v>0</v>
      </c>
      <c r="J137" s="6">
        <f t="shared" si="35"/>
        <v>0</v>
      </c>
      <c r="K137" s="13">
        <f t="shared" si="35"/>
        <v>0</v>
      </c>
      <c r="L137" s="8">
        <f t="shared" si="36"/>
        <v>0</v>
      </c>
      <c r="M137" s="6">
        <f t="shared" si="36"/>
        <v>0</v>
      </c>
      <c r="N137" s="6">
        <f t="shared" si="36"/>
        <v>0</v>
      </c>
      <c r="O137" s="6">
        <f t="shared" si="36"/>
        <v>0</v>
      </c>
      <c r="P137" s="13">
        <f t="shared" si="36"/>
        <v>0</v>
      </c>
      <c r="Q137" s="8">
        <f t="shared" si="37"/>
        <v>0</v>
      </c>
      <c r="R137" s="6">
        <f t="shared" si="37"/>
        <v>0</v>
      </c>
      <c r="S137" s="6">
        <f t="shared" si="37"/>
        <v>0</v>
      </c>
      <c r="T137" s="6">
        <f t="shared" si="37"/>
        <v>0</v>
      </c>
      <c r="U137" s="13">
        <f t="shared" si="37"/>
        <v>0</v>
      </c>
      <c r="V137" s="8">
        <f t="shared" si="38"/>
        <v>0</v>
      </c>
      <c r="W137" s="6">
        <f t="shared" si="38"/>
        <v>0</v>
      </c>
      <c r="X137" s="6">
        <f t="shared" si="38"/>
        <v>0</v>
      </c>
      <c r="Y137" s="6">
        <f t="shared" si="38"/>
        <v>0</v>
      </c>
      <c r="Z137" s="13">
        <f t="shared" si="38"/>
        <v>0</v>
      </c>
      <c r="AA137" s="8">
        <f t="shared" si="38"/>
        <v>0</v>
      </c>
      <c r="AB137" s="6">
        <f t="shared" si="38"/>
        <v>0</v>
      </c>
      <c r="AC137" s="6">
        <f t="shared" si="38"/>
        <v>0</v>
      </c>
      <c r="AD137" s="6">
        <f t="shared" si="38"/>
        <v>0</v>
      </c>
      <c r="AE137" s="13">
        <f t="shared" si="38"/>
        <v>0</v>
      </c>
      <c r="AF137" s="16">
        <f t="shared" si="39"/>
        <v>0</v>
      </c>
      <c r="AG137" s="16">
        <f t="shared" si="40"/>
        <v>0</v>
      </c>
      <c r="AH137" s="118" t="s">
        <v>35</v>
      </c>
      <c r="AI137" s="118"/>
      <c r="AJ137" s="118">
        <f>F7</f>
        <v>0</v>
      </c>
      <c r="AK137" s="118"/>
      <c r="AL137" s="118"/>
      <c r="AN137" s="118" t="s">
        <v>35</v>
      </c>
      <c r="AO137" s="118"/>
      <c r="AP137" s="118">
        <f>F8</f>
        <v>0</v>
      </c>
      <c r="AQ137" s="118"/>
      <c r="AR137" s="118"/>
      <c r="AT137" s="118" t="s">
        <v>35</v>
      </c>
      <c r="AU137" s="118"/>
      <c r="AV137" s="118">
        <f>F9</f>
        <v>0</v>
      </c>
      <c r="AW137" s="118"/>
      <c r="AX137" s="118"/>
      <c r="AZ137" s="118" t="s">
        <v>35</v>
      </c>
      <c r="BA137" s="118"/>
      <c r="BB137" s="118">
        <f>F10</f>
        <v>0</v>
      </c>
      <c r="BC137" s="118"/>
      <c r="BD137" s="118"/>
      <c r="BF137" s="118" t="s">
        <v>35</v>
      </c>
      <c r="BG137" s="118"/>
      <c r="BH137" s="118">
        <f>F11</f>
        <v>0</v>
      </c>
      <c r="BI137" s="118"/>
      <c r="BJ137" s="118"/>
    </row>
    <row r="138" spans="1:62" x14ac:dyDescent="0.25">
      <c r="A138" s="15">
        <v>2000</v>
      </c>
      <c r="B138" s="8">
        <f t="shared" si="34"/>
        <v>0</v>
      </c>
      <c r="C138" s="6">
        <f t="shared" si="34"/>
        <v>0</v>
      </c>
      <c r="D138" s="6">
        <f t="shared" si="34"/>
        <v>0</v>
      </c>
      <c r="E138" s="6">
        <f t="shared" si="34"/>
        <v>0</v>
      </c>
      <c r="F138" s="13">
        <f t="shared" si="34"/>
        <v>0</v>
      </c>
      <c r="G138" s="8">
        <f t="shared" si="35"/>
        <v>0</v>
      </c>
      <c r="H138" s="6">
        <f t="shared" si="35"/>
        <v>0</v>
      </c>
      <c r="I138" s="6">
        <f t="shared" si="35"/>
        <v>0</v>
      </c>
      <c r="J138" s="6">
        <f t="shared" si="35"/>
        <v>0</v>
      </c>
      <c r="K138" s="13">
        <f t="shared" si="35"/>
        <v>0</v>
      </c>
      <c r="L138" s="8">
        <f t="shared" si="36"/>
        <v>0</v>
      </c>
      <c r="M138" s="6">
        <f t="shared" si="36"/>
        <v>0</v>
      </c>
      <c r="N138" s="6">
        <f t="shared" si="36"/>
        <v>0</v>
      </c>
      <c r="O138" s="6">
        <f t="shared" si="36"/>
        <v>0</v>
      </c>
      <c r="P138" s="13">
        <f t="shared" si="36"/>
        <v>0</v>
      </c>
      <c r="Q138" s="8">
        <f t="shared" si="37"/>
        <v>0</v>
      </c>
      <c r="R138" s="6">
        <f t="shared" si="37"/>
        <v>0</v>
      </c>
      <c r="S138" s="6">
        <f t="shared" si="37"/>
        <v>0</v>
      </c>
      <c r="T138" s="6">
        <f t="shared" si="37"/>
        <v>0</v>
      </c>
      <c r="U138" s="13">
        <f t="shared" si="37"/>
        <v>0</v>
      </c>
      <c r="V138" s="8">
        <f t="shared" si="38"/>
        <v>0</v>
      </c>
      <c r="W138" s="6">
        <f t="shared" si="38"/>
        <v>0</v>
      </c>
      <c r="X138" s="6">
        <f t="shared" si="38"/>
        <v>0</v>
      </c>
      <c r="Y138" s="6">
        <f t="shared" si="38"/>
        <v>0</v>
      </c>
      <c r="Z138" s="13">
        <f t="shared" si="38"/>
        <v>0</v>
      </c>
      <c r="AA138" s="8">
        <f t="shared" si="38"/>
        <v>0</v>
      </c>
      <c r="AB138" s="6">
        <f t="shared" si="38"/>
        <v>0</v>
      </c>
      <c r="AC138" s="6">
        <f t="shared" si="38"/>
        <v>0</v>
      </c>
      <c r="AD138" s="6">
        <f t="shared" si="38"/>
        <v>0</v>
      </c>
      <c r="AE138" s="13">
        <f t="shared" si="38"/>
        <v>0</v>
      </c>
      <c r="AF138" s="16">
        <f t="shared" si="39"/>
        <v>0</v>
      </c>
      <c r="AG138" s="16">
        <f t="shared" si="40"/>
        <v>0</v>
      </c>
      <c r="AH138" s="118">
        <f>G7</f>
        <v>0</v>
      </c>
      <c r="AI138" s="118"/>
      <c r="AJ138" s="118"/>
      <c r="AK138" s="118"/>
      <c r="AL138" s="118"/>
      <c r="AN138" s="118">
        <f>G8</f>
        <v>0</v>
      </c>
      <c r="AO138" s="118">
        <f>G8</f>
        <v>0</v>
      </c>
      <c r="AP138" s="118"/>
      <c r="AQ138" s="118"/>
      <c r="AR138" s="118"/>
      <c r="AT138" s="118">
        <f>G9</f>
        <v>0</v>
      </c>
      <c r="AU138" s="118"/>
      <c r="AV138" s="118"/>
      <c r="AW138" s="118"/>
      <c r="AX138" s="118"/>
      <c r="AZ138" s="118">
        <f>G10</f>
        <v>0</v>
      </c>
      <c r="BA138" s="118"/>
      <c r="BB138" s="118"/>
      <c r="BC138" s="118"/>
      <c r="BD138" s="118"/>
      <c r="BF138" s="118">
        <f>G11</f>
        <v>0</v>
      </c>
      <c r="BG138" s="118"/>
      <c r="BH138" s="118"/>
      <c r="BI138" s="118"/>
      <c r="BJ138" s="118"/>
    </row>
    <row r="139" spans="1:62" ht="15.75" thickBot="1" x14ac:dyDescent="0.3">
      <c r="A139" s="15">
        <v>3000</v>
      </c>
      <c r="B139" s="8">
        <f t="shared" si="34"/>
        <v>0</v>
      </c>
      <c r="C139" s="6">
        <f t="shared" si="34"/>
        <v>0</v>
      </c>
      <c r="D139" s="6">
        <f t="shared" si="34"/>
        <v>0</v>
      </c>
      <c r="E139" s="6">
        <f t="shared" si="34"/>
        <v>0</v>
      </c>
      <c r="F139" s="13">
        <f t="shared" si="34"/>
        <v>0</v>
      </c>
      <c r="G139" s="8">
        <f t="shared" si="35"/>
        <v>0</v>
      </c>
      <c r="H139" s="6">
        <f t="shared" si="35"/>
        <v>0</v>
      </c>
      <c r="I139" s="6">
        <f t="shared" si="35"/>
        <v>0</v>
      </c>
      <c r="J139" s="6">
        <f t="shared" si="35"/>
        <v>0</v>
      </c>
      <c r="K139" s="13">
        <f t="shared" si="35"/>
        <v>0</v>
      </c>
      <c r="L139" s="8">
        <f t="shared" si="36"/>
        <v>0</v>
      </c>
      <c r="M139" s="6">
        <f t="shared" si="36"/>
        <v>0</v>
      </c>
      <c r="N139" s="6">
        <f t="shared" si="36"/>
        <v>0</v>
      </c>
      <c r="O139" s="6">
        <f t="shared" si="36"/>
        <v>0</v>
      </c>
      <c r="P139" s="13">
        <f t="shared" si="36"/>
        <v>0</v>
      </c>
      <c r="Q139" s="8">
        <f t="shared" si="37"/>
        <v>0</v>
      </c>
      <c r="R139" s="6">
        <f t="shared" si="37"/>
        <v>0</v>
      </c>
      <c r="S139" s="6">
        <f t="shared" si="37"/>
        <v>0</v>
      </c>
      <c r="T139" s="6">
        <f t="shared" si="37"/>
        <v>0</v>
      </c>
      <c r="U139" s="13">
        <f t="shared" si="37"/>
        <v>0</v>
      </c>
      <c r="V139" s="8">
        <f t="shared" si="38"/>
        <v>0</v>
      </c>
      <c r="W139" s="6">
        <f t="shared" si="38"/>
        <v>0</v>
      </c>
      <c r="X139" s="6">
        <f t="shared" si="38"/>
        <v>0</v>
      </c>
      <c r="Y139" s="6">
        <f t="shared" si="38"/>
        <v>0</v>
      </c>
      <c r="Z139" s="13">
        <f t="shared" si="38"/>
        <v>0</v>
      </c>
      <c r="AA139" s="8">
        <f t="shared" si="38"/>
        <v>0</v>
      </c>
      <c r="AB139" s="6">
        <f t="shared" si="38"/>
        <v>0</v>
      </c>
      <c r="AC139" s="6">
        <f t="shared" si="38"/>
        <v>0</v>
      </c>
      <c r="AD139" s="6">
        <f t="shared" si="38"/>
        <v>0</v>
      </c>
      <c r="AE139" s="13">
        <f t="shared" si="38"/>
        <v>0</v>
      </c>
      <c r="AF139" s="16">
        <f t="shared" si="39"/>
        <v>0</v>
      </c>
      <c r="AG139" s="16">
        <f t="shared" si="40"/>
        <v>0</v>
      </c>
      <c r="AH139" s="118">
        <f>H7</f>
        <v>0</v>
      </c>
      <c r="AI139" s="118"/>
      <c r="AJ139" s="118"/>
      <c r="AK139" s="118"/>
      <c r="AL139" s="118"/>
      <c r="AN139" s="118">
        <f>H8</f>
        <v>0</v>
      </c>
      <c r="AO139" s="118">
        <f>H8</f>
        <v>0</v>
      </c>
      <c r="AP139" s="118"/>
      <c r="AQ139" s="118"/>
      <c r="AR139" s="118"/>
      <c r="AT139" s="118">
        <f>H9</f>
        <v>0</v>
      </c>
      <c r="AU139" s="118"/>
      <c r="AV139" s="118"/>
      <c r="AW139" s="118"/>
      <c r="AX139" s="118"/>
      <c r="AZ139" s="118">
        <f>H10</f>
        <v>0</v>
      </c>
      <c r="BA139" s="118"/>
      <c r="BB139" s="118"/>
      <c r="BC139" s="118"/>
      <c r="BD139" s="118"/>
      <c r="BF139" s="118">
        <f>H11</f>
        <v>0</v>
      </c>
      <c r="BG139" s="118"/>
      <c r="BH139" s="118"/>
      <c r="BI139" s="118"/>
      <c r="BJ139" s="118"/>
    </row>
    <row r="140" spans="1:62" ht="15.75" thickBot="1" x14ac:dyDescent="0.3">
      <c r="A140" s="15">
        <v>5000</v>
      </c>
      <c r="B140" s="8">
        <f t="shared" si="34"/>
        <v>0</v>
      </c>
      <c r="C140" s="6">
        <f t="shared" si="34"/>
        <v>0</v>
      </c>
      <c r="D140" s="6">
        <f t="shared" si="34"/>
        <v>0</v>
      </c>
      <c r="E140" s="6">
        <f t="shared" si="34"/>
        <v>0</v>
      </c>
      <c r="F140" s="13">
        <f t="shared" si="34"/>
        <v>0</v>
      </c>
      <c r="G140" s="8">
        <f t="shared" si="35"/>
        <v>0</v>
      </c>
      <c r="H140" s="6">
        <f t="shared" si="35"/>
        <v>0</v>
      </c>
      <c r="I140" s="6">
        <f t="shared" si="35"/>
        <v>0</v>
      </c>
      <c r="J140" s="6">
        <f t="shared" si="35"/>
        <v>0</v>
      </c>
      <c r="K140" s="13">
        <f t="shared" si="35"/>
        <v>0</v>
      </c>
      <c r="L140" s="8">
        <f t="shared" si="36"/>
        <v>0</v>
      </c>
      <c r="M140" s="6">
        <f t="shared" si="36"/>
        <v>0</v>
      </c>
      <c r="N140" s="6">
        <f t="shared" si="36"/>
        <v>0</v>
      </c>
      <c r="O140" s="6">
        <f t="shared" si="36"/>
        <v>0</v>
      </c>
      <c r="P140" s="13">
        <f t="shared" si="36"/>
        <v>0</v>
      </c>
      <c r="Q140" s="8">
        <f t="shared" si="37"/>
        <v>0</v>
      </c>
      <c r="R140" s="6">
        <f t="shared" si="37"/>
        <v>0</v>
      </c>
      <c r="S140" s="6">
        <f t="shared" si="37"/>
        <v>0</v>
      </c>
      <c r="T140" s="6">
        <f t="shared" si="37"/>
        <v>0</v>
      </c>
      <c r="U140" s="13">
        <f t="shared" si="37"/>
        <v>0</v>
      </c>
      <c r="V140" s="8">
        <f t="shared" si="38"/>
        <v>0</v>
      </c>
      <c r="W140" s="6">
        <f t="shared" si="38"/>
        <v>0</v>
      </c>
      <c r="X140" s="6">
        <f t="shared" si="38"/>
        <v>0</v>
      </c>
      <c r="Y140" s="6">
        <f t="shared" si="38"/>
        <v>0</v>
      </c>
      <c r="Z140" s="13">
        <f t="shared" si="38"/>
        <v>0</v>
      </c>
      <c r="AA140" s="8">
        <f t="shared" si="38"/>
        <v>0</v>
      </c>
      <c r="AB140" s="6">
        <f t="shared" si="38"/>
        <v>0</v>
      </c>
      <c r="AC140" s="6">
        <f t="shared" si="38"/>
        <v>0</v>
      </c>
      <c r="AD140" s="6">
        <f t="shared" si="38"/>
        <v>0</v>
      </c>
      <c r="AE140" s="13">
        <f t="shared" si="38"/>
        <v>0</v>
      </c>
      <c r="AF140" s="16">
        <f t="shared" si="39"/>
        <v>0</v>
      </c>
      <c r="AG140" s="16">
        <f t="shared" si="40"/>
        <v>0</v>
      </c>
      <c r="AH140" s="30" t="s">
        <v>136</v>
      </c>
      <c r="AI140" s="30" t="s">
        <v>27</v>
      </c>
      <c r="AJ140" s="30" t="s">
        <v>28</v>
      </c>
      <c r="AK140" s="30" t="s">
        <v>29</v>
      </c>
      <c r="AL140" s="30" t="s">
        <v>30</v>
      </c>
      <c r="AN140" s="30" t="s">
        <v>136</v>
      </c>
      <c r="AO140" s="30" t="s">
        <v>27</v>
      </c>
      <c r="AP140" s="30" t="s">
        <v>28</v>
      </c>
      <c r="AQ140" s="30" t="s">
        <v>29</v>
      </c>
      <c r="AR140" s="30" t="s">
        <v>30</v>
      </c>
      <c r="AT140" s="30" t="s">
        <v>136</v>
      </c>
      <c r="AU140" s="30" t="s">
        <v>27</v>
      </c>
      <c r="AV140" s="30" t="s">
        <v>28</v>
      </c>
      <c r="AW140" s="30" t="s">
        <v>29</v>
      </c>
      <c r="AX140" s="30" t="s">
        <v>30</v>
      </c>
      <c r="AZ140" s="30" t="s">
        <v>136</v>
      </c>
      <c r="BA140" s="30" t="s">
        <v>27</v>
      </c>
      <c r="BB140" s="30" t="s">
        <v>28</v>
      </c>
      <c r="BC140" s="30" t="s">
        <v>29</v>
      </c>
      <c r="BD140" s="30" t="s">
        <v>30</v>
      </c>
      <c r="BF140" s="30" t="s">
        <v>136</v>
      </c>
      <c r="BG140" s="30" t="s">
        <v>27</v>
      </c>
      <c r="BH140" s="30" t="s">
        <v>28</v>
      </c>
      <c r="BI140" s="30" t="s">
        <v>29</v>
      </c>
      <c r="BJ140" s="30" t="s">
        <v>30</v>
      </c>
    </row>
    <row r="141" spans="1:62" ht="15.75" thickBot="1" x14ac:dyDescent="0.3">
      <c r="A141" s="59">
        <v>10000</v>
      </c>
      <c r="B141" s="31">
        <f t="shared" si="34"/>
        <v>0</v>
      </c>
      <c r="C141" s="32">
        <f t="shared" si="34"/>
        <v>0</v>
      </c>
      <c r="D141" s="32">
        <f t="shared" si="34"/>
        <v>0</v>
      </c>
      <c r="E141" s="32">
        <f t="shared" si="34"/>
        <v>0</v>
      </c>
      <c r="F141" s="33">
        <f t="shared" si="34"/>
        <v>0</v>
      </c>
      <c r="G141" s="31">
        <f t="shared" si="35"/>
        <v>0</v>
      </c>
      <c r="H141" s="32">
        <f t="shared" si="35"/>
        <v>0</v>
      </c>
      <c r="I141" s="32">
        <f t="shared" si="35"/>
        <v>0</v>
      </c>
      <c r="J141" s="32">
        <f t="shared" si="35"/>
        <v>0</v>
      </c>
      <c r="K141" s="33">
        <f t="shared" si="35"/>
        <v>0</v>
      </c>
      <c r="L141" s="31">
        <f t="shared" si="36"/>
        <v>0</v>
      </c>
      <c r="M141" s="32">
        <f t="shared" si="36"/>
        <v>0</v>
      </c>
      <c r="N141" s="32">
        <f t="shared" si="36"/>
        <v>0</v>
      </c>
      <c r="O141" s="32">
        <f t="shared" si="36"/>
        <v>0</v>
      </c>
      <c r="P141" s="33">
        <f t="shared" si="36"/>
        <v>0</v>
      </c>
      <c r="Q141" s="31">
        <f t="shared" si="37"/>
        <v>0</v>
      </c>
      <c r="R141" s="32">
        <f t="shared" si="37"/>
        <v>0</v>
      </c>
      <c r="S141" s="32">
        <f t="shared" si="37"/>
        <v>0</v>
      </c>
      <c r="T141" s="32">
        <f t="shared" si="37"/>
        <v>0</v>
      </c>
      <c r="U141" s="33">
        <f t="shared" si="37"/>
        <v>0</v>
      </c>
      <c r="V141" s="31">
        <f t="shared" si="38"/>
        <v>0</v>
      </c>
      <c r="W141" s="32">
        <f t="shared" si="38"/>
        <v>0</v>
      </c>
      <c r="X141" s="32">
        <f t="shared" si="38"/>
        <v>0</v>
      </c>
      <c r="Y141" s="32">
        <f t="shared" si="38"/>
        <v>0</v>
      </c>
      <c r="Z141" s="33">
        <f t="shared" si="38"/>
        <v>0</v>
      </c>
      <c r="AA141" s="31">
        <f t="shared" si="38"/>
        <v>0</v>
      </c>
      <c r="AB141" s="32">
        <f t="shared" si="38"/>
        <v>0</v>
      </c>
      <c r="AC141" s="32">
        <f t="shared" si="38"/>
        <v>0</v>
      </c>
      <c r="AD141" s="32">
        <f t="shared" si="38"/>
        <v>0</v>
      </c>
      <c r="AE141" s="33">
        <f t="shared" si="38"/>
        <v>0</v>
      </c>
      <c r="AF141" s="16">
        <f t="shared" si="39"/>
        <v>0</v>
      </c>
      <c r="AG141" s="43">
        <f t="shared" si="40"/>
        <v>0</v>
      </c>
      <c r="AH141" s="16">
        <f>J7</f>
        <v>0</v>
      </c>
      <c r="AI141" s="10">
        <f>K7</f>
        <v>0</v>
      </c>
      <c r="AJ141" s="11">
        <f>L7</f>
        <v>0</v>
      </c>
      <c r="AK141" s="11">
        <f>M7</f>
        <v>0</v>
      </c>
      <c r="AL141" s="17">
        <f>N7</f>
        <v>0</v>
      </c>
      <c r="AN141" s="16">
        <f>J8</f>
        <v>0</v>
      </c>
      <c r="AO141" s="10">
        <f>K8</f>
        <v>0</v>
      </c>
      <c r="AP141" s="11">
        <f>L8</f>
        <v>0</v>
      </c>
      <c r="AQ141" s="11">
        <f>M8</f>
        <v>0</v>
      </c>
      <c r="AR141" s="17">
        <f>N8</f>
        <v>0</v>
      </c>
      <c r="AT141" s="16">
        <f>J9</f>
        <v>0</v>
      </c>
      <c r="AU141" s="10">
        <f>K9</f>
        <v>0</v>
      </c>
      <c r="AV141" s="11">
        <f>L9</f>
        <v>0</v>
      </c>
      <c r="AW141" s="11">
        <f>M9</f>
        <v>0</v>
      </c>
      <c r="AX141" s="17">
        <f>N9</f>
        <v>0</v>
      </c>
      <c r="AZ141" s="16">
        <f>J10</f>
        <v>0</v>
      </c>
      <c r="BA141" s="10">
        <f>K10</f>
        <v>0</v>
      </c>
      <c r="BB141" s="11">
        <f>L10</f>
        <v>0</v>
      </c>
      <c r="BC141" s="11">
        <f>M10</f>
        <v>0</v>
      </c>
      <c r="BD141" s="17">
        <f>N10</f>
        <v>0</v>
      </c>
      <c r="BF141" s="16">
        <f>J11</f>
        <v>0</v>
      </c>
      <c r="BG141" s="10">
        <f>K11</f>
        <v>0</v>
      </c>
      <c r="BH141" s="11">
        <f>L11</f>
        <v>0</v>
      </c>
      <c r="BI141" s="11">
        <f>M11</f>
        <v>0</v>
      </c>
      <c r="BJ141" s="17">
        <f>N11</f>
        <v>0</v>
      </c>
    </row>
    <row r="142" spans="1:62" ht="15.75" thickBot="1" x14ac:dyDescent="0.3">
      <c r="A142" s="35"/>
      <c r="B142" s="60">
        <f t="shared" ref="B142:AG142" si="41">SUM(B133:B141)</f>
        <v>0</v>
      </c>
      <c r="C142" s="61">
        <f t="shared" si="41"/>
        <v>0</v>
      </c>
      <c r="D142" s="61">
        <f t="shared" si="41"/>
        <v>0</v>
      </c>
      <c r="E142" s="61">
        <f t="shared" si="41"/>
        <v>0</v>
      </c>
      <c r="F142" s="62">
        <f t="shared" si="41"/>
        <v>0</v>
      </c>
      <c r="G142" s="60">
        <f t="shared" si="41"/>
        <v>0</v>
      </c>
      <c r="H142" s="61">
        <f t="shared" si="41"/>
        <v>0</v>
      </c>
      <c r="I142" s="61">
        <f t="shared" si="41"/>
        <v>0</v>
      </c>
      <c r="J142" s="61">
        <f t="shared" si="41"/>
        <v>0</v>
      </c>
      <c r="K142" s="62">
        <f t="shared" si="41"/>
        <v>0</v>
      </c>
      <c r="L142" s="60">
        <f t="shared" si="41"/>
        <v>0</v>
      </c>
      <c r="M142" s="61">
        <f t="shared" si="41"/>
        <v>0</v>
      </c>
      <c r="N142" s="61">
        <f t="shared" si="41"/>
        <v>0</v>
      </c>
      <c r="O142" s="61">
        <f t="shared" si="41"/>
        <v>0</v>
      </c>
      <c r="P142" s="62">
        <f t="shared" si="41"/>
        <v>0</v>
      </c>
      <c r="Q142" s="60">
        <f t="shared" si="41"/>
        <v>0</v>
      </c>
      <c r="R142" s="61">
        <f t="shared" si="41"/>
        <v>0</v>
      </c>
      <c r="S142" s="61">
        <f t="shared" si="41"/>
        <v>0</v>
      </c>
      <c r="T142" s="61">
        <f t="shared" si="41"/>
        <v>0</v>
      </c>
      <c r="U142" s="62">
        <f t="shared" si="41"/>
        <v>0</v>
      </c>
      <c r="V142" s="60">
        <f t="shared" si="41"/>
        <v>0</v>
      </c>
      <c r="W142" s="61">
        <f t="shared" si="41"/>
        <v>0</v>
      </c>
      <c r="X142" s="61">
        <f t="shared" si="41"/>
        <v>0</v>
      </c>
      <c r="Y142" s="61">
        <f t="shared" si="41"/>
        <v>0</v>
      </c>
      <c r="Z142" s="62">
        <f t="shared" si="41"/>
        <v>0</v>
      </c>
      <c r="AA142" s="60">
        <f t="shared" si="41"/>
        <v>0</v>
      </c>
      <c r="AB142" s="61">
        <f t="shared" si="41"/>
        <v>0</v>
      </c>
      <c r="AC142" s="61">
        <f t="shared" si="41"/>
        <v>0</v>
      </c>
      <c r="AD142" s="61">
        <f t="shared" si="41"/>
        <v>0</v>
      </c>
      <c r="AE142" s="62">
        <f t="shared" si="41"/>
        <v>0</v>
      </c>
      <c r="AF142" s="35">
        <f t="shared" si="41"/>
        <v>0</v>
      </c>
      <c r="AG142" s="35">
        <f t="shared" si="40"/>
        <v>0</v>
      </c>
      <c r="AH142" s="15">
        <f>P7</f>
        <v>0</v>
      </c>
      <c r="AI142" s="8">
        <f>Q7</f>
        <v>0</v>
      </c>
      <c r="AJ142" s="6">
        <f>R7</f>
        <v>0</v>
      </c>
      <c r="AK142" s="6">
        <f>S7</f>
        <v>0</v>
      </c>
      <c r="AL142" s="13">
        <f>T7</f>
        <v>0</v>
      </c>
      <c r="AN142" s="15">
        <f>P8</f>
        <v>0</v>
      </c>
      <c r="AO142" s="8">
        <f>Q8</f>
        <v>0</v>
      </c>
      <c r="AP142" s="6">
        <f>R8</f>
        <v>0</v>
      </c>
      <c r="AQ142" s="6">
        <f>S8</f>
        <v>0</v>
      </c>
      <c r="AR142" s="13">
        <f>T8</f>
        <v>0</v>
      </c>
      <c r="AT142" s="15">
        <f>P9</f>
        <v>0</v>
      </c>
      <c r="AU142" s="8">
        <f>Q9</f>
        <v>0</v>
      </c>
      <c r="AV142" s="6">
        <f>R9</f>
        <v>0</v>
      </c>
      <c r="AW142" s="6">
        <f>S9</f>
        <v>0</v>
      </c>
      <c r="AX142" s="13">
        <f>T9</f>
        <v>0</v>
      </c>
      <c r="AZ142" s="15">
        <f>P10</f>
        <v>0</v>
      </c>
      <c r="BA142" s="8">
        <f>Q10</f>
        <v>0</v>
      </c>
      <c r="BB142" s="6">
        <f>R10</f>
        <v>0</v>
      </c>
      <c r="BC142" s="6">
        <f>S10</f>
        <v>0</v>
      </c>
      <c r="BD142" s="13">
        <f>T10</f>
        <v>0</v>
      </c>
      <c r="BF142" s="15">
        <f>P11</f>
        <v>0</v>
      </c>
      <c r="BG142" s="8">
        <f>Q11</f>
        <v>0</v>
      </c>
      <c r="BH142" s="6">
        <f>R11</f>
        <v>0</v>
      </c>
      <c r="BI142" s="6">
        <f>S11</f>
        <v>0</v>
      </c>
      <c r="BJ142" s="13">
        <f>T11</f>
        <v>0</v>
      </c>
    </row>
    <row r="143" spans="1:62" ht="15.75" thickBot="1" x14ac:dyDescent="0.3">
      <c r="AH143" s="15">
        <f>V7</f>
        <v>0</v>
      </c>
      <c r="AI143" s="8">
        <f>W7</f>
        <v>0</v>
      </c>
      <c r="AJ143" s="6">
        <f>X7</f>
        <v>0</v>
      </c>
      <c r="AK143" s="6">
        <f>Y7</f>
        <v>0</v>
      </c>
      <c r="AL143" s="13">
        <f>Z7</f>
        <v>0</v>
      </c>
      <c r="AN143" s="15">
        <f>V8</f>
        <v>0</v>
      </c>
      <c r="AO143" s="8">
        <f>W8</f>
        <v>0</v>
      </c>
      <c r="AP143" s="6">
        <f>X8</f>
        <v>0</v>
      </c>
      <c r="AQ143" s="6">
        <f>Y8</f>
        <v>0</v>
      </c>
      <c r="AR143" s="13">
        <f>Z8</f>
        <v>0</v>
      </c>
      <c r="AT143" s="15">
        <f>V9</f>
        <v>0</v>
      </c>
      <c r="AU143" s="8">
        <f>W9</f>
        <v>0</v>
      </c>
      <c r="AV143" s="6">
        <f>X9</f>
        <v>0</v>
      </c>
      <c r="AW143" s="6">
        <f>Y9</f>
        <v>0</v>
      </c>
      <c r="AX143" s="13">
        <f>Z9</f>
        <v>0</v>
      </c>
      <c r="AZ143" s="15">
        <f>V10</f>
        <v>0</v>
      </c>
      <c r="BA143" s="8">
        <f>W10</f>
        <v>0</v>
      </c>
      <c r="BB143" s="6">
        <f>X10</f>
        <v>0</v>
      </c>
      <c r="BC143" s="6">
        <f>Y10</f>
        <v>0</v>
      </c>
      <c r="BD143" s="13">
        <f>Z10</f>
        <v>0</v>
      </c>
      <c r="BF143" s="15">
        <f>V11</f>
        <v>0</v>
      </c>
      <c r="BG143" s="8">
        <f>W11</f>
        <v>0</v>
      </c>
      <c r="BH143" s="6">
        <f>X11</f>
        <v>0</v>
      </c>
      <c r="BI143" s="6">
        <f>Y11</f>
        <v>0</v>
      </c>
      <c r="BJ143" s="13">
        <f>Z11</f>
        <v>0</v>
      </c>
    </row>
    <row r="144" spans="1:62" ht="15.75" customHeight="1" thickBot="1" x14ac:dyDescent="0.3">
      <c r="A144" s="111" t="s">
        <v>130</v>
      </c>
      <c r="B144" s="112"/>
      <c r="D144" s="111" t="s">
        <v>131</v>
      </c>
      <c r="E144" s="112"/>
      <c r="G144" s="111" t="s">
        <v>132</v>
      </c>
      <c r="H144" s="112"/>
      <c r="J144" s="161" t="s">
        <v>250</v>
      </c>
      <c r="K144" s="162"/>
      <c r="M144" s="161" t="s">
        <v>251</v>
      </c>
      <c r="N144" s="162"/>
      <c r="P144" s="161" t="s">
        <v>252</v>
      </c>
      <c r="Q144" s="162"/>
      <c r="S144" s="123" t="s">
        <v>31</v>
      </c>
      <c r="T144" s="113" t="s">
        <v>84</v>
      </c>
      <c r="U144" s="115"/>
      <c r="V144" s="116" t="s">
        <v>24</v>
      </c>
      <c r="W144" s="116" t="s">
        <v>86</v>
      </c>
      <c r="AH144" s="15">
        <f>AB7</f>
        <v>0</v>
      </c>
      <c r="AI144" s="8">
        <f>AC7</f>
        <v>0</v>
      </c>
      <c r="AJ144" s="6">
        <f>AD7</f>
        <v>0</v>
      </c>
      <c r="AK144" s="6">
        <f>AE7</f>
        <v>0</v>
      </c>
      <c r="AL144" s="13">
        <f>AF7</f>
        <v>0</v>
      </c>
      <c r="AN144" s="15">
        <f>AB8</f>
        <v>0</v>
      </c>
      <c r="AO144" s="8">
        <f>AC8</f>
        <v>0</v>
      </c>
      <c r="AP144" s="6">
        <f>AD8</f>
        <v>0</v>
      </c>
      <c r="AQ144" s="6">
        <f>AE8</f>
        <v>0</v>
      </c>
      <c r="AR144" s="13">
        <f>AF8</f>
        <v>0</v>
      </c>
      <c r="AT144" s="15">
        <f>AB9</f>
        <v>0</v>
      </c>
      <c r="AU144" s="8">
        <f>AC9</f>
        <v>0</v>
      </c>
      <c r="AV144" s="6">
        <f>AD9</f>
        <v>0</v>
      </c>
      <c r="AW144" s="6">
        <f>AE9</f>
        <v>0</v>
      </c>
      <c r="AX144" s="13">
        <f>AF9</f>
        <v>0</v>
      </c>
      <c r="AZ144" s="15">
        <f>AB10</f>
        <v>0</v>
      </c>
      <c r="BA144" s="8">
        <f>AC10</f>
        <v>0</v>
      </c>
      <c r="BB144" s="6">
        <f>AD10</f>
        <v>0</v>
      </c>
      <c r="BC144" s="6">
        <f>AE10</f>
        <v>0</v>
      </c>
      <c r="BD144" s="13">
        <f>AF10</f>
        <v>0</v>
      </c>
      <c r="BF144" s="15">
        <f>AB11</f>
        <v>0</v>
      </c>
      <c r="BG144" s="8">
        <f>AC11</f>
        <v>0</v>
      </c>
      <c r="BH144" s="6">
        <f>AD11</f>
        <v>0</v>
      </c>
      <c r="BI144" s="6">
        <f>AE11</f>
        <v>0</v>
      </c>
      <c r="BJ144" s="13">
        <f>AF11</f>
        <v>0</v>
      </c>
    </row>
    <row r="145" spans="1:62" ht="15.75" thickBot="1" x14ac:dyDescent="0.3">
      <c r="A145" s="60" t="s">
        <v>27</v>
      </c>
      <c r="B145" s="62" t="s">
        <v>102</v>
      </c>
      <c r="D145" s="34" t="s">
        <v>27</v>
      </c>
      <c r="E145" s="79" t="s">
        <v>102</v>
      </c>
      <c r="G145" s="34" t="s">
        <v>27</v>
      </c>
      <c r="H145" s="79" t="s">
        <v>102</v>
      </c>
      <c r="J145" s="163"/>
      <c r="K145" s="164"/>
      <c r="M145" s="163"/>
      <c r="N145" s="164"/>
      <c r="P145" s="163"/>
      <c r="Q145" s="164"/>
      <c r="S145" s="124"/>
      <c r="T145" s="12" t="s">
        <v>17</v>
      </c>
      <c r="U145" s="12" t="s">
        <v>19</v>
      </c>
      <c r="V145" s="117"/>
      <c r="W145" s="117"/>
      <c r="AH145" s="15">
        <f>AH7</f>
        <v>0</v>
      </c>
      <c r="AI145" s="8">
        <f>AI7</f>
        <v>0</v>
      </c>
      <c r="AJ145" s="6">
        <f>AJ7</f>
        <v>0</v>
      </c>
      <c r="AK145" s="6">
        <f>AK7</f>
        <v>0</v>
      </c>
      <c r="AL145" s="13">
        <f>AL7</f>
        <v>0</v>
      </c>
      <c r="AN145" s="15">
        <f>AH8</f>
        <v>0</v>
      </c>
      <c r="AO145" s="8">
        <f>AI8</f>
        <v>0</v>
      </c>
      <c r="AP145" s="6">
        <f>AJ8</f>
        <v>0</v>
      </c>
      <c r="AQ145" s="6">
        <f>AK8</f>
        <v>0</v>
      </c>
      <c r="AR145" s="13">
        <f>AL8</f>
        <v>0</v>
      </c>
      <c r="AT145" s="15">
        <f>AH9</f>
        <v>0</v>
      </c>
      <c r="AU145" s="8">
        <f>AI9</f>
        <v>0</v>
      </c>
      <c r="AV145" s="6">
        <f>AJ9</f>
        <v>0</v>
      </c>
      <c r="AW145" s="6">
        <f>AK9</f>
        <v>0</v>
      </c>
      <c r="AX145" s="13">
        <f>AL9</f>
        <v>0</v>
      </c>
      <c r="AZ145" s="15">
        <f>AH10</f>
        <v>0</v>
      </c>
      <c r="BA145" s="8">
        <f>AI10</f>
        <v>0</v>
      </c>
      <c r="BB145" s="6">
        <f>AJ10</f>
        <v>0</v>
      </c>
      <c r="BC145" s="6">
        <f>AK10</f>
        <v>0</v>
      </c>
      <c r="BD145" s="13">
        <f>AL10</f>
        <v>0</v>
      </c>
      <c r="BF145" s="15">
        <f>AH11</f>
        <v>0</v>
      </c>
      <c r="BG145" s="8">
        <f>AI11</f>
        <v>0</v>
      </c>
      <c r="BH145" s="6">
        <f>AJ11</f>
        <v>0</v>
      </c>
      <c r="BI145" s="6">
        <f>AK11</f>
        <v>0</v>
      </c>
      <c r="BJ145" s="13">
        <f>AL11</f>
        <v>0</v>
      </c>
    </row>
    <row r="146" spans="1:62" x14ac:dyDescent="0.25">
      <c r="A146" s="10">
        <v>225</v>
      </c>
      <c r="B146" s="17">
        <f t="shared" ref="B146:B151" si="42">SUMIFS($J$14:$J$113,$H$14:$H$113,$A$144,$I$14:$I$113,A146)</f>
        <v>0</v>
      </c>
      <c r="D146" s="10">
        <v>1000</v>
      </c>
      <c r="E146" s="17">
        <f>SUMIFS($J$14:$J$113,$H$14:$H$113,$D$144,$I$14:$I$113,D146)</f>
        <v>0</v>
      </c>
      <c r="G146" s="10">
        <v>1000</v>
      </c>
      <c r="H146" s="17">
        <f>SUMIFS($J$14:$J$113,$H$14:$H$113,$G$144,$I$14:$I$113,G146)</f>
        <v>0</v>
      </c>
      <c r="J146" s="163"/>
      <c r="K146" s="164"/>
      <c r="M146" s="163"/>
      <c r="N146" s="164"/>
      <c r="P146" s="163"/>
      <c r="Q146" s="164"/>
      <c r="S146" s="16">
        <v>300</v>
      </c>
      <c r="T146" s="11">
        <f>SUMIFS($J$14:$J$113,$I$14:$I$113,$S146,$K$14:$K$113,T$145,$H$14:$H$113,$T$144)</f>
        <v>0</v>
      </c>
      <c r="U146" s="11">
        <f>SUMIFS($J$14:$J$113,$I$14:$I$113,$S146,$K$14:$K$113,U$145,$H$14:$H$113,$T$144)</f>
        <v>0</v>
      </c>
      <c r="V146" s="16">
        <f>SUM(T146:U146)*S146</f>
        <v>0</v>
      </c>
      <c r="W146" s="16">
        <f>T146+U146</f>
        <v>0</v>
      </c>
      <c r="AH146" s="15">
        <f>AN7</f>
        <v>0</v>
      </c>
      <c r="AI146" s="8">
        <f>AO7</f>
        <v>0</v>
      </c>
      <c r="AJ146" s="6">
        <f>AP7</f>
        <v>0</v>
      </c>
      <c r="AK146" s="6">
        <f>AQ7</f>
        <v>0</v>
      </c>
      <c r="AL146" s="13">
        <f>AR7</f>
        <v>0</v>
      </c>
      <c r="AN146" s="15">
        <f>AN8</f>
        <v>0</v>
      </c>
      <c r="AO146" s="8">
        <f>AO8</f>
        <v>0</v>
      </c>
      <c r="AP146" s="6">
        <f>AP8</f>
        <v>0</v>
      </c>
      <c r="AQ146" s="6">
        <f>AQ8</f>
        <v>0</v>
      </c>
      <c r="AR146" s="13">
        <f>AR8</f>
        <v>0</v>
      </c>
      <c r="AT146" s="15">
        <f>AN9</f>
        <v>0</v>
      </c>
      <c r="AU146" s="8">
        <f>AO9</f>
        <v>0</v>
      </c>
      <c r="AV146" s="6">
        <f>AP9</f>
        <v>0</v>
      </c>
      <c r="AW146" s="6">
        <f>AQ9</f>
        <v>0</v>
      </c>
      <c r="AX146" s="13">
        <f>AR9</f>
        <v>0</v>
      </c>
      <c r="AZ146" s="15">
        <f>AN10</f>
        <v>0</v>
      </c>
      <c r="BA146" s="8">
        <f>AO10</f>
        <v>0</v>
      </c>
      <c r="BB146" s="6">
        <f>AP10</f>
        <v>0</v>
      </c>
      <c r="BC146" s="6">
        <f>AQ10</f>
        <v>0</v>
      </c>
      <c r="BD146" s="13">
        <f>AR10</f>
        <v>0</v>
      </c>
      <c r="BF146" s="15">
        <f>AN11</f>
        <v>0</v>
      </c>
      <c r="BG146" s="8">
        <f>AO11</f>
        <v>0</v>
      </c>
      <c r="BH146" s="6">
        <f>AP11</f>
        <v>0</v>
      </c>
      <c r="BI146" s="6">
        <f>AQ11</f>
        <v>0</v>
      </c>
      <c r="BJ146" s="13">
        <f>AR11</f>
        <v>0</v>
      </c>
    </row>
    <row r="147" spans="1:62" ht="15.75" thickBot="1" x14ac:dyDescent="0.3">
      <c r="A147" s="8">
        <v>325</v>
      </c>
      <c r="B147" s="17">
        <f t="shared" si="42"/>
        <v>0</v>
      </c>
      <c r="D147" s="9">
        <v>3000</v>
      </c>
      <c r="E147" s="17">
        <f>SUMIFS($J$14:$J$113,$H$14:$H$113,$D$144,$I$14:$I$113,D147)</f>
        <v>0</v>
      </c>
      <c r="G147" s="31">
        <v>2000</v>
      </c>
      <c r="H147" s="17">
        <f>SUMIFS($J$14:$J$113,$H$14:$H$113,$G$144,$I$14:$I$113,G147)</f>
        <v>0</v>
      </c>
      <c r="J147" s="165"/>
      <c r="K147" s="166"/>
      <c r="M147" s="165"/>
      <c r="N147" s="166"/>
      <c r="P147" s="165"/>
      <c r="Q147" s="166"/>
      <c r="S147" s="16">
        <v>500</v>
      </c>
      <c r="T147" s="11">
        <f t="shared" ref="T147:U154" si="43">SUMIFS($J$14:$J$113,$I$14:$I$113,$S147,$K$14:$K$113,T$145,$H$14:$H$113,$T$144)</f>
        <v>0</v>
      </c>
      <c r="U147" s="11">
        <f t="shared" si="43"/>
        <v>0</v>
      </c>
      <c r="V147" s="16">
        <f t="shared" ref="V147:V154" si="44">SUM(T147:U147)*S147</f>
        <v>0</v>
      </c>
      <c r="W147" s="16">
        <f t="shared" ref="W147:W154" si="45">T147+U147</f>
        <v>0</v>
      </c>
      <c r="AA147" s="167" t="s">
        <v>37</v>
      </c>
      <c r="AB147" s="167"/>
      <c r="AC147" s="167"/>
      <c r="AD147" s="167" t="s">
        <v>113</v>
      </c>
      <c r="AE147" s="167"/>
      <c r="AF147" s="167"/>
      <c r="AH147" s="15">
        <f>AT7</f>
        <v>0</v>
      </c>
      <c r="AI147" s="8">
        <f>AU7</f>
        <v>0</v>
      </c>
      <c r="AJ147" s="6">
        <f>AV7</f>
        <v>0</v>
      </c>
      <c r="AK147" s="6">
        <f>AW7</f>
        <v>0</v>
      </c>
      <c r="AL147" s="13">
        <f>AX7</f>
        <v>0</v>
      </c>
      <c r="AN147" s="15">
        <f>AT8</f>
        <v>0</v>
      </c>
      <c r="AO147" s="8">
        <f>AU8</f>
        <v>0</v>
      </c>
      <c r="AP147" s="6">
        <f>AV8</f>
        <v>0</v>
      </c>
      <c r="AQ147" s="6">
        <f>AW8</f>
        <v>0</v>
      </c>
      <c r="AR147" s="13">
        <f>AX8</f>
        <v>0</v>
      </c>
      <c r="AT147" s="15">
        <f>AT9</f>
        <v>0</v>
      </c>
      <c r="AU147" s="8">
        <f>AU9</f>
        <v>0</v>
      </c>
      <c r="AV147" s="6">
        <f>AV9</f>
        <v>0</v>
      </c>
      <c r="AW147" s="6">
        <f>AW9</f>
        <v>0</v>
      </c>
      <c r="AX147" s="13">
        <f>AX9</f>
        <v>0</v>
      </c>
      <c r="AZ147" s="15">
        <f>AT10</f>
        <v>0</v>
      </c>
      <c r="BA147" s="8">
        <f>AU10</f>
        <v>0</v>
      </c>
      <c r="BB147" s="6">
        <f>AV10</f>
        <v>0</v>
      </c>
      <c r="BC147" s="6">
        <f>AW10</f>
        <v>0</v>
      </c>
      <c r="BD147" s="13">
        <f>AX10</f>
        <v>0</v>
      </c>
      <c r="BF147" s="15">
        <f>AT11</f>
        <v>0</v>
      </c>
      <c r="BG147" s="8">
        <f>AU11</f>
        <v>0</v>
      </c>
      <c r="BH147" s="6">
        <f>AV11</f>
        <v>0</v>
      </c>
      <c r="BI147" s="6">
        <f>AW11</f>
        <v>0</v>
      </c>
      <c r="BJ147" s="13">
        <f>AX11</f>
        <v>0</v>
      </c>
    </row>
    <row r="148" spans="1:62" ht="15.75" thickBot="1" x14ac:dyDescent="0.3">
      <c r="A148" s="8">
        <v>400</v>
      </c>
      <c r="B148" s="17">
        <f t="shared" si="42"/>
        <v>0</v>
      </c>
      <c r="D148" s="60" t="s">
        <v>24</v>
      </c>
      <c r="E148" s="62">
        <f>SUMPRODUCT(D146:D147,E146:E147)</f>
        <v>0</v>
      </c>
      <c r="G148" s="60" t="s">
        <v>24</v>
      </c>
      <c r="H148" s="62">
        <f>SUMPRODUCT(G146:G147,H146:H147)</f>
        <v>0</v>
      </c>
      <c r="J148" s="60" t="s">
        <v>29</v>
      </c>
      <c r="K148" s="62" t="s">
        <v>102</v>
      </c>
      <c r="M148" s="60" t="s">
        <v>29</v>
      </c>
      <c r="N148" s="62" t="s">
        <v>102</v>
      </c>
      <c r="P148" s="60" t="s">
        <v>29</v>
      </c>
      <c r="Q148" s="62" t="s">
        <v>102</v>
      </c>
      <c r="S148" s="15">
        <v>750</v>
      </c>
      <c r="T148" s="11">
        <f t="shared" si="43"/>
        <v>0</v>
      </c>
      <c r="U148" s="11">
        <f t="shared" si="43"/>
        <v>0</v>
      </c>
      <c r="V148" s="16">
        <f t="shared" si="44"/>
        <v>0</v>
      </c>
      <c r="W148" s="16">
        <f t="shared" si="45"/>
        <v>0</v>
      </c>
      <c r="AA148" s="167" t="str">
        <f>"TANKS: " &amp; SUM(B128:AE128,B146:B151,E146:E147,H146:H147,B142:AE142,W155)</f>
        <v>TANKS: 48</v>
      </c>
      <c r="AB148" s="167"/>
      <c r="AC148" s="167"/>
      <c r="AD148" s="167" t="str">
        <f>"LTRS: " &amp;SUM(AF128,B152,E148,H148,AF142,V155)</f>
        <v>LTRS: 39500</v>
      </c>
      <c r="AE148" s="167"/>
      <c r="AF148" s="167"/>
      <c r="AH148" s="15">
        <f>AZ7</f>
        <v>0</v>
      </c>
      <c r="AI148" s="8">
        <f>BA7</f>
        <v>0</v>
      </c>
      <c r="AJ148" s="6">
        <f>BB7</f>
        <v>0</v>
      </c>
      <c r="AK148" s="6">
        <f>BC7</f>
        <v>0</v>
      </c>
      <c r="AL148" s="13">
        <f>BD7</f>
        <v>0</v>
      </c>
      <c r="AN148" s="15">
        <f>AZ8</f>
        <v>0</v>
      </c>
      <c r="AO148" s="8">
        <f>BA8</f>
        <v>0</v>
      </c>
      <c r="AP148" s="6">
        <f>BB8</f>
        <v>0</v>
      </c>
      <c r="AQ148" s="6">
        <f>BC8</f>
        <v>0</v>
      </c>
      <c r="AR148" s="13">
        <f>BD8</f>
        <v>0</v>
      </c>
      <c r="AT148" s="15">
        <f>AZ9</f>
        <v>0</v>
      </c>
      <c r="AU148" s="8">
        <f>BA9</f>
        <v>0</v>
      </c>
      <c r="AV148" s="6">
        <f>BB9</f>
        <v>0</v>
      </c>
      <c r="AW148" s="6">
        <f>BC9</f>
        <v>0</v>
      </c>
      <c r="AX148" s="13">
        <f>BD9</f>
        <v>0</v>
      </c>
      <c r="AZ148" s="15">
        <f>AZ10</f>
        <v>0</v>
      </c>
      <c r="BA148" s="8">
        <f>BA10</f>
        <v>0</v>
      </c>
      <c r="BB148" s="6">
        <f>BB10</f>
        <v>0</v>
      </c>
      <c r="BC148" s="6">
        <f>BC10</f>
        <v>0</v>
      </c>
      <c r="BD148" s="13">
        <f>BD10</f>
        <v>0</v>
      </c>
      <c r="BF148" s="15">
        <f>AZ11</f>
        <v>0</v>
      </c>
      <c r="BG148" s="8">
        <f>BA11</f>
        <v>0</v>
      </c>
      <c r="BH148" s="6">
        <f>BB11</f>
        <v>0</v>
      </c>
      <c r="BI148" s="6">
        <f>BC11</f>
        <v>0</v>
      </c>
      <c r="BJ148" s="13">
        <f>BD11</f>
        <v>0</v>
      </c>
    </row>
    <row r="149" spans="1:62" x14ac:dyDescent="0.25">
      <c r="A149" s="8">
        <v>500</v>
      </c>
      <c r="B149" s="17">
        <f t="shared" si="42"/>
        <v>0</v>
      </c>
      <c r="J149" s="10" t="s">
        <v>17</v>
      </c>
      <c r="K149" s="17">
        <f>SUMIFS($J$14:$J$113,$H$14:$H$113,"CAP16_1",$K$14:$K$113,J149)</f>
        <v>0</v>
      </c>
      <c r="M149" s="10" t="s">
        <v>17</v>
      </c>
      <c r="N149" s="17">
        <f>SUMIFS($J$14:$J$113,$H$14:$H$113,"CAP16_2",$K$14:$K$113,M149)</f>
        <v>0</v>
      </c>
      <c r="P149" s="10" t="s">
        <v>17</v>
      </c>
      <c r="Q149" s="17">
        <f>SUMIFS($J$14:$J$113,$H$14:$H$113,"CAP19",$K$14:$K$113,P149)</f>
        <v>0</v>
      </c>
      <c r="S149" s="15">
        <v>1000</v>
      </c>
      <c r="T149" s="11">
        <f t="shared" si="43"/>
        <v>0</v>
      </c>
      <c r="U149" s="11">
        <f t="shared" si="43"/>
        <v>0</v>
      </c>
      <c r="V149" s="16">
        <f t="shared" si="44"/>
        <v>0</v>
      </c>
      <c r="W149" s="16">
        <f t="shared" si="45"/>
        <v>0</v>
      </c>
      <c r="AA149" s="167" t="s">
        <v>76</v>
      </c>
      <c r="AB149" s="167"/>
      <c r="AC149" s="167"/>
      <c r="AD149" s="176">
        <f>D114</f>
        <v>46008</v>
      </c>
      <c r="AE149" s="176"/>
      <c r="AF149" s="176"/>
      <c r="AH149" s="15">
        <f>BF7</f>
        <v>0</v>
      </c>
      <c r="AI149" s="8">
        <f>BG7</f>
        <v>0</v>
      </c>
      <c r="AJ149" s="6">
        <f>BH7</f>
        <v>0</v>
      </c>
      <c r="AK149" s="6">
        <f>BI7</f>
        <v>0</v>
      </c>
      <c r="AL149" s="13">
        <f>BJ7</f>
        <v>0</v>
      </c>
      <c r="AN149" s="15">
        <f>BF8</f>
        <v>0</v>
      </c>
      <c r="AO149" s="8">
        <f>BG8</f>
        <v>0</v>
      </c>
      <c r="AP149" s="6">
        <f>BH8</f>
        <v>0</v>
      </c>
      <c r="AQ149" s="6">
        <f>BI8</f>
        <v>0</v>
      </c>
      <c r="AR149" s="13">
        <f>BJ8</f>
        <v>0</v>
      </c>
      <c r="AT149" s="15">
        <f>BF9</f>
        <v>0</v>
      </c>
      <c r="AU149" s="8">
        <f>BG9</f>
        <v>0</v>
      </c>
      <c r="AV149" s="6">
        <f>BH9</f>
        <v>0</v>
      </c>
      <c r="AW149" s="6">
        <f>BI9</f>
        <v>0</v>
      </c>
      <c r="AX149" s="13">
        <f>BJ9</f>
        <v>0</v>
      </c>
      <c r="AZ149" s="15">
        <f>BF10</f>
        <v>0</v>
      </c>
      <c r="BA149" s="8">
        <f>BG10</f>
        <v>0</v>
      </c>
      <c r="BB149" s="6">
        <f>BH10</f>
        <v>0</v>
      </c>
      <c r="BC149" s="6">
        <f>BI10</f>
        <v>0</v>
      </c>
      <c r="BD149" s="13">
        <f>BJ10</f>
        <v>0</v>
      </c>
      <c r="BF149" s="15">
        <f>BF11</f>
        <v>0</v>
      </c>
      <c r="BG149" s="8">
        <f>BG11</f>
        <v>0</v>
      </c>
      <c r="BH149" s="6">
        <f>BH11</f>
        <v>0</v>
      </c>
      <c r="BI149" s="6">
        <f>BI11</f>
        <v>0</v>
      </c>
      <c r="BJ149" s="13">
        <f>BJ11</f>
        <v>0</v>
      </c>
    </row>
    <row r="150" spans="1:62" ht="15.75" thickBot="1" x14ac:dyDescent="0.3">
      <c r="A150" s="8">
        <v>750</v>
      </c>
      <c r="B150" s="17">
        <f t="shared" si="42"/>
        <v>0</v>
      </c>
      <c r="J150" s="8" t="s">
        <v>19</v>
      </c>
      <c r="K150" s="17">
        <f t="shared" ref="K150:K153" si="46">SUMIFS($J$14:$J$113,$H$14:$H$113,"CAP16_1",$K$14:$K$113,J150)</f>
        <v>0</v>
      </c>
      <c r="M150" s="8" t="s">
        <v>19</v>
      </c>
      <c r="N150" s="17">
        <f t="shared" ref="N150:N153" si="47">SUMIFS($J$14:$J$113,$H$14:$H$113,"CAP16_2",$K$14:$K$113,M150)</f>
        <v>0</v>
      </c>
      <c r="P150" s="8" t="s">
        <v>19</v>
      </c>
      <c r="Q150" s="17">
        <f t="shared" ref="Q150:Q153" si="48">SUMIFS($J$14:$J$113,$H$14:$H$113,"CAP19",$K$14:$K$113,P150)</f>
        <v>0</v>
      </c>
      <c r="S150" s="15">
        <v>1500</v>
      </c>
      <c r="T150" s="11">
        <f t="shared" si="43"/>
        <v>0</v>
      </c>
      <c r="U150" s="11">
        <f t="shared" si="43"/>
        <v>0</v>
      </c>
      <c r="V150" s="16">
        <f t="shared" si="44"/>
        <v>0</v>
      </c>
      <c r="W150" s="16">
        <f t="shared" si="45"/>
        <v>0</v>
      </c>
      <c r="AH150" s="59">
        <f>BL7</f>
        <v>0</v>
      </c>
      <c r="AI150" s="31">
        <f>BM7</f>
        <v>0</v>
      </c>
      <c r="AJ150" s="32">
        <f>BN7</f>
        <v>0</v>
      </c>
      <c r="AK150" s="32">
        <f>BO7</f>
        <v>0</v>
      </c>
      <c r="AL150" s="33">
        <f>BP7</f>
        <v>0</v>
      </c>
      <c r="AN150" s="59">
        <f>BL8</f>
        <v>0</v>
      </c>
      <c r="AO150" s="31">
        <f>BM8</f>
        <v>0</v>
      </c>
      <c r="AP150" s="32">
        <f>BN8</f>
        <v>0</v>
      </c>
      <c r="AQ150" s="32">
        <f>BO8</f>
        <v>0</v>
      </c>
      <c r="AR150" s="33">
        <f>BP8</f>
        <v>0</v>
      </c>
      <c r="AT150" s="59">
        <f>BL9</f>
        <v>0</v>
      </c>
      <c r="AU150" s="31">
        <f>BM9</f>
        <v>0</v>
      </c>
      <c r="AV150" s="32">
        <f>BN9</f>
        <v>0</v>
      </c>
      <c r="AW150" s="32">
        <f>BO9</f>
        <v>0</v>
      </c>
      <c r="AX150" s="33">
        <f>BP9</f>
        <v>0</v>
      </c>
      <c r="AZ150" s="59">
        <f>BL10</f>
        <v>0</v>
      </c>
      <c r="BA150" s="31">
        <f>BM10</f>
        <v>0</v>
      </c>
      <c r="BB150" s="32">
        <f>BN10</f>
        <v>0</v>
      </c>
      <c r="BC150" s="32">
        <f>BO10</f>
        <v>0</v>
      </c>
      <c r="BD150" s="33">
        <f>BP10</f>
        <v>0</v>
      </c>
      <c r="BF150" s="59">
        <f>BL11</f>
        <v>0</v>
      </c>
      <c r="BG150" s="31">
        <f>BM11</f>
        <v>0</v>
      </c>
      <c r="BH150" s="32">
        <f>BN11</f>
        <v>0</v>
      </c>
      <c r="BI150" s="32">
        <f>BO11</f>
        <v>0</v>
      </c>
      <c r="BJ150" s="33">
        <f>BP11</f>
        <v>0</v>
      </c>
    </row>
    <row r="151" spans="1:62" ht="15.75" thickBot="1" x14ac:dyDescent="0.3">
      <c r="A151" s="9">
        <v>1000</v>
      </c>
      <c r="B151" s="17">
        <f t="shared" si="42"/>
        <v>0</v>
      </c>
      <c r="J151" s="8" t="s">
        <v>32</v>
      </c>
      <c r="K151" s="17">
        <f t="shared" si="46"/>
        <v>0</v>
      </c>
      <c r="M151" s="8" t="s">
        <v>32</v>
      </c>
      <c r="N151" s="17">
        <f t="shared" si="47"/>
        <v>0</v>
      </c>
      <c r="P151" s="8" t="s">
        <v>32</v>
      </c>
      <c r="Q151" s="17">
        <f t="shared" si="48"/>
        <v>0</v>
      </c>
      <c r="S151" s="15">
        <v>2000</v>
      </c>
      <c r="T151" s="11">
        <f t="shared" si="43"/>
        <v>0</v>
      </c>
      <c r="U151" s="11">
        <f t="shared" si="43"/>
        <v>0</v>
      </c>
      <c r="V151" s="16">
        <f t="shared" si="44"/>
        <v>0</v>
      </c>
      <c r="W151" s="16">
        <f t="shared" si="45"/>
        <v>0</v>
      </c>
      <c r="AH151" s="35">
        <f>C7</f>
        <v>0</v>
      </c>
      <c r="AI151" s="158">
        <f>SUM(AI141:AI150)</f>
        <v>0</v>
      </c>
      <c r="AJ151" s="159"/>
      <c r="AK151" s="158">
        <f>BT7</f>
        <v>0</v>
      </c>
      <c r="AL151" s="159"/>
      <c r="AN151" s="35">
        <f>C8</f>
        <v>0</v>
      </c>
      <c r="AO151" s="158">
        <f>SUM(AO141:AO150)</f>
        <v>0</v>
      </c>
      <c r="AP151" s="159"/>
      <c r="AQ151" s="158">
        <f>BT8</f>
        <v>0</v>
      </c>
      <c r="AR151" s="159"/>
      <c r="AT151" s="35">
        <f>C9</f>
        <v>0</v>
      </c>
      <c r="AU151" s="158">
        <f>SUM(AU141:AU150)</f>
        <v>0</v>
      </c>
      <c r="AV151" s="159"/>
      <c r="AW151" s="158">
        <f>BT9</f>
        <v>0</v>
      </c>
      <c r="AX151" s="159"/>
      <c r="AZ151" s="35">
        <f>C10</f>
        <v>0</v>
      </c>
      <c r="BA151" s="158">
        <f>SUM(BA141:BA150)</f>
        <v>0</v>
      </c>
      <c r="BB151" s="159"/>
      <c r="BC151" s="158">
        <f>BT10</f>
        <v>0</v>
      </c>
      <c r="BD151" s="159"/>
      <c r="BF151" s="35">
        <f>C11</f>
        <v>0</v>
      </c>
      <c r="BG151" s="158">
        <f>SUM(BG141:BG150)</f>
        <v>0</v>
      </c>
      <c r="BH151" s="159"/>
      <c r="BI151" s="158">
        <f>BT11</f>
        <v>0</v>
      </c>
      <c r="BJ151" s="159"/>
    </row>
    <row r="152" spans="1:62" ht="15.75" thickBot="1" x14ac:dyDescent="0.3">
      <c r="A152" s="60" t="s">
        <v>24</v>
      </c>
      <c r="B152" s="62">
        <f>SUMPRODUCT(A146:A151,B146:B151)</f>
        <v>0</v>
      </c>
      <c r="J152" s="8" t="s">
        <v>33</v>
      </c>
      <c r="K152" s="17">
        <f t="shared" si="46"/>
        <v>0</v>
      </c>
      <c r="M152" s="8" t="s">
        <v>33</v>
      </c>
      <c r="N152" s="17">
        <f t="shared" si="47"/>
        <v>0</v>
      </c>
      <c r="P152" s="8" t="s">
        <v>33</v>
      </c>
      <c r="Q152" s="17">
        <f t="shared" si="48"/>
        <v>0</v>
      </c>
      <c r="S152" s="15">
        <v>3000</v>
      </c>
      <c r="T152" s="11">
        <f t="shared" si="43"/>
        <v>0</v>
      </c>
      <c r="U152" s="11">
        <f t="shared" si="43"/>
        <v>0</v>
      </c>
      <c r="V152" s="16">
        <f t="shared" si="44"/>
        <v>0</v>
      </c>
      <c r="W152" s="16">
        <f t="shared" si="45"/>
        <v>0</v>
      </c>
      <c r="AH152" s="35" t="s">
        <v>25</v>
      </c>
      <c r="AI152" s="158">
        <f>A7</f>
        <v>0</v>
      </c>
      <c r="AJ152" s="160"/>
      <c r="AK152" s="158">
        <f>BR7</f>
        <v>0</v>
      </c>
      <c r="AL152" s="159"/>
      <c r="AN152" s="35" t="s">
        <v>25</v>
      </c>
      <c r="AO152" s="158">
        <f>A8</f>
        <v>0</v>
      </c>
      <c r="AP152" s="160"/>
      <c r="AQ152" s="158">
        <f>BR8</f>
        <v>0</v>
      </c>
      <c r="AR152" s="159"/>
      <c r="AT152" s="35" t="s">
        <v>25</v>
      </c>
      <c r="AU152" s="158">
        <f>A9</f>
        <v>0</v>
      </c>
      <c r="AV152" s="160"/>
      <c r="AW152" s="158">
        <f>BR9</f>
        <v>0</v>
      </c>
      <c r="AX152" s="159"/>
      <c r="AZ152" s="35" t="s">
        <v>25</v>
      </c>
      <c r="BA152" s="158">
        <f>A10</f>
        <v>0</v>
      </c>
      <c r="BB152" s="160"/>
      <c r="BC152" s="158">
        <f>BR10</f>
        <v>0</v>
      </c>
      <c r="BD152" s="159"/>
      <c r="BF152" s="35" t="s">
        <v>25</v>
      </c>
      <c r="BG152" s="158">
        <f>A11</f>
        <v>0</v>
      </c>
      <c r="BH152" s="160"/>
      <c r="BI152" s="158">
        <f>BR11</f>
        <v>0</v>
      </c>
      <c r="BJ152" s="159"/>
    </row>
    <row r="153" spans="1:62" ht="15.75" thickBot="1" x14ac:dyDescent="0.3">
      <c r="J153" s="9" t="s">
        <v>80</v>
      </c>
      <c r="K153" s="17">
        <f t="shared" si="46"/>
        <v>0</v>
      </c>
      <c r="M153" s="9" t="s">
        <v>80</v>
      </c>
      <c r="N153" s="17">
        <f t="shared" si="47"/>
        <v>0</v>
      </c>
      <c r="P153" s="9" t="s">
        <v>80</v>
      </c>
      <c r="Q153" s="17">
        <f t="shared" si="48"/>
        <v>0</v>
      </c>
      <c r="S153" s="15">
        <v>5000</v>
      </c>
      <c r="T153" s="11">
        <f t="shared" si="43"/>
        <v>0</v>
      </c>
      <c r="U153" s="11">
        <f t="shared" si="43"/>
        <v>0</v>
      </c>
      <c r="V153" s="16">
        <f t="shared" si="44"/>
        <v>0</v>
      </c>
      <c r="W153" s="16">
        <f t="shared" si="45"/>
        <v>0</v>
      </c>
      <c r="AH153" s="58" t="s">
        <v>130</v>
      </c>
      <c r="AI153" s="58" t="s">
        <v>131</v>
      </c>
      <c r="AJ153" s="58" t="s">
        <v>132</v>
      </c>
      <c r="AK153" s="58" t="s">
        <v>166</v>
      </c>
      <c r="AL153" s="58" t="s">
        <v>33</v>
      </c>
      <c r="AN153" s="58" t="s">
        <v>130</v>
      </c>
      <c r="AO153" s="58" t="s">
        <v>131</v>
      </c>
      <c r="AP153" s="58" t="s">
        <v>132</v>
      </c>
      <c r="AQ153" s="58" t="s">
        <v>166</v>
      </c>
      <c r="AR153" s="58" t="s">
        <v>33</v>
      </c>
      <c r="AT153" s="58" t="s">
        <v>130</v>
      </c>
      <c r="AU153" s="58" t="s">
        <v>131</v>
      </c>
      <c r="AV153" s="58" t="s">
        <v>132</v>
      </c>
      <c r="AW153" s="58" t="s">
        <v>166</v>
      </c>
      <c r="AX153" s="58" t="s">
        <v>33</v>
      </c>
      <c r="AZ153" s="58" t="s">
        <v>130</v>
      </c>
      <c r="BA153" s="58" t="s">
        <v>131</v>
      </c>
      <c r="BB153" s="58" t="s">
        <v>132</v>
      </c>
      <c r="BC153" s="58" t="s">
        <v>166</v>
      </c>
      <c r="BD153" s="58" t="s">
        <v>33</v>
      </c>
      <c r="BF153" s="58" t="s">
        <v>130</v>
      </c>
      <c r="BG153" s="58" t="s">
        <v>131</v>
      </c>
      <c r="BH153" s="58" t="s">
        <v>132</v>
      </c>
      <c r="BI153" s="58" t="s">
        <v>166</v>
      </c>
      <c r="BJ153" s="58" t="s">
        <v>33</v>
      </c>
    </row>
    <row r="154" spans="1:62" ht="15.75" thickBot="1" x14ac:dyDescent="0.3">
      <c r="J154" s="60" t="s">
        <v>24</v>
      </c>
      <c r="K154" s="62">
        <f>SUM(K149:K153)</f>
        <v>0</v>
      </c>
      <c r="M154" s="60" t="s">
        <v>24</v>
      </c>
      <c r="N154" s="62">
        <f>SUM(N149:N153)</f>
        <v>0</v>
      </c>
      <c r="P154" s="60" t="s">
        <v>24</v>
      </c>
      <c r="Q154" s="62">
        <f>SUM(Q149:Q153)</f>
        <v>0</v>
      </c>
      <c r="S154" s="59">
        <v>10000</v>
      </c>
      <c r="T154" s="11">
        <f t="shared" si="43"/>
        <v>0</v>
      </c>
      <c r="U154" s="11">
        <f t="shared" si="43"/>
        <v>0</v>
      </c>
      <c r="V154" s="16">
        <f t="shared" si="44"/>
        <v>0</v>
      </c>
      <c r="W154" s="16">
        <f t="shared" si="45"/>
        <v>0</v>
      </c>
      <c r="AH154" s="34" t="str">
        <f>AZ19</f>
        <v/>
      </c>
      <c r="AI154" s="34" t="str">
        <f>BA19</f>
        <v/>
      </c>
      <c r="AJ154" s="34" t="str">
        <f>BB19</f>
        <v/>
      </c>
      <c r="AK154" s="35" t="str">
        <f>BC19</f>
        <v/>
      </c>
      <c r="AL154" s="35" t="str">
        <f>BD19</f>
        <v/>
      </c>
      <c r="AN154" s="34" t="str">
        <f>AZ20</f>
        <v/>
      </c>
      <c r="AO154" s="34" t="str">
        <f>BA20</f>
        <v/>
      </c>
      <c r="AP154" s="34" t="str">
        <f>BB20</f>
        <v/>
      </c>
      <c r="AQ154" s="35" t="str">
        <f>BC20</f>
        <v/>
      </c>
      <c r="AR154" s="35" t="str">
        <f>BD20</f>
        <v/>
      </c>
      <c r="AT154" s="34" t="str">
        <f>AZ21</f>
        <v/>
      </c>
      <c r="AU154" s="34" t="str">
        <f>BA21</f>
        <v/>
      </c>
      <c r="AV154" s="34" t="str">
        <f>BB21</f>
        <v/>
      </c>
      <c r="AW154" s="35" t="str">
        <f>BC21</f>
        <v/>
      </c>
      <c r="AX154" s="35" t="str">
        <f>BD21</f>
        <v/>
      </c>
      <c r="AZ154" s="34" t="str">
        <f>AZ22</f>
        <v/>
      </c>
      <c r="BA154" s="34" t="str">
        <f>BA22</f>
        <v/>
      </c>
      <c r="BB154" s="34" t="str">
        <f>BB22</f>
        <v/>
      </c>
      <c r="BC154" s="35" t="str">
        <f>BC22</f>
        <v/>
      </c>
      <c r="BD154" s="35" t="str">
        <f>BD22</f>
        <v/>
      </c>
      <c r="BF154" s="34" t="str">
        <f>AZ23</f>
        <v/>
      </c>
      <c r="BG154" s="34" t="str">
        <f>BA23</f>
        <v/>
      </c>
      <c r="BH154" s="34" t="str">
        <f>BB23</f>
        <v/>
      </c>
      <c r="BI154" s="35" t="str">
        <f>BC23</f>
        <v/>
      </c>
      <c r="BJ154" s="35" t="str">
        <f>BD23</f>
        <v/>
      </c>
    </row>
    <row r="155" spans="1:62" ht="15.75" thickBot="1" x14ac:dyDescent="0.3">
      <c r="S155" s="35"/>
      <c r="T155" s="61">
        <f>SUM(T146:T154)</f>
        <v>0</v>
      </c>
      <c r="U155" s="61">
        <f t="shared" ref="U155:W155" si="49">SUM(U146:U154)</f>
        <v>0</v>
      </c>
      <c r="V155" s="35">
        <f t="shared" si="49"/>
        <v>0</v>
      </c>
      <c r="W155" s="35">
        <f t="shared" si="49"/>
        <v>0</v>
      </c>
      <c r="AH155" s="58" t="s">
        <v>22</v>
      </c>
      <c r="AI155" s="58" t="s">
        <v>20</v>
      </c>
      <c r="AJ155" s="58" t="s">
        <v>34</v>
      </c>
      <c r="AK155" s="58" t="s">
        <v>127</v>
      </c>
      <c r="AL155" s="58" t="s">
        <v>129</v>
      </c>
      <c r="AN155" s="58" t="s">
        <v>22</v>
      </c>
      <c r="AO155" s="58" t="s">
        <v>20</v>
      </c>
      <c r="AP155" s="58" t="s">
        <v>34</v>
      </c>
      <c r="AQ155" s="58" t="s">
        <v>127</v>
      </c>
      <c r="AR155" s="58" t="s">
        <v>129</v>
      </c>
      <c r="AT155" s="58" t="s">
        <v>22</v>
      </c>
      <c r="AU155" s="58" t="s">
        <v>20</v>
      </c>
      <c r="AV155" s="58" t="s">
        <v>34</v>
      </c>
      <c r="AW155" s="58" t="s">
        <v>127</v>
      </c>
      <c r="AX155" s="58" t="s">
        <v>129</v>
      </c>
      <c r="AZ155" s="58" t="s">
        <v>22</v>
      </c>
      <c r="BA155" s="58" t="s">
        <v>20</v>
      </c>
      <c r="BB155" s="58" t="s">
        <v>34</v>
      </c>
      <c r="BC155" s="58" t="s">
        <v>127</v>
      </c>
      <c r="BD155" s="58" t="s">
        <v>129</v>
      </c>
      <c r="BF155" s="58" t="s">
        <v>22</v>
      </c>
      <c r="BG155" s="58" t="s">
        <v>20</v>
      </c>
      <c r="BH155" s="58" t="s">
        <v>34</v>
      </c>
      <c r="BI155" s="58" t="s">
        <v>127</v>
      </c>
      <c r="BJ155" s="58" t="s">
        <v>129</v>
      </c>
    </row>
    <row r="156" spans="1:62" ht="15.75" thickBot="1" x14ac:dyDescent="0.3">
      <c r="AH156" s="34" t="str">
        <f>AU19</f>
        <v/>
      </c>
      <c r="AI156" s="34" t="str">
        <f>AV19</f>
        <v/>
      </c>
      <c r="AJ156" s="34" t="str">
        <f>AW19</f>
        <v/>
      </c>
      <c r="AK156" s="35" t="str">
        <f>AX19</f>
        <v/>
      </c>
      <c r="AL156" s="35" t="str">
        <f>AY19</f>
        <v/>
      </c>
      <c r="AN156" s="34" t="str">
        <f>AU20</f>
        <v/>
      </c>
      <c r="AO156" s="34" t="str">
        <f>AV20</f>
        <v/>
      </c>
      <c r="AP156" s="34" t="str">
        <f>AW20</f>
        <v/>
      </c>
      <c r="AQ156" s="35" t="str">
        <f>AX20</f>
        <v/>
      </c>
      <c r="AR156" s="35" t="str">
        <f>AY20</f>
        <v/>
      </c>
      <c r="AT156" s="34" t="str">
        <f>AU21</f>
        <v/>
      </c>
      <c r="AU156" s="34" t="str">
        <f>AV21</f>
        <v/>
      </c>
      <c r="AV156" s="34" t="str">
        <f>AW21</f>
        <v/>
      </c>
      <c r="AW156" s="35" t="str">
        <f>AX21</f>
        <v/>
      </c>
      <c r="AX156" s="35" t="str">
        <f>AY21</f>
        <v/>
      </c>
      <c r="AZ156" s="34" t="str">
        <f>AU22</f>
        <v/>
      </c>
      <c r="BA156" s="34" t="str">
        <f>AV22</f>
        <v/>
      </c>
      <c r="BB156" s="34" t="str">
        <f>AW22</f>
        <v/>
      </c>
      <c r="BC156" s="35" t="str">
        <f>AX22</f>
        <v/>
      </c>
      <c r="BD156" s="35" t="str">
        <f>AY22</f>
        <v/>
      </c>
      <c r="BF156" s="34" t="str">
        <f>AU23</f>
        <v/>
      </c>
      <c r="BG156" s="34" t="str">
        <f>AV23</f>
        <v/>
      </c>
      <c r="BH156" s="34" t="str">
        <f>AW23</f>
        <v/>
      </c>
      <c r="BI156" s="35" t="str">
        <f>AX23</f>
        <v/>
      </c>
      <c r="BJ156" s="35" t="str">
        <f>AY23</f>
        <v/>
      </c>
    </row>
    <row r="157" spans="1:62" ht="13.7" customHeight="1" thickBot="1" x14ac:dyDescent="0.3"/>
    <row r="158" spans="1:62" ht="15.75" thickBot="1" x14ac:dyDescent="0.3">
      <c r="AH158" s="149" t="s">
        <v>37</v>
      </c>
      <c r="AI158" s="150"/>
      <c r="AJ158" s="150"/>
      <c r="AK158" s="151" t="str">
        <f>AD147</f>
        <v>KA41C4059</v>
      </c>
      <c r="AL158" s="151"/>
      <c r="AM158" s="152"/>
      <c r="AN158" s="157" t="str">
        <f>AA148</f>
        <v>TANKS: 48</v>
      </c>
      <c r="AO158" s="153"/>
      <c r="AP158" s="153" t="str">
        <f>AD148</f>
        <v>LTRS: 39500</v>
      </c>
      <c r="AQ158" s="153"/>
      <c r="AR158" s="154"/>
      <c r="AS158" s="150" t="s">
        <v>76</v>
      </c>
      <c r="AT158" s="150"/>
      <c r="AU158" s="155">
        <f>AD149</f>
        <v>46008</v>
      </c>
      <c r="AV158" s="155"/>
      <c r="AW158" s="156"/>
    </row>
    <row r="159" spans="1:62" ht="13.7" customHeight="1" x14ac:dyDescent="0.25"/>
    <row r="160" spans="1:62" ht="13.7" customHeight="1" thickBot="1" x14ac:dyDescent="0.3"/>
    <row r="161" spans="1:52" ht="13.7" customHeight="1" x14ac:dyDescent="0.25">
      <c r="A161" s="123" t="s">
        <v>31</v>
      </c>
      <c r="B161" s="113" t="s">
        <v>84</v>
      </c>
      <c r="C161" s="115"/>
      <c r="D161" s="113" t="s">
        <v>22</v>
      </c>
      <c r="E161" s="114"/>
      <c r="F161" s="114"/>
      <c r="G161" s="114"/>
      <c r="H161" s="115"/>
      <c r="I161" s="113" t="s">
        <v>20</v>
      </c>
      <c r="J161" s="114"/>
      <c r="K161" s="114"/>
      <c r="L161" s="114"/>
      <c r="M161" s="115"/>
      <c r="N161" s="113" t="s">
        <v>34</v>
      </c>
      <c r="O161" s="114"/>
      <c r="P161" s="114"/>
      <c r="Q161" s="114"/>
      <c r="R161" s="115"/>
      <c r="S161" s="113" t="s">
        <v>127</v>
      </c>
      <c r="T161" s="114"/>
      <c r="U161" s="114"/>
      <c r="V161" s="114"/>
      <c r="W161" s="115"/>
      <c r="X161" s="113" t="s">
        <v>129</v>
      </c>
      <c r="Y161" s="114"/>
      <c r="Z161" s="114"/>
      <c r="AA161" s="114"/>
      <c r="AB161" s="115"/>
      <c r="AC161" s="113" t="s">
        <v>26</v>
      </c>
      <c r="AD161" s="114"/>
      <c r="AE161" s="114"/>
      <c r="AF161" s="114"/>
      <c r="AG161" s="115"/>
      <c r="AH161" s="116" t="s">
        <v>24</v>
      </c>
      <c r="AI161" s="116" t="s">
        <v>86</v>
      </c>
      <c r="AJ161" s="81"/>
    </row>
    <row r="162" spans="1:52" ht="13.7" customHeight="1" thickBot="1" x14ac:dyDescent="0.3">
      <c r="A162" s="124"/>
      <c r="B162" s="12" t="s">
        <v>17</v>
      </c>
      <c r="C162" s="12" t="s">
        <v>19</v>
      </c>
      <c r="D162" s="9" t="s">
        <v>32</v>
      </c>
      <c r="E162" s="12" t="s">
        <v>17</v>
      </c>
      <c r="F162" s="12" t="s">
        <v>19</v>
      </c>
      <c r="G162" s="12" t="s">
        <v>33</v>
      </c>
      <c r="H162" s="14" t="s">
        <v>80</v>
      </c>
      <c r="I162" s="9" t="s">
        <v>32</v>
      </c>
      <c r="J162" s="12" t="s">
        <v>17</v>
      </c>
      <c r="K162" s="12" t="s">
        <v>19</v>
      </c>
      <c r="L162" s="12" t="s">
        <v>33</v>
      </c>
      <c r="M162" s="14" t="s">
        <v>80</v>
      </c>
      <c r="N162" s="9" t="s">
        <v>32</v>
      </c>
      <c r="O162" s="12" t="s">
        <v>17</v>
      </c>
      <c r="P162" s="12" t="s">
        <v>19</v>
      </c>
      <c r="Q162" s="12" t="s">
        <v>33</v>
      </c>
      <c r="R162" s="14" t="s">
        <v>80</v>
      </c>
      <c r="S162" s="9" t="s">
        <v>32</v>
      </c>
      <c r="T162" s="12" t="s">
        <v>17</v>
      </c>
      <c r="U162" s="12" t="s">
        <v>19</v>
      </c>
      <c r="V162" s="12" t="s">
        <v>33</v>
      </c>
      <c r="W162" s="14" t="s">
        <v>80</v>
      </c>
      <c r="X162" s="9" t="s">
        <v>32</v>
      </c>
      <c r="Y162" s="12" t="s">
        <v>17</v>
      </c>
      <c r="Z162" s="12" t="s">
        <v>19</v>
      </c>
      <c r="AA162" s="12" t="s">
        <v>33</v>
      </c>
      <c r="AB162" s="14" t="s">
        <v>80</v>
      </c>
      <c r="AC162" s="9" t="s">
        <v>32</v>
      </c>
      <c r="AD162" s="12" t="s">
        <v>17</v>
      </c>
      <c r="AE162" s="12" t="s">
        <v>19</v>
      </c>
      <c r="AF162" s="12" t="s">
        <v>33</v>
      </c>
      <c r="AG162" s="14" t="s">
        <v>80</v>
      </c>
      <c r="AH162" s="117"/>
      <c r="AI162" s="117"/>
      <c r="AJ162" s="81"/>
    </row>
    <row r="163" spans="1:52" ht="13.7" customHeight="1" x14ac:dyDescent="0.25">
      <c r="A163" s="16">
        <v>300</v>
      </c>
      <c r="B163" s="11">
        <f>T146</f>
        <v>0</v>
      </c>
      <c r="C163" s="11">
        <f>U146</f>
        <v>0</v>
      </c>
      <c r="D163" s="10">
        <f>B119+B133</f>
        <v>0</v>
      </c>
      <c r="E163" s="11">
        <f t="shared" ref="E163:AG171" si="50">C119+C133</f>
        <v>0</v>
      </c>
      <c r="F163" s="11">
        <f t="shared" si="50"/>
        <v>0</v>
      </c>
      <c r="G163" s="11">
        <f t="shared" si="50"/>
        <v>0</v>
      </c>
      <c r="H163" s="17">
        <f t="shared" si="50"/>
        <v>0</v>
      </c>
      <c r="I163" s="10">
        <f t="shared" si="50"/>
        <v>0</v>
      </c>
      <c r="J163" s="11">
        <f t="shared" si="50"/>
        <v>0</v>
      </c>
      <c r="K163" s="11">
        <f t="shared" si="50"/>
        <v>0</v>
      </c>
      <c r="L163" s="11">
        <f t="shared" si="50"/>
        <v>0</v>
      </c>
      <c r="M163" s="17">
        <f t="shared" si="50"/>
        <v>0</v>
      </c>
      <c r="N163" s="10">
        <f t="shared" si="50"/>
        <v>0</v>
      </c>
      <c r="O163" s="11">
        <f t="shared" si="50"/>
        <v>0</v>
      </c>
      <c r="P163" s="11">
        <f t="shared" si="50"/>
        <v>0</v>
      </c>
      <c r="Q163" s="11">
        <f t="shared" si="50"/>
        <v>0</v>
      </c>
      <c r="R163" s="17">
        <f t="shared" si="50"/>
        <v>0</v>
      </c>
      <c r="S163" s="10">
        <f t="shared" si="50"/>
        <v>0</v>
      </c>
      <c r="T163" s="11">
        <f t="shared" si="50"/>
        <v>0</v>
      </c>
      <c r="U163" s="11">
        <f t="shared" si="50"/>
        <v>0</v>
      </c>
      <c r="V163" s="11">
        <f t="shared" si="50"/>
        <v>0</v>
      </c>
      <c r="W163" s="17">
        <f t="shared" si="50"/>
        <v>0</v>
      </c>
      <c r="X163" s="10">
        <f t="shared" si="50"/>
        <v>0</v>
      </c>
      <c r="Y163" s="11">
        <f t="shared" si="50"/>
        <v>0</v>
      </c>
      <c r="Z163" s="11">
        <f t="shared" si="50"/>
        <v>0</v>
      </c>
      <c r="AA163" s="11">
        <f t="shared" si="50"/>
        <v>0</v>
      </c>
      <c r="AB163" s="17">
        <f t="shared" si="50"/>
        <v>0</v>
      </c>
      <c r="AC163" s="10">
        <f t="shared" si="50"/>
        <v>0</v>
      </c>
      <c r="AD163" s="11">
        <f t="shared" si="50"/>
        <v>0</v>
      </c>
      <c r="AE163" s="11">
        <f t="shared" si="50"/>
        <v>0</v>
      </c>
      <c r="AF163" s="11">
        <f t="shared" si="50"/>
        <v>0</v>
      </c>
      <c r="AG163" s="17">
        <f t="shared" si="50"/>
        <v>0</v>
      </c>
      <c r="AH163" s="16">
        <f>SUM(D163:AG163)*A163</f>
        <v>0</v>
      </c>
      <c r="AI163" s="16">
        <f>SUM(D163:AG163)</f>
        <v>0</v>
      </c>
      <c r="AJ163" s="82"/>
    </row>
    <row r="164" spans="1:52" ht="13.7" customHeight="1" x14ac:dyDescent="0.25">
      <c r="A164" s="16">
        <v>500</v>
      </c>
      <c r="B164" s="11">
        <f t="shared" ref="B164:C171" si="51">T147</f>
        <v>0</v>
      </c>
      <c r="C164" s="11">
        <f t="shared" si="51"/>
        <v>0</v>
      </c>
      <c r="D164" s="10">
        <f t="shared" ref="D164:D171" si="52">B120+B134</f>
        <v>0</v>
      </c>
      <c r="E164" s="11">
        <f t="shared" si="50"/>
        <v>20</v>
      </c>
      <c r="F164" s="11">
        <f t="shared" si="50"/>
        <v>0</v>
      </c>
      <c r="G164" s="11">
        <f t="shared" si="50"/>
        <v>0</v>
      </c>
      <c r="H164" s="17">
        <f t="shared" si="50"/>
        <v>0</v>
      </c>
      <c r="I164" s="10">
        <f t="shared" si="50"/>
        <v>0</v>
      </c>
      <c r="J164" s="11">
        <f t="shared" si="50"/>
        <v>0</v>
      </c>
      <c r="K164" s="11">
        <f t="shared" si="50"/>
        <v>0</v>
      </c>
      <c r="L164" s="11">
        <f t="shared" si="50"/>
        <v>0</v>
      </c>
      <c r="M164" s="17">
        <f t="shared" si="50"/>
        <v>0</v>
      </c>
      <c r="N164" s="10">
        <f t="shared" si="50"/>
        <v>0</v>
      </c>
      <c r="O164" s="11">
        <f t="shared" si="50"/>
        <v>0</v>
      </c>
      <c r="P164" s="11">
        <f t="shared" si="50"/>
        <v>0</v>
      </c>
      <c r="Q164" s="11">
        <f t="shared" si="50"/>
        <v>0</v>
      </c>
      <c r="R164" s="17">
        <f t="shared" si="50"/>
        <v>0</v>
      </c>
      <c r="S164" s="10">
        <f t="shared" si="50"/>
        <v>0</v>
      </c>
      <c r="T164" s="11">
        <f t="shared" si="50"/>
        <v>0</v>
      </c>
      <c r="U164" s="11">
        <f t="shared" si="50"/>
        <v>0</v>
      </c>
      <c r="V164" s="11">
        <f t="shared" si="50"/>
        <v>0</v>
      </c>
      <c r="W164" s="17">
        <f t="shared" si="50"/>
        <v>0</v>
      </c>
      <c r="X164" s="10">
        <f t="shared" si="50"/>
        <v>0</v>
      </c>
      <c r="Y164" s="11">
        <f t="shared" si="50"/>
        <v>0</v>
      </c>
      <c r="Z164" s="11">
        <f t="shared" si="50"/>
        <v>0</v>
      </c>
      <c r="AA164" s="11">
        <f t="shared" si="50"/>
        <v>0</v>
      </c>
      <c r="AB164" s="17">
        <f t="shared" si="50"/>
        <v>0</v>
      </c>
      <c r="AC164" s="10">
        <f t="shared" si="50"/>
        <v>0</v>
      </c>
      <c r="AD164" s="11">
        <f t="shared" si="50"/>
        <v>0</v>
      </c>
      <c r="AE164" s="11">
        <f t="shared" si="50"/>
        <v>0</v>
      </c>
      <c r="AF164" s="11">
        <f t="shared" si="50"/>
        <v>0</v>
      </c>
      <c r="AG164" s="17">
        <f t="shared" si="50"/>
        <v>0</v>
      </c>
      <c r="AH164" s="16">
        <f>SUM(D164:AG164)*A164</f>
        <v>10000</v>
      </c>
      <c r="AI164" s="16">
        <f t="shared" ref="AI164:AI172" si="53">SUM(D164:AG164)</f>
        <v>20</v>
      </c>
    </row>
    <row r="165" spans="1:52" ht="13.7" customHeight="1" x14ac:dyDescent="0.25">
      <c r="A165" s="15">
        <v>750</v>
      </c>
      <c r="B165" s="11">
        <f t="shared" si="51"/>
        <v>0</v>
      </c>
      <c r="C165" s="11">
        <f t="shared" si="51"/>
        <v>0</v>
      </c>
      <c r="D165" s="8">
        <f t="shared" si="52"/>
        <v>0</v>
      </c>
      <c r="E165" s="6">
        <f t="shared" si="50"/>
        <v>10</v>
      </c>
      <c r="F165" s="6">
        <f t="shared" si="50"/>
        <v>0</v>
      </c>
      <c r="G165" s="6">
        <f t="shared" si="50"/>
        <v>0</v>
      </c>
      <c r="H165" s="13">
        <f t="shared" si="50"/>
        <v>0</v>
      </c>
      <c r="I165" s="8">
        <f t="shared" si="50"/>
        <v>0</v>
      </c>
      <c r="J165" s="6">
        <f t="shared" si="50"/>
        <v>0</v>
      </c>
      <c r="K165" s="6">
        <f t="shared" si="50"/>
        <v>0</v>
      </c>
      <c r="L165" s="6">
        <f t="shared" si="50"/>
        <v>0</v>
      </c>
      <c r="M165" s="13">
        <f t="shared" si="50"/>
        <v>0</v>
      </c>
      <c r="N165" s="8">
        <f t="shared" si="50"/>
        <v>0</v>
      </c>
      <c r="O165" s="6">
        <f t="shared" si="50"/>
        <v>0</v>
      </c>
      <c r="P165" s="6">
        <f t="shared" si="50"/>
        <v>0</v>
      </c>
      <c r="Q165" s="6">
        <f t="shared" si="50"/>
        <v>0</v>
      </c>
      <c r="R165" s="13">
        <f t="shared" si="50"/>
        <v>0</v>
      </c>
      <c r="S165" s="8">
        <f t="shared" si="50"/>
        <v>0</v>
      </c>
      <c r="T165" s="6">
        <f t="shared" si="50"/>
        <v>0</v>
      </c>
      <c r="U165" s="6">
        <f t="shared" si="50"/>
        <v>0</v>
      </c>
      <c r="V165" s="6">
        <f t="shared" si="50"/>
        <v>0</v>
      </c>
      <c r="W165" s="13">
        <f t="shared" si="50"/>
        <v>0</v>
      </c>
      <c r="X165" s="8">
        <f t="shared" si="50"/>
        <v>0</v>
      </c>
      <c r="Y165" s="6">
        <f t="shared" si="50"/>
        <v>0</v>
      </c>
      <c r="Z165" s="6">
        <f t="shared" si="50"/>
        <v>0</v>
      </c>
      <c r="AA165" s="6">
        <f t="shared" si="50"/>
        <v>0</v>
      </c>
      <c r="AB165" s="13">
        <f t="shared" si="50"/>
        <v>0</v>
      </c>
      <c r="AC165" s="8">
        <f t="shared" si="50"/>
        <v>0</v>
      </c>
      <c r="AD165" s="6">
        <f t="shared" si="50"/>
        <v>0</v>
      </c>
      <c r="AE165" s="6">
        <f t="shared" si="50"/>
        <v>0</v>
      </c>
      <c r="AF165" s="6">
        <f t="shared" si="50"/>
        <v>0</v>
      </c>
      <c r="AG165" s="13">
        <f t="shared" si="50"/>
        <v>0</v>
      </c>
      <c r="AH165" s="16">
        <f>SUM(D165:AG165)*A165</f>
        <v>7500</v>
      </c>
      <c r="AI165" s="16">
        <f t="shared" si="53"/>
        <v>10</v>
      </c>
    </row>
    <row r="166" spans="1:52" ht="13.7" customHeight="1" x14ac:dyDescent="0.25">
      <c r="A166" s="15">
        <v>1000</v>
      </c>
      <c r="B166" s="11">
        <f t="shared" si="51"/>
        <v>0</v>
      </c>
      <c r="C166" s="11">
        <f t="shared" si="51"/>
        <v>0</v>
      </c>
      <c r="D166" s="8">
        <f t="shared" si="52"/>
        <v>0</v>
      </c>
      <c r="E166" s="6">
        <f t="shared" si="50"/>
        <v>10</v>
      </c>
      <c r="F166" s="6">
        <f t="shared" si="50"/>
        <v>0</v>
      </c>
      <c r="G166" s="6">
        <f t="shared" si="50"/>
        <v>0</v>
      </c>
      <c r="H166" s="13">
        <f t="shared" si="50"/>
        <v>0</v>
      </c>
      <c r="I166" s="8">
        <f t="shared" si="50"/>
        <v>0</v>
      </c>
      <c r="J166" s="6">
        <f t="shared" si="50"/>
        <v>0</v>
      </c>
      <c r="K166" s="6">
        <f t="shared" si="50"/>
        <v>0</v>
      </c>
      <c r="L166" s="6">
        <f t="shared" si="50"/>
        <v>0</v>
      </c>
      <c r="M166" s="13">
        <f t="shared" si="50"/>
        <v>0</v>
      </c>
      <c r="N166" s="8">
        <f t="shared" si="50"/>
        <v>0</v>
      </c>
      <c r="O166" s="6">
        <f t="shared" si="50"/>
        <v>0</v>
      </c>
      <c r="P166" s="6">
        <f t="shared" si="50"/>
        <v>0</v>
      </c>
      <c r="Q166" s="6">
        <f t="shared" si="50"/>
        <v>0</v>
      </c>
      <c r="R166" s="13">
        <f t="shared" si="50"/>
        <v>0</v>
      </c>
      <c r="S166" s="8">
        <f t="shared" si="50"/>
        <v>0</v>
      </c>
      <c r="T166" s="6">
        <f t="shared" si="50"/>
        <v>0</v>
      </c>
      <c r="U166" s="6">
        <f t="shared" si="50"/>
        <v>0</v>
      </c>
      <c r="V166" s="6">
        <f t="shared" si="50"/>
        <v>0</v>
      </c>
      <c r="W166" s="13">
        <f t="shared" si="50"/>
        <v>0</v>
      </c>
      <c r="X166" s="8">
        <f t="shared" si="50"/>
        <v>0</v>
      </c>
      <c r="Y166" s="6">
        <f t="shared" si="50"/>
        <v>0</v>
      </c>
      <c r="Z166" s="6">
        <f t="shared" si="50"/>
        <v>0</v>
      </c>
      <c r="AA166" s="6">
        <f t="shared" si="50"/>
        <v>0</v>
      </c>
      <c r="AB166" s="13">
        <f t="shared" si="50"/>
        <v>0</v>
      </c>
      <c r="AC166" s="8">
        <f t="shared" si="50"/>
        <v>0</v>
      </c>
      <c r="AD166" s="6">
        <f t="shared" si="50"/>
        <v>0</v>
      </c>
      <c r="AE166" s="6">
        <f t="shared" si="50"/>
        <v>0</v>
      </c>
      <c r="AF166" s="6">
        <f t="shared" si="50"/>
        <v>0</v>
      </c>
      <c r="AG166" s="13">
        <f t="shared" si="50"/>
        <v>0</v>
      </c>
      <c r="AH166" s="16">
        <f>SUM(D166:AG166)*A166</f>
        <v>10000</v>
      </c>
      <c r="AI166" s="16">
        <f t="shared" si="53"/>
        <v>10</v>
      </c>
    </row>
    <row r="167" spans="1:52" ht="13.7" customHeight="1" x14ac:dyDescent="0.25">
      <c r="A167" s="15">
        <v>1500</v>
      </c>
      <c r="B167" s="11">
        <f t="shared" si="51"/>
        <v>0</v>
      </c>
      <c r="C167" s="11">
        <f t="shared" si="51"/>
        <v>0</v>
      </c>
      <c r="D167" s="8">
        <f t="shared" si="52"/>
        <v>0</v>
      </c>
      <c r="E167" s="6">
        <f t="shared" si="50"/>
        <v>8</v>
      </c>
      <c r="F167" s="6">
        <f t="shared" si="50"/>
        <v>0</v>
      </c>
      <c r="G167" s="6">
        <f t="shared" si="50"/>
        <v>0</v>
      </c>
      <c r="H167" s="13">
        <f t="shared" si="50"/>
        <v>0</v>
      </c>
      <c r="I167" s="8">
        <f t="shared" si="50"/>
        <v>0</v>
      </c>
      <c r="J167" s="6">
        <f t="shared" si="50"/>
        <v>0</v>
      </c>
      <c r="K167" s="6">
        <f t="shared" si="50"/>
        <v>0</v>
      </c>
      <c r="L167" s="6">
        <f t="shared" si="50"/>
        <v>0</v>
      </c>
      <c r="M167" s="13">
        <f t="shared" si="50"/>
        <v>0</v>
      </c>
      <c r="N167" s="8">
        <f t="shared" si="50"/>
        <v>0</v>
      </c>
      <c r="O167" s="6">
        <f t="shared" si="50"/>
        <v>0</v>
      </c>
      <c r="P167" s="6">
        <f t="shared" si="50"/>
        <v>0</v>
      </c>
      <c r="Q167" s="6">
        <f t="shared" si="50"/>
        <v>0</v>
      </c>
      <c r="R167" s="13">
        <f t="shared" si="50"/>
        <v>0</v>
      </c>
      <c r="S167" s="8">
        <f t="shared" si="50"/>
        <v>0</v>
      </c>
      <c r="T167" s="6">
        <f t="shared" si="50"/>
        <v>0</v>
      </c>
      <c r="U167" s="6">
        <f t="shared" si="50"/>
        <v>0</v>
      </c>
      <c r="V167" s="6">
        <f t="shared" si="50"/>
        <v>0</v>
      </c>
      <c r="W167" s="13">
        <f t="shared" si="50"/>
        <v>0</v>
      </c>
      <c r="X167" s="8">
        <f t="shared" si="50"/>
        <v>0</v>
      </c>
      <c r="Y167" s="6">
        <f t="shared" si="50"/>
        <v>0</v>
      </c>
      <c r="Z167" s="6">
        <f t="shared" si="50"/>
        <v>0</v>
      </c>
      <c r="AA167" s="6">
        <f t="shared" si="50"/>
        <v>0</v>
      </c>
      <c r="AB167" s="13">
        <f t="shared" si="50"/>
        <v>0</v>
      </c>
      <c r="AC167" s="8">
        <f t="shared" si="50"/>
        <v>0</v>
      </c>
      <c r="AD167" s="6">
        <f t="shared" si="50"/>
        <v>0</v>
      </c>
      <c r="AE167" s="6">
        <f t="shared" si="50"/>
        <v>0</v>
      </c>
      <c r="AF167" s="6">
        <f t="shared" si="50"/>
        <v>0</v>
      </c>
      <c r="AG167" s="13">
        <f t="shared" si="50"/>
        <v>0</v>
      </c>
      <c r="AH167" s="16">
        <f>SUM(D167:AG167)*A167</f>
        <v>12000</v>
      </c>
      <c r="AI167" s="16">
        <f t="shared" si="53"/>
        <v>8</v>
      </c>
    </row>
    <row r="168" spans="1:52" ht="13.7" customHeight="1" x14ac:dyDescent="0.25">
      <c r="A168" s="15">
        <v>2000</v>
      </c>
      <c r="B168" s="11">
        <f t="shared" si="51"/>
        <v>0</v>
      </c>
      <c r="C168" s="11">
        <f t="shared" si="51"/>
        <v>0</v>
      </c>
      <c r="D168" s="8">
        <f t="shared" si="52"/>
        <v>0</v>
      </c>
      <c r="E168" s="6">
        <f t="shared" si="50"/>
        <v>0</v>
      </c>
      <c r="F168" s="6">
        <f t="shared" si="50"/>
        <v>0</v>
      </c>
      <c r="G168" s="6">
        <f t="shared" si="50"/>
        <v>0</v>
      </c>
      <c r="H168" s="13">
        <f t="shared" si="50"/>
        <v>0</v>
      </c>
      <c r="I168" s="8">
        <f t="shared" si="50"/>
        <v>0</v>
      </c>
      <c r="J168" s="6">
        <f t="shared" si="50"/>
        <v>0</v>
      </c>
      <c r="K168" s="6">
        <f t="shared" si="50"/>
        <v>0</v>
      </c>
      <c r="L168" s="6">
        <f t="shared" si="50"/>
        <v>0</v>
      </c>
      <c r="M168" s="13">
        <f t="shared" si="50"/>
        <v>0</v>
      </c>
      <c r="N168" s="8">
        <f t="shared" si="50"/>
        <v>0</v>
      </c>
      <c r="O168" s="6">
        <f t="shared" si="50"/>
        <v>0</v>
      </c>
      <c r="P168" s="6">
        <f t="shared" si="50"/>
        <v>0</v>
      </c>
      <c r="Q168" s="6">
        <f t="shared" si="50"/>
        <v>0</v>
      </c>
      <c r="R168" s="13">
        <f t="shared" si="50"/>
        <v>0</v>
      </c>
      <c r="S168" s="8">
        <f t="shared" si="50"/>
        <v>0</v>
      </c>
      <c r="T168" s="6">
        <f t="shared" si="50"/>
        <v>0</v>
      </c>
      <c r="U168" s="6">
        <f t="shared" si="50"/>
        <v>0</v>
      </c>
      <c r="V168" s="6">
        <f t="shared" si="50"/>
        <v>0</v>
      </c>
      <c r="W168" s="13">
        <f t="shared" si="50"/>
        <v>0</v>
      </c>
      <c r="X168" s="8">
        <f t="shared" si="50"/>
        <v>0</v>
      </c>
      <c r="Y168" s="6">
        <f t="shared" si="50"/>
        <v>0</v>
      </c>
      <c r="Z168" s="6">
        <f t="shared" si="50"/>
        <v>0</v>
      </c>
      <c r="AA168" s="6">
        <f t="shared" si="50"/>
        <v>0</v>
      </c>
      <c r="AB168" s="13">
        <f t="shared" si="50"/>
        <v>0</v>
      </c>
      <c r="AC168" s="8">
        <f t="shared" si="50"/>
        <v>0</v>
      </c>
      <c r="AD168" s="6">
        <f t="shared" si="50"/>
        <v>0</v>
      </c>
      <c r="AE168" s="6">
        <f t="shared" si="50"/>
        <v>0</v>
      </c>
      <c r="AF168" s="6">
        <f t="shared" si="50"/>
        <v>0</v>
      </c>
      <c r="AG168" s="13">
        <f t="shared" si="50"/>
        <v>0</v>
      </c>
      <c r="AH168" s="16">
        <f>SUM(D168:AG168)*A168</f>
        <v>0</v>
      </c>
      <c r="AI168" s="16">
        <f t="shared" si="53"/>
        <v>0</v>
      </c>
    </row>
    <row r="169" spans="1:52" ht="13.7" customHeight="1" x14ac:dyDescent="0.25">
      <c r="A169" s="15">
        <v>3000</v>
      </c>
      <c r="B169" s="11">
        <f t="shared" si="51"/>
        <v>0</v>
      </c>
      <c r="C169" s="11">
        <f t="shared" si="51"/>
        <v>0</v>
      </c>
      <c r="D169" s="8">
        <f t="shared" si="52"/>
        <v>0</v>
      </c>
      <c r="E169" s="6">
        <f t="shared" si="50"/>
        <v>0</v>
      </c>
      <c r="F169" s="6">
        <f t="shared" si="50"/>
        <v>0</v>
      </c>
      <c r="G169" s="6">
        <f t="shared" si="50"/>
        <v>0</v>
      </c>
      <c r="H169" s="13">
        <f t="shared" si="50"/>
        <v>0</v>
      </c>
      <c r="I169" s="8">
        <f t="shared" si="50"/>
        <v>0</v>
      </c>
      <c r="J169" s="6">
        <f t="shared" si="50"/>
        <v>0</v>
      </c>
      <c r="K169" s="6">
        <f t="shared" si="50"/>
        <v>0</v>
      </c>
      <c r="L169" s="6">
        <f t="shared" si="50"/>
        <v>0</v>
      </c>
      <c r="M169" s="13">
        <f t="shared" si="50"/>
        <v>0</v>
      </c>
      <c r="N169" s="8">
        <f t="shared" si="50"/>
        <v>0</v>
      </c>
      <c r="O169" s="6">
        <f t="shared" si="50"/>
        <v>0</v>
      </c>
      <c r="P169" s="6">
        <f t="shared" si="50"/>
        <v>0</v>
      </c>
      <c r="Q169" s="6">
        <f t="shared" si="50"/>
        <v>0</v>
      </c>
      <c r="R169" s="13">
        <f t="shared" si="50"/>
        <v>0</v>
      </c>
      <c r="S169" s="8">
        <f t="shared" si="50"/>
        <v>0</v>
      </c>
      <c r="T169" s="6">
        <f t="shared" si="50"/>
        <v>0</v>
      </c>
      <c r="U169" s="6">
        <f t="shared" si="50"/>
        <v>0</v>
      </c>
      <c r="V169" s="6">
        <f t="shared" si="50"/>
        <v>0</v>
      </c>
      <c r="W169" s="13">
        <f t="shared" si="50"/>
        <v>0</v>
      </c>
      <c r="X169" s="8">
        <f t="shared" si="50"/>
        <v>0</v>
      </c>
      <c r="Y169" s="6">
        <f t="shared" si="50"/>
        <v>0</v>
      </c>
      <c r="Z169" s="6">
        <f t="shared" si="50"/>
        <v>0</v>
      </c>
      <c r="AA169" s="6">
        <f t="shared" si="50"/>
        <v>0</v>
      </c>
      <c r="AB169" s="13">
        <f t="shared" si="50"/>
        <v>0</v>
      </c>
      <c r="AC169" s="8">
        <f t="shared" si="50"/>
        <v>0</v>
      </c>
      <c r="AD169" s="6">
        <f t="shared" si="50"/>
        <v>0</v>
      </c>
      <c r="AE169" s="6">
        <f t="shared" si="50"/>
        <v>0</v>
      </c>
      <c r="AF169" s="6">
        <f t="shared" si="50"/>
        <v>0</v>
      </c>
      <c r="AG169" s="13">
        <f t="shared" si="50"/>
        <v>0</v>
      </c>
      <c r="AH169" s="16">
        <f>SUM(D169:AG169)*A169</f>
        <v>0</v>
      </c>
      <c r="AI169" s="16">
        <f t="shared" si="53"/>
        <v>0</v>
      </c>
    </row>
    <row r="170" spans="1:52" ht="13.7" customHeight="1" x14ac:dyDescent="0.25">
      <c r="A170" s="15">
        <v>5000</v>
      </c>
      <c r="B170" s="11">
        <f t="shared" si="51"/>
        <v>0</v>
      </c>
      <c r="C170" s="11">
        <f t="shared" si="51"/>
        <v>0</v>
      </c>
      <c r="D170" s="8">
        <f t="shared" si="52"/>
        <v>0</v>
      </c>
      <c r="E170" s="6">
        <f t="shared" si="50"/>
        <v>0</v>
      </c>
      <c r="F170" s="6">
        <f t="shared" si="50"/>
        <v>0</v>
      </c>
      <c r="G170" s="6">
        <f t="shared" si="50"/>
        <v>0</v>
      </c>
      <c r="H170" s="13">
        <f t="shared" si="50"/>
        <v>0</v>
      </c>
      <c r="I170" s="8">
        <f t="shared" si="50"/>
        <v>0</v>
      </c>
      <c r="J170" s="6">
        <f t="shared" si="50"/>
        <v>0</v>
      </c>
      <c r="K170" s="6">
        <f t="shared" si="50"/>
        <v>0</v>
      </c>
      <c r="L170" s="6">
        <f t="shared" si="50"/>
        <v>0</v>
      </c>
      <c r="M170" s="13">
        <f t="shared" si="50"/>
        <v>0</v>
      </c>
      <c r="N170" s="8">
        <f t="shared" si="50"/>
        <v>0</v>
      </c>
      <c r="O170" s="6">
        <f t="shared" si="50"/>
        <v>0</v>
      </c>
      <c r="P170" s="6">
        <f t="shared" si="50"/>
        <v>0</v>
      </c>
      <c r="Q170" s="6">
        <f t="shared" si="50"/>
        <v>0</v>
      </c>
      <c r="R170" s="13">
        <f t="shared" si="50"/>
        <v>0</v>
      </c>
      <c r="S170" s="8">
        <f t="shared" si="50"/>
        <v>0</v>
      </c>
      <c r="T170" s="6">
        <f t="shared" si="50"/>
        <v>0</v>
      </c>
      <c r="U170" s="6">
        <f t="shared" si="50"/>
        <v>0</v>
      </c>
      <c r="V170" s="6">
        <f t="shared" si="50"/>
        <v>0</v>
      </c>
      <c r="W170" s="13">
        <f t="shared" si="50"/>
        <v>0</v>
      </c>
      <c r="X170" s="8">
        <f t="shared" si="50"/>
        <v>0</v>
      </c>
      <c r="Y170" s="6">
        <f t="shared" si="50"/>
        <v>0</v>
      </c>
      <c r="Z170" s="6">
        <f t="shared" si="50"/>
        <v>0</v>
      </c>
      <c r="AA170" s="6">
        <f t="shared" si="50"/>
        <v>0</v>
      </c>
      <c r="AB170" s="13">
        <f t="shared" si="50"/>
        <v>0</v>
      </c>
      <c r="AC170" s="8">
        <f t="shared" si="50"/>
        <v>0</v>
      </c>
      <c r="AD170" s="6">
        <f t="shared" si="50"/>
        <v>0</v>
      </c>
      <c r="AE170" s="6">
        <f t="shared" si="50"/>
        <v>0</v>
      </c>
      <c r="AF170" s="6">
        <f t="shared" si="50"/>
        <v>0</v>
      </c>
      <c r="AG170" s="13">
        <f t="shared" si="50"/>
        <v>0</v>
      </c>
      <c r="AH170" s="16">
        <f>SUM(D170:AG170)*A170</f>
        <v>0</v>
      </c>
      <c r="AI170" s="16">
        <f t="shared" si="53"/>
        <v>0</v>
      </c>
    </row>
    <row r="171" spans="1:52" ht="15" customHeight="1" thickBot="1" x14ac:dyDescent="0.3">
      <c r="A171" s="59">
        <v>10000</v>
      </c>
      <c r="B171" s="11">
        <f t="shared" si="51"/>
        <v>0</v>
      </c>
      <c r="C171" s="11">
        <f t="shared" si="51"/>
        <v>0</v>
      </c>
      <c r="D171" s="31">
        <f t="shared" si="52"/>
        <v>0</v>
      </c>
      <c r="E171" s="32">
        <f t="shared" si="50"/>
        <v>0</v>
      </c>
      <c r="F171" s="32">
        <f t="shared" si="50"/>
        <v>0</v>
      </c>
      <c r="G171" s="32">
        <f t="shared" si="50"/>
        <v>0</v>
      </c>
      <c r="H171" s="33">
        <f t="shared" si="50"/>
        <v>0</v>
      </c>
      <c r="I171" s="31">
        <f t="shared" si="50"/>
        <v>0</v>
      </c>
      <c r="J171" s="32">
        <f t="shared" si="50"/>
        <v>0</v>
      </c>
      <c r="K171" s="32">
        <f t="shared" si="50"/>
        <v>0</v>
      </c>
      <c r="L171" s="32">
        <f t="shared" si="50"/>
        <v>0</v>
      </c>
      <c r="M171" s="33">
        <f t="shared" si="50"/>
        <v>0</v>
      </c>
      <c r="N171" s="31">
        <f t="shared" si="50"/>
        <v>0</v>
      </c>
      <c r="O171" s="32">
        <f t="shared" si="50"/>
        <v>0</v>
      </c>
      <c r="P171" s="32">
        <f t="shared" si="50"/>
        <v>0</v>
      </c>
      <c r="Q171" s="32">
        <f t="shared" si="50"/>
        <v>0</v>
      </c>
      <c r="R171" s="33">
        <f t="shared" si="50"/>
        <v>0</v>
      </c>
      <c r="S171" s="31">
        <f t="shared" si="50"/>
        <v>0</v>
      </c>
      <c r="T171" s="32">
        <f t="shared" si="50"/>
        <v>0</v>
      </c>
      <c r="U171" s="32">
        <f t="shared" si="50"/>
        <v>0</v>
      </c>
      <c r="V171" s="32">
        <f t="shared" si="50"/>
        <v>0</v>
      </c>
      <c r="W171" s="33">
        <f t="shared" si="50"/>
        <v>0</v>
      </c>
      <c r="X171" s="31">
        <f t="shared" si="50"/>
        <v>0</v>
      </c>
      <c r="Y171" s="32">
        <f t="shared" si="50"/>
        <v>0</v>
      </c>
      <c r="Z171" s="32">
        <f t="shared" si="50"/>
        <v>0</v>
      </c>
      <c r="AA171" s="32">
        <f t="shared" si="50"/>
        <v>0</v>
      </c>
      <c r="AB171" s="33">
        <f t="shared" ref="AB171:AG171" si="54">Z127+Z141</f>
        <v>0</v>
      </c>
      <c r="AC171" s="31">
        <f t="shared" si="54"/>
        <v>0</v>
      </c>
      <c r="AD171" s="32">
        <f t="shared" si="54"/>
        <v>0</v>
      </c>
      <c r="AE171" s="32">
        <f t="shared" si="54"/>
        <v>0</v>
      </c>
      <c r="AF171" s="32">
        <f t="shared" si="54"/>
        <v>0</v>
      </c>
      <c r="AG171" s="33">
        <f t="shared" si="54"/>
        <v>0</v>
      </c>
      <c r="AH171" s="16">
        <f>SUM(D171:AG171)*A171</f>
        <v>0</v>
      </c>
      <c r="AI171" s="43">
        <f t="shared" si="53"/>
        <v>0</v>
      </c>
    </row>
    <row r="172" spans="1:52" ht="15" customHeight="1" thickBot="1" x14ac:dyDescent="0.3">
      <c r="A172" s="35"/>
      <c r="B172" s="61">
        <f>SUM(B163:B171)</f>
        <v>0</v>
      </c>
      <c r="C172" s="61">
        <f t="shared" ref="C172" si="55">SUM(C163:C171)</f>
        <v>0</v>
      </c>
      <c r="D172" s="60">
        <f t="shared" ref="D172:AI172" si="56">SUM(D163:D171)</f>
        <v>0</v>
      </c>
      <c r="E172" s="61">
        <f t="shared" si="56"/>
        <v>48</v>
      </c>
      <c r="F172" s="61">
        <f t="shared" si="56"/>
        <v>0</v>
      </c>
      <c r="G172" s="61">
        <f t="shared" si="56"/>
        <v>0</v>
      </c>
      <c r="H172" s="62">
        <f t="shared" si="56"/>
        <v>0</v>
      </c>
      <c r="I172" s="60">
        <f t="shared" si="56"/>
        <v>0</v>
      </c>
      <c r="J172" s="61">
        <f t="shared" si="56"/>
        <v>0</v>
      </c>
      <c r="K172" s="61">
        <f t="shared" si="56"/>
        <v>0</v>
      </c>
      <c r="L172" s="61">
        <f t="shared" si="56"/>
        <v>0</v>
      </c>
      <c r="M172" s="62">
        <f t="shared" si="56"/>
        <v>0</v>
      </c>
      <c r="N172" s="60">
        <f t="shared" si="56"/>
        <v>0</v>
      </c>
      <c r="O172" s="61">
        <f t="shared" si="56"/>
        <v>0</v>
      </c>
      <c r="P172" s="61">
        <f t="shared" si="56"/>
        <v>0</v>
      </c>
      <c r="Q172" s="61">
        <f t="shared" si="56"/>
        <v>0</v>
      </c>
      <c r="R172" s="62">
        <f t="shared" si="56"/>
        <v>0</v>
      </c>
      <c r="S172" s="60">
        <f t="shared" si="56"/>
        <v>0</v>
      </c>
      <c r="T172" s="61">
        <f t="shared" si="56"/>
        <v>0</v>
      </c>
      <c r="U172" s="61">
        <f t="shared" si="56"/>
        <v>0</v>
      </c>
      <c r="V172" s="61">
        <f t="shared" si="56"/>
        <v>0</v>
      </c>
      <c r="W172" s="62">
        <f t="shared" si="56"/>
        <v>0</v>
      </c>
      <c r="X172" s="60">
        <f t="shared" si="56"/>
        <v>0</v>
      </c>
      <c r="Y172" s="61">
        <f t="shared" si="56"/>
        <v>0</v>
      </c>
      <c r="Z172" s="61">
        <f t="shared" si="56"/>
        <v>0</v>
      </c>
      <c r="AA172" s="61">
        <f t="shared" si="56"/>
        <v>0</v>
      </c>
      <c r="AB172" s="62">
        <f t="shared" si="56"/>
        <v>0</v>
      </c>
      <c r="AC172" s="60">
        <f t="shared" si="56"/>
        <v>0</v>
      </c>
      <c r="AD172" s="61">
        <f t="shared" si="56"/>
        <v>0</v>
      </c>
      <c r="AE172" s="61">
        <f t="shared" si="56"/>
        <v>0</v>
      </c>
      <c r="AF172" s="61">
        <f t="shared" si="56"/>
        <v>0</v>
      </c>
      <c r="AG172" s="62">
        <f t="shared" si="56"/>
        <v>0</v>
      </c>
      <c r="AH172" s="35">
        <f>SUM(AH163:AH171)</f>
        <v>39500</v>
      </c>
      <c r="AI172" s="35">
        <f t="shared" si="53"/>
        <v>48</v>
      </c>
    </row>
    <row r="173" spans="1:52" ht="15.75" customHeight="1" x14ac:dyDescent="0.25"/>
    <row r="174" spans="1:52" ht="15.75" customHeight="1" x14ac:dyDescent="0.25"/>
    <row r="175" spans="1:52" ht="15" customHeight="1" x14ac:dyDescent="0.25">
      <c r="AX175" s="44"/>
      <c r="AY175" s="44"/>
      <c r="AZ175" s="44"/>
    </row>
    <row r="176" spans="1:52" ht="15" customHeight="1" x14ac:dyDescent="0.25">
      <c r="AX176" s="44"/>
      <c r="AY176" s="44"/>
      <c r="AZ176" s="44"/>
    </row>
    <row r="177" spans="50:54" ht="15" customHeight="1" x14ac:dyDescent="0.25">
      <c r="AX177" s="44"/>
      <c r="AY177" s="44"/>
      <c r="AZ177" s="44"/>
    </row>
    <row r="178" spans="50:54" ht="15" customHeight="1" x14ac:dyDescent="0.25">
      <c r="AX178" s="44"/>
      <c r="AY178" s="44"/>
      <c r="AZ178" s="44"/>
    </row>
    <row r="179" spans="50:54" ht="15" customHeight="1" x14ac:dyDescent="0.25">
      <c r="AX179" s="44"/>
      <c r="AY179" s="44"/>
      <c r="AZ179" s="44"/>
    </row>
    <row r="180" spans="50:54" ht="15" customHeight="1" x14ac:dyDescent="0.25">
      <c r="AX180" s="44"/>
      <c r="AY180" s="44"/>
      <c r="AZ180" s="44"/>
    </row>
    <row r="181" spans="50:54" ht="15" customHeight="1" x14ac:dyDescent="0.25">
      <c r="AX181" s="44"/>
    </row>
    <row r="182" spans="50:54" ht="15" customHeight="1" x14ac:dyDescent="0.25">
      <c r="AX182" s="44"/>
    </row>
    <row r="183" spans="50:54" ht="15" customHeight="1" x14ac:dyDescent="0.25">
      <c r="AX183" s="44"/>
    </row>
    <row r="184" spans="50:54" ht="15.75" customHeight="1" x14ac:dyDescent="0.25"/>
    <row r="186" spans="50:54" x14ac:dyDescent="0.25">
      <c r="BB186" s="44"/>
    </row>
    <row r="187" spans="50:54" ht="15" customHeight="1" x14ac:dyDescent="0.25"/>
    <row r="188" spans="50:54" ht="15" customHeight="1" x14ac:dyDescent="0.25"/>
    <row r="189" spans="50:54" ht="15" customHeight="1" x14ac:dyDescent="0.25"/>
  </sheetData>
  <mergeCells count="134">
    <mergeCell ref="AH158:AJ158"/>
    <mergeCell ref="AK158:AM158"/>
    <mergeCell ref="AN158:AO158"/>
    <mergeCell ref="AP158:AR158"/>
    <mergeCell ref="AS158:AT158"/>
    <mergeCell ref="AU158:AW158"/>
    <mergeCell ref="A161:A162"/>
    <mergeCell ref="B161:C161"/>
    <mergeCell ref="D161:H161"/>
    <mergeCell ref="I161:M161"/>
    <mergeCell ref="N161:R161"/>
    <mergeCell ref="S161:W161"/>
    <mergeCell ref="X161:AB161"/>
    <mergeCell ref="AC161:AG161"/>
    <mergeCell ref="AH161:AH162"/>
    <mergeCell ref="AI161:AI162"/>
    <mergeCell ref="AW151:AX151"/>
    <mergeCell ref="BA151:BB151"/>
    <mergeCell ref="BC151:BD151"/>
    <mergeCell ref="BG151:BH151"/>
    <mergeCell ref="BI151:BJ151"/>
    <mergeCell ref="AI152:AJ152"/>
    <mergeCell ref="AK152:AL152"/>
    <mergeCell ref="AO152:AP152"/>
    <mergeCell ref="AQ152:AR152"/>
    <mergeCell ref="AU152:AV152"/>
    <mergeCell ref="AW152:AX152"/>
    <mergeCell ref="BA152:BB152"/>
    <mergeCell ref="BC152:BD152"/>
    <mergeCell ref="BG152:BH152"/>
    <mergeCell ref="BI152:BJ152"/>
    <mergeCell ref="AA148:AC148"/>
    <mergeCell ref="AD148:AF148"/>
    <mergeCell ref="AA149:AC149"/>
    <mergeCell ref="AD149:AF149"/>
    <mergeCell ref="AI151:AJ151"/>
    <mergeCell ref="AK151:AL151"/>
    <mergeCell ref="AO151:AP151"/>
    <mergeCell ref="AQ151:AR151"/>
    <mergeCell ref="AU151:AV151"/>
    <mergeCell ref="AN139:AR139"/>
    <mergeCell ref="AT139:AX139"/>
    <mergeCell ref="AZ139:BD139"/>
    <mergeCell ref="BF139:BJ139"/>
    <mergeCell ref="A144:B144"/>
    <mergeCell ref="G144:H144"/>
    <mergeCell ref="J144:K147"/>
    <mergeCell ref="M144:N147"/>
    <mergeCell ref="P144:Q147"/>
    <mergeCell ref="S144:S145"/>
    <mergeCell ref="V144:V145"/>
    <mergeCell ref="W144:W145"/>
    <mergeCell ref="AA147:AC147"/>
    <mergeCell ref="AD147:AF147"/>
    <mergeCell ref="AN137:AO137"/>
    <mergeCell ref="AP137:AR137"/>
    <mergeCell ref="AT137:AU137"/>
    <mergeCell ref="AV137:AX137"/>
    <mergeCell ref="AZ137:BA137"/>
    <mergeCell ref="BB137:BD137"/>
    <mergeCell ref="BF137:BG137"/>
    <mergeCell ref="BH137:BJ137"/>
    <mergeCell ref="AH138:AL138"/>
    <mergeCell ref="AN138:AR138"/>
    <mergeCell ref="AT138:AX138"/>
    <mergeCell ref="AZ138:BD138"/>
    <mergeCell ref="BF138:BJ138"/>
    <mergeCell ref="AK131:AL131"/>
    <mergeCell ref="AO131:AP131"/>
    <mergeCell ref="AQ131:AR131"/>
    <mergeCell ref="AU131:AV131"/>
    <mergeCell ref="AW131:AX131"/>
    <mergeCell ref="BA131:BB131"/>
    <mergeCell ref="BC131:BD131"/>
    <mergeCell ref="BG131:BH131"/>
    <mergeCell ref="BI131:BJ131"/>
    <mergeCell ref="AK130:AL130"/>
    <mergeCell ref="AO130:AP130"/>
    <mergeCell ref="AQ130:AR130"/>
    <mergeCell ref="AU130:AV130"/>
    <mergeCell ref="AW130:AX130"/>
    <mergeCell ref="BA130:BB130"/>
    <mergeCell ref="BC130:BD130"/>
    <mergeCell ref="BG130:BH130"/>
    <mergeCell ref="BI130:BJ130"/>
    <mergeCell ref="BH116:BJ116"/>
    <mergeCell ref="A117:A118"/>
    <mergeCell ref="B117:F117"/>
    <mergeCell ref="G117:K117"/>
    <mergeCell ref="L117:P117"/>
    <mergeCell ref="Q117:U117"/>
    <mergeCell ref="V117:Z117"/>
    <mergeCell ref="AA117:AE117"/>
    <mergeCell ref="AF117:AF118"/>
    <mergeCell ref="AG117:AG118"/>
    <mergeCell ref="AH117:AL117"/>
    <mergeCell ref="AN117:AR117"/>
    <mergeCell ref="AT117:AX117"/>
    <mergeCell ref="AZ117:BD117"/>
    <mergeCell ref="BF117:BJ117"/>
    <mergeCell ref="AH118:AL118"/>
    <mergeCell ref="AN118:AR118"/>
    <mergeCell ref="AT118:AX118"/>
    <mergeCell ref="AZ118:BD118"/>
    <mergeCell ref="BF118:BJ118"/>
    <mergeCell ref="AH116:AI116"/>
    <mergeCell ref="AJ116:AL116"/>
    <mergeCell ref="AN116:AO116"/>
    <mergeCell ref="AP116:AR116"/>
    <mergeCell ref="AT116:AU116"/>
    <mergeCell ref="AV116:AX116"/>
    <mergeCell ref="AZ116:BA116"/>
    <mergeCell ref="BB116:BD116"/>
    <mergeCell ref="BF116:BG116"/>
    <mergeCell ref="D144:E144"/>
    <mergeCell ref="T144:U144"/>
    <mergeCell ref="G131:K131"/>
    <mergeCell ref="A116:AG116"/>
    <mergeCell ref="A130:AG130"/>
    <mergeCell ref="A131:A132"/>
    <mergeCell ref="B131:F131"/>
    <mergeCell ref="L131:P131"/>
    <mergeCell ref="Q131:U131"/>
    <mergeCell ref="A114:C114"/>
    <mergeCell ref="D114:G114"/>
    <mergeCell ref="AI130:AJ130"/>
    <mergeCell ref="V131:Z131"/>
    <mergeCell ref="AA131:AE131"/>
    <mergeCell ref="AF131:AF132"/>
    <mergeCell ref="AG131:AG132"/>
    <mergeCell ref="AI131:AJ131"/>
    <mergeCell ref="AH137:AI137"/>
    <mergeCell ref="AJ137:AL137"/>
    <mergeCell ref="AH139:AL139"/>
  </mergeCells>
  <pageMargins left="0" right="0" top="0" bottom="0" header="0.31496062992125984" footer="0.31496062992125984"/>
  <pageSetup paperSize="9" scale="90" orientation="landscape" verticalDpi="300" r:id="rId1"/>
  <headerFooter>
    <oddFooter>&amp;LPRINTED ON &amp;D AT &amp;T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I108"/>
  <sheetViews>
    <sheetView showZeros="0" zoomScaleNormal="100" workbookViewId="0">
      <selection sqref="A1:D12"/>
    </sheetView>
  </sheetViews>
  <sheetFormatPr defaultColWidth="9.140625" defaultRowHeight="15" x14ac:dyDescent="0.25"/>
  <cols>
    <col min="1" max="1" width="6" style="28" bestFit="1" customWidth="1"/>
    <col min="2" max="2" width="18.28515625" style="28" customWidth="1"/>
    <col min="3" max="3" width="19.42578125" style="28" bestFit="1" customWidth="1"/>
    <col min="4" max="4" width="18.28515625" style="28" customWidth="1"/>
    <col min="5" max="5" width="11.28515625" style="28" customWidth="1"/>
    <col min="6" max="6" width="9.28515625" style="28" customWidth="1"/>
    <col min="7" max="7" width="12.140625" style="28" customWidth="1"/>
    <col min="8" max="8" width="7.140625" style="28" customWidth="1"/>
    <col min="9" max="10" width="9" style="28" customWidth="1"/>
    <col min="11" max="11" width="7" style="28" customWidth="1"/>
    <col min="12" max="12" width="13.5703125" style="28" customWidth="1"/>
    <col min="13" max="13" width="8.5703125" style="28" bestFit="1" customWidth="1"/>
    <col min="14" max="14" width="5" style="28" bestFit="1" customWidth="1"/>
    <col min="15" max="17" width="4.5703125" style="28" customWidth="1"/>
    <col min="18" max="18" width="4.85546875" style="28" bestFit="1" customWidth="1"/>
    <col min="19" max="19" width="5" style="28" bestFit="1" customWidth="1"/>
    <col min="20" max="22" width="4.5703125" style="28" customWidth="1"/>
    <col min="23" max="23" width="6.7109375" style="28" bestFit="1" customWidth="1"/>
    <col min="24" max="24" width="5" style="28" bestFit="1" customWidth="1"/>
    <col min="25" max="27" width="4.5703125" style="28" customWidth="1"/>
    <col min="28" max="28" width="6.42578125" style="28" bestFit="1" customWidth="1"/>
    <col min="29" max="29" width="5" style="28" bestFit="1" customWidth="1"/>
    <col min="30" max="32" width="4.5703125" style="28" customWidth="1"/>
    <col min="33" max="33" width="6.42578125" style="28" bestFit="1" customWidth="1"/>
    <col min="34" max="34" width="5" style="28" bestFit="1" customWidth="1"/>
    <col min="35" max="38" width="4.5703125" style="28" customWidth="1"/>
    <col min="39" max="39" width="5" style="28" bestFit="1" customWidth="1"/>
    <col min="40" max="43" width="4.5703125" style="28" customWidth="1"/>
    <col min="44" max="44" width="5" style="28" bestFit="1" customWidth="1"/>
    <col min="45" max="48" width="4.5703125" style="28" customWidth="1"/>
    <col min="49" max="49" width="5" style="28" bestFit="1" customWidth="1"/>
    <col min="50" max="53" width="4.5703125" style="28" customWidth="1"/>
    <col min="54" max="54" width="5" style="28" bestFit="1" customWidth="1"/>
    <col min="55" max="58" width="4.5703125" style="28" customWidth="1"/>
    <col min="59" max="59" width="6.5703125" style="28" bestFit="1" customWidth="1"/>
    <col min="60" max="60" width="44.7109375" style="28" bestFit="1" customWidth="1"/>
    <col min="61" max="16384" width="9.140625" style="28"/>
  </cols>
  <sheetData>
    <row r="1" spans="1:12" x14ac:dyDescent="0.25">
      <c r="A1" s="177" t="s">
        <v>114</v>
      </c>
      <c r="B1" s="178"/>
      <c r="C1" s="67" t="s">
        <v>101</v>
      </c>
      <c r="D1" s="71">
        <v>46006</v>
      </c>
      <c r="F1" s="177" t="s">
        <v>98</v>
      </c>
      <c r="G1" s="178"/>
      <c r="H1" s="178"/>
      <c r="I1" s="178"/>
      <c r="J1" s="178"/>
      <c r="K1" s="178"/>
      <c r="L1" s="182"/>
    </row>
    <row r="2" spans="1:12" ht="16.5" customHeight="1" x14ac:dyDescent="0.25">
      <c r="A2" s="6" t="s">
        <v>97</v>
      </c>
      <c r="B2" s="6" t="s">
        <v>94</v>
      </c>
      <c r="C2" s="11" t="s">
        <v>93</v>
      </c>
      <c r="D2" s="11" t="s">
        <v>95</v>
      </c>
      <c r="F2" s="179" t="s">
        <v>94</v>
      </c>
      <c r="G2" s="179"/>
      <c r="H2" s="179" t="s">
        <v>119</v>
      </c>
      <c r="I2" s="179"/>
      <c r="J2" s="179"/>
      <c r="K2" s="184" t="s">
        <v>101</v>
      </c>
      <c r="L2" s="186">
        <v>46002</v>
      </c>
    </row>
    <row r="3" spans="1:12" ht="30" customHeight="1" x14ac:dyDescent="0.25">
      <c r="A3" s="4">
        <v>1</v>
      </c>
      <c r="B3" s="4" t="s">
        <v>125</v>
      </c>
      <c r="C3" s="74" t="s">
        <v>126</v>
      </c>
      <c r="D3" s="68">
        <v>2500</v>
      </c>
      <c r="F3" s="179" t="s">
        <v>93</v>
      </c>
      <c r="G3" s="179"/>
      <c r="H3" s="183" t="s">
        <v>120</v>
      </c>
      <c r="I3" s="179"/>
      <c r="J3" s="179"/>
      <c r="K3" s="185"/>
      <c r="L3" s="187"/>
    </row>
    <row r="4" spans="1:12" x14ac:dyDescent="0.25">
      <c r="A4" s="4">
        <v>2</v>
      </c>
      <c r="B4" s="4"/>
      <c r="C4" s="70"/>
      <c r="D4" s="70"/>
      <c r="F4" s="6" t="s">
        <v>100</v>
      </c>
      <c r="G4" s="6" t="s">
        <v>27</v>
      </c>
      <c r="H4" s="6" t="s">
        <v>103</v>
      </c>
      <c r="I4" s="6" t="s">
        <v>104</v>
      </c>
      <c r="J4" s="6" t="s">
        <v>102</v>
      </c>
      <c r="K4" s="6" t="s">
        <v>87</v>
      </c>
      <c r="L4" s="6" t="s">
        <v>99</v>
      </c>
    </row>
    <row r="5" spans="1:12" ht="18.75" customHeight="1" x14ac:dyDescent="0.25">
      <c r="A5" s="4">
        <v>3</v>
      </c>
      <c r="B5" s="4"/>
      <c r="C5" s="70"/>
      <c r="D5" s="68"/>
      <c r="F5" s="4">
        <v>1</v>
      </c>
      <c r="G5" s="66">
        <v>1000</v>
      </c>
      <c r="H5" s="4" t="s">
        <v>22</v>
      </c>
      <c r="I5" s="4" t="s">
        <v>17</v>
      </c>
      <c r="J5" s="4">
        <v>1</v>
      </c>
      <c r="K5" s="69">
        <v>4.0999999999999996</v>
      </c>
      <c r="L5" s="70">
        <f>J5*K5*G5</f>
        <v>4100</v>
      </c>
    </row>
    <row r="6" spans="1:12" ht="16.5" customHeight="1" x14ac:dyDescent="0.25">
      <c r="A6" s="4">
        <v>4</v>
      </c>
      <c r="B6" s="4"/>
      <c r="C6" s="4"/>
      <c r="D6" s="68"/>
      <c r="F6" s="4">
        <v>2</v>
      </c>
      <c r="G6" s="66"/>
      <c r="H6" s="4"/>
      <c r="I6" s="4"/>
      <c r="J6" s="4"/>
      <c r="K6" s="69"/>
      <c r="L6" s="70"/>
    </row>
    <row r="7" spans="1:12" x14ac:dyDescent="0.25">
      <c r="A7" s="4">
        <v>5</v>
      </c>
      <c r="B7" s="4"/>
      <c r="C7" s="74"/>
      <c r="D7" s="68"/>
      <c r="F7" s="4">
        <v>3</v>
      </c>
      <c r="G7" s="66"/>
      <c r="H7" s="4"/>
      <c r="I7" s="4"/>
      <c r="J7" s="4"/>
      <c r="K7" s="69"/>
      <c r="L7" s="70"/>
    </row>
    <row r="8" spans="1:12" ht="15.75" customHeight="1" x14ac:dyDescent="0.25">
      <c r="A8" s="4">
        <v>6</v>
      </c>
      <c r="B8" s="4"/>
      <c r="C8" s="4"/>
      <c r="D8" s="70"/>
      <c r="F8" s="29"/>
      <c r="G8" s="66"/>
      <c r="H8" s="29"/>
      <c r="I8" s="29"/>
      <c r="J8" s="29"/>
      <c r="K8" s="29"/>
      <c r="L8" s="70">
        <f t="shared" ref="L8:L13" si="0">J8*K8*G8</f>
        <v>0</v>
      </c>
    </row>
    <row r="9" spans="1:12" x14ac:dyDescent="0.25">
      <c r="A9" s="4">
        <v>7</v>
      </c>
      <c r="B9" s="4"/>
      <c r="C9" s="4"/>
      <c r="D9" s="68"/>
      <c r="F9" s="29"/>
      <c r="G9" s="66"/>
      <c r="H9" s="29"/>
      <c r="I9" s="29"/>
      <c r="J9" s="29"/>
      <c r="K9" s="29"/>
      <c r="L9" s="70">
        <f t="shared" si="0"/>
        <v>0</v>
      </c>
    </row>
    <row r="10" spans="1:12" x14ac:dyDescent="0.25">
      <c r="A10" s="4">
        <v>8</v>
      </c>
      <c r="B10" s="4"/>
      <c r="C10" s="4"/>
      <c r="D10" s="68"/>
      <c r="F10" s="29"/>
      <c r="G10" s="66"/>
      <c r="H10" s="29"/>
      <c r="I10" s="29"/>
      <c r="J10" s="29"/>
      <c r="K10" s="29"/>
      <c r="L10" s="70"/>
    </row>
    <row r="11" spans="1:12" x14ac:dyDescent="0.25">
      <c r="A11" s="4">
        <v>9</v>
      </c>
      <c r="B11" s="4"/>
      <c r="C11" s="4"/>
      <c r="D11" s="68"/>
      <c r="F11" s="29"/>
      <c r="G11" s="66"/>
      <c r="H11" s="29"/>
      <c r="I11" s="29"/>
      <c r="J11" s="29"/>
      <c r="K11" s="29"/>
      <c r="L11" s="70"/>
    </row>
    <row r="12" spans="1:12" ht="15.75" customHeight="1" x14ac:dyDescent="0.25">
      <c r="A12" s="4"/>
      <c r="B12" s="4"/>
      <c r="C12" s="4" t="s">
        <v>24</v>
      </c>
      <c r="D12" s="76">
        <f>SUM(D3:D11)</f>
        <v>2500</v>
      </c>
      <c r="F12" s="29"/>
      <c r="G12" s="66"/>
      <c r="H12" s="29"/>
      <c r="I12" s="29"/>
      <c r="J12" s="29"/>
      <c r="K12" s="29"/>
      <c r="L12" s="70">
        <f t="shared" si="0"/>
        <v>0</v>
      </c>
    </row>
    <row r="13" spans="1:12" x14ac:dyDescent="0.25">
      <c r="F13" s="29"/>
      <c r="G13" s="66"/>
      <c r="H13" s="29"/>
      <c r="I13" s="29"/>
      <c r="J13" s="29"/>
      <c r="K13" s="29"/>
      <c r="L13" s="70">
        <f t="shared" si="0"/>
        <v>0</v>
      </c>
    </row>
    <row r="14" spans="1:12" x14ac:dyDescent="0.25">
      <c r="F14" s="29"/>
      <c r="G14" s="66"/>
      <c r="H14" s="29"/>
      <c r="I14" s="29"/>
      <c r="J14" s="180" t="s">
        <v>24</v>
      </c>
      <c r="K14" s="181"/>
      <c r="L14" s="68">
        <f>SUM(L5:L13)</f>
        <v>4100</v>
      </c>
    </row>
    <row r="15" spans="1:12" ht="16.5" customHeight="1" x14ac:dyDescent="0.25"/>
    <row r="16" spans="1:12" x14ac:dyDescent="0.25">
      <c r="D16" s="28" t="s">
        <v>81</v>
      </c>
    </row>
    <row r="17" spans="61:61" ht="16.5" customHeight="1" x14ac:dyDescent="0.25"/>
    <row r="18" spans="61:61" ht="15.75" customHeight="1" x14ac:dyDescent="0.25"/>
    <row r="22" spans="61:61" ht="16.5" customHeight="1" x14ac:dyDescent="0.25"/>
    <row r="23" spans="61:61" x14ac:dyDescent="0.25">
      <c r="BI23" s="28">
        <f t="shared" ref="BI23:BI35" si="1">I12*J12+N23*O23+S23*T23+X23*Y23+AC23*AD23+AH23*AI23+AM23*AN23+AR23*AS23+AW23*AX23+BB23*BC23</f>
        <v>0</v>
      </c>
    </row>
    <row r="24" spans="61:61" x14ac:dyDescent="0.25">
      <c r="BI24" s="28">
        <f t="shared" si="1"/>
        <v>0</v>
      </c>
    </row>
    <row r="25" spans="61:61" ht="15.75" customHeight="1" x14ac:dyDescent="0.25">
      <c r="BI25" s="28" t="e">
        <f t="shared" si="1"/>
        <v>#VALUE!</v>
      </c>
    </row>
    <row r="26" spans="61:61" ht="16.5" customHeight="1" x14ac:dyDescent="0.25">
      <c r="BI26" s="28">
        <f t="shared" si="1"/>
        <v>0</v>
      </c>
    </row>
    <row r="27" spans="61:61" x14ac:dyDescent="0.25">
      <c r="BI27" s="28">
        <f t="shared" si="1"/>
        <v>0</v>
      </c>
    </row>
    <row r="28" spans="61:61" x14ac:dyDescent="0.25">
      <c r="BI28" s="28">
        <f t="shared" si="1"/>
        <v>0</v>
      </c>
    </row>
    <row r="29" spans="61:61" x14ac:dyDescent="0.25">
      <c r="BI29" s="28">
        <f t="shared" si="1"/>
        <v>0</v>
      </c>
    </row>
    <row r="30" spans="61:61" x14ac:dyDescent="0.25">
      <c r="BI30" s="28">
        <f t="shared" si="1"/>
        <v>0</v>
      </c>
    </row>
    <row r="31" spans="61:61" ht="16.5" customHeight="1" x14ac:dyDescent="0.25">
      <c r="BI31" s="28">
        <f t="shared" si="1"/>
        <v>0</v>
      </c>
    </row>
    <row r="32" spans="61:61" ht="16.5" customHeight="1" x14ac:dyDescent="0.25">
      <c r="BI32" s="28">
        <f t="shared" si="1"/>
        <v>0</v>
      </c>
    </row>
    <row r="33" spans="61:61" x14ac:dyDescent="0.25">
      <c r="BI33" s="28">
        <f t="shared" si="1"/>
        <v>0</v>
      </c>
    </row>
    <row r="34" spans="61:61" ht="16.5" customHeight="1" x14ac:dyDescent="0.25">
      <c r="BI34" s="28">
        <f t="shared" si="1"/>
        <v>0</v>
      </c>
    </row>
    <row r="35" spans="61:61" ht="16.5" customHeight="1" x14ac:dyDescent="0.25">
      <c r="BI35" s="28">
        <f t="shared" si="1"/>
        <v>0</v>
      </c>
    </row>
    <row r="37" spans="61:61" ht="16.5" customHeight="1" x14ac:dyDescent="0.25"/>
    <row r="38" spans="61:61" x14ac:dyDescent="0.25">
      <c r="BI38" s="28">
        <f>I27*J27+N38*O38+S38*T38+X38*Y38+AC38*AD38+AH38*AI38+AM38*AN38+AR38*AS38+AW38*AX38+BB38*BC38</f>
        <v>0</v>
      </c>
    </row>
    <row r="39" spans="61:61" ht="16.5" customHeight="1" x14ac:dyDescent="0.25">
      <c r="BI39" s="28">
        <f>I28*J28+N39*O39+S39*T39+X39*Y39+AC39*AD39+AH39*AI39+AM39*AN39+AR39*AS39+AW39*AX39+BB39*BC39</f>
        <v>0</v>
      </c>
    </row>
    <row r="40" spans="61:61" x14ac:dyDescent="0.25">
      <c r="BI40" s="28">
        <f>I29*J29+N40*O40+S40*T40+X40*Y40+AC40*AD40+AH40*AI40+AM40*AN40+AR40*AS40+AW40*AX40+BB40*BC40</f>
        <v>0</v>
      </c>
    </row>
    <row r="41" spans="61:61" x14ac:dyDescent="0.25">
      <c r="BI41" s="28">
        <f>I30*J30+N41*O41+S41*T41+X41*Y41+AC41*AD41+AH41*AI41+AM41*AN41+AR41*AS41+AW41*AX41+BB41*BC41</f>
        <v>0</v>
      </c>
    </row>
    <row r="42" spans="61:61" ht="16.5" customHeight="1" x14ac:dyDescent="0.25"/>
    <row r="43" spans="61:61" ht="15" customHeight="1" x14ac:dyDescent="0.25"/>
    <row r="45" spans="61:61" x14ac:dyDescent="0.25">
      <c r="BI45" s="28">
        <f t="shared" ref="BI45:BI76" si="2">I34*J34+N45*O45+S45*T45+X45*Y45+AC45*AD45+AH45*AI45+AM45*AN45+AR45*AS45+AW45*AX45+BB45*BC45</f>
        <v>0</v>
      </c>
    </row>
    <row r="46" spans="61:61" x14ac:dyDescent="0.25">
      <c r="BI46" s="28">
        <f t="shared" si="2"/>
        <v>0</v>
      </c>
    </row>
    <row r="47" spans="61:61" x14ac:dyDescent="0.25">
      <c r="BI47" s="28">
        <f t="shared" si="2"/>
        <v>0</v>
      </c>
    </row>
    <row r="48" spans="61:61" x14ac:dyDescent="0.25">
      <c r="BI48" s="28">
        <f t="shared" si="2"/>
        <v>0</v>
      </c>
    </row>
    <row r="49" spans="61:61" x14ac:dyDescent="0.25">
      <c r="BI49" s="28">
        <f t="shared" si="2"/>
        <v>0</v>
      </c>
    </row>
    <row r="50" spans="61:61" x14ac:dyDescent="0.25">
      <c r="BI50" s="28">
        <f t="shared" si="2"/>
        <v>0</v>
      </c>
    </row>
    <row r="51" spans="61:61" x14ac:dyDescent="0.25">
      <c r="BI51" s="28">
        <f t="shared" si="2"/>
        <v>0</v>
      </c>
    </row>
    <row r="52" spans="61:61" x14ac:dyDescent="0.25">
      <c r="BI52" s="28">
        <f t="shared" si="2"/>
        <v>0</v>
      </c>
    </row>
    <row r="53" spans="61:61" x14ac:dyDescent="0.25">
      <c r="BI53" s="28">
        <f t="shared" si="2"/>
        <v>0</v>
      </c>
    </row>
    <row r="54" spans="61:61" x14ac:dyDescent="0.25">
      <c r="BI54" s="28">
        <f t="shared" si="2"/>
        <v>0</v>
      </c>
    </row>
    <row r="55" spans="61:61" x14ac:dyDescent="0.25">
      <c r="BI55" s="28">
        <f t="shared" si="2"/>
        <v>0</v>
      </c>
    </row>
    <row r="56" spans="61:61" x14ac:dyDescent="0.25">
      <c r="BI56" s="28">
        <f t="shared" si="2"/>
        <v>0</v>
      </c>
    </row>
    <row r="57" spans="61:61" x14ac:dyDescent="0.25">
      <c r="BI57" s="28">
        <f t="shared" si="2"/>
        <v>0</v>
      </c>
    </row>
    <row r="58" spans="61:61" x14ac:dyDescent="0.25">
      <c r="BI58" s="28">
        <f t="shared" si="2"/>
        <v>0</v>
      </c>
    </row>
    <row r="59" spans="61:61" x14ac:dyDescent="0.25">
      <c r="BI59" s="28">
        <f t="shared" si="2"/>
        <v>0</v>
      </c>
    </row>
    <row r="60" spans="61:61" x14ac:dyDescent="0.25">
      <c r="BI60" s="28">
        <f t="shared" si="2"/>
        <v>0</v>
      </c>
    </row>
    <row r="61" spans="61:61" x14ac:dyDescent="0.25">
      <c r="BI61" s="28">
        <f t="shared" si="2"/>
        <v>0</v>
      </c>
    </row>
    <row r="62" spans="61:61" x14ac:dyDescent="0.25">
      <c r="BI62" s="28">
        <f t="shared" si="2"/>
        <v>0</v>
      </c>
    </row>
    <row r="63" spans="61:61" x14ac:dyDescent="0.25">
      <c r="BI63" s="28">
        <f t="shared" si="2"/>
        <v>0</v>
      </c>
    </row>
    <row r="64" spans="61:61" x14ac:dyDescent="0.25">
      <c r="BI64" s="28">
        <f t="shared" si="2"/>
        <v>0</v>
      </c>
    </row>
    <row r="65" spans="61:61" x14ac:dyDescent="0.25">
      <c r="BI65" s="28">
        <f t="shared" si="2"/>
        <v>0</v>
      </c>
    </row>
    <row r="66" spans="61:61" x14ac:dyDescent="0.25">
      <c r="BI66" s="28">
        <f t="shared" si="2"/>
        <v>0</v>
      </c>
    </row>
    <row r="67" spans="61:61" x14ac:dyDescent="0.25">
      <c r="BI67" s="28">
        <f t="shared" si="2"/>
        <v>0</v>
      </c>
    </row>
    <row r="68" spans="61:61" x14ac:dyDescent="0.25">
      <c r="BI68" s="28">
        <f t="shared" si="2"/>
        <v>0</v>
      </c>
    </row>
    <row r="69" spans="61:61" x14ac:dyDescent="0.25">
      <c r="BI69" s="28">
        <f t="shared" si="2"/>
        <v>0</v>
      </c>
    </row>
    <row r="70" spans="61:61" x14ac:dyDescent="0.25">
      <c r="BI70" s="28">
        <f t="shared" si="2"/>
        <v>0</v>
      </c>
    </row>
    <row r="71" spans="61:61" x14ac:dyDescent="0.25">
      <c r="BI71" s="28">
        <f t="shared" si="2"/>
        <v>0</v>
      </c>
    </row>
    <row r="72" spans="61:61" x14ac:dyDescent="0.25">
      <c r="BI72" s="28">
        <f t="shared" si="2"/>
        <v>0</v>
      </c>
    </row>
    <row r="73" spans="61:61" x14ac:dyDescent="0.25">
      <c r="BI73" s="28">
        <f t="shared" si="2"/>
        <v>0</v>
      </c>
    </row>
    <row r="74" spans="61:61" x14ac:dyDescent="0.25">
      <c r="BI74" s="28">
        <f t="shared" si="2"/>
        <v>0</v>
      </c>
    </row>
    <row r="75" spans="61:61" x14ac:dyDescent="0.25">
      <c r="BI75" s="28">
        <f t="shared" si="2"/>
        <v>0</v>
      </c>
    </row>
    <row r="76" spans="61:61" x14ac:dyDescent="0.25">
      <c r="BI76" s="28">
        <f t="shared" si="2"/>
        <v>0</v>
      </c>
    </row>
    <row r="77" spans="61:61" x14ac:dyDescent="0.25">
      <c r="BI77" s="28">
        <f t="shared" ref="BI77:BI108" si="3">I66*J66+N77*O77+S77*T77+X77*Y77+AC77*AD77+AH77*AI77+AM77*AN77+AR77*AS77+AW77*AX77+BB77*BC77</f>
        <v>0</v>
      </c>
    </row>
    <row r="78" spans="61:61" x14ac:dyDescent="0.25">
      <c r="BI78" s="28">
        <f t="shared" si="3"/>
        <v>0</v>
      </c>
    </row>
    <row r="79" spans="61:61" x14ac:dyDescent="0.25">
      <c r="BI79" s="28">
        <f t="shared" si="3"/>
        <v>0</v>
      </c>
    </row>
    <row r="80" spans="61:61" x14ac:dyDescent="0.25">
      <c r="BI80" s="28">
        <f t="shared" si="3"/>
        <v>0</v>
      </c>
    </row>
    <row r="81" spans="61:61" x14ac:dyDescent="0.25">
      <c r="BI81" s="28">
        <f t="shared" si="3"/>
        <v>0</v>
      </c>
    </row>
    <row r="82" spans="61:61" x14ac:dyDescent="0.25">
      <c r="BI82" s="28">
        <f t="shared" si="3"/>
        <v>0</v>
      </c>
    </row>
    <row r="83" spans="61:61" x14ac:dyDescent="0.25">
      <c r="BI83" s="28">
        <f t="shared" si="3"/>
        <v>0</v>
      </c>
    </row>
    <row r="84" spans="61:61" x14ac:dyDescent="0.25">
      <c r="BI84" s="28">
        <f t="shared" si="3"/>
        <v>0</v>
      </c>
    </row>
    <row r="85" spans="61:61" x14ac:dyDescent="0.25">
      <c r="BI85" s="28">
        <f t="shared" si="3"/>
        <v>0</v>
      </c>
    </row>
    <row r="86" spans="61:61" x14ac:dyDescent="0.25">
      <c r="BI86" s="28">
        <f t="shared" si="3"/>
        <v>0</v>
      </c>
    </row>
    <row r="87" spans="61:61" x14ac:dyDescent="0.25">
      <c r="BI87" s="28">
        <f t="shared" si="3"/>
        <v>0</v>
      </c>
    </row>
    <row r="88" spans="61:61" x14ac:dyDescent="0.25">
      <c r="BI88" s="28">
        <f t="shared" si="3"/>
        <v>0</v>
      </c>
    </row>
    <row r="89" spans="61:61" x14ac:dyDescent="0.25">
      <c r="BI89" s="28">
        <f t="shared" si="3"/>
        <v>0</v>
      </c>
    </row>
    <row r="90" spans="61:61" x14ac:dyDescent="0.25">
      <c r="BI90" s="28">
        <f t="shared" si="3"/>
        <v>0</v>
      </c>
    </row>
    <row r="91" spans="61:61" x14ac:dyDescent="0.25">
      <c r="BI91" s="28">
        <f t="shared" si="3"/>
        <v>0</v>
      </c>
    </row>
    <row r="92" spans="61:61" x14ac:dyDescent="0.25">
      <c r="BI92" s="28">
        <f t="shared" si="3"/>
        <v>0</v>
      </c>
    </row>
    <row r="93" spans="61:61" x14ac:dyDescent="0.25">
      <c r="BI93" s="28">
        <f t="shared" si="3"/>
        <v>0</v>
      </c>
    </row>
    <row r="94" spans="61:61" x14ac:dyDescent="0.25">
      <c r="BI94" s="28">
        <f t="shared" si="3"/>
        <v>0</v>
      </c>
    </row>
    <row r="95" spans="61:61" x14ac:dyDescent="0.25">
      <c r="BI95" s="28">
        <f t="shared" si="3"/>
        <v>0</v>
      </c>
    </row>
    <row r="96" spans="61:61" x14ac:dyDescent="0.25">
      <c r="BI96" s="28">
        <f t="shared" si="3"/>
        <v>0</v>
      </c>
    </row>
    <row r="97" spans="61:61" x14ac:dyDescent="0.25">
      <c r="BI97" s="28">
        <f t="shared" si="3"/>
        <v>0</v>
      </c>
    </row>
    <row r="98" spans="61:61" x14ac:dyDescent="0.25">
      <c r="BI98" s="28">
        <f t="shared" si="3"/>
        <v>0</v>
      </c>
    </row>
    <row r="99" spans="61:61" x14ac:dyDescent="0.25">
      <c r="BI99" s="28">
        <f t="shared" si="3"/>
        <v>0</v>
      </c>
    </row>
    <row r="100" spans="61:61" x14ac:dyDescent="0.25">
      <c r="BI100" s="28">
        <f t="shared" si="3"/>
        <v>0</v>
      </c>
    </row>
    <row r="101" spans="61:61" x14ac:dyDescent="0.25">
      <c r="BI101" s="28">
        <f t="shared" si="3"/>
        <v>0</v>
      </c>
    </row>
    <row r="102" spans="61:61" x14ac:dyDescent="0.25">
      <c r="BI102" s="28">
        <f t="shared" si="3"/>
        <v>0</v>
      </c>
    </row>
    <row r="103" spans="61:61" x14ac:dyDescent="0.25">
      <c r="BI103" s="28">
        <f t="shared" si="3"/>
        <v>0</v>
      </c>
    </row>
    <row r="104" spans="61:61" x14ac:dyDescent="0.25">
      <c r="BI104" s="28">
        <f t="shared" si="3"/>
        <v>0</v>
      </c>
    </row>
    <row r="105" spans="61:61" x14ac:dyDescent="0.25">
      <c r="BI105" s="28">
        <f t="shared" si="3"/>
        <v>0</v>
      </c>
    </row>
    <row r="106" spans="61:61" x14ac:dyDescent="0.25">
      <c r="BI106" s="28">
        <f t="shared" si="3"/>
        <v>0</v>
      </c>
    </row>
    <row r="107" spans="61:61" x14ac:dyDescent="0.25">
      <c r="BI107" s="28">
        <f t="shared" si="3"/>
        <v>0</v>
      </c>
    </row>
    <row r="108" spans="61:61" x14ac:dyDescent="0.25">
      <c r="BI108" s="28">
        <f t="shared" si="3"/>
        <v>0</v>
      </c>
    </row>
  </sheetData>
  <mergeCells count="9">
    <mergeCell ref="A1:B1"/>
    <mergeCell ref="F2:G2"/>
    <mergeCell ref="J14:K14"/>
    <mergeCell ref="F3:G3"/>
    <mergeCell ref="F1:L1"/>
    <mergeCell ref="H2:J2"/>
    <mergeCell ref="H3:J3"/>
    <mergeCell ref="K2:K3"/>
    <mergeCell ref="L2:L3"/>
  </mergeCells>
  <pageMargins left="0" right="0" top="0" bottom="0" header="0" footer="0"/>
  <pageSetup paperSize="11" orientation="portrait" r:id="rId1"/>
  <headerFooter>
    <oddFooter>&amp;LPRINTED ON &amp;D AT &amp;T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C106"/>
  <sheetViews>
    <sheetView showZeros="0" zoomScaleNormal="100" workbookViewId="0">
      <selection activeCell="F23" sqref="F23"/>
    </sheetView>
  </sheetViews>
  <sheetFormatPr defaultColWidth="9.140625" defaultRowHeight="15" x14ac:dyDescent="0.25"/>
  <cols>
    <col min="1" max="1" width="6" style="28" bestFit="1" customWidth="1"/>
    <col min="2" max="2" width="18.28515625" style="28" customWidth="1"/>
    <col min="3" max="3" width="9" style="28" bestFit="1" customWidth="1"/>
    <col min="4" max="4" width="5" style="28" bestFit="1" customWidth="1"/>
    <col min="5" max="5" width="13.5703125" style="28" bestFit="1" customWidth="1"/>
    <col min="6" max="6" width="14.5703125" style="28" bestFit="1" customWidth="1"/>
    <col min="7" max="7" width="11.28515625" style="28" customWidth="1"/>
    <col min="8" max="8" width="5" style="28" bestFit="1" customWidth="1"/>
    <col min="9" max="11" width="4.5703125" style="28" customWidth="1"/>
    <col min="12" max="12" width="4.85546875" style="28" bestFit="1" customWidth="1"/>
    <col min="13" max="13" width="5" style="28" bestFit="1" customWidth="1"/>
    <col min="14" max="16" width="4.5703125" style="28" customWidth="1"/>
    <col min="17" max="17" width="6.7109375" style="28" bestFit="1" customWidth="1"/>
    <col min="18" max="18" width="5" style="28" bestFit="1" customWidth="1"/>
    <col min="19" max="21" width="4.5703125" style="28" customWidth="1"/>
    <col min="22" max="22" width="6.42578125" style="28" bestFit="1" customWidth="1"/>
    <col min="23" max="23" width="5" style="28" bestFit="1" customWidth="1"/>
    <col min="24" max="26" width="4.5703125" style="28" customWidth="1"/>
    <col min="27" max="27" width="6.42578125" style="28" bestFit="1" customWidth="1"/>
    <col min="28" max="28" width="5" style="28" bestFit="1" customWidth="1"/>
    <col min="29" max="32" width="4.5703125" style="28" customWidth="1"/>
    <col min="33" max="33" width="5" style="28" bestFit="1" customWidth="1"/>
    <col min="34" max="37" width="4.5703125" style="28" customWidth="1"/>
    <col min="38" max="38" width="5" style="28" bestFit="1" customWidth="1"/>
    <col min="39" max="42" width="4.5703125" style="28" customWidth="1"/>
    <col min="43" max="43" width="5" style="28" bestFit="1" customWidth="1"/>
    <col min="44" max="47" width="4.5703125" style="28" customWidth="1"/>
    <col min="48" max="48" width="5" style="28" bestFit="1" customWidth="1"/>
    <col min="49" max="52" width="4.5703125" style="28" customWidth="1"/>
    <col min="53" max="53" width="6.5703125" style="28" bestFit="1" customWidth="1"/>
    <col min="54" max="54" width="44.7109375" style="28" bestFit="1" customWidth="1"/>
    <col min="55" max="16384" width="9.140625" style="28"/>
  </cols>
  <sheetData>
    <row r="1" spans="1:6" x14ac:dyDescent="0.25">
      <c r="A1" s="177" t="s">
        <v>111</v>
      </c>
      <c r="B1" s="178"/>
      <c r="C1" s="177" t="s">
        <v>112</v>
      </c>
      <c r="D1" s="182"/>
      <c r="E1" s="67" t="s">
        <v>101</v>
      </c>
      <c r="F1" s="71">
        <v>45959</v>
      </c>
    </row>
    <row r="2" spans="1:6" ht="16.5" customHeight="1" x14ac:dyDescent="0.25">
      <c r="A2" s="6" t="s">
        <v>97</v>
      </c>
      <c r="B2" s="6" t="s">
        <v>110</v>
      </c>
      <c r="C2" s="11" t="s">
        <v>106</v>
      </c>
      <c r="D2" s="11" t="s">
        <v>102</v>
      </c>
      <c r="E2" s="11" t="s">
        <v>109</v>
      </c>
      <c r="F2" s="11" t="s">
        <v>95</v>
      </c>
    </row>
    <row r="3" spans="1:6" ht="30" customHeight="1" x14ac:dyDescent="0.25">
      <c r="A3" s="4">
        <v>1</v>
      </c>
      <c r="B3" s="4" t="s">
        <v>105</v>
      </c>
      <c r="C3" s="4" t="s">
        <v>107</v>
      </c>
      <c r="D3" s="4">
        <v>3000</v>
      </c>
      <c r="E3" s="4">
        <v>5</v>
      </c>
      <c r="F3" s="68">
        <f>D3*E3</f>
        <v>15000</v>
      </c>
    </row>
    <row r="4" spans="1:6" x14ac:dyDescent="0.25">
      <c r="A4" s="4">
        <v>2</v>
      </c>
      <c r="B4" s="4" t="s">
        <v>105</v>
      </c>
      <c r="C4" s="4" t="s">
        <v>108</v>
      </c>
      <c r="D4" s="4">
        <v>195</v>
      </c>
      <c r="E4" s="4">
        <v>5</v>
      </c>
      <c r="F4" s="68">
        <f>D4*E4</f>
        <v>975</v>
      </c>
    </row>
    <row r="5" spans="1:6" ht="18.75" customHeight="1" x14ac:dyDescent="0.25">
      <c r="A5" s="4"/>
      <c r="B5" s="4"/>
      <c r="C5" s="4"/>
      <c r="D5" s="4"/>
      <c r="E5" s="4"/>
      <c r="F5" s="68"/>
    </row>
    <row r="6" spans="1:6" ht="16.5" customHeight="1" x14ac:dyDescent="0.25">
      <c r="A6" s="4"/>
      <c r="B6" s="4"/>
      <c r="C6" s="4"/>
      <c r="D6" s="4"/>
      <c r="E6" s="4"/>
      <c r="F6" s="68"/>
    </row>
    <row r="7" spans="1:6" ht="17.45" customHeight="1" x14ac:dyDescent="0.25">
      <c r="A7" s="4"/>
      <c r="B7" s="4"/>
      <c r="C7" s="4"/>
      <c r="D7" s="4"/>
      <c r="E7" s="4"/>
      <c r="F7" s="68"/>
    </row>
    <row r="8" spans="1:6" ht="15.75" customHeight="1" x14ac:dyDescent="0.25">
      <c r="A8" s="4"/>
      <c r="B8" s="4"/>
      <c r="C8" s="4"/>
      <c r="D8" s="4"/>
      <c r="E8" s="4"/>
      <c r="F8" s="70"/>
    </row>
    <row r="9" spans="1:6" x14ac:dyDescent="0.25">
      <c r="A9" s="4"/>
      <c r="B9" s="4"/>
      <c r="C9" s="4"/>
      <c r="D9" s="4"/>
      <c r="E9" s="4"/>
      <c r="F9" s="68"/>
    </row>
    <row r="10" spans="1:6" ht="15.75" customHeight="1" x14ac:dyDescent="0.25">
      <c r="A10" s="29"/>
      <c r="B10" s="29"/>
      <c r="C10" s="29"/>
      <c r="D10" s="29"/>
      <c r="E10" s="29" t="s">
        <v>24</v>
      </c>
      <c r="F10" s="68">
        <f>SUM(F3:F9)</f>
        <v>15975</v>
      </c>
    </row>
    <row r="13" spans="1:6" ht="16.5" customHeight="1" x14ac:dyDescent="0.25"/>
    <row r="15" spans="1:6" ht="16.5" customHeight="1" x14ac:dyDescent="0.25"/>
    <row r="16" spans="1:6" ht="15.75" customHeight="1" x14ac:dyDescent="0.25"/>
    <row r="20" spans="55:55" ht="16.5" customHeight="1" x14ac:dyDescent="0.25"/>
    <row r="21" spans="55:55" x14ac:dyDescent="0.25">
      <c r="BC21" s="28" t="e">
        <f>#REF!*#REF!+H21*I21+M21*N21+R21*S21+W21*X21+AB21*AC21+AG21*AH21+AL21*AM21+AQ21*AR21+AV21*AW21</f>
        <v>#REF!</v>
      </c>
    </row>
    <row r="22" spans="55:55" x14ac:dyDescent="0.25">
      <c r="BC22" s="28" t="e">
        <f>#REF!*#REF!+H22*I22+M22*N22+R22*S22+W22*X22+AB22*AC22+AG22*AH22+AL22*AM22+AQ22*AR22+AV22*AW22</f>
        <v>#REF!</v>
      </c>
    </row>
    <row r="23" spans="55:55" ht="15.75" customHeight="1" x14ac:dyDescent="0.25">
      <c r="BC23" s="28" t="e">
        <f>#REF!*#REF!+H23*I23+M23*N23+R23*S23+W23*X23+AB23*AC23+AG23*AH23+AL23*AM23+AQ23*AR23+AV23*AW23</f>
        <v>#REF!</v>
      </c>
    </row>
    <row r="24" spans="55:55" ht="16.5" customHeight="1" x14ac:dyDescent="0.25">
      <c r="BC24" s="28" t="e">
        <f>#REF!*#REF!+H24*I24+M24*N24+R24*S24+W24*X24+AB24*AC24+AG24*AH24+AL24*AM24+AQ24*AR24+AV24*AW24</f>
        <v>#REF!</v>
      </c>
    </row>
    <row r="25" spans="55:55" x14ac:dyDescent="0.25">
      <c r="BC25" s="28" t="e">
        <f>#REF!*#REF!+H25*I25+M25*N25+R25*S25+W25*X25+AB25*AC25+AG25*AH25+AL25*AM25+AQ25*AR25+AV25*AW25</f>
        <v>#REF!</v>
      </c>
    </row>
    <row r="26" spans="55:55" x14ac:dyDescent="0.25">
      <c r="BC26" s="28" t="e">
        <f>#REF!*#REF!+H26*I26+M26*N26+R26*S26+W26*X26+AB26*AC26+AG26*AH26+AL26*AM26+AQ26*AR26+AV26*AW26</f>
        <v>#REF!</v>
      </c>
    </row>
    <row r="27" spans="55:55" x14ac:dyDescent="0.25">
      <c r="BC27" s="28" t="e">
        <f>#REF!*#REF!+H27*I27+M27*N27+R27*S27+W27*X27+AB27*AC27+AG27*AH27+AL27*AM27+AQ27*AR27+AV27*AW27</f>
        <v>#REF!</v>
      </c>
    </row>
    <row r="28" spans="55:55" x14ac:dyDescent="0.25">
      <c r="BC28" s="28" t="e">
        <f>#REF!*#REF!+H28*I28+M28*N28+R28*S28+W28*X28+AB28*AC28+AG28*AH28+AL28*AM28+AQ28*AR28+AV28*AW28</f>
        <v>#REF!</v>
      </c>
    </row>
    <row r="29" spans="55:55" ht="16.5" customHeight="1" x14ac:dyDescent="0.25">
      <c r="BC29" s="28" t="e">
        <f>#REF!*#REF!+H29*I29+M29*N29+R29*S29+W29*X29+AB29*AC29+AG29*AH29+AL29*AM29+AQ29*AR29+AV29*AW29</f>
        <v>#REF!</v>
      </c>
    </row>
    <row r="30" spans="55:55" ht="16.5" customHeight="1" x14ac:dyDescent="0.25">
      <c r="BC30" s="28" t="e">
        <f>#REF!*#REF!+H30*I30+M30*N30+R30*S30+W30*X30+AB30*AC30+AG30*AH30+AL30*AM30+AQ30*AR30+AV30*AW30</f>
        <v>#REF!</v>
      </c>
    </row>
    <row r="31" spans="55:55" x14ac:dyDescent="0.25">
      <c r="BC31" s="28" t="e">
        <f>#REF!*#REF!+H31*I31+M31*N31+R31*S31+W31*X31+AB31*AC31+AG31*AH31+AL31*AM31+AQ31*AR31+AV31*AW31</f>
        <v>#REF!</v>
      </c>
    </row>
    <row r="32" spans="55:55" ht="16.5" customHeight="1" x14ac:dyDescent="0.25">
      <c r="BC32" s="28" t="e">
        <f>#REF!*#REF!+H32*I32+M32*N32+R32*S32+W32*X32+AB32*AC32+AG32*AH32+AL32*AM32+AQ32*AR32+AV32*AW32</f>
        <v>#REF!</v>
      </c>
    </row>
    <row r="33" spans="55:55" ht="16.5" customHeight="1" x14ac:dyDescent="0.25">
      <c r="BC33" s="28" t="e">
        <f>#REF!*#REF!+H33*I33+M33*N33+R33*S33+W33*X33+AB33*AC33+AG33*AH33+AL33*AM33+AQ33*AR33+AV33*AW33</f>
        <v>#REF!</v>
      </c>
    </row>
    <row r="35" spans="55:55" ht="16.5" customHeight="1" x14ac:dyDescent="0.25"/>
    <row r="36" spans="55:55" x14ac:dyDescent="0.25">
      <c r="BC36" s="28" t="e">
        <f>#REF!*#REF!+H36*I36+M36*N36+R36*S36+W36*X36+AB36*AC36+AG36*AH36+AL36*AM36+AQ36*AR36+AV36*AW36</f>
        <v>#REF!</v>
      </c>
    </row>
    <row r="37" spans="55:55" ht="16.5" customHeight="1" x14ac:dyDescent="0.25">
      <c r="BC37" s="28" t="e">
        <f>#REF!*#REF!+H37*I37+M37*N37+R37*S37+W37*X37+AB37*AC37+AG37*AH37+AL37*AM37+AQ37*AR37+AV37*AW37</f>
        <v>#REF!</v>
      </c>
    </row>
    <row r="38" spans="55:55" x14ac:dyDescent="0.25">
      <c r="BC38" s="28" t="e">
        <f>#REF!*#REF!+H38*I38+M38*N38+R38*S38+W38*X38+AB38*AC38+AG38*AH38+AL38*AM38+AQ38*AR38+AV38*AW38</f>
        <v>#REF!</v>
      </c>
    </row>
    <row r="39" spans="55:55" x14ac:dyDescent="0.25">
      <c r="BC39" s="28" t="e">
        <f>#REF!*#REF!+H39*I39+M39*N39+R39*S39+W39*X39+AB39*AC39+AG39*AH39+AL39*AM39+AQ39*AR39+AV39*AW39</f>
        <v>#REF!</v>
      </c>
    </row>
    <row r="40" spans="55:55" ht="16.5" customHeight="1" x14ac:dyDescent="0.25"/>
    <row r="41" spans="55:55" ht="15" customHeight="1" x14ac:dyDescent="0.25"/>
    <row r="43" spans="55:55" x14ac:dyDescent="0.25">
      <c r="BC43" s="28" t="e">
        <f>#REF!*#REF!+H43*I43+M43*N43+R43*S43+W43*X43+AB43*AC43+AG43*AH43+AL43*AM43+AQ43*AR43+AV43*AW43</f>
        <v>#REF!</v>
      </c>
    </row>
    <row r="44" spans="55:55" x14ac:dyDescent="0.25">
      <c r="BC44" s="28" t="e">
        <f>#REF!*#REF!+H44*I44+M44*N44+R44*S44+W44*X44+AB44*AC44+AG44*AH44+AL44*AM44+AQ44*AR44+AV44*AW44</f>
        <v>#REF!</v>
      </c>
    </row>
    <row r="45" spans="55:55" x14ac:dyDescent="0.25">
      <c r="BC45" s="28" t="e">
        <f>#REF!*#REF!+H45*I45+M45*N45+R45*S45+W45*X45+AB45*AC45+AG45*AH45+AL45*AM45+AQ45*AR45+AV45*AW45</f>
        <v>#REF!</v>
      </c>
    </row>
    <row r="46" spans="55:55" x14ac:dyDescent="0.25">
      <c r="BC46" s="28" t="e">
        <f>#REF!*#REF!+H46*I46+M46*N46+R46*S46+W46*X46+AB46*AC46+AG46*AH46+AL46*AM46+AQ46*AR46+AV46*AW46</f>
        <v>#REF!</v>
      </c>
    </row>
    <row r="47" spans="55:55" x14ac:dyDescent="0.25">
      <c r="BC47" s="28" t="e">
        <f>#REF!*#REF!+H47*I47+M47*N47+R47*S47+W47*X47+AB47*AC47+AG47*AH47+AL47*AM47+AQ47*AR47+AV47*AW47</f>
        <v>#REF!</v>
      </c>
    </row>
    <row r="48" spans="55:55" x14ac:dyDescent="0.25">
      <c r="BC48" s="28" t="e">
        <f>#REF!*#REF!+H48*I48+M48*N48+R48*S48+W48*X48+AB48*AC48+AG48*AH48+AL48*AM48+AQ48*AR48+AV48*AW48</f>
        <v>#REF!</v>
      </c>
    </row>
    <row r="49" spans="55:55" x14ac:dyDescent="0.25">
      <c r="BC49" s="28" t="e">
        <f>#REF!*#REF!+H49*I49+M49*N49+R49*S49+W49*X49+AB49*AC49+AG49*AH49+AL49*AM49+AQ49*AR49+AV49*AW49</f>
        <v>#REF!</v>
      </c>
    </row>
    <row r="50" spans="55:55" x14ac:dyDescent="0.25">
      <c r="BC50" s="28" t="e">
        <f>#REF!*#REF!+H50*I50+M50*N50+R50*S50+W50*X50+AB50*AC50+AG50*AH50+AL50*AM50+AQ50*AR50+AV50*AW50</f>
        <v>#REF!</v>
      </c>
    </row>
    <row r="51" spans="55:55" x14ac:dyDescent="0.25">
      <c r="BC51" s="28" t="e">
        <f>#REF!*#REF!+H51*I51+M51*N51+R51*S51+W51*X51+AB51*AC51+AG51*AH51+AL51*AM51+AQ51*AR51+AV51*AW51</f>
        <v>#REF!</v>
      </c>
    </row>
    <row r="52" spans="55:55" x14ac:dyDescent="0.25">
      <c r="BC52" s="28" t="e">
        <f>#REF!*#REF!+H52*I52+M52*N52+R52*S52+W52*X52+AB52*AC52+AG52*AH52+AL52*AM52+AQ52*AR52+AV52*AW52</f>
        <v>#REF!</v>
      </c>
    </row>
    <row r="53" spans="55:55" x14ac:dyDescent="0.25">
      <c r="BC53" s="28" t="e">
        <f>#REF!*#REF!+H53*I53+M53*N53+R53*S53+W53*X53+AB53*AC53+AG53*AH53+AL53*AM53+AQ53*AR53+AV53*AW53</f>
        <v>#REF!</v>
      </c>
    </row>
    <row r="54" spans="55:55" x14ac:dyDescent="0.25">
      <c r="BC54" s="28" t="e">
        <f>#REF!*#REF!+H54*I54+M54*N54+R54*S54+W54*X54+AB54*AC54+AG54*AH54+AL54*AM54+AQ54*AR54+AV54*AW54</f>
        <v>#REF!</v>
      </c>
    </row>
    <row r="55" spans="55:55" x14ac:dyDescent="0.25">
      <c r="BC55" s="28" t="e">
        <f>#REF!*#REF!+H55*I55+M55*N55+R55*S55+W55*X55+AB55*AC55+AG55*AH55+AL55*AM55+AQ55*AR55+AV55*AW55</f>
        <v>#REF!</v>
      </c>
    </row>
    <row r="56" spans="55:55" x14ac:dyDescent="0.25">
      <c r="BC56" s="28" t="e">
        <f>#REF!*#REF!+H56*I56+M56*N56+R56*S56+W56*X56+AB56*AC56+AG56*AH56+AL56*AM56+AQ56*AR56+AV56*AW56</f>
        <v>#REF!</v>
      </c>
    </row>
    <row r="57" spans="55:55" x14ac:dyDescent="0.25">
      <c r="BC57" s="28" t="e">
        <f>#REF!*#REF!+H57*I57+M57*N57+R57*S57+W57*X57+AB57*AC57+AG57*AH57+AL57*AM57+AQ57*AR57+AV57*AW57</f>
        <v>#REF!</v>
      </c>
    </row>
    <row r="58" spans="55:55" x14ac:dyDescent="0.25">
      <c r="BC58" s="28" t="e">
        <f>#REF!*#REF!+H58*I58+M58*N58+R58*S58+W58*X58+AB58*AC58+AG58*AH58+AL58*AM58+AQ58*AR58+AV58*AW58</f>
        <v>#REF!</v>
      </c>
    </row>
    <row r="59" spans="55:55" x14ac:dyDescent="0.25">
      <c r="BC59" s="28" t="e">
        <f>#REF!*#REF!+H59*I59+M59*N59+R59*S59+W59*X59+AB59*AC59+AG59*AH59+AL59*AM59+AQ59*AR59+AV59*AW59</f>
        <v>#REF!</v>
      </c>
    </row>
    <row r="60" spans="55:55" x14ac:dyDescent="0.25">
      <c r="BC60" s="28" t="e">
        <f>#REF!*#REF!+H60*I60+M60*N60+R60*S60+W60*X60+AB60*AC60+AG60*AH60+AL60*AM60+AQ60*AR60+AV60*AW60</f>
        <v>#REF!</v>
      </c>
    </row>
    <row r="61" spans="55:55" x14ac:dyDescent="0.25">
      <c r="BC61" s="28" t="e">
        <f>#REF!*#REF!+H61*I61+M61*N61+R61*S61+W61*X61+AB61*AC61+AG61*AH61+AL61*AM61+AQ61*AR61+AV61*AW61</f>
        <v>#REF!</v>
      </c>
    </row>
    <row r="62" spans="55:55" x14ac:dyDescent="0.25">
      <c r="BC62" s="28" t="e">
        <f>#REF!*#REF!+H62*I62+M62*N62+R62*S62+W62*X62+AB62*AC62+AG62*AH62+AL62*AM62+AQ62*AR62+AV62*AW62</f>
        <v>#REF!</v>
      </c>
    </row>
    <row r="63" spans="55:55" x14ac:dyDescent="0.25">
      <c r="BC63" s="28" t="e">
        <f>#REF!*#REF!+H63*I63+M63*N63+R63*S63+W63*X63+AB63*AC63+AG63*AH63+AL63*AM63+AQ63*AR63+AV63*AW63</f>
        <v>#REF!</v>
      </c>
    </row>
    <row r="64" spans="55:55" x14ac:dyDescent="0.25">
      <c r="BC64" s="28" t="e">
        <f>#REF!*#REF!+H64*I64+M64*N64+R64*S64+W64*X64+AB64*AC64+AG64*AH64+AL64*AM64+AQ64*AR64+AV64*AW64</f>
        <v>#REF!</v>
      </c>
    </row>
    <row r="65" spans="55:55" x14ac:dyDescent="0.25">
      <c r="BC65" s="28" t="e">
        <f>#REF!*#REF!+H65*I65+M65*N65+R65*S65+W65*X65+AB65*AC65+AG65*AH65+AL65*AM65+AQ65*AR65+AV65*AW65</f>
        <v>#REF!</v>
      </c>
    </row>
    <row r="66" spans="55:55" x14ac:dyDescent="0.25">
      <c r="BC66" s="28" t="e">
        <f>#REF!*#REF!+H66*I66+M66*N66+R66*S66+W66*X66+AB66*AC66+AG66*AH66+AL66*AM66+AQ66*AR66+AV66*AW66</f>
        <v>#REF!</v>
      </c>
    </row>
    <row r="67" spans="55:55" x14ac:dyDescent="0.25">
      <c r="BC67" s="28" t="e">
        <f>#REF!*#REF!+H67*I67+M67*N67+R67*S67+W67*X67+AB67*AC67+AG67*AH67+AL67*AM67+AQ67*AR67+AV67*AW67</f>
        <v>#REF!</v>
      </c>
    </row>
    <row r="68" spans="55:55" x14ac:dyDescent="0.25">
      <c r="BC68" s="28" t="e">
        <f>#REF!*#REF!+H68*I68+M68*N68+R68*S68+W68*X68+AB68*AC68+AG68*AH68+AL68*AM68+AQ68*AR68+AV68*AW68</f>
        <v>#REF!</v>
      </c>
    </row>
    <row r="69" spans="55:55" x14ac:dyDescent="0.25">
      <c r="BC69" s="28" t="e">
        <f>#REF!*#REF!+H69*I69+M69*N69+R69*S69+W69*X69+AB69*AC69+AG69*AH69+AL69*AM69+AQ69*AR69+AV69*AW69</f>
        <v>#REF!</v>
      </c>
    </row>
    <row r="70" spans="55:55" x14ac:dyDescent="0.25">
      <c r="BC70" s="28" t="e">
        <f>#REF!*#REF!+H70*I70+M70*N70+R70*S70+W70*X70+AB70*AC70+AG70*AH70+AL70*AM70+AQ70*AR70+AV70*AW70</f>
        <v>#REF!</v>
      </c>
    </row>
    <row r="71" spans="55:55" x14ac:dyDescent="0.25">
      <c r="BC71" s="28" t="e">
        <f>#REF!*#REF!+H71*I71+M71*N71+R71*S71+W71*X71+AB71*AC71+AG71*AH71+AL71*AM71+AQ71*AR71+AV71*AW71</f>
        <v>#REF!</v>
      </c>
    </row>
    <row r="72" spans="55:55" x14ac:dyDescent="0.25">
      <c r="BC72" s="28" t="e">
        <f>#REF!*#REF!+H72*I72+M72*N72+R72*S72+W72*X72+AB72*AC72+AG72*AH72+AL72*AM72+AQ72*AR72+AV72*AW72</f>
        <v>#REF!</v>
      </c>
    </row>
    <row r="73" spans="55:55" x14ac:dyDescent="0.25">
      <c r="BC73" s="28" t="e">
        <f>#REF!*#REF!+H73*I73+M73*N73+R73*S73+W73*X73+AB73*AC73+AG73*AH73+AL73*AM73+AQ73*AR73+AV73*AW73</f>
        <v>#REF!</v>
      </c>
    </row>
    <row r="74" spans="55:55" x14ac:dyDescent="0.25">
      <c r="BC74" s="28" t="e">
        <f>#REF!*#REF!+H74*I74+M74*N74+R74*S74+W74*X74+AB74*AC74+AG74*AH74+AL74*AM74+AQ74*AR74+AV74*AW74</f>
        <v>#REF!</v>
      </c>
    </row>
    <row r="75" spans="55:55" x14ac:dyDescent="0.25">
      <c r="BC75" s="28" t="e">
        <f>#REF!*#REF!+H75*I75+M75*N75+R75*S75+W75*X75+AB75*AC75+AG75*AH75+AL75*AM75+AQ75*AR75+AV75*AW75</f>
        <v>#REF!</v>
      </c>
    </row>
    <row r="76" spans="55:55" x14ac:dyDescent="0.25">
      <c r="BC76" s="28" t="e">
        <f>#REF!*#REF!+H76*I76+M76*N76+R76*S76+W76*X76+AB76*AC76+AG76*AH76+AL76*AM76+AQ76*AR76+AV76*AW76</f>
        <v>#REF!</v>
      </c>
    </row>
    <row r="77" spans="55:55" x14ac:dyDescent="0.25">
      <c r="BC77" s="28" t="e">
        <f>#REF!*#REF!+H77*I77+M77*N77+R77*S77+W77*X77+AB77*AC77+AG77*AH77+AL77*AM77+AQ77*AR77+AV77*AW77</f>
        <v>#REF!</v>
      </c>
    </row>
    <row r="78" spans="55:55" x14ac:dyDescent="0.25">
      <c r="BC78" s="28" t="e">
        <f>#REF!*#REF!+H78*I78+M78*N78+R78*S78+W78*X78+AB78*AC78+AG78*AH78+AL78*AM78+AQ78*AR78+AV78*AW78</f>
        <v>#REF!</v>
      </c>
    </row>
    <row r="79" spans="55:55" x14ac:dyDescent="0.25">
      <c r="BC79" s="28" t="e">
        <f>#REF!*#REF!+H79*I79+M79*N79+R79*S79+W79*X79+AB79*AC79+AG79*AH79+AL79*AM79+AQ79*AR79+AV79*AW79</f>
        <v>#REF!</v>
      </c>
    </row>
    <row r="80" spans="55:55" x14ac:dyDescent="0.25">
      <c r="BC80" s="28" t="e">
        <f>#REF!*#REF!+H80*I80+M80*N80+R80*S80+W80*X80+AB80*AC80+AG80*AH80+AL80*AM80+AQ80*AR80+AV80*AW80</f>
        <v>#REF!</v>
      </c>
    </row>
    <row r="81" spans="55:55" x14ac:dyDescent="0.25">
      <c r="BC81" s="28" t="e">
        <f>#REF!*#REF!+H81*I81+M81*N81+R81*S81+W81*X81+AB81*AC81+AG81*AH81+AL81*AM81+AQ81*AR81+AV81*AW81</f>
        <v>#REF!</v>
      </c>
    </row>
    <row r="82" spans="55:55" x14ac:dyDescent="0.25">
      <c r="BC82" s="28" t="e">
        <f>#REF!*#REF!+H82*I82+M82*N82+R82*S82+W82*X82+AB82*AC82+AG82*AH82+AL82*AM82+AQ82*AR82+AV82*AW82</f>
        <v>#REF!</v>
      </c>
    </row>
    <row r="83" spans="55:55" x14ac:dyDescent="0.25">
      <c r="BC83" s="28" t="e">
        <f>#REF!*#REF!+H83*I83+M83*N83+R83*S83+W83*X83+AB83*AC83+AG83*AH83+AL83*AM83+AQ83*AR83+AV83*AW83</f>
        <v>#REF!</v>
      </c>
    </row>
    <row r="84" spans="55:55" x14ac:dyDescent="0.25">
      <c r="BC84" s="28" t="e">
        <f>#REF!*#REF!+H84*I84+M84*N84+R84*S84+W84*X84+AB84*AC84+AG84*AH84+AL84*AM84+AQ84*AR84+AV84*AW84</f>
        <v>#REF!</v>
      </c>
    </row>
    <row r="85" spans="55:55" x14ac:dyDescent="0.25">
      <c r="BC85" s="28" t="e">
        <f>#REF!*#REF!+H85*I85+M85*N85+R85*S85+W85*X85+AB85*AC85+AG85*AH85+AL85*AM85+AQ85*AR85+AV85*AW85</f>
        <v>#REF!</v>
      </c>
    </row>
    <row r="86" spans="55:55" x14ac:dyDescent="0.25">
      <c r="BC86" s="28" t="e">
        <f>#REF!*#REF!+H86*I86+M86*N86+R86*S86+W86*X86+AB86*AC86+AG86*AH86+AL86*AM86+AQ86*AR86+AV86*AW86</f>
        <v>#REF!</v>
      </c>
    </row>
    <row r="87" spans="55:55" x14ac:dyDescent="0.25">
      <c r="BC87" s="28" t="e">
        <f>#REF!*#REF!+H87*I87+M87*N87+R87*S87+W87*X87+AB87*AC87+AG87*AH87+AL87*AM87+AQ87*AR87+AV87*AW87</f>
        <v>#REF!</v>
      </c>
    </row>
    <row r="88" spans="55:55" x14ac:dyDescent="0.25">
      <c r="BC88" s="28" t="e">
        <f>#REF!*#REF!+H88*I88+M88*N88+R88*S88+W88*X88+AB88*AC88+AG88*AH88+AL88*AM88+AQ88*AR88+AV88*AW88</f>
        <v>#REF!</v>
      </c>
    </row>
    <row r="89" spans="55:55" x14ac:dyDescent="0.25">
      <c r="BC89" s="28" t="e">
        <f>#REF!*#REF!+H89*I89+M89*N89+R89*S89+W89*X89+AB89*AC89+AG89*AH89+AL89*AM89+AQ89*AR89+AV89*AW89</f>
        <v>#REF!</v>
      </c>
    </row>
    <row r="90" spans="55:55" x14ac:dyDescent="0.25">
      <c r="BC90" s="28" t="e">
        <f>#REF!*#REF!+H90*I90+M90*N90+R90*S90+W90*X90+AB90*AC90+AG90*AH90+AL90*AM90+AQ90*AR90+AV90*AW90</f>
        <v>#REF!</v>
      </c>
    </row>
    <row r="91" spans="55:55" x14ac:dyDescent="0.25">
      <c r="BC91" s="28" t="e">
        <f>#REF!*#REF!+H91*I91+M91*N91+R91*S91+W91*X91+AB91*AC91+AG91*AH91+AL91*AM91+AQ91*AR91+AV91*AW91</f>
        <v>#REF!</v>
      </c>
    </row>
    <row r="92" spans="55:55" x14ac:dyDescent="0.25">
      <c r="BC92" s="28" t="e">
        <f>#REF!*#REF!+H92*I92+M92*N92+R92*S92+W92*X92+AB92*AC92+AG92*AH92+AL92*AM92+AQ92*AR92+AV92*AW92</f>
        <v>#REF!</v>
      </c>
    </row>
    <row r="93" spans="55:55" x14ac:dyDescent="0.25">
      <c r="BC93" s="28" t="e">
        <f>#REF!*#REF!+H93*I93+M93*N93+R93*S93+W93*X93+AB93*AC93+AG93*AH93+AL93*AM93+AQ93*AR93+AV93*AW93</f>
        <v>#REF!</v>
      </c>
    </row>
    <row r="94" spans="55:55" x14ac:dyDescent="0.25">
      <c r="BC94" s="28" t="e">
        <f>#REF!*#REF!+H94*I94+M94*N94+R94*S94+W94*X94+AB94*AC94+AG94*AH94+AL94*AM94+AQ94*AR94+AV94*AW94</f>
        <v>#REF!</v>
      </c>
    </row>
    <row r="95" spans="55:55" x14ac:dyDescent="0.25">
      <c r="BC95" s="28" t="e">
        <f>#REF!*#REF!+H95*I95+M95*N95+R95*S95+W95*X95+AB95*AC95+AG95*AH95+AL95*AM95+AQ95*AR95+AV95*AW95</f>
        <v>#REF!</v>
      </c>
    </row>
    <row r="96" spans="55:55" x14ac:dyDescent="0.25">
      <c r="BC96" s="28" t="e">
        <f>#REF!*#REF!+H96*I96+M96*N96+R96*S96+W96*X96+AB96*AC96+AG96*AH96+AL96*AM96+AQ96*AR96+AV96*AW96</f>
        <v>#REF!</v>
      </c>
    </row>
    <row r="97" spans="55:55" x14ac:dyDescent="0.25">
      <c r="BC97" s="28" t="e">
        <f>#REF!*#REF!+H97*I97+M97*N97+R97*S97+W97*X97+AB97*AC97+AG97*AH97+AL97*AM97+AQ97*AR97+AV97*AW97</f>
        <v>#REF!</v>
      </c>
    </row>
    <row r="98" spans="55:55" x14ac:dyDescent="0.25">
      <c r="BC98" s="28" t="e">
        <f>#REF!*#REF!+H98*I98+M98*N98+R98*S98+W98*X98+AB98*AC98+AG98*AH98+AL98*AM98+AQ98*AR98+AV98*AW98</f>
        <v>#REF!</v>
      </c>
    </row>
    <row r="99" spans="55:55" x14ac:dyDescent="0.25">
      <c r="BC99" s="28" t="e">
        <f>#REF!*#REF!+H99*I99+M99*N99+R99*S99+W99*X99+AB99*AC99+AG99*AH99+AL99*AM99+AQ99*AR99+AV99*AW99</f>
        <v>#REF!</v>
      </c>
    </row>
    <row r="100" spans="55:55" x14ac:dyDescent="0.25">
      <c r="BC100" s="28" t="e">
        <f>#REF!*#REF!+H100*I100+M100*N100+R100*S100+W100*X100+AB100*AC100+AG100*AH100+AL100*AM100+AQ100*AR100+AV100*AW100</f>
        <v>#REF!</v>
      </c>
    </row>
    <row r="101" spans="55:55" x14ac:dyDescent="0.25">
      <c r="BC101" s="28" t="e">
        <f>#REF!*#REF!+H101*I101+M101*N101+R101*S101+W101*X101+AB101*AC101+AG101*AH101+AL101*AM101+AQ101*AR101+AV101*AW101</f>
        <v>#REF!</v>
      </c>
    </row>
    <row r="102" spans="55:55" x14ac:dyDescent="0.25">
      <c r="BC102" s="28" t="e">
        <f>#REF!*#REF!+H102*I102+M102*N102+R102*S102+W102*X102+AB102*AC102+AG102*AH102+AL102*AM102+AQ102*AR102+AV102*AW102</f>
        <v>#REF!</v>
      </c>
    </row>
    <row r="103" spans="55:55" x14ac:dyDescent="0.25">
      <c r="BC103" s="28" t="e">
        <f>#REF!*#REF!+H103*I103+M103*N103+R103*S103+W103*X103+AB103*AC103+AG103*AH103+AL103*AM103+AQ103*AR103+AV103*AW103</f>
        <v>#REF!</v>
      </c>
    </row>
    <row r="104" spans="55:55" x14ac:dyDescent="0.25">
      <c r="BC104" s="28" t="e">
        <f>#REF!*#REF!+H104*I104+M104*N104+R104*S104+W104*X104+AB104*AC104+AG104*AH104+AL104*AM104+AQ104*AR104+AV104*AW104</f>
        <v>#REF!</v>
      </c>
    </row>
    <row r="105" spans="55:55" x14ac:dyDescent="0.25">
      <c r="BC105" s="28" t="e">
        <f>#REF!*#REF!+H105*I105+M105*N105+R105*S105+W105*X105+AB105*AC105+AG105*AH105+AL105*AM105+AQ105*AR105+AV105*AW105</f>
        <v>#REF!</v>
      </c>
    </row>
    <row r="106" spans="55:55" x14ac:dyDescent="0.25">
      <c r="BC106" s="28" t="e">
        <f>#REF!*#REF!+H106*I106+M106*N106+R106*S106+W106*X106+AB106*AC106+AG106*AH106+AL106*AM106+AQ106*AR106+AV106*AW106</f>
        <v>#REF!</v>
      </c>
    </row>
  </sheetData>
  <mergeCells count="2">
    <mergeCell ref="C1:D1"/>
    <mergeCell ref="A1:B1"/>
  </mergeCells>
  <pageMargins left="0" right="0" top="0" bottom="0" header="0" footer="0"/>
  <pageSetup paperSize="11" scale="60" orientation="portrait" r:id="rId1"/>
  <headerFooter>
    <oddFooter>&amp;LPRINTED ON &amp;D AT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ORDERS</vt:lpstr>
      <vt:lpstr>PENDING</vt:lpstr>
      <vt:lpstr>OUTSTATION</vt:lpstr>
      <vt:lpstr>LOCAL</vt:lpstr>
      <vt:lpstr>SLIP</vt:lpstr>
      <vt:lpstr>EICHER</vt:lpstr>
      <vt:lpstr>A.LAYLAND</vt:lpstr>
      <vt:lpstr>N &amp; S</vt:lpstr>
      <vt:lpstr>N &amp; S1</vt:lpstr>
      <vt:lpstr>N&amp;R</vt:lpstr>
      <vt:lpstr>N&amp;R 1</vt:lpstr>
      <vt:lpstr>SAGAR</vt:lpstr>
      <vt:lpstr>SAGAR1</vt:lpstr>
      <vt:lpstr>SURESHJI 1</vt:lpstr>
      <vt:lpstr>SURESHJI</vt:lpstr>
      <vt:lpstr>B.PARTY VEH</vt:lpstr>
      <vt:lpstr>HUBLI VEH 1845</vt:lpstr>
      <vt:lpstr>HUBLI VEH 3157</vt:lpstr>
      <vt:lpstr>HUBLI VEHICLE (3)</vt:lpstr>
      <vt:lpstr>HUBLI VEHICLE (2)</vt:lpstr>
      <vt:lpstr>RECEIPT DETAILS</vt:lpstr>
      <vt:lpstr>BAG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2026-01-13T09:59:20Z</dcterms:modified>
</cp:coreProperties>
</file>